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460" yWindow="460" windowWidth="25140" windowHeight="14640" tabRatio="943" activeTab="2"/>
  </bookViews>
  <sheets>
    <sheet name="確率の考え方" sheetId="110" r:id="rId1"/>
    <sheet name="Sheet1" sheetId="107" r:id="rId2"/>
    <sheet name="output" sheetId="103" r:id="rId3"/>
    <sheet name="tables_208" sheetId="117" r:id="rId4"/>
    <sheet name="gacha_bonus_tables" sheetId="98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gacha_bonus_tables!$A$1:$F$1</definedName>
    <definedName name="_xlnm._FilterDatabase" localSheetId="3" hidden="1">tables_208!$A$1:$V$17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117" l="1"/>
  <c r="O4" i="117"/>
  <c r="O7" i="117"/>
  <c r="O8" i="117"/>
  <c r="O11" i="117"/>
  <c r="O12" i="117"/>
  <c r="O15" i="117"/>
  <c r="O16" i="117"/>
  <c r="O17" i="117"/>
  <c r="O14" i="117"/>
  <c r="O13" i="117"/>
  <c r="O10" i="117"/>
  <c r="O9" i="117"/>
  <c r="O6" i="117"/>
  <c r="O5" i="117"/>
  <c r="O2" i="117"/>
  <c r="P2" i="117"/>
  <c r="P3" i="117"/>
  <c r="P4" i="117"/>
  <c r="P5" i="117"/>
  <c r="P6" i="117"/>
  <c r="P7" i="117"/>
  <c r="P8" i="117"/>
  <c r="P9" i="117"/>
  <c r="P10" i="117"/>
  <c r="P11" i="117"/>
  <c r="P12" i="117"/>
  <c r="P13" i="117"/>
  <c r="P14" i="117"/>
  <c r="B4" i="117"/>
  <c r="B5" i="117"/>
  <c r="B6" i="117"/>
  <c r="B7" i="117"/>
  <c r="B8" i="117"/>
  <c r="B9" i="117"/>
  <c r="B10" i="117"/>
  <c r="B11" i="117"/>
  <c r="B12" i="117"/>
  <c r="B13" i="117"/>
  <c r="B14" i="117"/>
  <c r="B15" i="117"/>
  <c r="B16" i="117"/>
  <c r="B17" i="117"/>
  <c r="B3" i="117"/>
  <c r="C2" i="103"/>
  <c r="I2" i="117"/>
  <c r="D2" i="117"/>
  <c r="J2" i="117"/>
  <c r="E2" i="117"/>
  <c r="F2" i="117"/>
  <c r="C2" i="117"/>
  <c r="I3" i="117"/>
  <c r="D3" i="117"/>
  <c r="J3" i="117"/>
  <c r="E3" i="117"/>
  <c r="F3" i="117"/>
  <c r="C3" i="117"/>
  <c r="I4" i="117"/>
  <c r="D4" i="117"/>
  <c r="J4" i="117"/>
  <c r="E4" i="117"/>
  <c r="F4" i="117"/>
  <c r="C4" i="117"/>
  <c r="I5" i="117"/>
  <c r="D5" i="117"/>
  <c r="J5" i="117"/>
  <c r="E5" i="117"/>
  <c r="F5" i="117"/>
  <c r="C5" i="117"/>
  <c r="I6" i="117"/>
  <c r="D6" i="117"/>
  <c r="J6" i="117"/>
  <c r="E6" i="117"/>
  <c r="F6" i="117"/>
  <c r="C6" i="117"/>
  <c r="I7" i="117"/>
  <c r="D7" i="117"/>
  <c r="J7" i="117"/>
  <c r="E7" i="117"/>
  <c r="F7" i="117"/>
  <c r="C7" i="117"/>
  <c r="I8" i="117"/>
  <c r="D8" i="117"/>
  <c r="J8" i="117"/>
  <c r="E8" i="117"/>
  <c r="F8" i="117"/>
  <c r="C8" i="117"/>
  <c r="I9" i="117"/>
  <c r="D9" i="117"/>
  <c r="J9" i="117"/>
  <c r="E9" i="117"/>
  <c r="F9" i="117"/>
  <c r="C9" i="117"/>
  <c r="I10" i="117"/>
  <c r="D10" i="117"/>
  <c r="J10" i="117"/>
  <c r="E10" i="117"/>
  <c r="F10" i="117"/>
  <c r="C10" i="117"/>
  <c r="I11" i="117"/>
  <c r="D11" i="117"/>
  <c r="J11" i="117"/>
  <c r="E11" i="117"/>
  <c r="F11" i="117"/>
  <c r="C11" i="117"/>
  <c r="I12" i="117"/>
  <c r="D12" i="117"/>
  <c r="J12" i="117"/>
  <c r="E12" i="117"/>
  <c r="F12" i="117"/>
  <c r="C12" i="117"/>
  <c r="I13" i="117"/>
  <c r="D13" i="117"/>
  <c r="J13" i="117"/>
  <c r="E13" i="117"/>
  <c r="F13" i="117"/>
  <c r="C13" i="117"/>
  <c r="I14" i="117"/>
  <c r="D14" i="117"/>
  <c r="J14" i="117"/>
  <c r="E14" i="117"/>
  <c r="F14" i="117"/>
  <c r="C14" i="117"/>
  <c r="I15" i="117"/>
  <c r="D15" i="117"/>
  <c r="J15" i="117"/>
  <c r="E15" i="117"/>
  <c r="F15" i="117"/>
  <c r="C15" i="117"/>
  <c r="I16" i="117"/>
  <c r="D16" i="117"/>
  <c r="J16" i="117"/>
  <c r="E16" i="117"/>
  <c r="F16" i="117"/>
  <c r="C16" i="117"/>
  <c r="I17" i="117"/>
  <c r="D17" i="117"/>
  <c r="J17" i="117"/>
  <c r="E17" i="117"/>
  <c r="F17" i="117"/>
  <c r="C17" i="117"/>
  <c r="P17" i="117"/>
  <c r="N17" i="117"/>
  <c r="M17" i="117"/>
  <c r="L17" i="117"/>
  <c r="K17" i="117"/>
  <c r="H17" i="117"/>
  <c r="P16" i="117"/>
  <c r="N16" i="117"/>
  <c r="M16" i="117"/>
  <c r="L16" i="117"/>
  <c r="K16" i="117"/>
  <c r="H16" i="117"/>
  <c r="P15" i="117"/>
  <c r="N15" i="117"/>
  <c r="M15" i="117"/>
  <c r="L15" i="117"/>
  <c r="K15" i="117"/>
  <c r="H15" i="117"/>
  <c r="N14" i="117"/>
  <c r="M14" i="117"/>
  <c r="L14" i="117"/>
  <c r="K14" i="117"/>
  <c r="H14" i="117"/>
  <c r="N13" i="117"/>
  <c r="M13" i="117"/>
  <c r="L13" i="117"/>
  <c r="K13" i="117"/>
  <c r="H13" i="117"/>
  <c r="N12" i="117"/>
  <c r="M12" i="117"/>
  <c r="L12" i="117"/>
  <c r="K12" i="117"/>
  <c r="H12" i="117"/>
  <c r="N11" i="117"/>
  <c r="M11" i="117"/>
  <c r="L11" i="117"/>
  <c r="K11" i="117"/>
  <c r="H11" i="117"/>
  <c r="N10" i="117"/>
  <c r="M10" i="117"/>
  <c r="L10" i="117"/>
  <c r="K10" i="117"/>
  <c r="H10" i="117"/>
  <c r="N9" i="117"/>
  <c r="M9" i="117"/>
  <c r="L9" i="117"/>
  <c r="K9" i="117"/>
  <c r="H9" i="117"/>
  <c r="N8" i="117"/>
  <c r="M8" i="117"/>
  <c r="L8" i="117"/>
  <c r="K8" i="117"/>
  <c r="H8" i="117"/>
  <c r="N7" i="117"/>
  <c r="M7" i="117"/>
  <c r="L7" i="117"/>
  <c r="K7" i="117"/>
  <c r="H7" i="117"/>
  <c r="N6" i="117"/>
  <c r="M6" i="117"/>
  <c r="L6" i="117"/>
  <c r="K6" i="117"/>
  <c r="H6" i="117"/>
  <c r="N5" i="117"/>
  <c r="M5" i="117"/>
  <c r="L5" i="117"/>
  <c r="K5" i="117"/>
  <c r="H5" i="117"/>
  <c r="N4" i="117"/>
  <c r="M4" i="117"/>
  <c r="L4" i="117"/>
  <c r="K4" i="117"/>
  <c r="H4" i="117"/>
  <c r="N3" i="117"/>
  <c r="M3" i="117"/>
  <c r="L3" i="117"/>
  <c r="K3" i="117"/>
  <c r="H3" i="117"/>
  <c r="N2" i="117"/>
  <c r="M2" i="117"/>
  <c r="L2" i="117"/>
  <c r="K2" i="117"/>
  <c r="H2" i="117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3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<sst xmlns="http://schemas.openxmlformats.org/spreadsheetml/2006/main" count="231" uniqueCount="161">
  <si>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</si>
  <si>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</si>
  <si>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</si>
  <si>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</si>
  <si>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</si>
  <si>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</si>
  <si>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</si>
  <si>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</si>
  <si>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</si>
  <si>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</si>
  <si>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</si>
  <si>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</si>
  <si>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</si>
  <si>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</si>
  <si>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</si>
  <si>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</si>
  <si>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</si>
  <si>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</si>
  <si>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</si>
  <si>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</si>
  <si>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</si>
  <si>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</si>
  <si>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</si>
  <si>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</si>
  <si>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</si>
  <si>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</si>
  <si>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</si>
  <si>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</si>
  <si>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</si>
  <si>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</si>
  <si>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</si>
  <si>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</si>
  <si>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</si>
  <si>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</si>
  <si>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</si>
  <si>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</si>
  <si>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</si>
  <si>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</si>
  <si>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</si>
  <si>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</si>
  <si>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</si>
  <si>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</si>
  <si>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</si>
  <si>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</si>
  <si>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</si>
  <si>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</si>
  <si>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</si>
  <si>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</si>
  <si>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</si>
  <si>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</si>
  <si>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</si>
  <si>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</si>
  <si>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</si>
  <si>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skip</t>
    <phoneticPr fontId="19"/>
  </si>
  <si>
    <t>hogehoge</t>
    <phoneticPr fontId="19"/>
  </si>
  <si>
    <t>性別</t>
    <rPh sb="0" eb="2">
      <t>セイベツ</t>
    </rPh>
    <phoneticPr fontId="19"/>
  </si>
  <si>
    <t>ピックアップ確率</t>
    <rPh sb="6" eb="8">
      <t>カクリツ</t>
    </rPh>
    <phoneticPr fontId="19"/>
  </si>
  <si>
    <t>確率</t>
    <rPh sb="0" eb="2">
      <t>カクリツ</t>
    </rPh>
    <phoneticPr fontId="19"/>
  </si>
  <si>
    <t>名前</t>
    <rPh sb="0" eb="2">
      <t>ナマエ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</si>
  <si>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</si>
  <si>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</si>
  <si>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</si>
  <si>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</si>
  <si>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</si>
  <si>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</si>
  <si>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</si>
  <si>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</si>
  <si>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</si>
  <si>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</si>
  <si>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</si>
  <si>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</si>
  <si>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</si>
  <si>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</si>
  <si>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</si>
  <si>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ja</t>
    <phoneticPr fontId="19"/>
  </si>
  <si>
    <t>drop_label2</t>
    <phoneticPr fontId="19"/>
  </si>
  <si>
    <t>color2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</si>
  <si>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</si>
  <si>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</si>
  <si>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</si>
  <si>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</si>
  <si>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</si>
  <si>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</si>
  <si>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</si>
  <si>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</si>
  <si>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</si>
  <si>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</si>
  <si>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</si>
  <si>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</si>
  <si>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</si>
  <si>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</si>
  <si>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</si>
  <si>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</si>
  <si>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</si>
  <si>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</si>
  <si>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</si>
  <si>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</si>
  <si>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</si>
  <si>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</si>
  <si>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</si>
  <si>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</si>
  <si>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</si>
  <si>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</si>
  <si>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</si>
  <si>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</si>
  <si>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</si>
  <si>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</si>
  <si>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</si>
  <si>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</si>
  <si>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</si>
  <si>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</si>
  <si>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</si>
  <si>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</si>
  <si>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</si>
  <si>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</si>
  <si>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</si>
  <si>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</si>
  <si>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</si>
  <si>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</si>
  <si>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</si>
  <si>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</si>
  <si>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</si>
  <si>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</si>
  <si>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</si>
  <si>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</si>
  <si>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</si>
  <si>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</si>
  <si>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</si>
  <si>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</si>
  <si>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</si>
  <si>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</si>
  <si>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</si>
  <si>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</si>
  <si>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</si>
  <si>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</si>
  <si>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</si>
  <si>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</si>
  <si>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</si>
  <si>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</si>
  <si>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</si>
  <si>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</si>
  <si>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</si>
  <si>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</si>
  <si>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</si>
  <si>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</si>
  <si>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</si>
  <si>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</si>
  <si>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</si>
  <si>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</si>
  <si>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</si>
  <si>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</si>
  <si>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</si>
  <si>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</si>
  <si>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</si>
  <si>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</si>
  <si>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</si>
  <si>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</si>
  <si>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tables_339100</t>
    <phoneticPr fontId="19"/>
  </si>
  <si>
    <t>skip</t>
    <phoneticPr fontId="19"/>
  </si>
  <si>
    <t>tables_208</t>
    <phoneticPr fontId="19"/>
  </si>
  <si>
    <t>old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</si>
</sst>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/>
  </cellStyleXfs>
  <cellXfs count="53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3" xfId="0" applyFont="1" applyFill="1" applyBorder="1" applyAlignment="1">
      <alignment horizontal="right"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9" fillId="0" borderId="1" xfId="3036" applyFont="1" applyBorder="1"/>
    <xf numFmtId="0" fontId="8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0" fontId="0" fillId="26" borderId="1" xfId="0" applyFill="1" applyBorder="1"/>
    <xf numFmtId="176" fontId="0" fillId="26" borderId="1" xfId="3575" applyNumberFormat="1" applyFont="1" applyFill="1" applyBorder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51" fillId="27" borderId="1" xfId="0" applyFont="1" applyFill="1" applyBorder="1" applyAlignment="1">
      <alignment horizontal="left" vertical="center"/>
    </xf>
    <xf numFmtId="0" fontId="24" fillId="24" borderId="1" xfId="2" applyFont="1" applyFill="1" applyBorder="1" applyAlignment="1">
      <alignment horizontal="left" vertical="center"/>
    </xf>
    <xf numFmtId="0" fontId="23" fillId="24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0" fontId="4" fillId="4" borderId="1" xfId="2978" applyFont="1" applyFill="1" applyBorder="1"/>
    <xf numFmtId="0" fontId="3" fillId="0" borderId="1" xfId="3036" applyFont="1" applyBorder="1"/>
    <xf numFmtId="0" fontId="3" fillId="4" borderId="1" xfId="2978" applyFont="1" applyFill="1" applyBorder="1"/>
    <xf numFmtId="0" fontId="2" fillId="0" borderId="1" xfId="3036" applyFont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technical</v>
          </cell>
          <cell r="L861" t="str">
            <v>テクニカルタイプ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technical</v>
          </cell>
          <cell r="L862" t="str">
            <v>テクニカルタイプ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red</v>
          </cell>
          <cell r="I975">
            <v>5</v>
          </cell>
          <cell r="J975" t="str">
            <v>Drop2N</v>
          </cell>
          <cell r="K975" t="str">
            <v>attack</v>
          </cell>
          <cell r="L975" t="str">
            <v>攻撃タイプ</v>
          </cell>
          <cell r="M975" t="str">
            <v>human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Drop2N</v>
          </cell>
          <cell r="K976" t="str">
            <v>attack</v>
          </cell>
          <cell r="L976" t="str">
            <v>攻撃タイプ</v>
          </cell>
          <cell r="M976" t="str">
            <v>human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PremiumSS</v>
          </cell>
          <cell r="K979" t="str">
            <v>attack</v>
          </cell>
          <cell r="L979" t="str">
            <v>攻撃タイプ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PremiumSS</v>
          </cell>
          <cell r="K980" t="str">
            <v>attack</v>
          </cell>
          <cell r="L980" t="str">
            <v>攻撃タイプ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DropWizS</v>
          </cell>
          <cell r="K982" t="str">
            <v>hp</v>
          </cell>
          <cell r="L982" t="str">
            <v>体力タイプ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PremiumSS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PremiumSS</v>
          </cell>
          <cell r="K984" t="str">
            <v>heal</v>
          </cell>
          <cell r="L984" t="str">
            <v>回復タイプ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DropWizS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DropWizS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PremiumS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PremiumS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blue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blue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43" customWidth="1"/>
    <col min="2" max="16384" width="13" style="43"/>
  </cols>
  <sheetData>
    <row r="1" spans="1:13" x14ac:dyDescent="0.15">
      <c r="A1" s="43" t="s">
        <v>78</v>
      </c>
      <c r="B1" s="43" t="s">
        <v>79</v>
      </c>
    </row>
    <row r="2" spans="1:13" x14ac:dyDescent="0.15">
      <c r="A2" s="43" t="s">
        <v>80</v>
      </c>
      <c r="B2" s="43" t="s">
        <v>81</v>
      </c>
      <c r="C2" s="43" t="s">
        <v>82</v>
      </c>
      <c r="D2" s="43" t="s">
        <v>83</v>
      </c>
      <c r="E2" s="43" t="s">
        <v>84</v>
      </c>
      <c r="F2" s="43" t="s">
        <v>85</v>
      </c>
      <c r="G2" s="43" t="s">
        <v>86</v>
      </c>
      <c r="H2" s="43" t="s">
        <v>87</v>
      </c>
    </row>
    <row r="3" spans="1:13" x14ac:dyDescent="0.15">
      <c r="A3" s="43">
        <v>3</v>
      </c>
      <c r="B3" s="44" t="s">
        <v>88</v>
      </c>
      <c r="C3" s="44" t="s">
        <v>89</v>
      </c>
      <c r="D3" s="43">
        <v>0</v>
      </c>
      <c r="E3" s="44" t="s">
        <v>90</v>
      </c>
      <c r="F3" s="43">
        <v>0</v>
      </c>
      <c r="G3" s="43">
        <v>0</v>
      </c>
      <c r="H3" s="45">
        <v>0.5</v>
      </c>
    </row>
    <row r="4" spans="1:13" x14ac:dyDescent="0.15">
      <c r="A4" s="43">
        <v>4</v>
      </c>
      <c r="B4" s="44" t="s">
        <v>91</v>
      </c>
      <c r="C4" s="44" t="s">
        <v>92</v>
      </c>
      <c r="D4" s="44" t="s">
        <v>93</v>
      </c>
      <c r="E4" s="44" t="s">
        <v>94</v>
      </c>
      <c r="F4" s="44" t="s">
        <v>95</v>
      </c>
      <c r="G4" s="43">
        <v>0</v>
      </c>
      <c r="H4" s="45">
        <v>0.45</v>
      </c>
    </row>
    <row r="5" spans="1:13" x14ac:dyDescent="0.15">
      <c r="A5" s="43">
        <v>5</v>
      </c>
      <c r="B5" s="46">
        <v>0</v>
      </c>
      <c r="C5" s="44" t="s">
        <v>96</v>
      </c>
      <c r="D5" s="44" t="s">
        <v>97</v>
      </c>
      <c r="E5" s="44" t="s">
        <v>98</v>
      </c>
      <c r="F5" s="44" t="s">
        <v>99</v>
      </c>
      <c r="G5" s="44" t="s">
        <v>100</v>
      </c>
      <c r="H5" s="45">
        <v>0.05</v>
      </c>
    </row>
    <row r="6" spans="1:13" x14ac:dyDescent="0.15">
      <c r="B6" s="45" t="s">
        <v>101</v>
      </c>
      <c r="C6" s="45" t="s">
        <v>101</v>
      </c>
      <c r="D6" s="45" t="s">
        <v>102</v>
      </c>
      <c r="E6" s="45" t="s">
        <v>101</v>
      </c>
      <c r="F6" s="45" t="s">
        <v>101</v>
      </c>
      <c r="G6" s="47" t="s">
        <v>103</v>
      </c>
      <c r="H6" s="45">
        <v>1</v>
      </c>
    </row>
    <row r="7" spans="1:13" x14ac:dyDescent="0.15">
      <c r="B7" s="45"/>
      <c r="C7" s="45"/>
      <c r="D7" s="45"/>
      <c r="E7" s="45"/>
      <c r="F7" s="45"/>
      <c r="G7" s="47"/>
      <c r="H7" s="45"/>
    </row>
    <row r="8" spans="1:13" x14ac:dyDescent="0.15">
      <c r="A8" s="43" t="s">
        <v>104</v>
      </c>
      <c r="B8" s="45"/>
      <c r="C8" s="45"/>
      <c r="D8" s="45"/>
      <c r="E8" s="45"/>
      <c r="F8" s="45"/>
      <c r="G8" s="47"/>
      <c r="H8" s="45"/>
    </row>
    <row r="9" spans="1:13" x14ac:dyDescent="0.15">
      <c r="A9" s="43" t="s">
        <v>105</v>
      </c>
      <c r="B9" s="45"/>
      <c r="C9" s="45"/>
      <c r="D9" s="45"/>
      <c r="E9" s="45"/>
      <c r="F9" s="45"/>
      <c r="G9" s="47"/>
      <c r="H9" s="45"/>
    </row>
    <row r="10" spans="1:13" x14ac:dyDescent="0.15">
      <c r="A10" s="43" t="s">
        <v>106</v>
      </c>
      <c r="B10" s="45"/>
      <c r="C10" s="45"/>
      <c r="D10" s="45"/>
      <c r="E10" s="45"/>
      <c r="F10" s="45"/>
      <c r="G10" s="47"/>
      <c r="H10" s="45"/>
    </row>
    <row r="11" spans="1:13" x14ac:dyDescent="0.15">
      <c r="A11" s="43" t="s">
        <v>107</v>
      </c>
      <c r="B11" s="45"/>
      <c r="C11" s="45"/>
      <c r="D11" s="45"/>
      <c r="E11" s="45"/>
      <c r="F11" s="45"/>
      <c r="G11" s="47"/>
      <c r="H11" s="45"/>
    </row>
    <row r="12" spans="1:13" x14ac:dyDescent="0.15">
      <c r="A12" s="43" t="s">
        <v>100</v>
      </c>
      <c r="B12" s="45" t="s">
        <v>108</v>
      </c>
      <c r="C12" s="45" t="s">
        <v>109</v>
      </c>
      <c r="D12" s="45"/>
      <c r="E12" s="45"/>
      <c r="F12" s="45"/>
      <c r="G12" s="47"/>
      <c r="H12" s="45"/>
    </row>
    <row r="13" spans="1:13" x14ac:dyDescent="0.15">
      <c r="A13" s="43" t="s">
        <v>110</v>
      </c>
      <c r="B13" s="43" t="s">
        <v>111</v>
      </c>
      <c r="C13" s="43" t="s">
        <v>112</v>
      </c>
    </row>
    <row r="14" spans="1:13" x14ac:dyDescent="0.15">
      <c r="A14" s="43" t="s">
        <v>113</v>
      </c>
      <c r="B14" s="43" t="s">
        <v>108</v>
      </c>
      <c r="C14" s="46" t="s">
        <v>114</v>
      </c>
      <c r="E14" s="46"/>
      <c r="F14" s="46"/>
      <c r="M14" s="45"/>
    </row>
    <row r="15" spans="1:13" x14ac:dyDescent="0.15">
      <c r="A15" s="43" t="s">
        <v>90</v>
      </c>
      <c r="B15" s="45" t="s">
        <v>108</v>
      </c>
      <c r="C15" s="45" t="s">
        <v>115</v>
      </c>
      <c r="H15" s="48"/>
      <c r="M15" s="45"/>
    </row>
    <row r="16" spans="1:13" x14ac:dyDescent="0.15">
      <c r="A16" s="43" t="s">
        <v>94</v>
      </c>
      <c r="B16" s="45" t="s">
        <v>108</v>
      </c>
      <c r="C16" s="45" t="s">
        <v>116</v>
      </c>
      <c r="M16" s="45"/>
    </row>
    <row r="17" spans="1:13" x14ac:dyDescent="0.15">
      <c r="A17" s="43" t="s">
        <v>117</v>
      </c>
      <c r="B17" s="45" t="s">
        <v>108</v>
      </c>
      <c r="C17" s="45" t="s">
        <v>118</v>
      </c>
      <c r="M17" s="45"/>
    </row>
    <row r="18" spans="1:13" x14ac:dyDescent="0.15">
      <c r="B18" s="45"/>
      <c r="C18" s="45"/>
    </row>
    <row r="19" spans="1:13" x14ac:dyDescent="0.15">
      <c r="A19" s="43" t="s">
        <v>119</v>
      </c>
    </row>
    <row r="20" spans="1:13" x14ac:dyDescent="0.15">
      <c r="A20" s="43" t="s">
        <v>120</v>
      </c>
      <c r="B20" s="45"/>
      <c r="C20" s="45"/>
    </row>
    <row r="21" spans="1:13" x14ac:dyDescent="0.15">
      <c r="A21" s="43" t="s">
        <v>121</v>
      </c>
      <c r="B21" s="45" t="s">
        <v>122</v>
      </c>
      <c r="C21" s="45" t="s">
        <v>123</v>
      </c>
      <c r="D21" s="43" t="s">
        <v>124</v>
      </c>
    </row>
    <row r="22" spans="1:13" x14ac:dyDescent="0.15">
      <c r="A22" s="43" t="s">
        <v>125</v>
      </c>
      <c r="B22" s="45" t="s">
        <v>108</v>
      </c>
      <c r="C22" s="45" t="s">
        <v>126</v>
      </c>
      <c r="D22" s="43" t="s">
        <v>127</v>
      </c>
    </row>
    <row r="23" spans="1:13" x14ac:dyDescent="0.15">
      <c r="A23" s="43" t="s">
        <v>128</v>
      </c>
      <c r="B23" s="45" t="s">
        <v>108</v>
      </c>
      <c r="C23" s="43" t="s">
        <v>129</v>
      </c>
      <c r="D23" s="43" t="s">
        <v>130</v>
      </c>
    </row>
    <row r="24" spans="1:13" x14ac:dyDescent="0.15">
      <c r="A24" s="43" t="s">
        <v>131</v>
      </c>
      <c r="B24" s="45" t="s">
        <v>108</v>
      </c>
      <c r="C24" s="45" t="s">
        <v>132</v>
      </c>
      <c r="D24" s="43" t="s">
        <v>133</v>
      </c>
    </row>
    <row r="25" spans="1:13" x14ac:dyDescent="0.15">
      <c r="A25" s="43" t="s">
        <v>134</v>
      </c>
      <c r="B25" s="45" t="s">
        <v>108</v>
      </c>
      <c r="C25" s="45" t="s">
        <v>135</v>
      </c>
      <c r="D25" s="43" t="s">
        <v>136</v>
      </c>
    </row>
    <row r="26" spans="1:13" x14ac:dyDescent="0.15">
      <c r="A26" s="43" t="s">
        <v>137</v>
      </c>
      <c r="B26" s="45" t="s">
        <v>108</v>
      </c>
      <c r="C26" s="45" t="s">
        <v>138</v>
      </c>
      <c r="D26" s="43" t="s">
        <v>139</v>
      </c>
    </row>
    <row r="27" spans="1:13" x14ac:dyDescent="0.15">
      <c r="A27" s="43" t="s">
        <v>140</v>
      </c>
      <c r="B27" s="45" t="s">
        <v>108</v>
      </c>
      <c r="C27" s="45" t="s">
        <v>102</v>
      </c>
      <c r="D27" s="43" t="s">
        <v>141</v>
      </c>
      <c r="E27" s="43" t="s">
        <v>142</v>
      </c>
    </row>
    <row r="28" spans="1:13" x14ac:dyDescent="0.15">
      <c r="A28" s="43" t="s">
        <v>89</v>
      </c>
      <c r="B28" s="45" t="s">
        <v>108</v>
      </c>
      <c r="C28" s="45" t="s">
        <v>143</v>
      </c>
      <c r="E28" s="43" t="s">
        <v>144</v>
      </c>
    </row>
    <row r="29" spans="1:13" x14ac:dyDescent="0.15">
      <c r="A29" s="43" t="s">
        <v>92</v>
      </c>
      <c r="B29" s="45" t="s">
        <v>108</v>
      </c>
      <c r="C29" s="45" t="s">
        <v>145</v>
      </c>
    </row>
    <row r="30" spans="1:13" x14ac:dyDescent="0.15">
      <c r="B30" s="45"/>
    </row>
    <row r="31" spans="1:13" x14ac:dyDescent="0.15">
      <c r="A31" s="43" t="s">
        <v>146</v>
      </c>
    </row>
    <row r="32" spans="1:13" x14ac:dyDescent="0.15">
      <c r="A32" s="43" t="s">
        <v>147</v>
      </c>
      <c r="B32" s="45" t="s">
        <v>108</v>
      </c>
      <c r="C32" s="45" t="s">
        <v>148</v>
      </c>
    </row>
    <row r="33" spans="1:3" x14ac:dyDescent="0.15">
      <c r="A33" s="43" t="s">
        <v>92</v>
      </c>
      <c r="B33" s="45" t="s">
        <v>108</v>
      </c>
      <c r="C33" s="45" t="s">
        <v>149</v>
      </c>
    </row>
    <row r="34" spans="1:3" x14ac:dyDescent="0.15">
      <c r="A34" s="43" t="s">
        <v>89</v>
      </c>
      <c r="B34" s="45" t="s">
        <v>108</v>
      </c>
      <c r="C34" s="45" t="s">
        <v>150</v>
      </c>
    </row>
    <row r="35" spans="1:3" x14ac:dyDescent="0.15">
      <c r="A35" s="43" t="s">
        <v>88</v>
      </c>
      <c r="B35" s="45" t="s">
        <v>108</v>
      </c>
      <c r="C35" s="45" t="s">
        <v>151</v>
      </c>
    </row>
    <row r="36" spans="1:3" x14ac:dyDescent="0.15">
      <c r="A36" s="43" t="s">
        <v>91</v>
      </c>
      <c r="B36" s="45" t="s">
        <v>108</v>
      </c>
      <c r="C36" s="45" t="s">
        <v>152</v>
      </c>
    </row>
    <row r="37" spans="1:3" x14ac:dyDescent="0.15">
      <c r="A37" s="43" t="s">
        <v>97</v>
      </c>
      <c r="B37" s="45" t="s">
        <v>108</v>
      </c>
      <c r="C37" s="45" t="s">
        <v>153</v>
      </c>
    </row>
    <row r="38" spans="1:3" x14ac:dyDescent="0.15">
      <c r="A38" s="43" t="s">
        <v>93</v>
      </c>
      <c r="B38" s="45" t="s">
        <v>108</v>
      </c>
      <c r="C38" s="45" t="s">
        <v>154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59</v>
      </c>
    </row>
    <row r="2" spans="1:1" x14ac:dyDescent="0.15">
      <c r="A2" t="s">
        <v>60</v>
      </c>
    </row>
    <row r="3" spans="1:1" x14ac:dyDescent="0.15">
      <c r="A3" t="s">
        <v>61</v>
      </c>
    </row>
    <row r="4" spans="1:1" x14ac:dyDescent="0.15">
      <c r="A4" t="s">
        <v>62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E24" sqref="E24"/>
    </sheetView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51</v>
      </c>
      <c r="B1" s="14" t="s">
        <v>39</v>
      </c>
      <c r="C1" s="14" t="s">
        <v>40</v>
      </c>
      <c r="D1" s="14" t="s">
        <v>41</v>
      </c>
      <c r="E1" s="14" t="s">
        <v>42</v>
      </c>
      <c r="F1" s="14" t="s">
        <v>43</v>
      </c>
      <c r="G1" s="14" t="s">
        <v>44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52" t="s">
        <v>160</v>
      </c>
      <c r="B2" s="42" t="s">
        <v>77</v>
      </c>
      <c r="C2" s="37" t="str">
        <f>RIGHT(F2,3)</f>
        <v>208</v>
      </c>
      <c r="D2" s="17" t="s">
        <v>45</v>
      </c>
      <c r="E2" s="15" t="str">
        <f t="shared" ref="E2:E6" si="0">B2&amp;C2&amp;D2</f>
        <v>gacha_select_tables_208.tmp</v>
      </c>
      <c r="F2" s="51" t="s">
        <v>159</v>
      </c>
      <c r="G2" s="36" t="s">
        <v>64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50" t="s">
        <v>158</v>
      </c>
      <c r="B3" s="42" t="s">
        <v>77</v>
      </c>
      <c r="C3" s="37" t="str">
        <f>RIGHT(F3,6)</f>
        <v>339100</v>
      </c>
      <c r="D3" s="17" t="s">
        <v>45</v>
      </c>
      <c r="E3" s="15" t="str">
        <f t="shared" si="0"/>
        <v>gacha_select_tables_339100.tmp</v>
      </c>
      <c r="F3" s="49" t="s">
        <v>157</v>
      </c>
      <c r="G3" s="36" t="s">
        <v>64</v>
      </c>
      <c r="H3" s="20" t="s">
        <v>0</v>
      </c>
      <c r="I3" s="20" t="s">
        <v>3</v>
      </c>
      <c r="J3" s="20" t="s">
        <v>4</v>
      </c>
      <c r="K3" s="20" t="s">
        <v>5</v>
      </c>
      <c r="L3" s="20" t="s">
        <v>6</v>
      </c>
      <c r="M3" s="20" t="s">
        <v>7</v>
      </c>
      <c r="N3" s="20" t="s">
        <v>8</v>
      </c>
      <c r="O3" s="20" t="s">
        <v>9</v>
      </c>
    </row>
    <row r="4" spans="1:21" x14ac:dyDescent="0.15">
      <c r="A4" s="29" t="s">
        <v>53</v>
      </c>
      <c r="B4" s="25" t="s">
        <v>50</v>
      </c>
      <c r="C4" s="30" t="s">
        <v>54</v>
      </c>
      <c r="D4" s="17" t="s">
        <v>46</v>
      </c>
      <c r="E4" s="15" t="str">
        <f t="shared" si="0"/>
        <v>gacha_bonus_tables_hogehoge.tmp</v>
      </c>
      <c r="F4" s="17" t="s">
        <v>47</v>
      </c>
      <c r="G4" s="19" t="s">
        <v>11</v>
      </c>
      <c r="H4" s="21" t="s">
        <v>14</v>
      </c>
      <c r="I4" s="19" t="s">
        <v>12</v>
      </c>
      <c r="J4" s="18"/>
      <c r="K4" s="18"/>
      <c r="L4" s="18"/>
      <c r="M4" s="18"/>
      <c r="N4" s="18"/>
      <c r="O4" s="18"/>
    </row>
    <row r="5" spans="1:21" x14ac:dyDescent="0.15">
      <c r="A5" s="29" t="s">
        <v>53</v>
      </c>
      <c r="B5" s="17" t="s">
        <v>48</v>
      </c>
      <c r="C5" s="30" t="s">
        <v>54</v>
      </c>
      <c r="D5" s="17" t="s">
        <v>46</v>
      </c>
      <c r="E5" s="15" t="str">
        <f t="shared" si="0"/>
        <v>gifts_tmp_hogehoge.tmp</v>
      </c>
      <c r="F5" s="17" t="s">
        <v>47</v>
      </c>
      <c r="G5" s="21" t="s">
        <v>22</v>
      </c>
      <c r="H5" s="22" t="s">
        <v>30</v>
      </c>
      <c r="I5" s="21" t="s">
        <v>23</v>
      </c>
      <c r="J5" s="21" t="s">
        <v>24</v>
      </c>
      <c r="K5" s="21" t="s">
        <v>24</v>
      </c>
      <c r="L5" s="21" t="s">
        <v>25</v>
      </c>
      <c r="M5" s="21" t="s">
        <v>25</v>
      </c>
      <c r="N5" s="21" t="s">
        <v>25</v>
      </c>
      <c r="O5" s="38" t="s">
        <v>7</v>
      </c>
      <c r="P5" s="38" t="s">
        <v>9</v>
      </c>
      <c r="Q5" s="38" t="s">
        <v>6</v>
      </c>
      <c r="R5" s="38" t="s">
        <v>65</v>
      </c>
      <c r="S5" s="38" t="s">
        <v>8</v>
      </c>
      <c r="T5" s="38" t="s">
        <v>66</v>
      </c>
      <c r="U5" s="38" t="s">
        <v>5</v>
      </c>
    </row>
    <row r="6" spans="1:21" x14ac:dyDescent="0.15">
      <c r="A6" s="29" t="s">
        <v>53</v>
      </c>
      <c r="B6" s="17" t="s">
        <v>49</v>
      </c>
      <c r="C6" s="30" t="s">
        <v>54</v>
      </c>
      <c r="D6" s="17" t="s">
        <v>46</v>
      </c>
      <c r="E6" s="15" t="str">
        <f t="shared" si="0"/>
        <v>gifts_i18n_hogehoge.tmp</v>
      </c>
      <c r="F6" s="17" t="s">
        <v>47</v>
      </c>
      <c r="G6" s="21" t="s">
        <v>13</v>
      </c>
      <c r="H6" s="23" t="s">
        <v>26</v>
      </c>
      <c r="I6" s="23" t="s">
        <v>27</v>
      </c>
      <c r="J6" s="23" t="s">
        <v>28</v>
      </c>
      <c r="K6" s="23" t="s">
        <v>29</v>
      </c>
      <c r="L6" s="24"/>
      <c r="M6" s="21"/>
      <c r="N6" s="21"/>
      <c r="O6" s="17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17"/>
  <sheetViews>
    <sheetView showGridLines="0" zoomScale="75" zoomScaleNormal="75" zoomScalePageLayoutView="75" workbookViewId="0">
      <pane ySplit="1" topLeftCell="A2" activePane="bottomLeft" state="frozen"/>
      <selection activeCell="M28" sqref="M28"/>
      <selection pane="bottomLeft" activeCell="G23" sqref="G2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63</v>
      </c>
      <c r="B1" s="13" t="s">
        <v>1</v>
      </c>
      <c r="C1" s="3" t="s">
        <v>31</v>
      </c>
      <c r="D1" s="3" t="s">
        <v>75</v>
      </c>
      <c r="E1" s="3" t="s">
        <v>155</v>
      </c>
      <c r="F1" s="3" t="s">
        <v>156</v>
      </c>
      <c r="G1" s="3" t="s">
        <v>76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55</v>
      </c>
      <c r="O1" s="13" t="s">
        <v>2</v>
      </c>
      <c r="P1" s="3" t="s">
        <v>57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208</v>
      </c>
      <c r="B2" s="6">
        <v>332</v>
      </c>
      <c r="C2" s="7" t="str">
        <f t="shared" ref="C2:C17" si="0">D2&amp;J2&amp;E2&amp;F2&amp;G2</f>
        <v>Premium3R3less</v>
      </c>
      <c r="D2" s="7" t="str">
        <f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炎のメタルピヨピヨ</v>
      </c>
      <c r="I2" s="7" t="str">
        <f>VLOOKUP(B2,[1]characters!$A:$J,10,FALSE)</f>
        <v>Material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exp</v>
      </c>
      <c r="M2" s="7" t="str">
        <f>VLOOKUP(B2,[1]characters!$A:$M,13,FALSE)</f>
        <v>unknown</v>
      </c>
      <c r="N2" s="7" t="str">
        <f>VLOOKUP(B2,[1]characters!$A:$G,7,FALSE)</f>
        <v>不明</v>
      </c>
      <c r="O2" s="34">
        <f>2500/4</f>
        <v>625</v>
      </c>
      <c r="P2" s="35">
        <f t="shared" ref="P2:P14" si="1">O2/SUM(O:O)</f>
        <v>6.25E-2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>
        <v>208</v>
      </c>
      <c r="B3" s="6">
        <f>B2+1</f>
        <v>333</v>
      </c>
      <c r="C3" s="7" t="str">
        <f t="shared" si="0"/>
        <v>Premium4R3less</v>
      </c>
      <c r="D3" s="7" t="str">
        <f t="shared" ref="D3:D17" si="2">IF(I3="PremiumSS",I3,IF(I3="PremiumSSS",I3,IF(I3="PremiumW",I3,"Premium")))</f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炎のメタルチック</v>
      </c>
      <c r="I3" s="7" t="str">
        <f>VLOOKUP(B3,[1]characters!$A:$J,10,FALSE)</f>
        <v>Material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exp</v>
      </c>
      <c r="M3" s="7" t="str">
        <f>VLOOKUP(B3,[1]characters!$A:$M,13,FALSE)</f>
        <v>unknown</v>
      </c>
      <c r="N3" s="7" t="str">
        <f>VLOOKUP(B3,[1]characters!$A:$G,7,FALSE)</f>
        <v>不明</v>
      </c>
      <c r="O3" s="34">
        <f>4000/4</f>
        <v>1000</v>
      </c>
      <c r="P3" s="35">
        <f t="shared" si="1"/>
        <v>0.1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>
        <v>208</v>
      </c>
      <c r="B4" s="6">
        <f t="shared" ref="B4:B17" si="3">B3+1</f>
        <v>334</v>
      </c>
      <c r="C4" s="7" t="str">
        <f t="shared" si="0"/>
        <v>Premium5R3less</v>
      </c>
      <c r="D4" s="7" t="str">
        <f t="shared" si="2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炎のメタルダック</v>
      </c>
      <c r="I4" s="7" t="str">
        <f>VLOOKUP(B4,[1]characters!$A:$J,10,FALSE)</f>
        <v>Material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exp</v>
      </c>
      <c r="M4" s="7" t="str">
        <f>VLOOKUP(B4,[1]characters!$A:$M,13,FALSE)</f>
        <v>unknown</v>
      </c>
      <c r="N4" s="7" t="str">
        <f>VLOOKUP(B4,[1]characters!$A:$G,7,FALSE)</f>
        <v>不明</v>
      </c>
      <c r="O4" s="34">
        <f>3000/4</f>
        <v>750</v>
      </c>
      <c r="P4" s="35">
        <f t="shared" si="1"/>
        <v>7.4999999999999997E-2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>
        <v>208</v>
      </c>
      <c r="B5" s="6">
        <f t="shared" si="3"/>
        <v>335</v>
      </c>
      <c r="C5" s="7" t="str">
        <f t="shared" si="0"/>
        <v>Premium6R3less</v>
      </c>
      <c r="D5" s="7" t="str">
        <f t="shared" si="2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炎のメタルジェントル</v>
      </c>
      <c r="I5" s="7" t="str">
        <f>VLOOKUP(B5,[1]characters!$A:$J,10,FALSE)</f>
        <v>Material</v>
      </c>
      <c r="J5" s="7">
        <f>VLOOKUP(B5,[1]characters!$A:$I,9,FALSE)</f>
        <v>6</v>
      </c>
      <c r="K5" s="7" t="str">
        <f>VLOOKUP(B5,[1]characters!$A:$H,8,FALSE)</f>
        <v>red</v>
      </c>
      <c r="L5" s="7" t="str">
        <f>VLOOKUP(B5,[1]characters!$A:$K,11,FALSE)</f>
        <v>exp</v>
      </c>
      <c r="M5" s="7" t="str">
        <f>VLOOKUP(B5,[1]characters!$A:$M,13,FALSE)</f>
        <v>unknown</v>
      </c>
      <c r="N5" s="7" t="str">
        <f>VLOOKUP(B5,[1]characters!$A:$G,7,FALSE)</f>
        <v>不明</v>
      </c>
      <c r="O5" s="34">
        <f>500/4</f>
        <v>125</v>
      </c>
      <c r="P5" s="35">
        <f t="shared" si="1"/>
        <v>1.2500000000000001E-2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>
        <v>208</v>
      </c>
      <c r="B6" s="6">
        <f t="shared" si="3"/>
        <v>336</v>
      </c>
      <c r="C6" s="7" t="str">
        <f t="shared" si="0"/>
        <v>Premium3R3less</v>
      </c>
      <c r="D6" s="7" t="str">
        <f t="shared" si="2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森のメタルピヨピヨ</v>
      </c>
      <c r="I6" s="7" t="str">
        <f>VLOOKUP(B6,[1]characters!$A:$J,10,FALSE)</f>
        <v>Material</v>
      </c>
      <c r="J6" s="7">
        <f>VLOOKUP(B6,[1]characters!$A:$I,9,FALSE)</f>
        <v>3</v>
      </c>
      <c r="K6" s="7" t="str">
        <f>VLOOKUP(B6,[1]characters!$A:$H,8,FALSE)</f>
        <v>green</v>
      </c>
      <c r="L6" s="7" t="str">
        <f>VLOOKUP(B6,[1]characters!$A:$K,11,FALSE)</f>
        <v>exp</v>
      </c>
      <c r="M6" s="7" t="str">
        <f>VLOOKUP(B6,[1]characters!$A:$M,13,FALSE)</f>
        <v>unknown</v>
      </c>
      <c r="N6" s="7" t="str">
        <f>VLOOKUP(B6,[1]characters!$A:$G,7,FALSE)</f>
        <v>不明</v>
      </c>
      <c r="O6" s="34">
        <f>2500/4</f>
        <v>625</v>
      </c>
      <c r="P6" s="35">
        <f t="shared" si="1"/>
        <v>6.25E-2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>
        <v>208</v>
      </c>
      <c r="B7" s="6">
        <f t="shared" si="3"/>
        <v>337</v>
      </c>
      <c r="C7" s="7" t="str">
        <f t="shared" si="0"/>
        <v>Premium4R3less</v>
      </c>
      <c r="D7" s="7" t="str">
        <f t="shared" si="2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森のメタルチック</v>
      </c>
      <c r="I7" s="7" t="str">
        <f>VLOOKUP(B7,[1]characters!$A:$J,10,FALSE)</f>
        <v>Material</v>
      </c>
      <c r="J7" s="7">
        <f>VLOOKUP(B7,[1]characters!$A:$I,9,FALSE)</f>
        <v>4</v>
      </c>
      <c r="K7" s="7" t="str">
        <f>VLOOKUP(B7,[1]characters!$A:$H,8,FALSE)</f>
        <v>green</v>
      </c>
      <c r="L7" s="7" t="str">
        <f>VLOOKUP(B7,[1]characters!$A:$K,11,FALSE)</f>
        <v>exp</v>
      </c>
      <c r="M7" s="7" t="str">
        <f>VLOOKUP(B7,[1]characters!$A:$M,13,FALSE)</f>
        <v>unknown</v>
      </c>
      <c r="N7" s="7" t="str">
        <f>VLOOKUP(B7,[1]characters!$A:$G,7,FALSE)</f>
        <v>不明</v>
      </c>
      <c r="O7" s="34">
        <f>4000/4</f>
        <v>1000</v>
      </c>
      <c r="P7" s="35">
        <f t="shared" si="1"/>
        <v>0.1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>
        <v>208</v>
      </c>
      <c r="B8" s="6">
        <f t="shared" si="3"/>
        <v>338</v>
      </c>
      <c r="C8" s="7" t="str">
        <f t="shared" si="0"/>
        <v>Premium5R3less</v>
      </c>
      <c r="D8" s="7" t="str">
        <f t="shared" si="2"/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森のメタルダック</v>
      </c>
      <c r="I8" s="7" t="str">
        <f>VLOOKUP(B8,[1]characters!$A:$J,10,FALSE)</f>
        <v>Material</v>
      </c>
      <c r="J8" s="7">
        <f>VLOOKUP(B8,[1]characters!$A:$I,9,FALSE)</f>
        <v>5</v>
      </c>
      <c r="K8" s="7" t="str">
        <f>VLOOKUP(B8,[1]characters!$A:$H,8,FALSE)</f>
        <v>green</v>
      </c>
      <c r="L8" s="7" t="str">
        <f>VLOOKUP(B8,[1]characters!$A:$K,11,FALSE)</f>
        <v>exp</v>
      </c>
      <c r="M8" s="7" t="str">
        <f>VLOOKUP(B8,[1]characters!$A:$M,13,FALSE)</f>
        <v>unknown</v>
      </c>
      <c r="N8" s="7" t="str">
        <f>VLOOKUP(B8,[1]characters!$A:$G,7,FALSE)</f>
        <v>不明</v>
      </c>
      <c r="O8" s="34">
        <f>3000/4</f>
        <v>750</v>
      </c>
      <c r="P8" s="35">
        <f t="shared" si="1"/>
        <v>7.4999999999999997E-2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>
        <v>208</v>
      </c>
      <c r="B9" s="6">
        <f t="shared" si="3"/>
        <v>339</v>
      </c>
      <c r="C9" s="7" t="str">
        <f t="shared" si="0"/>
        <v>Premium6R3less</v>
      </c>
      <c r="D9" s="7" t="str">
        <f t="shared" si="2"/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森のメタルジェントル</v>
      </c>
      <c r="I9" s="7" t="str">
        <f>VLOOKUP(B9,[1]characters!$A:$J,10,FALSE)</f>
        <v>Material</v>
      </c>
      <c r="J9" s="7">
        <f>VLOOKUP(B9,[1]characters!$A:$I,9,FALSE)</f>
        <v>6</v>
      </c>
      <c r="K9" s="7" t="str">
        <f>VLOOKUP(B9,[1]characters!$A:$H,8,FALSE)</f>
        <v>green</v>
      </c>
      <c r="L9" s="7" t="str">
        <f>VLOOKUP(B9,[1]characters!$A:$K,11,FALSE)</f>
        <v>exp</v>
      </c>
      <c r="M9" s="7" t="str">
        <f>VLOOKUP(B9,[1]characters!$A:$M,13,FALSE)</f>
        <v>unknown</v>
      </c>
      <c r="N9" s="7" t="str">
        <f>VLOOKUP(B9,[1]characters!$A:$G,7,FALSE)</f>
        <v>不明</v>
      </c>
      <c r="O9" s="34">
        <f>500/4</f>
        <v>125</v>
      </c>
      <c r="P9" s="35">
        <f t="shared" si="1"/>
        <v>1.2500000000000001E-2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>
        <v>208</v>
      </c>
      <c r="B10" s="6">
        <f t="shared" si="3"/>
        <v>340</v>
      </c>
      <c r="C10" s="7" t="str">
        <f t="shared" si="0"/>
        <v>Premium3R3less</v>
      </c>
      <c r="D10" s="7" t="str">
        <f t="shared" si="2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水のメタルピヨピヨ</v>
      </c>
      <c r="I10" s="7" t="str">
        <f>VLOOKUP(B10,[1]characters!$A:$J,10,FALSE)</f>
        <v>Material</v>
      </c>
      <c r="J10" s="7">
        <f>VLOOKUP(B10,[1]characters!$A:$I,9,FALSE)</f>
        <v>3</v>
      </c>
      <c r="K10" s="7" t="str">
        <f>VLOOKUP(B10,[1]characters!$A:$H,8,FALSE)</f>
        <v>blue</v>
      </c>
      <c r="L10" s="7" t="str">
        <f>VLOOKUP(B10,[1]characters!$A:$K,11,FALSE)</f>
        <v>exp</v>
      </c>
      <c r="M10" s="7" t="str">
        <f>VLOOKUP(B10,[1]characters!$A:$M,13,FALSE)</f>
        <v>unknown</v>
      </c>
      <c r="N10" s="7" t="str">
        <f>VLOOKUP(B10,[1]characters!$A:$G,7,FALSE)</f>
        <v>不明</v>
      </c>
      <c r="O10" s="34">
        <f>2500/4</f>
        <v>625</v>
      </c>
      <c r="P10" s="35">
        <f t="shared" si="1"/>
        <v>6.25E-2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>
        <v>208</v>
      </c>
      <c r="B11" s="6">
        <f t="shared" si="3"/>
        <v>341</v>
      </c>
      <c r="C11" s="7" t="str">
        <f t="shared" si="0"/>
        <v>Premium4R3less</v>
      </c>
      <c r="D11" s="7" t="str">
        <f t="shared" si="2"/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水のメタルチック</v>
      </c>
      <c r="I11" s="7" t="str">
        <f>VLOOKUP(B11,[1]characters!$A:$J,10,FALSE)</f>
        <v>Material</v>
      </c>
      <c r="J11" s="7">
        <f>VLOOKUP(B11,[1]characters!$A:$I,9,FALSE)</f>
        <v>4</v>
      </c>
      <c r="K11" s="7" t="str">
        <f>VLOOKUP(B11,[1]characters!$A:$H,8,FALSE)</f>
        <v>blue</v>
      </c>
      <c r="L11" s="7" t="str">
        <f>VLOOKUP(B11,[1]characters!$A:$K,11,FALSE)</f>
        <v>exp</v>
      </c>
      <c r="M11" s="7" t="str">
        <f>VLOOKUP(B11,[1]characters!$A:$M,13,FALSE)</f>
        <v>unknown</v>
      </c>
      <c r="N11" s="7" t="str">
        <f>VLOOKUP(B11,[1]characters!$A:$G,7,FALSE)</f>
        <v>不明</v>
      </c>
      <c r="O11" s="34">
        <f>4000/4</f>
        <v>1000</v>
      </c>
      <c r="P11" s="35">
        <f t="shared" si="1"/>
        <v>0.1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>
        <v>208</v>
      </c>
      <c r="B12" s="6">
        <f t="shared" si="3"/>
        <v>342</v>
      </c>
      <c r="C12" s="7" t="str">
        <f t="shared" si="0"/>
        <v>Premium5R3less</v>
      </c>
      <c r="D12" s="7" t="str">
        <f t="shared" si="2"/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水のメタルダック</v>
      </c>
      <c r="I12" s="7" t="str">
        <f>VLOOKUP(B12,[1]characters!$A:$J,10,FALSE)</f>
        <v>Material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exp</v>
      </c>
      <c r="M12" s="7" t="str">
        <f>VLOOKUP(B12,[1]characters!$A:$M,13,FALSE)</f>
        <v>unknown</v>
      </c>
      <c r="N12" s="7" t="str">
        <f>VLOOKUP(B12,[1]characters!$A:$G,7,FALSE)</f>
        <v>不明</v>
      </c>
      <c r="O12" s="34">
        <f>3000/4</f>
        <v>750</v>
      </c>
      <c r="P12" s="35">
        <f t="shared" si="1"/>
        <v>7.4999999999999997E-2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>
        <v>208</v>
      </c>
      <c r="B13" s="6">
        <f t="shared" si="3"/>
        <v>343</v>
      </c>
      <c r="C13" s="7" t="str">
        <f t="shared" si="0"/>
        <v>Premium6R3less</v>
      </c>
      <c r="D13" s="7" t="str">
        <f t="shared" si="2"/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水のメタルジェントル</v>
      </c>
      <c r="I13" s="7" t="str">
        <f>VLOOKUP(B13,[1]characters!$A:$J,10,FALSE)</f>
        <v>Material</v>
      </c>
      <c r="J13" s="7">
        <f>VLOOKUP(B13,[1]characters!$A:$I,9,FALSE)</f>
        <v>6</v>
      </c>
      <c r="K13" s="7" t="str">
        <f>VLOOKUP(B13,[1]characters!$A:$H,8,FALSE)</f>
        <v>blue</v>
      </c>
      <c r="L13" s="7" t="str">
        <f>VLOOKUP(B13,[1]characters!$A:$K,11,FALSE)</f>
        <v>exp</v>
      </c>
      <c r="M13" s="7" t="str">
        <f>VLOOKUP(B13,[1]characters!$A:$M,13,FALSE)</f>
        <v>unknown</v>
      </c>
      <c r="N13" s="7" t="str">
        <f>VLOOKUP(B13,[1]characters!$A:$G,7,FALSE)</f>
        <v>不明</v>
      </c>
      <c r="O13" s="34">
        <f>500/4</f>
        <v>125</v>
      </c>
      <c r="P13" s="35">
        <f t="shared" si="1"/>
        <v>1.2500000000000001E-2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>
        <v>208</v>
      </c>
      <c r="B14" s="6">
        <f t="shared" si="3"/>
        <v>344</v>
      </c>
      <c r="C14" s="7" t="str">
        <f t="shared" si="0"/>
        <v>Premium3R3less</v>
      </c>
      <c r="D14" s="7" t="str">
        <f t="shared" si="2"/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雷のメタルピヨピヨ</v>
      </c>
      <c r="I14" s="7" t="str">
        <f>VLOOKUP(B14,[1]characters!$A:$J,10,FALSE)</f>
        <v>Material</v>
      </c>
      <c r="J14" s="7">
        <f>VLOOKUP(B14,[1]characters!$A:$I,9,FALSE)</f>
        <v>3</v>
      </c>
      <c r="K14" s="7" t="str">
        <f>VLOOKUP(B14,[1]characters!$A:$H,8,FALSE)</f>
        <v>yellow</v>
      </c>
      <c r="L14" s="7" t="str">
        <f>VLOOKUP(B14,[1]characters!$A:$K,11,FALSE)</f>
        <v>exp</v>
      </c>
      <c r="M14" s="7" t="str">
        <f>VLOOKUP(B14,[1]characters!$A:$M,13,FALSE)</f>
        <v>unknown</v>
      </c>
      <c r="N14" s="7" t="str">
        <f>VLOOKUP(B14,[1]characters!$A:$G,7,FALSE)</f>
        <v>不明</v>
      </c>
      <c r="O14" s="34">
        <f>2500/4</f>
        <v>625</v>
      </c>
      <c r="P14" s="35">
        <f t="shared" si="1"/>
        <v>6.25E-2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>
        <v>208</v>
      </c>
      <c r="B15" s="6">
        <f t="shared" si="3"/>
        <v>345</v>
      </c>
      <c r="C15" s="7" t="str">
        <f t="shared" si="0"/>
        <v>Premium4R3less</v>
      </c>
      <c r="D15" s="7" t="str">
        <f t="shared" si="2"/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雷のメタルチック</v>
      </c>
      <c r="I15" s="7" t="str">
        <f>VLOOKUP(B15,[1]characters!$A:$J,10,FALSE)</f>
        <v>Material</v>
      </c>
      <c r="J15" s="7">
        <f>VLOOKUP(B15,[1]characters!$A:$I,9,FALSE)</f>
        <v>4</v>
      </c>
      <c r="K15" s="7" t="str">
        <f>VLOOKUP(B15,[1]characters!$A:$H,8,FALSE)</f>
        <v>yellow</v>
      </c>
      <c r="L15" s="7" t="str">
        <f>VLOOKUP(B15,[1]characters!$A:$K,11,FALSE)</f>
        <v>exp</v>
      </c>
      <c r="M15" s="7" t="str">
        <f>VLOOKUP(B15,[1]characters!$A:$M,13,FALSE)</f>
        <v>unknown</v>
      </c>
      <c r="N15" s="7" t="str">
        <f>VLOOKUP(B15,[1]characters!$A:$G,7,FALSE)</f>
        <v>不明</v>
      </c>
      <c r="O15" s="34">
        <f>4000/4</f>
        <v>1000</v>
      </c>
      <c r="P15" s="35">
        <f>O15/SUM(O:O)</f>
        <v>0.1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>
        <v>208</v>
      </c>
      <c r="B16" s="6">
        <f t="shared" si="3"/>
        <v>346</v>
      </c>
      <c r="C16" s="7" t="str">
        <f t="shared" si="0"/>
        <v>Premium5R3less</v>
      </c>
      <c r="D16" s="7" t="str">
        <f t="shared" si="2"/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雷のメタルダック</v>
      </c>
      <c r="I16" s="7" t="str">
        <f>VLOOKUP(B16,[1]characters!$A:$J,10,FALSE)</f>
        <v>Material</v>
      </c>
      <c r="J16" s="7">
        <f>VLOOKUP(B16,[1]characters!$A:$I,9,FALSE)</f>
        <v>5</v>
      </c>
      <c r="K16" s="7" t="str">
        <f>VLOOKUP(B16,[1]characters!$A:$H,8,FALSE)</f>
        <v>yellow</v>
      </c>
      <c r="L16" s="7" t="str">
        <f>VLOOKUP(B16,[1]characters!$A:$K,11,FALSE)</f>
        <v>exp</v>
      </c>
      <c r="M16" s="7" t="str">
        <f>VLOOKUP(B16,[1]characters!$A:$M,13,FALSE)</f>
        <v>unknown</v>
      </c>
      <c r="N16" s="7" t="str">
        <f>VLOOKUP(B16,[1]characters!$A:$G,7,FALSE)</f>
        <v>不明</v>
      </c>
      <c r="O16" s="34">
        <f>3000/4</f>
        <v>750</v>
      </c>
      <c r="P16" s="35">
        <f>O16/SUM(O:O)</f>
        <v>7.4999999999999997E-2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>
        <v>208</v>
      </c>
      <c r="B17" s="6">
        <f t="shared" si="3"/>
        <v>347</v>
      </c>
      <c r="C17" s="7" t="str">
        <f t="shared" si="0"/>
        <v>Premium6R3less</v>
      </c>
      <c r="D17" s="7" t="str">
        <f t="shared" si="2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雷のメタルジェントル</v>
      </c>
      <c r="I17" s="7" t="str">
        <f>VLOOKUP(B17,[1]characters!$A:$J,10,FALSE)</f>
        <v>Material</v>
      </c>
      <c r="J17" s="7">
        <f>VLOOKUP(B17,[1]characters!$A:$I,9,FALSE)</f>
        <v>6</v>
      </c>
      <c r="K17" s="7" t="str">
        <f>VLOOKUP(B17,[1]characters!$A:$H,8,FALSE)</f>
        <v>yellow</v>
      </c>
      <c r="L17" s="7" t="str">
        <f>VLOOKUP(B17,[1]characters!$A:$K,11,FALSE)</f>
        <v>exp</v>
      </c>
      <c r="M17" s="7" t="str">
        <f>VLOOKUP(B17,[1]characters!$A:$M,13,FALSE)</f>
        <v>unknown</v>
      </c>
      <c r="N17" s="7" t="str">
        <f>VLOOKUP(B17,[1]characters!$A:$G,7,FALSE)</f>
        <v>不明</v>
      </c>
      <c r="O17" s="34">
        <f>500/4</f>
        <v>125</v>
      </c>
      <c r="P17" s="35">
        <f>O17/SUM(O:O)</f>
        <v>1.2500000000000001E-2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</sheetData>
  <autoFilter ref="A1:V17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9" t="s">
        <v>67</v>
      </c>
      <c r="H1" s="39" t="s">
        <v>68</v>
      </c>
      <c r="I1" s="40" t="s">
        <v>69</v>
      </c>
      <c r="J1" s="40" t="s">
        <v>70</v>
      </c>
      <c r="K1" s="40" t="s">
        <v>71</v>
      </c>
      <c r="L1" s="40" t="s">
        <v>72</v>
      </c>
      <c r="M1" s="40" t="s">
        <v>73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74</v>
      </c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1">
        <v>668</v>
      </c>
      <c r="B246" s="7" t="str">
        <f>VLOOKUP(A246,[1]characters!$A:$C,3,FALSE)</f>
        <v>アグニ</v>
      </c>
    </row>
    <row r="247" spans="1:2" x14ac:dyDescent="0.15">
      <c r="A247" s="41">
        <v>669</v>
      </c>
      <c r="B247" s="7" t="str">
        <f>VLOOKUP(A247,[1]characters!$A:$C,3,FALSE)</f>
        <v>天地の仲界 アグニ</v>
      </c>
    </row>
    <row r="248" spans="1:2" x14ac:dyDescent="0.15">
      <c r="A248" s="41">
        <v>670</v>
      </c>
      <c r="B248" s="7" t="str">
        <f>VLOOKUP(A248,[1]characters!$A:$C,3,FALSE)</f>
        <v>陽天の噴煙 アグニ</v>
      </c>
    </row>
    <row r="249" spans="1:2" x14ac:dyDescent="0.15">
      <c r="A249" s="41">
        <v>671</v>
      </c>
      <c r="B249" s="7" t="str">
        <f>VLOOKUP(A249,[1]characters!$A:$C,3,FALSE)</f>
        <v>ハヌマーン</v>
      </c>
    </row>
    <row r="250" spans="1:2" x14ac:dyDescent="0.15">
      <c r="A250" s="41">
        <v>672</v>
      </c>
      <c r="B250" s="7" t="str">
        <f>VLOOKUP(A250,[1]characters!$A:$C,3,FALSE)</f>
        <v>西遊韋駄天 ハヌマーン</v>
      </c>
    </row>
    <row r="251" spans="1:2" x14ac:dyDescent="0.15">
      <c r="A251" s="41">
        <v>673</v>
      </c>
      <c r="B251" s="7" t="str">
        <f>VLOOKUP(A251,[1]characters!$A:$C,3,FALSE)</f>
        <v>変幻自在の猿王 ハヌマーン</v>
      </c>
    </row>
    <row r="252" spans="1:2" x14ac:dyDescent="0.15">
      <c r="A252" s="41">
        <v>674</v>
      </c>
      <c r="B252" s="7" t="str">
        <f>VLOOKUP(A252,[1]characters!$A:$C,3,FALSE)</f>
        <v>サラスヴァティ</v>
      </c>
    </row>
    <row r="253" spans="1:2" x14ac:dyDescent="0.15">
      <c r="A253" s="41">
        <v>675</v>
      </c>
      <c r="B253" s="7" t="str">
        <f>VLOOKUP(A253,[1]characters!$A:$C,3,FALSE)</f>
        <v>芸楽の奔流 サラスヴァティ</v>
      </c>
    </row>
    <row r="254" spans="1:2" x14ac:dyDescent="0.15">
      <c r="A254" s="41">
        <v>676</v>
      </c>
      <c r="B254" s="7" t="str">
        <f>VLOOKUP(A254,[1]characters!$A:$C,3,FALSE)</f>
        <v>ヴィシュヌ</v>
      </c>
    </row>
    <row r="255" spans="1:2" x14ac:dyDescent="0.15">
      <c r="A255" s="41">
        <v>677</v>
      </c>
      <c r="B255" s="7" t="str">
        <f>VLOOKUP(A255,[1]characters!$A:$C,3,FALSE)</f>
        <v>武遊闊歩 ヴィシュヌ</v>
      </c>
    </row>
    <row r="256" spans="1:2" x14ac:dyDescent="0.15">
      <c r="A256" s="41">
        <v>770</v>
      </c>
      <c r="B256" s="7" t="str">
        <f>VLOOKUP(A256,[1]characters!$A:$C,3,FALSE)</f>
        <v>ハヅル</v>
      </c>
    </row>
    <row r="257" spans="1:2" x14ac:dyDescent="0.15">
      <c r="A257" s="41">
        <v>771</v>
      </c>
      <c r="B257" s="7" t="str">
        <f>VLOOKUP(A257,[1]characters!$A:$C,3,FALSE)</f>
        <v>天織羽鶴 ハヅル</v>
      </c>
    </row>
    <row r="258" spans="1:2" x14ac:dyDescent="0.15">
      <c r="A258" s="41">
        <v>772</v>
      </c>
      <c r="B258" s="7" t="str">
        <f>VLOOKUP(A258,[1]characters!$A:$C,3,FALSE)</f>
        <v>イナバ</v>
      </c>
    </row>
    <row r="259" spans="1:2" x14ac:dyDescent="0.15">
      <c r="A259" s="41">
        <v>773</v>
      </c>
      <c r="B259" s="7" t="str">
        <f>VLOOKUP(A259,[1]characters!$A:$C,3,FALSE)</f>
        <v>浮跳天兎 イナバ</v>
      </c>
    </row>
    <row r="260" spans="1:2" x14ac:dyDescent="0.15">
      <c r="A260" s="41">
        <v>774</v>
      </c>
      <c r="B260" s="7" t="str">
        <f>VLOOKUP(A260,[1]characters!$A:$C,3,FALSE)</f>
        <v>ミズチ</v>
      </c>
    </row>
    <row r="261" spans="1:2" x14ac:dyDescent="0.15">
      <c r="A261" s="41">
        <v>775</v>
      </c>
      <c r="B261" s="7" t="str">
        <f>VLOOKUP(A261,[1]characters!$A:$C,3,FALSE)</f>
        <v>水底霊竜 ミズチ</v>
      </c>
    </row>
    <row r="262" spans="1:2" x14ac:dyDescent="0.15">
      <c r="A262" s="41">
        <v>776</v>
      </c>
      <c r="B262" s="7" t="str">
        <f>VLOOKUP(A262,[1]characters!$A:$C,3,FALSE)</f>
        <v>水竜底主 ミズチ</v>
      </c>
    </row>
    <row r="263" spans="1:2" x14ac:dyDescent="0.15">
      <c r="A263" s="41">
        <v>777</v>
      </c>
      <c r="B263" s="7" t="str">
        <f>VLOOKUP(A263,[1]characters!$A:$C,3,FALSE)</f>
        <v>ガメック</v>
      </c>
    </row>
    <row r="264" spans="1:2" x14ac:dyDescent="0.15">
      <c r="A264" s="41">
        <v>778</v>
      </c>
      <c r="B264" s="7" t="str">
        <f>VLOOKUP(A264,[1]characters!$A:$C,3,FALSE)</f>
        <v>一亀懸明 ガメック</v>
      </c>
    </row>
    <row r="265" spans="1:2" x14ac:dyDescent="0.15">
      <c r="A265" s="41">
        <v>779</v>
      </c>
      <c r="B265" s="7" t="str">
        <f>VLOOKUP(A265,[1]characters!$A:$C,3,FALSE)</f>
        <v>頑堅咬亀 ガメック</v>
      </c>
    </row>
    <row r="266" spans="1:2" x14ac:dyDescent="0.15">
      <c r="A266" s="41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3" t="s">
        <v>56</v>
      </c>
      <c r="B1" s="33"/>
    </row>
    <row r="2" spans="1:2" x14ac:dyDescent="0.15">
      <c r="A2" s="31" t="s">
        <v>1</v>
      </c>
      <c r="B2" s="32" t="s">
        <v>58</v>
      </c>
    </row>
    <row r="3" spans="1:2" x14ac:dyDescent="0.15">
      <c r="A3" s="6">
        <v>166</v>
      </c>
      <c r="B3" s="32" t="str">
        <f>VLOOKUP(A3,[1]characters!$A:$C,3,FALSE)</f>
        <v>ベリアル</v>
      </c>
    </row>
    <row r="4" spans="1:2" x14ac:dyDescent="0.15">
      <c r="A4" s="6">
        <v>167</v>
      </c>
      <c r="B4" s="32" t="str">
        <f>VLOOKUP(A4,[1]characters!$A:$C,3,FALSE)</f>
        <v>逆徒 ベリアル</v>
      </c>
    </row>
    <row r="5" spans="1:2" x14ac:dyDescent="0.15">
      <c r="A5" s="6">
        <v>168</v>
      </c>
      <c r="B5" s="32" t="str">
        <f>VLOOKUP(A5,[1]characters!$A:$C,3,FALSE)</f>
        <v>猛進の大逆者 ベリアル</v>
      </c>
    </row>
    <row r="6" spans="1:2" x14ac:dyDescent="0.15">
      <c r="A6" s="31">
        <v>169</v>
      </c>
      <c r="B6" s="32" t="str">
        <f>VLOOKUP(A6,[1]characters!$A:$C,3,FALSE)</f>
        <v>オセ</v>
      </c>
    </row>
    <row r="7" spans="1:2" x14ac:dyDescent="0.15">
      <c r="A7" s="31">
        <v>170</v>
      </c>
      <c r="B7" s="32" t="str">
        <f>VLOOKUP(A7,[1]characters!$A:$C,3,FALSE)</f>
        <v>識徒 オセ</v>
      </c>
    </row>
    <row r="8" spans="1:2" x14ac:dyDescent="0.15">
      <c r="A8" s="31">
        <v>171</v>
      </c>
      <c r="B8" s="32" t="str">
        <f>VLOOKUP(A8,[1]characters!$A:$C,3,FALSE)</f>
        <v>精解の預知者 オセ</v>
      </c>
    </row>
    <row r="9" spans="1:2" x14ac:dyDescent="0.15">
      <c r="A9" s="31">
        <v>172</v>
      </c>
      <c r="B9" s="32" t="str">
        <f>VLOOKUP(A9,[1]characters!$A:$C,3,FALSE)</f>
        <v>フォルネウス</v>
      </c>
    </row>
    <row r="10" spans="1:2" x14ac:dyDescent="0.15">
      <c r="A10" s="31">
        <v>173</v>
      </c>
      <c r="B10" s="32" t="str">
        <f>VLOOKUP(A10,[1]characters!$A:$C,3,FALSE)</f>
        <v>公爵 フォルネウス</v>
      </c>
    </row>
    <row r="11" spans="1:2" x14ac:dyDescent="0.15">
      <c r="A11" s="31">
        <v>174</v>
      </c>
      <c r="B11" s="32" t="str">
        <f>VLOOKUP(A11,[1]characters!$A:$C,3,FALSE)</f>
        <v>偽愛の大公爵 フォルネウス</v>
      </c>
    </row>
    <row r="12" spans="1:2" x14ac:dyDescent="0.15">
      <c r="A12" s="31">
        <v>235</v>
      </c>
      <c r="B12" s="32" t="str">
        <f>VLOOKUP(A12,[1]characters!$A:$C,3,FALSE)</f>
        <v>イザナミ</v>
      </c>
    </row>
    <row r="13" spans="1:2" x14ac:dyDescent="0.15">
      <c r="A13" s="31">
        <v>236</v>
      </c>
      <c r="B13" s="32" t="str">
        <f>VLOOKUP(A13,[1]characters!$A:$C,3,FALSE)</f>
        <v>神産 イザナミ</v>
      </c>
    </row>
    <row r="14" spans="1:2" x14ac:dyDescent="0.15">
      <c r="A14" s="31">
        <v>237</v>
      </c>
      <c r="B14" s="32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tables_208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2016-05-12T13:08:43Z</dcterms:modified>
</cp:coreProperties>
</file>