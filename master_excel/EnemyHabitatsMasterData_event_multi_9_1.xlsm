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880" yWindow="2100" windowWidth="26200" windowHeight="1438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stage_hints_failure!$B$1:$M$12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1" l="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L13" i="19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8" i="11"/>
  <c r="O9" i="9"/>
  <c r="N9" i="9"/>
  <c r="M9" i="9"/>
  <c r="L9" i="9"/>
  <c r="K9" i="9"/>
  <c r="J9" i="9"/>
  <c r="I9" i="9"/>
  <c r="H9" i="9"/>
  <c r="G9" i="9"/>
  <c r="E9" i="9"/>
  <c r="D9" i="9"/>
  <c r="A9" i="9"/>
  <c r="J9" i="11"/>
  <c r="I10" i="9"/>
  <c r="M10" i="9"/>
  <c r="E17" i="9"/>
  <c r="V2" i="1"/>
  <c r="A2" i="9"/>
  <c r="A3" i="9"/>
  <c r="A4" i="9"/>
  <c r="A5" i="9"/>
  <c r="A6" i="9"/>
  <c r="A7" i="9"/>
  <c r="A8" i="9"/>
  <c r="A10" i="9"/>
  <c r="A11" i="9"/>
  <c r="A12" i="9"/>
  <c r="A13" i="9"/>
  <c r="A14" i="9"/>
  <c r="A15" i="9"/>
  <c r="A16" i="9"/>
  <c r="A17" i="9"/>
  <c r="A18" i="9"/>
  <c r="J18" i="11"/>
  <c r="O18" i="9"/>
  <c r="N18" i="9"/>
  <c r="M18" i="9"/>
  <c r="L18" i="9"/>
  <c r="K18" i="9"/>
  <c r="J18" i="9"/>
  <c r="I18" i="9"/>
  <c r="H18" i="9"/>
  <c r="G18" i="9"/>
  <c r="J17" i="11"/>
  <c r="O17" i="9"/>
  <c r="N17" i="9"/>
  <c r="M17" i="9"/>
  <c r="L17" i="9"/>
  <c r="K17" i="9"/>
  <c r="J17" i="9"/>
  <c r="I17" i="9"/>
  <c r="H17" i="9"/>
  <c r="G17" i="9"/>
  <c r="J16" i="11"/>
  <c r="O16" i="9"/>
  <c r="N16" i="9"/>
  <c r="M16" i="9"/>
  <c r="L16" i="9"/>
  <c r="K16" i="9"/>
  <c r="J16" i="9"/>
  <c r="I16" i="9"/>
  <c r="H16" i="9"/>
  <c r="G16" i="9"/>
  <c r="J15" i="11"/>
  <c r="O15" i="9"/>
  <c r="N15" i="9"/>
  <c r="M15" i="9"/>
  <c r="L15" i="9"/>
  <c r="K15" i="9"/>
  <c r="J15" i="9"/>
  <c r="I15" i="9"/>
  <c r="H15" i="9"/>
  <c r="G15" i="9"/>
  <c r="J14" i="11"/>
  <c r="O14" i="9"/>
  <c r="N14" i="9"/>
  <c r="M14" i="9"/>
  <c r="L14" i="9"/>
  <c r="K14" i="9"/>
  <c r="J14" i="9"/>
  <c r="I14" i="9"/>
  <c r="H14" i="9"/>
  <c r="G14" i="9"/>
  <c r="J13" i="11"/>
  <c r="O13" i="9"/>
  <c r="N13" i="9"/>
  <c r="M13" i="9"/>
  <c r="L13" i="9"/>
  <c r="K13" i="9"/>
  <c r="J13" i="9"/>
  <c r="I13" i="9"/>
  <c r="H13" i="9"/>
  <c r="G13" i="9"/>
  <c r="J12" i="11"/>
  <c r="O12" i="9"/>
  <c r="N12" i="9"/>
  <c r="M12" i="9"/>
  <c r="L12" i="9"/>
  <c r="K12" i="9"/>
  <c r="J12" i="9"/>
  <c r="I12" i="9"/>
  <c r="H12" i="9"/>
  <c r="G12" i="9"/>
  <c r="J11" i="11"/>
  <c r="O11" i="9"/>
  <c r="N11" i="9"/>
  <c r="M11" i="9"/>
  <c r="L11" i="9"/>
  <c r="K11" i="9"/>
  <c r="J11" i="9"/>
  <c r="I11" i="9"/>
  <c r="H11" i="9"/>
  <c r="G11" i="9"/>
  <c r="J10" i="11"/>
  <c r="O10" i="9"/>
  <c r="N10" i="9"/>
  <c r="L10" i="9"/>
  <c r="K10" i="9"/>
  <c r="J10" i="9"/>
  <c r="H10" i="9"/>
  <c r="G10" i="9"/>
  <c r="O8" i="9"/>
  <c r="N8" i="9"/>
  <c r="M8" i="9"/>
  <c r="L8" i="9"/>
  <c r="K8" i="9"/>
  <c r="J8" i="9"/>
  <c r="I8" i="9"/>
  <c r="H8" i="9"/>
  <c r="G8" i="9"/>
  <c r="J7" i="11"/>
  <c r="O7" i="9"/>
  <c r="N7" i="9"/>
  <c r="M7" i="9"/>
  <c r="L7" i="9"/>
  <c r="K7" i="9"/>
  <c r="J7" i="9"/>
  <c r="H7" i="9"/>
  <c r="G7" i="9"/>
  <c r="J6" i="11"/>
  <c r="O6" i="9"/>
  <c r="N6" i="9"/>
  <c r="M6" i="9"/>
  <c r="L6" i="9"/>
  <c r="K6" i="9"/>
  <c r="J6" i="9"/>
  <c r="I6" i="9"/>
  <c r="H6" i="9"/>
  <c r="G6" i="9"/>
  <c r="J5" i="11"/>
  <c r="O5" i="9"/>
  <c r="N5" i="9"/>
  <c r="M5" i="9"/>
  <c r="L5" i="9"/>
  <c r="K5" i="9"/>
  <c r="J5" i="9"/>
  <c r="I5" i="9"/>
  <c r="H5" i="9"/>
  <c r="G5" i="9"/>
  <c r="J4" i="11"/>
  <c r="O4" i="9"/>
  <c r="N4" i="9"/>
  <c r="M4" i="9"/>
  <c r="L4" i="9"/>
  <c r="K4" i="9"/>
  <c r="J4" i="9"/>
  <c r="H4" i="9"/>
  <c r="G4" i="9"/>
  <c r="J3" i="11"/>
  <c r="O3" i="9"/>
  <c r="N3" i="9"/>
  <c r="M3" i="9"/>
  <c r="L3" i="9"/>
  <c r="K3" i="9"/>
  <c r="J3" i="9"/>
  <c r="I3" i="9"/>
  <c r="H3" i="9"/>
  <c r="G3" i="9"/>
  <c r="J2" i="11"/>
  <c r="O2" i="9"/>
  <c r="N2" i="9"/>
  <c r="M2" i="9"/>
  <c r="L2" i="9"/>
  <c r="K2" i="9"/>
  <c r="J2" i="9"/>
  <c r="I2" i="9"/>
  <c r="H2" i="9"/>
  <c r="G2" i="9"/>
  <c r="E18" i="9"/>
  <c r="D18" i="9"/>
  <c r="D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8" i="9"/>
  <c r="D8" i="9"/>
  <c r="E7" i="9"/>
  <c r="D7" i="9"/>
  <c r="E6" i="9"/>
  <c r="D6" i="9"/>
  <c r="E5" i="9"/>
  <c r="D5" i="9"/>
  <c r="E4" i="9"/>
  <c r="D4" i="9"/>
  <c r="E3" i="9"/>
  <c r="D3" i="9"/>
  <c r="E2" i="9"/>
  <c r="D2" i="9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G2" i="10"/>
  <c r="H2" i="10"/>
  <c r="I2" i="10"/>
  <c r="J2" i="10"/>
  <c r="K2" i="10"/>
  <c r="L2" i="10"/>
  <c r="M2" i="10"/>
  <c r="M22" i="10"/>
  <c r="N22" i="10"/>
  <c r="Q22" i="10"/>
  <c r="P22" i="10"/>
  <c r="R22" i="10"/>
  <c r="O22" i="10"/>
  <c r="S22" i="10"/>
  <c r="M12" i="10"/>
  <c r="N12" i="10"/>
  <c r="Q12" i="10"/>
  <c r="P12" i="10"/>
  <c r="R12" i="10"/>
  <c r="O12" i="10"/>
  <c r="S12" i="10"/>
  <c r="N2" i="10"/>
  <c r="O2" i="10"/>
  <c r="P2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T22" i="10"/>
  <c r="W22" i="10"/>
  <c r="V22" i="10"/>
  <c r="X22" i="10"/>
  <c r="U22" i="10"/>
  <c r="Y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T12" i="10"/>
  <c r="W12" i="10"/>
  <c r="V12" i="10"/>
  <c r="X12" i="10"/>
  <c r="U12" i="10"/>
  <c r="Y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5" i="7"/>
  <c r="I5" i="7"/>
  <c r="D5" i="7"/>
  <c r="F5" i="7"/>
  <c r="E5" i="7"/>
  <c r="A5" i="7"/>
  <c r="Y4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25" i="1"/>
  <c r="AD25" i="1"/>
  <c r="AG25" i="1"/>
  <c r="AE25" i="1"/>
  <c r="AC25" i="1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24" i="1"/>
  <c r="AD24" i="1"/>
  <c r="AG24" i="1"/>
  <c r="AE24" i="1"/>
  <c r="AC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AB22" i="1"/>
  <c r="AD22" i="1"/>
  <c r="AG22" i="1"/>
  <c r="AE22" i="1"/>
  <c r="AC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20" i="1"/>
  <c r="AD20" i="1"/>
  <c r="AG20" i="1"/>
  <c r="AE20" i="1"/>
  <c r="AC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9" i="1"/>
  <c r="AD19" i="1"/>
  <c r="AG19" i="1"/>
  <c r="AE19" i="1"/>
  <c r="AC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2" i="1"/>
  <c r="H13" i="2"/>
  <c r="E13" i="2"/>
  <c r="D13" i="2"/>
  <c r="H2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B12" i="21"/>
  <c r="I12" i="21"/>
  <c r="J12" i="21"/>
  <c r="G12" i="21"/>
  <c r="F12" i="21"/>
  <c r="D12" i="21"/>
  <c r="C12" i="21"/>
  <c r="E12" i="16"/>
  <c r="E11" i="16"/>
  <c r="E10" i="16"/>
  <c r="E9" i="16"/>
  <c r="W2" i="7"/>
  <c r="R2" i="7"/>
  <c r="Q2" i="7"/>
  <c r="P2" i="7"/>
  <c r="O2" i="7"/>
  <c r="N2" i="7"/>
  <c r="AB2" i="1"/>
  <c r="AE2" i="1"/>
  <c r="AD2" i="1"/>
  <c r="AC2" i="1"/>
  <c r="Q2" i="1"/>
  <c r="P2" i="1"/>
  <c r="O2" i="1"/>
  <c r="N2" i="1"/>
  <c r="M2" i="1"/>
  <c r="T2" i="10"/>
  <c r="V2" i="10"/>
  <c r="X2" i="10"/>
  <c r="W2" i="10"/>
  <c r="U2" i="10"/>
  <c r="Y2" i="10"/>
  <c r="R2" i="10"/>
  <c r="Q2" i="10"/>
  <c r="S2" i="10"/>
  <c r="AG2" i="1"/>
  <c r="H2" i="7"/>
  <c r="J2" i="7"/>
  <c r="E8" i="16"/>
  <c r="E7" i="16"/>
  <c r="E6" i="16"/>
  <c r="E5" i="16"/>
  <c r="E4" i="16"/>
  <c r="E3" i="16"/>
  <c r="E2" i="16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<sst xmlns="http://schemas.openxmlformats.org/spreadsheetml/2006/main" count="1201" uniqueCount="290">
  <si>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</si>
  <si>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</si>
  <si>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</si>
  <si>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</si>
  <si>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</si>
  <si>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</si>
  <si>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</si>
  <si>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</si>
  <si>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</si>
  <si>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</si>
  <si>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</si>
  <si>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</si>
  <si>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</si>
  <si>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</si>
  <si>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</si>
  <si>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</si>
  <si>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</si>
  <si>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</si>
  <si>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</si>
  <si>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</si>
  <si>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</si>
  <si>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</si>
  <si>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</si>
  <si>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</si>
  <si>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</si>
  <si>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</si>
  <si>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</si>
  <si>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</si>
  <si>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</si>
  <si>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</si>
  <si>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</si>
  <si>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</si>
  <si>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</si>
  <si>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</si>
  <si>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</si>
  <si>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</si>
  <si>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</si>
  <si>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</si>
  <si>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</si>
  <si>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</si>
  <si>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</si>
  <si>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</si>
  <si>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</si>
  <si>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</si>
  <si>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</si>
  <si>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</si>
  <si>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</si>
  <si>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</si>
  <si>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</si>
  <si>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</si>
  <si>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</si>
  <si>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</si>
  <si>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</si>
  <si>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</si>
  <si>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</si>
  <si>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</si>
  <si>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</si>
  <si>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</si>
  <si>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</si>
  <si>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</si>
  <si>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</si>
  <si>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</si>
  <si>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</si>
  <si>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</si>
  <si>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</si>
  <si>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</si>
  <si>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</si>
  <si>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</si>
  <si>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</si>
  <si>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</si>
  <si>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</si>
  <si>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</si>
  <si>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</si>
  <si>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</si>
  <si>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</si>
  <si>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</si>
  <si>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</si>
  <si>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</si>
  <si>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</si>
  <si>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</si>
  <si>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</si>
  <si>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</si>
  <si>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</si>
  <si>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</si>
  <si>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</si>
  <si>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</si>
  <si>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</si>
  <si>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</si>
  <si>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</si>
  <si>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</si>
  <si>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</si>
  <si>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</si>
  <si>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</si>
  <si>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</si>
  <si>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</si>
  <si>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</si>
  <si>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</si>
  <si>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</si>
  <si>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</si>
  <si>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</si>
  <si>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</si>
  <si>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</si>
  <si>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</si>
  <si>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</si>
  <si>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</si>
  <si>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</si>
  <si>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</si>
  <si>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</si>
  <si>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</si>
  <si>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</si>
  <si>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</si>
  <si>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</si>
  <si>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</si>
  <si>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</si>
  <si>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</si>
  <si>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</si>
  <si>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</si>
  <si>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</si>
  <si>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</si>
  <si>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</si>
  <si>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</si>
  <si>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</si>
  <si>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</si>
  <si>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</si>
  <si>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</si>
  <si>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</si>
  <si>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</si>
  <si>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</si>
  <si>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</si>
  <si>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</si>
  <si>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</si>
  <si>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</si>
  <si>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</si>
  <si>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</si>
  <si>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</si>
  <si>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</si>
  <si>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</si>
  <si>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</si>
  <si>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</si>
  <si>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</si>
  <si>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</si>
  <si>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</si>
  <si>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</si>
  <si>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</si>
  <si>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</si>
  <si>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</si>
  <si>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</si>
  <si>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</si>
  <si>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</si>
  <si>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</si>
  <si>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</si>
  <si>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</si>
  <si>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</si>
  <si>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</si>
  <si>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</si>
  <si>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</si>
  <si>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</si>
  <si>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</si>
  <si>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</si>
  <si>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</si>
  <si>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</si>
  <si>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</si>
  <si>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</si>
  <si>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</si>
  <si>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</si>
  <si>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</si>
  <si>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</si>
  <si>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</si>
  <si>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</si>
  <si>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</si>
  <si>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</si>
  <si>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</si>
  <si>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</si>
  <si>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</si>
  <si>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</si>
  <si>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</si>
  <si>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</si>
  <si>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</si>
  <si>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</si>
  <si>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</si>
  <si>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</si>
  <si>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</si>
  <si>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</si>
  <si>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</si>
  <si>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</si>
  <si>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</si>
  <si>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</si>
  <si>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</si>
  <si>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</si>
  <si>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</si>
  <si>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</si>
  <si>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</si>
  <si>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</si>
  <si>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</si>
  <si>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</si>
  <si>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</si>
  <si>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</si>
  <si>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</si>
  <si>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</si>
  <si>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</si>
  <si>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</si>
  <si>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</si>
  <si>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</si>
  <si>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</si>
  <si>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</si>
  <si>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</si>
  <si>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</si>
  <si>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</si>
  <si>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</si>
  <si>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</si>
  <si>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</si>
  <si>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</si>
  <si>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</si>
  <si>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</si>
  <si>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wada</t>
    <phoneticPr fontId="5"/>
  </si>
  <si>
    <t>何quest何フロア目だれだれ</t>
    <rPh sb="0" eb="6">
      <t>ナニクエスト</t>
    </rPh>
    <rPh sb="6" eb="7">
      <t>ナン</t>
    </rPh>
    <rPh sb="10" eb="11">
      <t>メ</t>
    </rPh>
    <phoneticPr fontId="5"/>
  </si>
  <si>
    <t>ハチ</t>
    <phoneticPr fontId="5"/>
  </si>
  <si>
    <t>予約枠</t>
    <rPh sb="0" eb="3">
      <t>ヨヤクワク</t>
    </rPh>
    <phoneticPr fontId="5"/>
  </si>
  <si>
    <t>ミール</t>
    <phoneticPr fontId="5"/>
  </si>
  <si>
    <t>トモエ1</t>
    <phoneticPr fontId="5"/>
  </si>
  <si>
    <t>トモエ2</t>
    <phoneticPr fontId="5"/>
  </si>
  <si>
    <t>クロウ</t>
    <phoneticPr fontId="5"/>
  </si>
  <si>
    <t>ショウイン</t>
    <phoneticPr fontId="5"/>
  </si>
  <si>
    <t>マーチ</t>
    <phoneticPr fontId="5"/>
  </si>
  <si>
    <t>パールヴァティ1</t>
    <phoneticPr fontId="5"/>
  </si>
  <si>
    <t>マグリット</t>
    <phoneticPr fontId="5"/>
  </si>
  <si>
    <t>パールヴァティ2</t>
    <phoneticPr fontId="5"/>
  </si>
  <si>
    <t>[effect:heal, target:enemy_all, val:0.3, animation:enemy_heal]</t>
    <phoneticPr fontId="5"/>
  </si>
  <si>
    <t>[effect:nothing]</t>
    <phoneticPr fontId="5"/>
  </si>
  <si>
    <t>[effect:nothing]</t>
    <phoneticPr fontId="5"/>
  </si>
  <si>
    <t>[effect:spread, val:0.3]</t>
    <phoneticPr fontId="5"/>
  </si>
  <si>
    <t>[effect:dis_heart, turn:3, animation:enemy_dis_heart]</t>
    <phoneticPr fontId="5"/>
  </si>
  <si>
    <t>[effect:critical, val:1.5]</t>
    <phoneticPr fontId="5"/>
  </si>
  <si>
    <t>null</t>
    <phoneticPr fontId="5"/>
  </si>
  <si>
    <t>null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</si>
  <si>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</t>
    <phoneticPr fontId="5"/>
  </si>
  <si>
    <t>[effect:dis_heart, turn:3, animation:enemy_dis_heart]</t>
    <phoneticPr fontId="5"/>
  </si>
  <si>
    <t>[effect:heal, target:myself, val:1, animation:enemy_heal]</t>
    <phoneticPr fontId="5"/>
  </si>
  <si>
    <t xml:space="preserve">[effect:break_attack, val:0.2, lowest_val:1000, count:-1, block:block_yellow, target:unit_one]    </t>
  </si>
  <si>
    <t>[effect:enhance_enemy, target:myself, turn:3, status:defense, val:1500, animation:enemy_enhance_defense]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</si>
  <si>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animation:enemy_tolerance],[effect:change_block, new_block:jammer, target:block_all, count:3, val:0, no_effect_msg:no_effect_msg_change_block_heal, animation:change_block]</t>
    <phoneticPr fontId="5"/>
  </si>
  <si>
    <t>null</t>
    <phoneticPr fontId="5"/>
  </si>
  <si>
    <t>[effect:change_block, new_block:jammer, target:block_all, count:3, val:0, no_effect_msg:no_effect_msg_change_block_heal, animation:change_block]</t>
    <phoneticPr fontId="5"/>
  </si>
  <si>
    <t>null</t>
    <phoneticPr fontId="5"/>
  </si>
  <si>
    <t>link</t>
    <phoneticPr fontId="5"/>
  </si>
  <si>
    <t>unit</t>
    <phoneticPr fontId="5"/>
  </si>
  <si>
    <t>link</t>
    <phoneticPr fontId="5"/>
  </si>
  <si>
    <t>null</t>
    <phoneticPr fontId="5"/>
  </si>
  <si>
    <t>unit</t>
    <phoneticPr fontId="5"/>
  </si>
  <si>
    <t>[effect:break_attack, val:0.1, lowest_val:1000, count:-1, block:block_yellow, target:unit_one]</t>
    <phoneticPr fontId="5"/>
  </si>
  <si>
    <t>[effect:spread, val:0.4]</t>
    <phoneticPr fontId="5"/>
  </si>
  <si>
    <t>体力が回復した</t>
    <rPh sb="0" eb="2">
      <t>タイリョク</t>
    </rPh>
    <rPh sb="3" eb="5">
      <t>カイフク</t>
    </rPh>
    <phoneticPr fontId="5"/>
  </si>
  <si>
    <t>一網打尽にしてくれる！</t>
    <rPh sb="0" eb="4">
      <t>イチモウダジン</t>
    </rPh>
    <phoneticPr fontId="5"/>
  </si>
  <si>
    <t>全体攻撃</t>
    <rPh sb="0" eb="4">
      <t>ゼンタイコウゲキ</t>
    </rPh>
    <phoneticPr fontId="5"/>
  </si>
  <si>
    <t>隙あり！</t>
    <rPh sb="0" eb="1">
      <t>スキ</t>
    </rPh>
    <phoneticPr fontId="5"/>
  </si>
  <si>
    <t>状態異常耐性＋お邪魔パネル生成</t>
    <rPh sb="0" eb="6">
      <t>ジョウタイイジョウタイセイ</t>
    </rPh>
    <rPh sb="8" eb="10">
      <t>ジャマ</t>
    </rPh>
    <rPh sb="13" eb="15">
      <t>セイセイ</t>
    </rPh>
    <phoneticPr fontId="5"/>
  </si>
  <si>
    <t>この程度では倒れぬわ！</t>
    <rPh sb="2" eb="4">
      <t>テイド</t>
    </rPh>
    <rPh sb="6" eb="7">
      <t>タオ</t>
    </rPh>
    <phoneticPr fontId="5"/>
  </si>
  <si>
    <t>くらえ！</t>
    <phoneticPr fontId="5"/>
  </si>
  <si>
    <t>逃がさんぞ！</t>
    <rPh sb="0" eb="1">
      <t>ニ</t>
    </rPh>
    <phoneticPr fontId="5"/>
  </si>
  <si>
    <t>すでに私の策の中ぞ！</t>
    <rPh sb="3" eb="4">
      <t>ワタシ</t>
    </rPh>
    <rPh sb="5" eb="6">
      <t>サク</t>
    </rPh>
    <rPh sb="7" eb="8">
      <t>ナカ</t>
    </rPh>
    <phoneticPr fontId="5"/>
  </si>
  <si>
    <t>ヒール</t>
    <phoneticPr fontId="5"/>
  </si>
  <si>
    <t>ヒール</t>
    <phoneticPr fontId="5"/>
  </si>
  <si>
    <t>体力が回復した</t>
    <phoneticPr fontId="5"/>
  </si>
  <si>
    <t>ヒール</t>
    <phoneticPr fontId="5"/>
  </si>
  <si>
    <t>全体回復</t>
    <rPh sb="0" eb="4">
      <t>ゼンタイカイフク</t>
    </rPh>
    <phoneticPr fontId="5"/>
  </si>
  <si>
    <t>完全回復</t>
    <rPh sb="0" eb="4">
      <t>カンゼンカイフク</t>
    </rPh>
    <phoneticPr fontId="5"/>
  </si>
  <si>
    <t>状態異常耐性</t>
    <phoneticPr fontId="5"/>
  </si>
  <si>
    <t>name</t>
    <phoneticPr fontId="7"/>
  </si>
  <si>
    <t>クリティカル攻撃</t>
    <rPh sb="6" eb="8">
      <t>コウゲキ</t>
    </rPh>
    <phoneticPr fontId="5"/>
  </si>
  <si>
    <t>ご主人様のため！</t>
    <rPh sb="1" eb="3">
      <t>シュジン</t>
    </rPh>
    <rPh sb="3" eb="4">
      <t>サマ</t>
    </rPh>
    <phoneticPr fontId="5"/>
  </si>
  <si>
    <t>この攻撃はどう？</t>
    <rPh sb="2" eb="4">
      <t>コウゲキ</t>
    </rPh>
    <phoneticPr fontId="5"/>
  </si>
  <si>
    <t>痛くはないわ</t>
    <rPh sb="0" eb="1">
      <t>イタ</t>
    </rPh>
    <phoneticPr fontId="5"/>
  </si>
  <si>
    <t>あなたには倒されないもの</t>
    <rPh sb="5" eb="6">
      <t>タオ</t>
    </rPh>
    <phoneticPr fontId="5"/>
  </si>
  <si>
    <t>侵入者を発見！</t>
    <rPh sb="0" eb="3">
      <t>シンニュウシャ</t>
    </rPh>
    <rPh sb="4" eb="6">
      <t>ハッケン</t>
    </rPh>
    <phoneticPr fontId="5"/>
  </si>
  <si>
    <t>カーマ様の敵を確認</t>
    <rPh sb="3" eb="4">
      <t>サマ</t>
    </rPh>
    <rPh sb="5" eb="6">
      <t>テキ</t>
    </rPh>
    <rPh sb="7" eb="9">
      <t>カクニン</t>
    </rPh>
    <phoneticPr fontId="5"/>
  </si>
  <si>
    <t>まだまだ戦えるわ</t>
    <rPh sb="4" eb="5">
      <t>タタカ</t>
    </rPh>
    <phoneticPr fontId="5"/>
  </si>
  <si>
    <t>3ターンハートパネルが使えない！</t>
    <phoneticPr fontId="5"/>
  </si>
  <si>
    <t>ミールはたまに回復を使います
少し厄介ですが
スキルを溜めるチャンスにもなります</t>
    <phoneticPr fontId="5"/>
  </si>
  <si>
    <t>トモエはハートパネルを無効化する
スキルを使用します
注意しましょう</t>
    <phoneticPr fontId="5"/>
  </si>
  <si>
    <t>トモエは2ゲージ目の最初に
お邪魔パネルを生成します
フィーバーなどを準備しておきましょう</t>
    <phoneticPr fontId="5"/>
  </si>
  <si>
    <t>マーチはたまに回復を使います
少し厄介ですが
スキルを溜めるチャンスにもなります</t>
    <phoneticPr fontId="5"/>
  </si>
  <si>
    <t>マグリットはたまに強力な攻撃をします
とても危険なので先に倒しましょう</t>
    <phoneticPr fontId="5"/>
  </si>
  <si>
    <t>パールヴァティはHPが減ると完全回復します
タイミングを見極めて
回復される前に倒しましょう</t>
    <phoneticPr fontId="5"/>
  </si>
  <si>
    <t>valid_flg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</si>
  <si>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animation:enemy_tolerance],[effect:enhance_enemy, target:enemy_green, turn:5, status:defense, val:3000, animation:enemy_enhance_defense]</t>
    <phoneticPr fontId="5"/>
  </si>
  <si>
    <t>状態異常耐性＋
5ターンの間マグリットの防御力UP</t>
    <rPh sb="0" eb="4">
      <t>ジョウタイイジョウ</t>
    </rPh>
    <rPh sb="4" eb="6">
      <t>タイセイ</t>
    </rPh>
    <rPh sb="13" eb="14">
      <t>ア</t>
    </rPh>
    <rPh sb="20" eb="23">
      <t>ボウギョリョク</t>
    </rPh>
    <phoneticPr fontId="5"/>
  </si>
  <si>
    <t>3ターントモエの防御力UP！</t>
    <rPh sb="8" eb="11">
      <t>ボ</t>
    </rPh>
    <phoneticPr fontId="5"/>
  </si>
  <si>
    <t>お邪魔パネル生成</t>
    <rPh sb="1" eb="3">
      <t>ジャマ</t>
    </rPh>
    <rPh sb="6" eb="8">
      <t>セ</t>
    </rPh>
    <phoneticPr fontId="5"/>
  </si>
  <si>
    <t>黄パネル吸収攻撃で1体に大ダメージ</t>
    <rPh sb="0" eb="1">
      <t>キイロ</t>
    </rPh>
    <rPh sb="4" eb="6">
      <t>キュウシュ</t>
    </rPh>
    <rPh sb="10" eb="12">
      <t>タンタ</t>
    </rPh>
    <phoneticPr fontId="5"/>
  </si>
  <si>
    <t>捕まえた</t>
    <rPh sb="0" eb="4">
      <t>ツカマエt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</si>
</sst>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96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8" fillId="13" borderId="4" xfId="0" applyFont="1" applyFill="1" applyBorder="1" applyAlignment="1">
      <alignment vertical="center"/>
    </xf>
    <xf numFmtId="0" fontId="8" fillId="31" borderId="4" xfId="0" applyFont="1" applyFill="1" applyBorder="1" applyAlignment="1">
      <alignment vertical="center"/>
    </xf>
    <xf numFmtId="9" fontId="16" fillId="0" borderId="7" xfId="0" applyNumberFormat="1" applyFont="1" applyFill="1" applyBorder="1" applyAlignment="1">
      <alignment horizontal="left" vertical="center" wrapText="1"/>
    </xf>
    <xf numFmtId="0" fontId="16" fillId="31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38" fontId="16" fillId="0" borderId="12" xfId="628" applyFont="1" applyFill="1" applyBorder="1" applyAlignment="1">
      <alignment wrapText="1"/>
    </xf>
    <xf numFmtId="0" fontId="0" fillId="0" borderId="12" xfId="0" applyBorder="1"/>
    <xf numFmtId="0" fontId="27" fillId="0" borderId="23" xfId="0" applyFont="1" applyFill="1" applyBorder="1"/>
    <xf numFmtId="0" fontId="28" fillId="0" borderId="23" xfId="0" applyFont="1" applyFill="1" applyBorder="1"/>
    <xf numFmtId="0" fontId="29" fillId="3" borderId="23" xfId="0" applyFont="1" applyFill="1" applyBorder="1" applyAlignment="1">
      <alignment vertical="center"/>
    </xf>
    <xf numFmtId="0" fontId="30" fillId="0" borderId="23" xfId="0" applyFont="1" applyFill="1" applyBorder="1"/>
    <xf numFmtId="0" fontId="29" fillId="0" borderId="23" xfId="0" applyFont="1" applyFill="1" applyBorder="1" applyAlignment="1">
      <alignment vertical="center"/>
    </xf>
    <xf numFmtId="0" fontId="30" fillId="30" borderId="23" xfId="0" applyFont="1" applyFill="1" applyBorder="1"/>
    <xf numFmtId="0" fontId="30" fillId="14" borderId="23" xfId="0" applyFont="1" applyFill="1" applyBorder="1"/>
    <xf numFmtId="0" fontId="31" fillId="0" borderId="23" xfId="0" applyFont="1" applyFill="1" applyBorder="1"/>
    <xf numFmtId="38" fontId="16" fillId="0" borderId="23" xfId="628" applyFont="1" applyFill="1" applyBorder="1" applyAlignment="1">
      <alignment wrapText="1"/>
    </xf>
    <xf numFmtId="0" fontId="0" fillId="0" borderId="23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27" fillId="0" borderId="24" xfId="0" applyFont="1" applyFill="1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</cellXfs>
  <cellStyles count="96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I6" sqref="I6"/>
    </sheetView>
  </sheetViews>
  <sheetFormatPr baseColWidth="12" defaultRowHeight="15" x14ac:dyDescent="0.15"/>
  <cols>
    <col min="2" max="2" width="29.1640625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213</v>
      </c>
      <c r="B2" s="57" t="s">
        <v>106</v>
      </c>
      <c r="C2" s="62">
        <v>30029</v>
      </c>
      <c r="D2" s="57" t="s">
        <v>107</v>
      </c>
      <c r="E2" s="56" t="str">
        <f>B2&amp;C2&amp;D2</f>
        <v>floors_30029.tmp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213</v>
      </c>
      <c r="B3" s="57" t="s">
        <v>109</v>
      </c>
      <c r="C3" s="62">
        <v>30029</v>
      </c>
      <c r="D3" s="57" t="s">
        <v>107</v>
      </c>
      <c r="E3" s="56" t="str">
        <f>B3&amp;C3&amp;D3</f>
        <v>enemy_habitats_30029.tmp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213</v>
      </c>
      <c r="B4" s="57" t="s">
        <v>111</v>
      </c>
      <c r="C4" s="62">
        <v>30029</v>
      </c>
      <c r="D4" s="57" t="s">
        <v>107</v>
      </c>
      <c r="E4" s="56" t="str">
        <f>B4&amp;C4&amp;D4</f>
        <v>enemy_habitat_S_30029.tmp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213</v>
      </c>
      <c r="B5" s="57" t="s">
        <v>113</v>
      </c>
      <c r="C5" s="62">
        <v>30029</v>
      </c>
      <c r="D5" s="57" t="s">
        <v>107</v>
      </c>
      <c r="E5" s="56" t="str">
        <f>B5&amp;C5&amp;D5</f>
        <v>enemy_skill_sets_30029.tmp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213</v>
      </c>
      <c r="B6" s="57" t="s">
        <v>115</v>
      </c>
      <c r="C6" s="62">
        <v>30029</v>
      </c>
      <c r="D6" s="57" t="s">
        <v>116</v>
      </c>
      <c r="E6" s="56" t="str">
        <f t="shared" ref="E6:E10" si="0">B6&amp;C6&amp;D6</f>
        <v>enemy_skills_tmp_30029.tmp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213</v>
      </c>
      <c r="B7" s="57" t="s">
        <v>117</v>
      </c>
      <c r="C7" s="62">
        <v>30029</v>
      </c>
      <c r="D7" s="57" t="s">
        <v>107</v>
      </c>
      <c r="E7" s="56" t="str">
        <f>B7&amp;C7&amp;D7</f>
        <v>enemy_skills_i18n_30029.tmp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213</v>
      </c>
      <c r="B8" s="57" t="s">
        <v>119</v>
      </c>
      <c r="C8" s="62">
        <v>30029</v>
      </c>
      <c r="D8" s="57" t="s">
        <v>120</v>
      </c>
      <c r="E8" s="56" t="str">
        <f t="shared" si="0"/>
        <v>enemy_skill_triggers_30029.tmp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213</v>
      </c>
      <c r="B9" s="67" t="s">
        <v>177</v>
      </c>
      <c r="C9" s="62">
        <v>30029</v>
      </c>
      <c r="D9" s="67" t="s">
        <v>171</v>
      </c>
      <c r="E9" s="68" t="str">
        <f t="shared" si="0"/>
        <v>stage_bug_bonuses_30029.tmp</v>
      </c>
      <c r="F9" s="67" t="s">
        <v>172</v>
      </c>
      <c r="G9" s="64" t="s">
        <v>150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</row>
    <row r="10" spans="1:30" s="76" customFormat="1" x14ac:dyDescent="0.15">
      <c r="A10" s="61" t="s">
        <v>213</v>
      </c>
      <c r="B10" s="67" t="s">
        <v>201</v>
      </c>
      <c r="C10" s="62">
        <v>30029</v>
      </c>
      <c r="D10" s="67" t="s">
        <v>180</v>
      </c>
      <c r="E10" s="68" t="str">
        <f t="shared" si="0"/>
        <v>stage_hints_data_c_30029.tmp</v>
      </c>
      <c r="F10" s="67" t="s">
        <v>209</v>
      </c>
      <c r="G10" s="73" t="s">
        <v>181</v>
      </c>
      <c r="H10" s="73" t="s">
        <v>173</v>
      </c>
      <c r="I10" s="74" t="s">
        <v>182</v>
      </c>
      <c r="J10" s="66" t="s">
        <v>183</v>
      </c>
      <c r="K10" s="75" t="s">
        <v>184</v>
      </c>
    </row>
    <row r="11" spans="1:30" s="76" customFormat="1" x14ac:dyDescent="0.15">
      <c r="A11" s="61" t="s">
        <v>213</v>
      </c>
      <c r="B11" s="67" t="s">
        <v>202</v>
      </c>
      <c r="C11" s="62">
        <v>30029</v>
      </c>
      <c r="D11" s="67" t="s">
        <v>171</v>
      </c>
      <c r="E11" s="68" t="str">
        <f t="shared" ref="E11:E12" si="1">B11&amp;C11&amp;D11</f>
        <v>stage_hints_data_f_30029.tmp</v>
      </c>
      <c r="F11" s="67" t="s">
        <v>211</v>
      </c>
      <c r="G11" s="73" t="s">
        <v>181</v>
      </c>
      <c r="H11" s="73" t="s">
        <v>173</v>
      </c>
      <c r="I11" s="74" t="s">
        <v>182</v>
      </c>
      <c r="J11" s="66" t="s">
        <v>183</v>
      </c>
      <c r="K11" s="75" t="s">
        <v>184</v>
      </c>
    </row>
    <row r="12" spans="1:30" s="76" customFormat="1" x14ac:dyDescent="0.15">
      <c r="A12" s="61" t="s">
        <v>213</v>
      </c>
      <c r="B12" s="67" t="s">
        <v>203</v>
      </c>
      <c r="C12" s="62">
        <v>30029</v>
      </c>
      <c r="D12" s="67" t="s">
        <v>171</v>
      </c>
      <c r="E12" s="68" t="str">
        <f t="shared" si="1"/>
        <v>stage_hints_i18n_30029.tmp</v>
      </c>
      <c r="F12" s="67" t="s">
        <v>212</v>
      </c>
      <c r="G12" s="74" t="s">
        <v>204</v>
      </c>
      <c r="H12" s="96" t="s">
        <v>205</v>
      </c>
      <c r="I12" s="73" t="s">
        <v>206</v>
      </c>
      <c r="J12" s="97" t="s">
        <v>207</v>
      </c>
      <c r="K12" s="75" t="s">
        <v>208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C1" sqref="C1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10.83203125" style="3" bestFit="1" customWidth="1" outlineLevel="1"/>
    <col min="5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30029_1-1</v>
      </c>
      <c r="B2" s="16" t="str">
        <f>IF(COUNTIF(enemy_habitats!$H:$H,A2),"OK","NG")</f>
        <v>OK</v>
      </c>
      <c r="C2" s="7">
        <v>30029</v>
      </c>
      <c r="D2" s="11" t="str">
        <f ca="1">VLOOKUP($C2,OFFSET([2]quests!$A$1,0,0,COUNTA([2]quests!$A:$A),MATCH(D$1,[2]quests!$1:$1,0)-MATCH($C$1,[2]quests!$1:$1,0)+1),MATCH(D$1,[2]quests!$1:$1,0)-MATCH($C$1,[2]quests!$1:$1,0)+1,FALSE)</f>
        <v>全ては主のために</v>
      </c>
      <c r="E2" s="18" t="str">
        <f ca="1">VLOOKUP($C2,OFFSET([2]quests!$A$1,0,0,COUNTA([2]quests!$A:$A),MATCH(E$1,[2]quests!$1:$1,0)-MATCH($C$1,[2]quests!$1:$1,0)+1),MATCH(E$1,[2]quests!$1:$1,0)-MATCH($C$1,[2]quests!$1:$1,0)+1,FALSE)</f>
        <v>ドロップイベント8（マルチ専用）</v>
      </c>
      <c r="F2" s="21">
        <v>1</v>
      </c>
      <c r="G2" s="23" t="str">
        <f>C2&amp;"_"&amp;F2</f>
        <v>30029_1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【中級】全ては主のために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ref="A3:A13" si="0">G3&amp;"-"&amp;I3</f>
        <v>30029_1-2</v>
      </c>
      <c r="B3" s="16" t="str">
        <f>IF(COUNTIF(enemy_habitats!$H:$H,A3),"OK","NG")</f>
        <v>OK</v>
      </c>
      <c r="C3" s="7">
        <v>30029</v>
      </c>
      <c r="D3" s="11" t="str">
        <f ca="1">VLOOKUP($C3,OFFSET([2]quests!$A$1,0,0,COUNTA([2]quests!$A:$A),MATCH(D$1,[2]quests!$1:$1,0)-MATCH($C$1,[2]quests!$1:$1,0)+1),MATCH(D$1,[2]quests!$1:$1,0)-MATCH($C$1,[2]quests!$1:$1,0)+1,FALSE)</f>
        <v>全ては主のために</v>
      </c>
      <c r="E3" s="18" t="str">
        <f ca="1">VLOOKUP($C3,OFFSET([2]quests!$A$1,0,0,COUNTA([2]quests!$A:$A),MATCH(E$1,[2]quests!$1:$1,0)-MATCH($C$1,[2]quests!$1:$1,0)+1),MATCH(E$1,[2]quests!$1:$1,0)-MATCH($C$1,[2]quests!$1:$1,0)+1,FALSE)</f>
        <v>ドロップイベント8（マルチ専用）</v>
      </c>
      <c r="F3" s="21">
        <v>1</v>
      </c>
      <c r="G3" s="23" t="str">
        <f t="shared" ref="G3:G13" si="1">C3&amp;"_"&amp;F3</f>
        <v>30029_1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【中級】全ては主のために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30029_1-3</v>
      </c>
      <c r="B4" s="16" t="str">
        <f>IF(COUNTIF(enemy_habitats!$H:$H,A4),"OK","NG")</f>
        <v>OK</v>
      </c>
      <c r="C4" s="7">
        <v>30029</v>
      </c>
      <c r="D4" s="11" t="str">
        <f ca="1">VLOOKUP($C4,OFFSET([2]quests!$A$1,0,0,COUNTA([2]quests!$A:$A),MATCH(D$1,[2]quests!$1:$1,0)-MATCH($C$1,[2]quests!$1:$1,0)+1),MATCH(D$1,[2]quests!$1:$1,0)-MATCH($C$1,[2]quests!$1:$1,0)+1,FALSE)</f>
        <v>全ては主のために</v>
      </c>
      <c r="E4" s="18" t="str">
        <f ca="1">VLOOKUP($C4,OFFSET([2]quests!$A$1,0,0,COUNTA([2]quests!$A:$A),MATCH(E$1,[2]quests!$1:$1,0)-MATCH($C$1,[2]quests!$1:$1,0)+1),MATCH(E$1,[2]quests!$1:$1,0)-MATCH($C$1,[2]quests!$1:$1,0)+1,FALSE)</f>
        <v>ドロップイベント8（マルチ専用）</v>
      </c>
      <c r="F4" s="21">
        <v>1</v>
      </c>
      <c r="G4" s="23" t="str">
        <f t="shared" si="1"/>
        <v>30029_1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【中級】全ては主のために</v>
      </c>
      <c r="I4" s="21">
        <v>3</v>
      </c>
      <c r="J4" s="12">
        <v>45</v>
      </c>
      <c r="K4" s="12">
        <v>45</v>
      </c>
    </row>
    <row r="5" spans="1:11" ht="21" customHeight="1" x14ac:dyDescent="0.15">
      <c r="A5" s="16" t="str">
        <f t="shared" si="0"/>
        <v>30029_1-4</v>
      </c>
      <c r="B5" s="16" t="str">
        <f>IF(COUNTIF(enemy_habitats!$H:$H,A5),"OK","NG")</f>
        <v>OK</v>
      </c>
      <c r="C5" s="7">
        <v>30029</v>
      </c>
      <c r="D5" s="11" t="str">
        <f ca="1">VLOOKUP($C5,OFFSET([2]quests!$A$1,0,0,COUNTA([2]quests!$A:$A),MATCH(D$1,[2]quests!$1:$1,0)-MATCH($C$1,[2]quests!$1:$1,0)+1),MATCH(D$1,[2]quests!$1:$1,0)-MATCH($C$1,[2]quests!$1:$1,0)+1,FALSE)</f>
        <v>全ては主のために</v>
      </c>
      <c r="E5" s="18" t="str">
        <f ca="1">VLOOKUP($C5,OFFSET([2]quests!$A$1,0,0,COUNTA([2]quests!$A:$A),MATCH(E$1,[2]quests!$1:$1,0)-MATCH($C$1,[2]quests!$1:$1,0)+1),MATCH(E$1,[2]quests!$1:$1,0)-MATCH($C$1,[2]quests!$1:$1,0)+1,FALSE)</f>
        <v>ドロップイベント8（マルチ専用）</v>
      </c>
      <c r="F5" s="21">
        <v>1</v>
      </c>
      <c r="G5" s="23" t="str">
        <f t="shared" si="1"/>
        <v>30029_1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【中級】全ては主のために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30029_2-1</v>
      </c>
      <c r="B6" s="16" t="str">
        <f>IF(COUNTIF(enemy_habitats!$H:$H,A6),"OK","NG")</f>
        <v>OK</v>
      </c>
      <c r="C6" s="7">
        <v>30029</v>
      </c>
      <c r="D6" s="11" t="str">
        <f ca="1">VLOOKUP($C6,OFFSET([2]quests!$A$1,0,0,COUNTA([2]quests!$A:$A),MATCH(D$1,[2]quests!$1:$1,0)-MATCH($C$1,[2]quests!$1:$1,0)+1),MATCH(D$1,[2]quests!$1:$1,0)-MATCH($C$1,[2]quests!$1:$1,0)+1,FALSE)</f>
        <v>全ては主のために</v>
      </c>
      <c r="E6" s="18" t="str">
        <f ca="1">VLOOKUP($C6,OFFSET([2]quests!$A$1,0,0,COUNTA([2]quests!$A:$A),MATCH(E$1,[2]quests!$1:$1,0)-MATCH($C$1,[2]quests!$1:$1,0)+1),MATCH(E$1,[2]quests!$1:$1,0)-MATCH($C$1,[2]quests!$1:$1,0)+1,FALSE)</f>
        <v>ドロップイベント8（マルチ専用）</v>
      </c>
      <c r="F6" s="21">
        <v>2</v>
      </c>
      <c r="G6" s="23" t="str">
        <f t="shared" si="1"/>
        <v>30029_2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【上級】全ては主のために</v>
      </c>
      <c r="I6" s="21">
        <v>1</v>
      </c>
      <c r="J6" s="12">
        <v>45</v>
      </c>
      <c r="K6" s="12">
        <v>45</v>
      </c>
    </row>
    <row r="7" spans="1:11" ht="21" customHeight="1" x14ac:dyDescent="0.15">
      <c r="A7" s="16" t="str">
        <f t="shared" si="0"/>
        <v>30029_2-2</v>
      </c>
      <c r="B7" s="16" t="str">
        <f>IF(COUNTIF(enemy_habitats!$H:$H,A7),"OK","NG")</f>
        <v>OK</v>
      </c>
      <c r="C7" s="7">
        <v>30029</v>
      </c>
      <c r="D7" s="11" t="str">
        <f ca="1">VLOOKUP($C7,OFFSET([2]quests!$A$1,0,0,COUNTA([2]quests!$A:$A),MATCH(D$1,[2]quests!$1:$1,0)-MATCH($C$1,[2]quests!$1:$1,0)+1),MATCH(D$1,[2]quests!$1:$1,0)-MATCH($C$1,[2]quests!$1:$1,0)+1,FALSE)</f>
        <v>全ては主のために</v>
      </c>
      <c r="E7" s="18" t="str">
        <f ca="1">VLOOKUP($C7,OFFSET([2]quests!$A$1,0,0,COUNTA([2]quests!$A:$A),MATCH(E$1,[2]quests!$1:$1,0)-MATCH($C$1,[2]quests!$1:$1,0)+1),MATCH(E$1,[2]quests!$1:$1,0)-MATCH($C$1,[2]quests!$1:$1,0)+1,FALSE)</f>
        <v>ドロップイベント8（マルチ専用）</v>
      </c>
      <c r="F7" s="21">
        <v>2</v>
      </c>
      <c r="G7" s="23" t="str">
        <f t="shared" si="1"/>
        <v>30029_2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【上級】全ては主のために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30029_2-3</v>
      </c>
      <c r="B8" s="16" t="str">
        <f>IF(COUNTIF(enemy_habitats!$H:$H,A8),"OK","NG")</f>
        <v>OK</v>
      </c>
      <c r="C8" s="7">
        <v>30029</v>
      </c>
      <c r="D8" s="11" t="str">
        <f ca="1">VLOOKUP($C8,OFFSET([2]quests!$A$1,0,0,COUNTA([2]quests!$A:$A),MATCH(D$1,[2]quests!$1:$1,0)-MATCH($C$1,[2]quests!$1:$1,0)+1),MATCH(D$1,[2]quests!$1:$1,0)-MATCH($C$1,[2]quests!$1:$1,0)+1,FALSE)</f>
        <v>全ては主のために</v>
      </c>
      <c r="E8" s="18" t="str">
        <f ca="1">VLOOKUP($C8,OFFSET([2]quests!$A$1,0,0,COUNTA([2]quests!$A:$A),MATCH(E$1,[2]quests!$1:$1,0)-MATCH($C$1,[2]quests!$1:$1,0)+1),MATCH(E$1,[2]quests!$1:$1,0)-MATCH($C$1,[2]quests!$1:$1,0)+1,FALSE)</f>
        <v>ドロップイベント8（マルチ専用）</v>
      </c>
      <c r="F8" s="21">
        <v>2</v>
      </c>
      <c r="G8" s="23" t="str">
        <f t="shared" si="1"/>
        <v>30029_2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【上級】全ては主のために</v>
      </c>
      <c r="I8" s="21">
        <v>3</v>
      </c>
      <c r="J8" s="12">
        <v>45</v>
      </c>
      <c r="K8" s="12">
        <v>45</v>
      </c>
    </row>
    <row r="9" spans="1:11" ht="21" customHeight="1" x14ac:dyDescent="0.15">
      <c r="A9" s="16" t="str">
        <f t="shared" si="0"/>
        <v>30029_2-4</v>
      </c>
      <c r="B9" s="16" t="str">
        <f>IF(COUNTIF(enemy_habitats!$H:$H,A9),"OK","NG")</f>
        <v>OK</v>
      </c>
      <c r="C9" s="7">
        <v>30029</v>
      </c>
      <c r="D9" s="11" t="str">
        <f ca="1">VLOOKUP($C9,OFFSET([2]quests!$A$1,0,0,COUNTA([2]quests!$A:$A),MATCH(D$1,[2]quests!$1:$1,0)-MATCH($C$1,[2]quests!$1:$1,0)+1),MATCH(D$1,[2]quests!$1:$1,0)-MATCH($C$1,[2]quests!$1:$1,0)+1,FALSE)</f>
        <v>全ては主のために</v>
      </c>
      <c r="E9" s="18" t="str">
        <f ca="1">VLOOKUP($C9,OFFSET([2]quests!$A$1,0,0,COUNTA([2]quests!$A:$A),MATCH(E$1,[2]quests!$1:$1,0)-MATCH($C$1,[2]quests!$1:$1,0)+1),MATCH(E$1,[2]quests!$1:$1,0)-MATCH($C$1,[2]quests!$1:$1,0)+1,FALSE)</f>
        <v>ドロップイベント8（マルチ専用）</v>
      </c>
      <c r="F9" s="21">
        <v>2</v>
      </c>
      <c r="G9" s="23" t="str">
        <f t="shared" si="1"/>
        <v>30029_2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【上級】全ては主のために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30029_3-1</v>
      </c>
      <c r="B10" s="16" t="str">
        <f>IF(COUNTIF(enemy_habitats!$H:$H,A10),"OK","NG")</f>
        <v>OK</v>
      </c>
      <c r="C10" s="7">
        <v>30029</v>
      </c>
      <c r="D10" s="11" t="str">
        <f ca="1">VLOOKUP($C10,OFFSET([2]quests!$A$1,0,0,COUNTA([2]quests!$A:$A),MATCH(D$1,[2]quests!$1:$1,0)-MATCH($C$1,[2]quests!$1:$1,0)+1),MATCH(D$1,[2]quests!$1:$1,0)-MATCH($C$1,[2]quests!$1:$1,0)+1,FALSE)</f>
        <v>全ては主のために</v>
      </c>
      <c r="E10" s="18" t="str">
        <f ca="1">VLOOKUP($C10,OFFSET([2]quests!$A$1,0,0,COUNTA([2]quests!$A:$A),MATCH(E$1,[2]quests!$1:$1,0)-MATCH($C$1,[2]quests!$1:$1,0)+1),MATCH(E$1,[2]quests!$1:$1,0)-MATCH($C$1,[2]quests!$1:$1,0)+1,FALSE)</f>
        <v>ドロップイベント8（マルチ専用）</v>
      </c>
      <c r="F10" s="21">
        <v>3</v>
      </c>
      <c r="G10" s="23" t="str">
        <f t="shared" si="1"/>
        <v>30029_3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【超級】全ては主のために</v>
      </c>
      <c r="I10" s="21">
        <v>1</v>
      </c>
      <c r="J10" s="12">
        <v>45</v>
      </c>
      <c r="K10" s="12">
        <v>45</v>
      </c>
    </row>
    <row r="11" spans="1:11" ht="21" customHeight="1" x14ac:dyDescent="0.15">
      <c r="A11" s="16" t="str">
        <f t="shared" si="0"/>
        <v>30029_3-2</v>
      </c>
      <c r="B11" s="16" t="str">
        <f>IF(COUNTIF(enemy_habitats!$H:$H,A11),"OK","NG")</f>
        <v>OK</v>
      </c>
      <c r="C11" s="7">
        <v>30029</v>
      </c>
      <c r="D11" s="11" t="str">
        <f ca="1">VLOOKUP($C11,OFFSET([2]quests!$A$1,0,0,COUNTA([2]quests!$A:$A),MATCH(D$1,[2]quests!$1:$1,0)-MATCH($C$1,[2]quests!$1:$1,0)+1),MATCH(D$1,[2]quests!$1:$1,0)-MATCH($C$1,[2]quests!$1:$1,0)+1,FALSE)</f>
        <v>全ては主のために</v>
      </c>
      <c r="E11" s="18" t="str">
        <f ca="1">VLOOKUP($C11,OFFSET([2]quests!$A$1,0,0,COUNTA([2]quests!$A:$A),MATCH(E$1,[2]quests!$1:$1,0)-MATCH($C$1,[2]quests!$1:$1,0)+1),MATCH(E$1,[2]quests!$1:$1,0)-MATCH($C$1,[2]quests!$1:$1,0)+1,FALSE)</f>
        <v>ドロップイベント8（マルチ専用）</v>
      </c>
      <c r="F11" s="21">
        <v>3</v>
      </c>
      <c r="G11" s="23" t="str">
        <f t="shared" si="1"/>
        <v>30029_3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【超級】全ては主のために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30029_3-3</v>
      </c>
      <c r="B12" s="16" t="str">
        <f>IF(COUNTIF(enemy_habitats!$H:$H,A12),"OK","NG")</f>
        <v>OK</v>
      </c>
      <c r="C12" s="7">
        <v>30029</v>
      </c>
      <c r="D12" s="11" t="str">
        <f ca="1">VLOOKUP($C12,OFFSET([2]quests!$A$1,0,0,COUNTA([2]quests!$A:$A),MATCH(D$1,[2]quests!$1:$1,0)-MATCH($C$1,[2]quests!$1:$1,0)+1),MATCH(D$1,[2]quests!$1:$1,0)-MATCH($C$1,[2]quests!$1:$1,0)+1,FALSE)</f>
        <v>全ては主のために</v>
      </c>
      <c r="E12" s="18" t="str">
        <f ca="1">VLOOKUP($C12,OFFSET([2]quests!$A$1,0,0,COUNTA([2]quests!$A:$A),MATCH(E$1,[2]quests!$1:$1,0)-MATCH($C$1,[2]quests!$1:$1,0)+1),MATCH(E$1,[2]quests!$1:$1,0)-MATCH($C$1,[2]quests!$1:$1,0)+1,FALSE)</f>
        <v>ドロップイベント8（マルチ専用）</v>
      </c>
      <c r="F12" s="21">
        <v>3</v>
      </c>
      <c r="G12" s="23" t="str">
        <f t="shared" si="1"/>
        <v>30029_3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【超級】全ては主のために</v>
      </c>
      <c r="I12" s="21">
        <v>3</v>
      </c>
      <c r="J12" s="12">
        <v>45</v>
      </c>
      <c r="K12" s="12">
        <v>45</v>
      </c>
    </row>
    <row r="13" spans="1:11" ht="21" customHeight="1" x14ac:dyDescent="0.15">
      <c r="A13" s="16" t="str">
        <f t="shared" si="0"/>
        <v>30029_3-4</v>
      </c>
      <c r="B13" s="16" t="str">
        <f>IF(COUNTIF(enemy_habitats!$H:$H,A13),"OK","NG")</f>
        <v>OK</v>
      </c>
      <c r="C13" s="7">
        <v>30029</v>
      </c>
      <c r="D13" s="11" t="str">
        <f ca="1">VLOOKUP($C13,OFFSET([2]quests!$A$1,0,0,COUNTA([2]quests!$A:$A),MATCH(D$1,[2]quests!$1:$1,0)-MATCH($C$1,[2]quests!$1:$1,0)+1),MATCH(D$1,[2]quests!$1:$1,0)-MATCH($C$1,[2]quests!$1:$1,0)+1,FALSE)</f>
        <v>全ては主のために</v>
      </c>
      <c r="E13" s="18" t="str">
        <f ca="1">VLOOKUP($C13,OFFSET([2]quests!$A$1,0,0,COUNTA([2]quests!$A:$A),MATCH(E$1,[2]quests!$1:$1,0)-MATCH($C$1,[2]quests!$1:$1,0)+1),MATCH(E$1,[2]quests!$1:$1,0)-MATCH($C$1,[2]quests!$1:$1,0)+1,FALSE)</f>
        <v>ドロップイベント8（マルチ専用）</v>
      </c>
      <c r="F13" s="21">
        <v>3</v>
      </c>
      <c r="G13" s="23" t="str">
        <f t="shared" si="1"/>
        <v>30029_3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【超級】全ては主のために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5"/>
  <sheetViews>
    <sheetView showGridLines="0" zoomScale="115" zoomScaleNormal="115" zoomScalePageLayoutView="115" workbookViewId="0">
      <pane xSplit="17" ySplit="1" topLeftCell="AG2" activePane="bottomRight" state="frozen"/>
      <selection pane="topRight" activeCell="N1" sqref="N1"/>
      <selection pane="bottomLeft" activeCell="A2" sqref="A2"/>
      <selection pane="bottomRight" activeCell="AH17" sqref="AH1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3.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179</v>
      </c>
    </row>
    <row r="2" spans="1:40" ht="14" x14ac:dyDescent="0.15">
      <c r="A2" s="16" t="str">
        <f>B2&amp;"_"&amp;C2&amp;"-"&amp;G2&amp;"/"&amp;L2&amp;"&lt;lv"&amp;R2&amp;"&gt;s"&amp;AA2</f>
        <v>30029_1-1/25&lt;lv18&gt;s2</v>
      </c>
      <c r="B2" s="22">
        <v>30029</v>
      </c>
      <c r="C2" s="21">
        <v>1</v>
      </c>
      <c r="D2" s="2" t="str">
        <f>B2&amp;"_"&amp;C2</f>
        <v>30029_1</v>
      </c>
      <c r="E2" s="4" t="str">
        <f ca="1">VLOOKUP($B2,OFFSET([2]quests!$A$1,0,0,COUNTA([2]quests!$A:$A),MATCH(E$1,[2]quests!$1:$1,0)-MATCH($B$1,[2]quests!$1:$1,0)+1),MATCH(E$1,[2]quests!$1:$1,0)-MATCH($B$1,[2]quests!$1:$1,0)+1,FALSE)</f>
        <v>全ては主のために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【中級】全ては主のために</v>
      </c>
      <c r="G2" s="21">
        <v>1</v>
      </c>
      <c r="H2" s="15" t="str">
        <f>B2&amp;"_"&amp;C2&amp;"-"&amp;G2</f>
        <v>30029_1-1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53</v>
      </c>
      <c r="L2" s="20">
        <v>25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ハチ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18</v>
      </c>
      <c r="S2" s="25">
        <v>1.7</v>
      </c>
      <c r="T2" s="25">
        <v>1.5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v>0</v>
      </c>
      <c r="X2" s="6">
        <v>1</v>
      </c>
      <c r="Y2" s="6">
        <v>100</v>
      </c>
      <c r="Z2" s="6">
        <v>1</v>
      </c>
      <c r="AA2" s="17">
        <v>2</v>
      </c>
      <c r="AB2" s="24">
        <f>L2</f>
        <v>25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ハチ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7">
        <v>1</v>
      </c>
      <c r="AG2" s="24">
        <f ca="1">AD2</f>
        <v>1</v>
      </c>
      <c r="AH2" s="8">
        <v>20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14" x14ac:dyDescent="0.15">
      <c r="A3" s="16" t="str">
        <f>B3&amp;"_"&amp;C3&amp;"-"&amp;G3&amp;"/"&amp;L3&amp;"&lt;lv"&amp;R3&amp;"&gt;s"&amp;AA3</f>
        <v>30029_1-1/23&lt;lv12&gt;s2</v>
      </c>
      <c r="B3" s="22">
        <v>30029</v>
      </c>
      <c r="C3" s="21">
        <v>1</v>
      </c>
      <c r="D3" s="2" t="str">
        <f>B3&amp;"_"&amp;C3</f>
        <v>30029_1</v>
      </c>
      <c r="E3" s="4" t="str">
        <f ca="1">VLOOKUP($B3,OFFSET([2]quests!$A$1,0,0,COUNTA([2]quests!$A:$A),MATCH(E$1,[2]quests!$1:$1,0)-MATCH($B$1,[2]quests!$1:$1,0)+1),MATCH(E$1,[2]quests!$1:$1,0)-MATCH($B$1,[2]quests!$1:$1,0)+1,FALSE)</f>
        <v>全ては主のために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【中級】全ては主のために</v>
      </c>
      <c r="G3" s="21">
        <v>1</v>
      </c>
      <c r="H3" s="15" t="str">
        <f>B3&amp;"_"&amp;C3&amp;"-"&amp;G3</f>
        <v>30029_1-1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53</v>
      </c>
      <c r="L3" s="20">
        <v>23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ミール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12</v>
      </c>
      <c r="S3" s="25">
        <v>1.7</v>
      </c>
      <c r="T3" s="25">
        <v>1.5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">
        <v>30029001</v>
      </c>
      <c r="X3" s="6">
        <v>2</v>
      </c>
      <c r="Y3" s="6">
        <v>100</v>
      </c>
      <c r="Z3" s="6">
        <v>0</v>
      </c>
      <c r="AA3" s="17">
        <v>2</v>
      </c>
      <c r="AB3" s="24">
        <f>L3</f>
        <v>23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ミール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ca="1">AD3</f>
        <v>1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14" x14ac:dyDescent="0.15">
      <c r="A4" s="16" t="str">
        <f t="shared" ref="A4:A8" si="0">B4&amp;"_"&amp;C4&amp;"-"&amp;G4&amp;"/"&amp;L4&amp;"&lt;lv"&amp;R4&amp;"&gt;s"&amp;AA4</f>
        <v>30029_1-2/138&lt;lv50&gt;s2</v>
      </c>
      <c r="B4" s="22">
        <v>30029</v>
      </c>
      <c r="C4" s="21">
        <v>1</v>
      </c>
      <c r="D4" s="2" t="str">
        <f t="shared" ref="D4:D8" si="1">B4&amp;"_"&amp;C4</f>
        <v>30029_1</v>
      </c>
      <c r="E4" s="4" t="str">
        <f ca="1">VLOOKUP($B4,OFFSET([2]quests!$A$1,0,0,COUNTA([2]quests!$A:$A),MATCH(E$1,[2]quests!$1:$1,0)-MATCH($B$1,[2]quests!$1:$1,0)+1),MATCH(E$1,[2]quests!$1:$1,0)-MATCH($B$1,[2]quests!$1:$1,0)+1,FALSE)</f>
        <v>全ては主のために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【中級】全ては主のために</v>
      </c>
      <c r="G4" s="21">
        <v>2</v>
      </c>
      <c r="H4" s="15" t="str">
        <f t="shared" ref="H4:H8" si="2">B4&amp;"_"&amp;C4&amp;"-"&amp;G4</f>
        <v>30029_1-2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138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蒼薙のトモエ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50</v>
      </c>
      <c r="S4" s="25">
        <v>1</v>
      </c>
      <c r="T4" s="25">
        <v>1.2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4">
        <v>30029002</v>
      </c>
      <c r="X4" s="6">
        <v>1</v>
      </c>
      <c r="Y4" s="6">
        <v>100</v>
      </c>
      <c r="Z4" s="6">
        <v>1</v>
      </c>
      <c r="AA4" s="17">
        <v>2</v>
      </c>
      <c r="AB4" s="24">
        <f t="shared" ref="AB4:AB8" si="3">L4</f>
        <v>138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蒼薙のトモエ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4" s="7">
        <v>1</v>
      </c>
      <c r="AG4" s="24">
        <f t="shared" ref="AG4:AG8" ca="1" si="4">AD4</f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14" x14ac:dyDescent="0.15">
      <c r="A5" s="16" t="str">
        <f t="shared" ref="A5" si="5">B5&amp;"_"&amp;C5&amp;"-"&amp;G5&amp;"/"&amp;L5&amp;"&lt;lv"&amp;R5&amp;"&gt;s"&amp;AA5</f>
        <v>30029_1-2/61&lt;lv42&gt;s3</v>
      </c>
      <c r="B5" s="22">
        <v>30029</v>
      </c>
      <c r="C5" s="21">
        <v>1</v>
      </c>
      <c r="D5" s="2" t="str">
        <f t="shared" ref="D5" si="6">B5&amp;"_"&amp;C5</f>
        <v>30029_1</v>
      </c>
      <c r="E5" s="4" t="str">
        <f ca="1">VLOOKUP($B5,OFFSET([2]quests!$A$1,0,0,COUNTA([2]quests!$A:$A),MATCH(E$1,[2]quests!$1:$1,0)-MATCH($B$1,[2]quests!$1:$1,0)+1),MATCH(E$1,[2]quests!$1:$1,0)-MATCH($B$1,[2]quests!$1:$1,0)+1,FALSE)</f>
        <v>全ては主のために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【中級】全ては主のために</v>
      </c>
      <c r="G5" s="21">
        <v>2</v>
      </c>
      <c r="H5" s="15" t="str">
        <f t="shared" ref="H5" si="7">B5&amp;"_"&amp;C5&amp;"-"&amp;G5</f>
        <v>30029_1-2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61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クロウ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42</v>
      </c>
      <c r="S5" s="25">
        <v>2</v>
      </c>
      <c r="T5" s="25">
        <v>1.2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4">
        <v>30029004</v>
      </c>
      <c r="X5" s="6">
        <v>2</v>
      </c>
      <c r="Y5" s="6">
        <v>100</v>
      </c>
      <c r="Z5" s="6">
        <v>0</v>
      </c>
      <c r="AA5" s="17">
        <v>3</v>
      </c>
      <c r="AB5" s="24">
        <f t="shared" ref="AB5" si="8">L5</f>
        <v>61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クロウ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ref="AG5" ca="1" si="9">AD5</f>
        <v>2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14" x14ac:dyDescent="0.15">
      <c r="A6" s="16" t="str">
        <f t="shared" si="0"/>
        <v>30029_1-3/45&lt;lv50&gt;s3</v>
      </c>
      <c r="B6" s="22">
        <v>30029</v>
      </c>
      <c r="C6" s="21">
        <v>1</v>
      </c>
      <c r="D6" s="2" t="str">
        <f t="shared" si="1"/>
        <v>30029_1</v>
      </c>
      <c r="E6" s="4" t="str">
        <f ca="1">VLOOKUP($B6,OFFSET([2]quests!$A$1,0,0,COUNTA([2]quests!$A:$A),MATCH(E$1,[2]quests!$1:$1,0)-MATCH($B$1,[2]quests!$1:$1,0)+1),MATCH(E$1,[2]quests!$1:$1,0)-MATCH($B$1,[2]quests!$1:$1,0)+1,FALSE)</f>
        <v>全ては主のために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【中級】全ては主のために</v>
      </c>
      <c r="G6" s="21">
        <v>3</v>
      </c>
      <c r="H6" s="15" t="str">
        <f t="shared" si="2"/>
        <v>30029_1-3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8" t="s">
        <v>53</v>
      </c>
      <c r="L6" s="20">
        <v>45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ショウイン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50</v>
      </c>
      <c r="S6" s="25">
        <v>1.8</v>
      </c>
      <c r="T6" s="25">
        <v>1.3</v>
      </c>
      <c r="U6" s="5">
        <v>0</v>
      </c>
      <c r="V6" s="4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4">
        <v>0</v>
      </c>
      <c r="X6" s="6">
        <v>1</v>
      </c>
      <c r="Y6" s="6">
        <v>100</v>
      </c>
      <c r="Z6" s="6">
        <v>1</v>
      </c>
      <c r="AA6" s="17">
        <v>3</v>
      </c>
      <c r="AB6" s="24">
        <f t="shared" si="3"/>
        <v>45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7">
        <v>1</v>
      </c>
      <c r="AG6" s="24">
        <f t="shared" ca="1" si="4"/>
        <v>2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14" x14ac:dyDescent="0.15">
      <c r="A7" s="16" t="str">
        <f t="shared" ref="A7" si="10">B7&amp;"_"&amp;C7&amp;"-"&amp;G7&amp;"/"&amp;L7&amp;"&lt;lv"&amp;R7&amp;"&gt;s"&amp;AA7</f>
        <v>30029_1-3/59&lt;lv25&gt;s2</v>
      </c>
      <c r="B7" s="22">
        <v>30029</v>
      </c>
      <c r="C7" s="21">
        <v>1</v>
      </c>
      <c r="D7" s="2" t="str">
        <f t="shared" ref="D7" si="11">B7&amp;"_"&amp;C7</f>
        <v>30029_1</v>
      </c>
      <c r="E7" s="4" t="str">
        <f ca="1">VLOOKUP($B7,OFFSET([2]quests!$A$1,0,0,COUNTA([2]quests!$A:$A),MATCH(E$1,[2]quests!$1:$1,0)-MATCH($B$1,[2]quests!$1:$1,0)+1),MATCH(E$1,[2]quests!$1:$1,0)-MATCH($B$1,[2]quests!$1:$1,0)+1,FALSE)</f>
        <v>全ては主のために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【中級】全ては主のために</v>
      </c>
      <c r="G7" s="21">
        <v>3</v>
      </c>
      <c r="H7" s="15" t="str">
        <f t="shared" ref="H7" si="12">B7&amp;"_"&amp;C7&amp;"-"&amp;G7</f>
        <v>30029_1-3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8" t="s">
        <v>53</v>
      </c>
      <c r="L7" s="20">
        <v>59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マーチ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25</v>
      </c>
      <c r="S7" s="25">
        <v>1.5</v>
      </c>
      <c r="T7" s="25">
        <v>1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4">
        <v>30029005</v>
      </c>
      <c r="X7" s="6">
        <v>2</v>
      </c>
      <c r="Y7" s="6">
        <v>100</v>
      </c>
      <c r="Z7" s="6">
        <v>0</v>
      </c>
      <c r="AA7" s="17">
        <v>2</v>
      </c>
      <c r="AB7" s="24">
        <f t="shared" ref="AB7" si="13">L7</f>
        <v>59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マーチ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7">
        <v>1</v>
      </c>
      <c r="AG7" s="24">
        <f t="shared" ref="AG7" ca="1" si="14">AD7</f>
        <v>2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14" x14ac:dyDescent="0.15">
      <c r="A8" s="16" t="str">
        <f t="shared" si="0"/>
        <v>30029_1-4/648&lt;lv40&gt;s2</v>
      </c>
      <c r="B8" s="22">
        <v>30029</v>
      </c>
      <c r="C8" s="21">
        <v>1</v>
      </c>
      <c r="D8" s="2" t="str">
        <f t="shared" si="1"/>
        <v>30029_1</v>
      </c>
      <c r="E8" s="4" t="str">
        <f ca="1">VLOOKUP($B8,OFFSET([2]quests!$A$1,0,0,COUNTA([2]quests!$A:$A),MATCH(E$1,[2]quests!$1:$1,0)-MATCH($B$1,[2]quests!$1:$1,0)+1),MATCH(E$1,[2]quests!$1:$1,0)-MATCH($B$1,[2]quests!$1:$1,0)+1,FALSE)</f>
        <v>全ては主のために</v>
      </c>
      <c r="F8" s="4" t="str">
        <f ca="1">VLOOKUP($D8,OFFSET([2]stages!$A$1,0,0,COUNTA([2]stages!$A:$A),MATCH(F$1,[2]stages!$2:$2,0)-MATCH($D$1,[2]stages!$2:$2,0)+1),MATCH(F$1,[2]stages!$2:$2,0)-MATCH($D$1,[2]stages!$2:$2,0)+1,FALSE)</f>
        <v>【中級】全ては主のために</v>
      </c>
      <c r="G8" s="21">
        <v>4</v>
      </c>
      <c r="H8" s="15" t="str">
        <f t="shared" si="2"/>
        <v>30029_1-4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648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パールヴァティ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40</v>
      </c>
      <c r="S8" s="25">
        <v>1.5</v>
      </c>
      <c r="T8" s="25">
        <v>1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4">
        <v>30029006</v>
      </c>
      <c r="X8" s="6">
        <v>1</v>
      </c>
      <c r="Y8" s="6">
        <v>100</v>
      </c>
      <c r="Z8" s="6">
        <v>1</v>
      </c>
      <c r="AA8" s="17">
        <v>2</v>
      </c>
      <c r="AB8" s="24">
        <f t="shared" si="3"/>
        <v>648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パールヴァティ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8" s="7">
        <v>1</v>
      </c>
      <c r="AG8" s="24">
        <f t="shared" ca="1" si="4"/>
        <v>4</v>
      </c>
      <c r="AH8" s="8">
        <v>20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14" x14ac:dyDescent="0.15">
      <c r="A9" s="16" t="str">
        <f t="shared" ref="A9" si="15">B9&amp;"_"&amp;C9&amp;"-"&amp;G9&amp;"/"&amp;L9&amp;"&lt;lv"&amp;R9&amp;"&gt;s"&amp;AA9</f>
        <v>30029_1-4/11&lt;lv32&gt;s2</v>
      </c>
      <c r="B9" s="22">
        <v>30029</v>
      </c>
      <c r="C9" s="21">
        <v>1</v>
      </c>
      <c r="D9" s="2" t="str">
        <f t="shared" ref="D9" si="16">B9&amp;"_"&amp;C9</f>
        <v>30029_1</v>
      </c>
      <c r="E9" s="4" t="str">
        <f ca="1">VLOOKUP($B9,OFFSET([2]quests!$A$1,0,0,COUNTA([2]quests!$A:$A),MATCH(E$1,[2]quests!$1:$1,0)-MATCH($B$1,[2]quests!$1:$1,0)+1),MATCH(E$1,[2]quests!$1:$1,0)-MATCH($B$1,[2]quests!$1:$1,0)+1,FALSE)</f>
        <v>全ては主のために</v>
      </c>
      <c r="F9" s="4" t="str">
        <f ca="1">VLOOKUP($D9,OFFSET([2]stages!$A$1,0,0,COUNTA([2]stages!$A:$A),MATCH(F$1,[2]stages!$2:$2,0)-MATCH($D$1,[2]stages!$2:$2,0)+1),MATCH(F$1,[2]stages!$2:$2,0)-MATCH($D$1,[2]stages!$2:$2,0)+1,FALSE)</f>
        <v>【中級】全ては主のために</v>
      </c>
      <c r="G9" s="21">
        <v>4</v>
      </c>
      <c r="H9" s="15" t="str">
        <f t="shared" ref="H9" si="17">B9&amp;"_"&amp;C9&amp;"-"&amp;G9</f>
        <v>30029_1-4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11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マグリット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32</v>
      </c>
      <c r="S9" s="25">
        <v>1.5</v>
      </c>
      <c r="T9" s="25">
        <v>0.8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4">
        <v>30029008</v>
      </c>
      <c r="X9" s="6">
        <v>2</v>
      </c>
      <c r="Y9" s="6">
        <v>100</v>
      </c>
      <c r="Z9" s="6">
        <v>0</v>
      </c>
      <c r="AA9" s="17">
        <v>2</v>
      </c>
      <c r="AB9" s="24">
        <f t="shared" ref="AB9" si="18">L9</f>
        <v>11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マグリット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1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Drop1W</v>
      </c>
      <c r="AF9" s="7">
        <v>1</v>
      </c>
      <c r="AG9" s="24">
        <f t="shared" ref="AG9" ca="1" si="19">AD9</f>
        <v>1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14" x14ac:dyDescent="0.15">
      <c r="A10" s="16" t="str">
        <f>B10&amp;"_"&amp;C10&amp;"-"&amp;G10&amp;"/"&amp;L10&amp;"&lt;lv"&amp;R10&amp;"&gt;s"&amp;AA10</f>
        <v>30029_2-1/25&lt;lv28&gt;s2</v>
      </c>
      <c r="B10" s="22">
        <v>30029</v>
      </c>
      <c r="C10" s="21">
        <v>2</v>
      </c>
      <c r="D10" s="2" t="str">
        <f>B10&amp;"_"&amp;C10</f>
        <v>30029_2</v>
      </c>
      <c r="E10" s="4" t="str">
        <f ca="1">VLOOKUP($B10,OFFSET([2]quests!$A$1,0,0,COUNTA([2]quests!$A:$A),MATCH(E$1,[2]quests!$1:$1,0)-MATCH($B$1,[2]quests!$1:$1,0)+1),MATCH(E$1,[2]quests!$1:$1,0)-MATCH($B$1,[2]quests!$1:$1,0)+1,FALSE)</f>
        <v>全ては主のために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【上級】全ては主のために</v>
      </c>
      <c r="G10" s="21">
        <v>1</v>
      </c>
      <c r="H10" s="15" t="str">
        <f>B10&amp;"_"&amp;C10&amp;"-"&amp;G10</f>
        <v>30029_2-1</v>
      </c>
      <c r="I10" s="4">
        <f ca="1">VLOOKUP($H10,OFFSET(floors!$A$1,0,0,COUNTA(floors!$A:$A),MATCH(I$1,floors!$1:$1,0)-MATCH($H$1,floors!$1:$1,0)+1),MATCH(I$1,floors!$1:$1,0)-MATCH($H$1,floors!$1:$1,0)+1,FALSE)</f>
        <v>45</v>
      </c>
      <c r="J10" s="4">
        <f ca="1">VLOOKUP($H10,OFFSET(floors!$A$1,0,0,COUNTA(floors!$A:$A),MATCH(J$1,floors!$1:$1,0)-MATCH($H$1,floors!$1:$1,0)+1),MATCH(J$1,floors!$1:$1,0)-MATCH($H$1,floors!$1:$1,0)+1,FALSE)</f>
        <v>45</v>
      </c>
      <c r="K10" s="38" t="s">
        <v>53</v>
      </c>
      <c r="L10" s="20">
        <v>25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ハチ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28</v>
      </c>
      <c r="S10" s="25">
        <v>1.5</v>
      </c>
      <c r="T10" s="25">
        <v>1</v>
      </c>
      <c r="U10" s="5">
        <v>0</v>
      </c>
      <c r="V10" s="4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4">
        <v>0</v>
      </c>
      <c r="X10" s="6">
        <v>1</v>
      </c>
      <c r="Y10" s="6">
        <v>100</v>
      </c>
      <c r="Z10" s="6">
        <v>1</v>
      </c>
      <c r="AA10" s="17">
        <v>2</v>
      </c>
      <c r="AB10" s="24">
        <f>L10</f>
        <v>25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ハチ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1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Drop1N</v>
      </c>
      <c r="AF10" s="7">
        <v>1</v>
      </c>
      <c r="AG10" s="24">
        <f ca="1">AD10</f>
        <v>1</v>
      </c>
      <c r="AH10" s="8">
        <v>20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14" x14ac:dyDescent="0.15">
      <c r="A11" s="16" t="str">
        <f>B11&amp;"_"&amp;C11&amp;"-"&amp;G11&amp;"/"&amp;L11&amp;"&lt;lv"&amp;R11&amp;"&gt;s"&amp;AA11</f>
        <v>30029_2-1/23&lt;lv14&gt;s2</v>
      </c>
      <c r="B11" s="22">
        <v>30029</v>
      </c>
      <c r="C11" s="21">
        <v>2</v>
      </c>
      <c r="D11" s="2" t="str">
        <f>B11&amp;"_"&amp;C11</f>
        <v>30029_2</v>
      </c>
      <c r="E11" s="4" t="str">
        <f ca="1">VLOOKUP($B11,OFFSET([2]quests!$A$1,0,0,COUNTA([2]quests!$A:$A),MATCH(E$1,[2]quests!$1:$1,0)-MATCH($B$1,[2]quests!$1:$1,0)+1),MATCH(E$1,[2]quests!$1:$1,0)-MATCH($B$1,[2]quests!$1:$1,0)+1,FALSE)</f>
        <v>全ては主のために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【上級】全ては主のために</v>
      </c>
      <c r="G11" s="21">
        <v>1</v>
      </c>
      <c r="H11" s="15" t="str">
        <f>B11&amp;"_"&amp;C11&amp;"-"&amp;G11</f>
        <v>30029_2-1</v>
      </c>
      <c r="I11" s="4">
        <f ca="1">VLOOKUP($H11,OFFSET(floors!$A$1,0,0,COUNTA(floors!$A:$A),MATCH(I$1,floors!$1:$1,0)-MATCH($H$1,floors!$1:$1,0)+1),MATCH(I$1,floors!$1:$1,0)-MATCH($H$1,floors!$1:$1,0)+1,FALSE)</f>
        <v>45</v>
      </c>
      <c r="J11" s="4">
        <f ca="1">VLOOKUP($H11,OFFSET(floors!$A$1,0,0,COUNTA(floors!$A:$A),MATCH(J$1,floors!$1:$1,0)-MATCH($H$1,floors!$1:$1,0)+1),MATCH(J$1,floors!$1:$1,0)-MATCH($H$1,floors!$1:$1,0)+1,FALSE)</f>
        <v>45</v>
      </c>
      <c r="K11" s="38" t="s">
        <v>53</v>
      </c>
      <c r="L11" s="20">
        <v>23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ミール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14</v>
      </c>
      <c r="S11" s="25">
        <v>1.5</v>
      </c>
      <c r="T11" s="25">
        <v>1</v>
      </c>
      <c r="U11" s="5">
        <v>0</v>
      </c>
      <c r="V11" s="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4">
        <v>30029001</v>
      </c>
      <c r="X11" s="6">
        <v>2</v>
      </c>
      <c r="Y11" s="6">
        <v>100</v>
      </c>
      <c r="Z11" s="6">
        <v>0</v>
      </c>
      <c r="AA11" s="17">
        <v>2</v>
      </c>
      <c r="AB11" s="24">
        <f>L11</f>
        <v>23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ミール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1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7">
        <v>1</v>
      </c>
      <c r="AG11" s="24">
        <f ca="1">AD11</f>
        <v>1</v>
      </c>
      <c r="AH11" s="8">
        <v>20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14" x14ac:dyDescent="0.15">
      <c r="A12" s="16" t="str">
        <f t="shared" ref="A12:A17" si="20">B12&amp;"_"&amp;C12&amp;"-"&amp;G12&amp;"/"&amp;L12&amp;"&lt;lv"&amp;R12&amp;"&gt;s"&amp;AA12</f>
        <v>30029_2-2/138&lt;lv60&gt;s2</v>
      </c>
      <c r="B12" s="22">
        <v>30029</v>
      </c>
      <c r="C12" s="21">
        <v>2</v>
      </c>
      <c r="D12" s="2" t="str">
        <f t="shared" ref="D12:D17" si="21">B12&amp;"_"&amp;C12</f>
        <v>30029_2</v>
      </c>
      <c r="E12" s="4" t="str">
        <f ca="1">VLOOKUP($B12,OFFSET([2]quests!$A$1,0,0,COUNTA([2]quests!$A:$A),MATCH(E$1,[2]quests!$1:$1,0)-MATCH($B$1,[2]quests!$1:$1,0)+1),MATCH(E$1,[2]quests!$1:$1,0)-MATCH($B$1,[2]quests!$1:$1,0)+1,FALSE)</f>
        <v>全ては主のために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【上級】全ては主のために</v>
      </c>
      <c r="G12" s="21">
        <v>2</v>
      </c>
      <c r="H12" s="15" t="str">
        <f t="shared" ref="H12:H17" si="22">B12&amp;"_"&amp;C12&amp;"-"&amp;G12</f>
        <v>30029_2-2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138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蒼薙のトモエ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20</v>
      </c>
      <c r="R12" s="5">
        <v>60</v>
      </c>
      <c r="S12" s="25">
        <v>1</v>
      </c>
      <c r="T12" s="25">
        <v>1.2</v>
      </c>
      <c r="U12" s="5">
        <v>0</v>
      </c>
      <c r="V12" s="4" t="e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2" s="4">
        <v>30029002</v>
      </c>
      <c r="X12" s="6">
        <v>1</v>
      </c>
      <c r="Y12" s="6">
        <v>100</v>
      </c>
      <c r="Z12" s="6">
        <v>1</v>
      </c>
      <c r="AA12" s="17">
        <v>2</v>
      </c>
      <c r="AB12" s="24">
        <f t="shared" ref="AB12:AB17" si="23">L12</f>
        <v>138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蒼薙のトモエ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3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2" s="7">
        <v>1</v>
      </c>
      <c r="AG12" s="24">
        <f t="shared" ref="AG12:AG17" ca="1" si="24">AD12</f>
        <v>3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14" x14ac:dyDescent="0.15">
      <c r="A13" s="16" t="str">
        <f t="shared" si="20"/>
        <v>30029_2-2/61&lt;lv52&gt;s3</v>
      </c>
      <c r="B13" s="22">
        <v>30029</v>
      </c>
      <c r="C13" s="21">
        <v>2</v>
      </c>
      <c r="D13" s="2" t="str">
        <f t="shared" si="21"/>
        <v>30029_2</v>
      </c>
      <c r="E13" s="4" t="str">
        <f ca="1">VLOOKUP($B13,OFFSET([2]quests!$A$1,0,0,COUNTA([2]quests!$A:$A),MATCH(E$1,[2]quests!$1:$1,0)-MATCH($B$1,[2]quests!$1:$1,0)+1),MATCH(E$1,[2]quests!$1:$1,0)-MATCH($B$1,[2]quests!$1:$1,0)+1,FALSE)</f>
        <v>全ては主のために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【上級】全ては主のために</v>
      </c>
      <c r="G13" s="21">
        <v>2</v>
      </c>
      <c r="H13" s="15" t="str">
        <f t="shared" si="22"/>
        <v>30029_2-2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61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クロウ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52</v>
      </c>
      <c r="S13" s="25">
        <v>2</v>
      </c>
      <c r="T13" s="25">
        <v>1.2</v>
      </c>
      <c r="U13" s="5">
        <v>0</v>
      </c>
      <c r="V13" s="4" t="e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3" s="4">
        <v>30029004</v>
      </c>
      <c r="X13" s="6">
        <v>2</v>
      </c>
      <c r="Y13" s="6">
        <v>100</v>
      </c>
      <c r="Z13" s="6">
        <v>0</v>
      </c>
      <c r="AA13" s="17">
        <v>3</v>
      </c>
      <c r="AB13" s="24">
        <f t="shared" si="23"/>
        <v>61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クロウ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7">
        <v>1</v>
      </c>
      <c r="AG13" s="24">
        <f t="shared" ca="1" si="24"/>
        <v>2</v>
      </c>
      <c r="AH13" s="8">
        <v>20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14" x14ac:dyDescent="0.15">
      <c r="A14" s="16" t="str">
        <f t="shared" si="20"/>
        <v>30029_2-3/45&lt;lv60&gt;s3</v>
      </c>
      <c r="B14" s="22">
        <v>30029</v>
      </c>
      <c r="C14" s="21">
        <v>2</v>
      </c>
      <c r="D14" s="2" t="str">
        <f t="shared" si="21"/>
        <v>30029_2</v>
      </c>
      <c r="E14" s="4" t="str">
        <f ca="1">VLOOKUP($B14,OFFSET([2]quests!$A$1,0,0,COUNTA([2]quests!$A:$A),MATCH(E$1,[2]quests!$1:$1,0)-MATCH($B$1,[2]quests!$1:$1,0)+1),MATCH(E$1,[2]quests!$1:$1,0)-MATCH($B$1,[2]quests!$1:$1,0)+1,FALSE)</f>
        <v>全ては主のために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【上級】全ては主のために</v>
      </c>
      <c r="G14" s="21">
        <v>3</v>
      </c>
      <c r="H14" s="15" t="str">
        <f t="shared" si="22"/>
        <v>30029_2-3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38" t="s">
        <v>53</v>
      </c>
      <c r="L14" s="20">
        <v>45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ショウイン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60</v>
      </c>
      <c r="S14" s="25">
        <v>1.5</v>
      </c>
      <c r="T14" s="25">
        <v>1.3</v>
      </c>
      <c r="U14" s="5">
        <v>0</v>
      </c>
      <c r="V14" s="4" t="str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" s="4">
        <v>0</v>
      </c>
      <c r="X14" s="6">
        <v>1</v>
      </c>
      <c r="Y14" s="6">
        <v>100</v>
      </c>
      <c r="Z14" s="6">
        <v>1</v>
      </c>
      <c r="AA14" s="17">
        <v>3</v>
      </c>
      <c r="AB14" s="24">
        <f t="shared" si="23"/>
        <v>45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7">
        <v>1</v>
      </c>
      <c r="AG14" s="24">
        <f t="shared" ca="1" si="24"/>
        <v>2</v>
      </c>
      <c r="AH14" s="8">
        <v>20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14" x14ac:dyDescent="0.15">
      <c r="A15" s="16" t="str">
        <f t="shared" si="20"/>
        <v>30029_2-3/59&lt;lv35&gt;s2</v>
      </c>
      <c r="B15" s="22">
        <v>30029</v>
      </c>
      <c r="C15" s="21">
        <v>2</v>
      </c>
      <c r="D15" s="2" t="str">
        <f t="shared" si="21"/>
        <v>30029_2</v>
      </c>
      <c r="E15" s="4" t="str">
        <f ca="1">VLOOKUP($B15,OFFSET([2]quests!$A$1,0,0,COUNTA([2]quests!$A:$A),MATCH(E$1,[2]quests!$1:$1,0)-MATCH($B$1,[2]quests!$1:$1,0)+1),MATCH(E$1,[2]quests!$1:$1,0)-MATCH($B$1,[2]quests!$1:$1,0)+1,FALSE)</f>
        <v>全ては主のために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【上級】全ては主のために</v>
      </c>
      <c r="G15" s="21">
        <v>3</v>
      </c>
      <c r="H15" s="15" t="str">
        <f t="shared" si="22"/>
        <v>30029_2-3</v>
      </c>
      <c r="I15" s="4">
        <f ca="1">VLOOKUP($H15,OFFSET(floors!$A$1,0,0,COUNTA(floors!$A:$A),MATCH(I$1,floors!$1:$1,0)-MATCH($H$1,floors!$1:$1,0)+1),MATCH(I$1,floors!$1:$1,0)-MATCH($H$1,floors!$1:$1,0)+1,FALSE)</f>
        <v>45</v>
      </c>
      <c r="J15" s="4">
        <f ca="1">VLOOKUP($H15,OFFSET(floors!$A$1,0,0,COUNTA(floors!$A:$A),MATCH(J$1,floors!$1:$1,0)-MATCH($H$1,floors!$1:$1,0)+1),MATCH(J$1,floors!$1:$1,0)-MATCH($H$1,floors!$1:$1,0)+1,FALSE)</f>
        <v>45</v>
      </c>
      <c r="K15" s="38" t="s">
        <v>53</v>
      </c>
      <c r="L15" s="20">
        <v>59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マーチ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35</v>
      </c>
      <c r="S15" s="25">
        <v>1.5</v>
      </c>
      <c r="T15" s="25">
        <v>1</v>
      </c>
      <c r="U15" s="5">
        <v>0</v>
      </c>
      <c r="V15" s="4" t="e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5" s="4">
        <v>30029005</v>
      </c>
      <c r="X15" s="6">
        <v>2</v>
      </c>
      <c r="Y15" s="6">
        <v>100</v>
      </c>
      <c r="Z15" s="6">
        <v>0</v>
      </c>
      <c r="AA15" s="17">
        <v>2</v>
      </c>
      <c r="AB15" s="24">
        <f t="shared" si="23"/>
        <v>59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マーチ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7">
        <v>1</v>
      </c>
      <c r="AG15" s="24">
        <f t="shared" ca="1" si="24"/>
        <v>2</v>
      </c>
      <c r="AH15" s="8">
        <v>20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14" x14ac:dyDescent="0.15">
      <c r="A16" s="16" t="str">
        <f t="shared" si="20"/>
        <v>30029_2-4/648&lt;lv50&gt;s2</v>
      </c>
      <c r="B16" s="22">
        <v>30029</v>
      </c>
      <c r="C16" s="21">
        <v>2</v>
      </c>
      <c r="D16" s="2" t="str">
        <f t="shared" si="21"/>
        <v>30029_2</v>
      </c>
      <c r="E16" s="4" t="str">
        <f ca="1">VLOOKUP($B16,OFFSET([2]quests!$A$1,0,0,COUNTA([2]quests!$A:$A),MATCH(E$1,[2]quests!$1:$1,0)-MATCH($B$1,[2]quests!$1:$1,0)+1),MATCH(E$1,[2]quests!$1:$1,0)-MATCH($B$1,[2]quests!$1:$1,0)+1,FALSE)</f>
        <v>全ては主のために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【上級】全ては主のために</v>
      </c>
      <c r="G16" s="21">
        <v>4</v>
      </c>
      <c r="H16" s="15" t="str">
        <f t="shared" si="22"/>
        <v>30029_2-4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2</v>
      </c>
      <c r="L16" s="20">
        <v>648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パールヴァティ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DropWizS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god</v>
      </c>
      <c r="Q16" s="17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50</v>
      </c>
      <c r="S16" s="25">
        <v>1.5</v>
      </c>
      <c r="T16" s="25">
        <v>1</v>
      </c>
      <c r="U16" s="5">
        <v>0</v>
      </c>
      <c r="V16" s="4" t="e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6" s="4">
        <v>30029006</v>
      </c>
      <c r="X16" s="6">
        <v>1</v>
      </c>
      <c r="Y16" s="6">
        <v>100</v>
      </c>
      <c r="Z16" s="6">
        <v>1</v>
      </c>
      <c r="AA16" s="17">
        <v>2</v>
      </c>
      <c r="AB16" s="24">
        <f t="shared" si="23"/>
        <v>648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パールヴァティ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4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6" s="7">
        <v>1</v>
      </c>
      <c r="AG16" s="24">
        <f t="shared" ca="1" si="24"/>
        <v>4</v>
      </c>
      <c r="AH16" s="8">
        <v>50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14" x14ac:dyDescent="0.15">
      <c r="A17" s="16" t="str">
        <f t="shared" si="20"/>
        <v>30029_2-4/11&lt;lv42&gt;s2</v>
      </c>
      <c r="B17" s="22">
        <v>30029</v>
      </c>
      <c r="C17" s="21">
        <v>2</v>
      </c>
      <c r="D17" s="2" t="str">
        <f t="shared" si="21"/>
        <v>30029_2</v>
      </c>
      <c r="E17" s="4" t="str">
        <f ca="1">VLOOKUP($B17,OFFSET([2]quests!$A$1,0,0,COUNTA([2]quests!$A:$A),MATCH(E$1,[2]quests!$1:$1,0)-MATCH($B$1,[2]quests!$1:$1,0)+1),MATCH(E$1,[2]quests!$1:$1,0)-MATCH($B$1,[2]quests!$1:$1,0)+1,FALSE)</f>
        <v>全ては主のために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【上級】全ては主のために</v>
      </c>
      <c r="G17" s="21">
        <v>4</v>
      </c>
      <c r="H17" s="15" t="str">
        <f t="shared" si="22"/>
        <v>30029_2-4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11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マグリット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42</v>
      </c>
      <c r="S17" s="25">
        <v>1.5</v>
      </c>
      <c r="T17" s="25">
        <v>0.8</v>
      </c>
      <c r="U17" s="5">
        <v>0</v>
      </c>
      <c r="V17" s="4" t="e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7" s="4">
        <v>30029008</v>
      </c>
      <c r="X17" s="6">
        <v>2</v>
      </c>
      <c r="Y17" s="6">
        <v>100</v>
      </c>
      <c r="Z17" s="6">
        <v>0</v>
      </c>
      <c r="AA17" s="17">
        <v>2</v>
      </c>
      <c r="AB17" s="24">
        <f t="shared" si="23"/>
        <v>11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マグリット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1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Drop1W</v>
      </c>
      <c r="AF17" s="7">
        <v>1</v>
      </c>
      <c r="AG17" s="24">
        <f t="shared" ca="1" si="24"/>
        <v>1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14" x14ac:dyDescent="0.15">
      <c r="A18" s="16" t="str">
        <f>B18&amp;"_"&amp;C18&amp;"-"&amp;G18&amp;"/"&amp;L18&amp;"&lt;lv"&amp;R18&amp;"&gt;s"&amp;AA18</f>
        <v>30029_3-1/25&lt;lv38&gt;s2</v>
      </c>
      <c r="B18" s="22">
        <v>30029</v>
      </c>
      <c r="C18" s="21">
        <v>3</v>
      </c>
      <c r="D18" s="2" t="str">
        <f>B18&amp;"_"&amp;C18</f>
        <v>30029_3</v>
      </c>
      <c r="E18" s="4" t="str">
        <f ca="1">VLOOKUP($B18,OFFSET([2]quests!$A$1,0,0,COUNTA([2]quests!$A:$A),MATCH(E$1,[2]quests!$1:$1,0)-MATCH($B$1,[2]quests!$1:$1,0)+1),MATCH(E$1,[2]quests!$1:$1,0)-MATCH($B$1,[2]quests!$1:$1,0)+1,FALSE)</f>
        <v>全ては主のために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【超級】全ては主のために</v>
      </c>
      <c r="G18" s="21">
        <v>1</v>
      </c>
      <c r="H18" s="15" t="str">
        <f>B18&amp;"_"&amp;C18&amp;"-"&amp;G18</f>
        <v>30029_3-1</v>
      </c>
      <c r="I18" s="4">
        <f ca="1">VLOOKUP($H18,OFFSET(floors!$A$1,0,0,COUNTA(floors!$A:$A),MATCH(I$1,floors!$1:$1,0)-MATCH($H$1,floors!$1:$1,0)+1),MATCH(I$1,floors!$1:$1,0)-MATCH($H$1,floors!$1:$1,0)+1,FALSE)</f>
        <v>45</v>
      </c>
      <c r="J18" s="4">
        <f ca="1">VLOOKUP($H18,OFFSET(floors!$A$1,0,0,COUNTA(floors!$A:$A),MATCH(J$1,floors!$1:$1,0)-MATCH($H$1,floors!$1:$1,0)+1),MATCH(J$1,floors!$1:$1,0)-MATCH($H$1,floors!$1:$1,0)+1,FALSE)</f>
        <v>45</v>
      </c>
      <c r="K18" s="38" t="s">
        <v>53</v>
      </c>
      <c r="L18" s="20">
        <v>25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ハチ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100">
        <v>38</v>
      </c>
      <c r="S18" s="25">
        <v>1.5</v>
      </c>
      <c r="T18" s="25">
        <v>1</v>
      </c>
      <c r="U18" s="5">
        <v>0</v>
      </c>
      <c r="V18" s="4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" s="4">
        <v>0</v>
      </c>
      <c r="X18" s="6">
        <v>1</v>
      </c>
      <c r="Y18" s="6">
        <v>100</v>
      </c>
      <c r="Z18" s="6">
        <v>1</v>
      </c>
      <c r="AA18" s="17">
        <v>2</v>
      </c>
      <c r="AB18" s="24">
        <f>L18</f>
        <v>25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ハチ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1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7">
        <v>1</v>
      </c>
      <c r="AG18" s="24">
        <f ca="1">AD18</f>
        <v>1</v>
      </c>
      <c r="AH18" s="8">
        <v>20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14" x14ac:dyDescent="0.15">
      <c r="A19" s="16" t="str">
        <f>B19&amp;"_"&amp;C19&amp;"-"&amp;G19&amp;"/"&amp;L19&amp;"&lt;lv"&amp;R19&amp;"&gt;s"&amp;AA19</f>
        <v>30029_3-1/23&lt;lv16&gt;s2</v>
      </c>
      <c r="B19" s="22">
        <v>30029</v>
      </c>
      <c r="C19" s="21">
        <v>3</v>
      </c>
      <c r="D19" s="2" t="str">
        <f>B19&amp;"_"&amp;C19</f>
        <v>30029_3</v>
      </c>
      <c r="E19" s="4" t="str">
        <f ca="1">VLOOKUP($B19,OFFSET([2]quests!$A$1,0,0,COUNTA([2]quests!$A:$A),MATCH(E$1,[2]quests!$1:$1,0)-MATCH($B$1,[2]quests!$1:$1,0)+1),MATCH(E$1,[2]quests!$1:$1,0)-MATCH($B$1,[2]quests!$1:$1,0)+1,FALSE)</f>
        <v>全ては主のために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【超級】全ては主のために</v>
      </c>
      <c r="G19" s="21">
        <v>1</v>
      </c>
      <c r="H19" s="15" t="str">
        <f>B19&amp;"_"&amp;C19&amp;"-"&amp;G19</f>
        <v>30029_3-1</v>
      </c>
      <c r="I19" s="4">
        <f ca="1">VLOOKUP($H19,OFFSET(floors!$A$1,0,0,COUNTA(floors!$A:$A),MATCH(I$1,floors!$1:$1,0)-MATCH($H$1,floors!$1:$1,0)+1),MATCH(I$1,floors!$1:$1,0)-MATCH($H$1,floors!$1:$1,0)+1,FALSE)</f>
        <v>45</v>
      </c>
      <c r="J19" s="4">
        <f ca="1">VLOOKUP($H19,OFFSET(floors!$A$1,0,0,COUNTA(floors!$A:$A),MATCH(J$1,floors!$1:$1,0)-MATCH($H$1,floors!$1:$1,0)+1),MATCH(J$1,floors!$1:$1,0)-MATCH($H$1,floors!$1:$1,0)+1,FALSE)</f>
        <v>45</v>
      </c>
      <c r="K19" s="38" t="s">
        <v>53</v>
      </c>
      <c r="L19" s="20">
        <v>23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ミール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100">
        <v>16</v>
      </c>
      <c r="S19" s="25">
        <v>1.5</v>
      </c>
      <c r="T19" s="25">
        <v>1</v>
      </c>
      <c r="U19" s="5">
        <v>0</v>
      </c>
      <c r="V19" s="4" t="e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9" s="4">
        <v>30029001</v>
      </c>
      <c r="X19" s="6">
        <v>2</v>
      </c>
      <c r="Y19" s="6">
        <v>100</v>
      </c>
      <c r="Z19" s="6">
        <v>0</v>
      </c>
      <c r="AA19" s="17">
        <v>2</v>
      </c>
      <c r="AB19" s="24">
        <f>L19</f>
        <v>23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ミール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1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Drop1N</v>
      </c>
      <c r="AF19" s="7">
        <v>1</v>
      </c>
      <c r="AG19" s="24">
        <f ca="1">AD19</f>
        <v>1</v>
      </c>
      <c r="AH19" s="8">
        <v>20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  <row r="20" spans="1:40" ht="14" x14ac:dyDescent="0.15">
      <c r="A20" s="16" t="str">
        <f t="shared" ref="A20:A25" si="25">B20&amp;"_"&amp;C20&amp;"-"&amp;G20&amp;"/"&amp;L20&amp;"&lt;lv"&amp;R20&amp;"&gt;s"&amp;AA20</f>
        <v>30029_3-2/138&lt;lv70&gt;s2</v>
      </c>
      <c r="B20" s="22">
        <v>30029</v>
      </c>
      <c r="C20" s="21">
        <v>3</v>
      </c>
      <c r="D20" s="2" t="str">
        <f t="shared" ref="D20:D25" si="26">B20&amp;"_"&amp;C20</f>
        <v>30029_3</v>
      </c>
      <c r="E20" s="4" t="str">
        <f ca="1">VLOOKUP($B20,OFFSET([2]quests!$A$1,0,0,COUNTA([2]quests!$A:$A),MATCH(E$1,[2]quests!$1:$1,0)-MATCH($B$1,[2]quests!$1:$1,0)+1),MATCH(E$1,[2]quests!$1:$1,0)-MATCH($B$1,[2]quests!$1:$1,0)+1,FALSE)</f>
        <v>全ては主のために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【超級】全ては主のために</v>
      </c>
      <c r="G20" s="21">
        <v>2</v>
      </c>
      <c r="H20" s="15" t="str">
        <f t="shared" ref="H20:H25" si="27">B20&amp;"_"&amp;C20&amp;"-"&amp;G20</f>
        <v>30029_3-2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>
        <v>3</v>
      </c>
      <c r="L20" s="20">
        <v>138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蒼薙のトモエ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PremiumW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human</v>
      </c>
      <c r="Q20" s="17">
        <f ca="1">VLOOKUP($L20,OFFSET([3]enemies!$A$1,0,0,COUNTA([3]enemies!$A:$A),MATCH(Q$1,[3]enemies!$1:$1,0)-MATCH($L$1,[3]enemies!$1:$1,0)+1),MATCH(Q$1,[3]enemies!$1:$1,0)-MATCH($L$1,[3]enemies!$1:$1,0)+1,FALSE)</f>
        <v>20</v>
      </c>
      <c r="R20" s="100">
        <v>70</v>
      </c>
      <c r="S20" s="25">
        <v>1</v>
      </c>
      <c r="T20" s="25">
        <v>1.2</v>
      </c>
      <c r="U20" s="5">
        <v>0</v>
      </c>
      <c r="V20" s="4" t="e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0" s="4">
        <v>30029002</v>
      </c>
      <c r="X20" s="6">
        <v>1</v>
      </c>
      <c r="Y20" s="6">
        <v>100</v>
      </c>
      <c r="Z20" s="6">
        <v>1</v>
      </c>
      <c r="AA20" s="17">
        <v>2</v>
      </c>
      <c r="AB20" s="24">
        <f t="shared" ref="AB20:AB25" si="28">L20</f>
        <v>138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蒼薙のトモエ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3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0" s="7">
        <v>1</v>
      </c>
      <c r="AG20" s="24">
        <f t="shared" ref="AG20:AG25" ca="1" si="29">AD20</f>
        <v>3</v>
      </c>
      <c r="AH20" s="8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9">
        <v>1</v>
      </c>
    </row>
    <row r="21" spans="1:40" ht="14" x14ac:dyDescent="0.15">
      <c r="A21" s="16" t="str">
        <f t="shared" si="25"/>
        <v>30029_3-2/61&lt;lv62&gt;s3</v>
      </c>
      <c r="B21" s="22">
        <v>30029</v>
      </c>
      <c r="C21" s="21">
        <v>3</v>
      </c>
      <c r="D21" s="2" t="str">
        <f t="shared" si="26"/>
        <v>30029_3</v>
      </c>
      <c r="E21" s="4" t="str">
        <f ca="1">VLOOKUP($B21,OFFSET([2]quests!$A$1,0,0,COUNTA([2]quests!$A:$A),MATCH(E$1,[2]quests!$1:$1,0)-MATCH($B$1,[2]quests!$1:$1,0)+1),MATCH(E$1,[2]quests!$1:$1,0)-MATCH($B$1,[2]quests!$1:$1,0)+1,FALSE)</f>
        <v>全ては主のために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【超級】全ては主のために</v>
      </c>
      <c r="G21" s="21">
        <v>2</v>
      </c>
      <c r="H21" s="15" t="str">
        <f t="shared" si="27"/>
        <v>30029_3-2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 t="s">
        <v>53</v>
      </c>
      <c r="L21" s="20">
        <v>61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クロウ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blue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Drop1N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100">
        <v>62</v>
      </c>
      <c r="S21" s="25">
        <v>2</v>
      </c>
      <c r="T21" s="25">
        <v>1.2</v>
      </c>
      <c r="U21" s="5">
        <v>0</v>
      </c>
      <c r="V21" s="4" t="e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1" s="4">
        <v>30029004</v>
      </c>
      <c r="X21" s="6">
        <v>2</v>
      </c>
      <c r="Y21" s="6">
        <v>100</v>
      </c>
      <c r="Z21" s="6">
        <v>0</v>
      </c>
      <c r="AA21" s="17">
        <v>3</v>
      </c>
      <c r="AB21" s="24">
        <f t="shared" si="28"/>
        <v>61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クロウ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2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Drop1N</v>
      </c>
      <c r="AF21" s="7">
        <v>1</v>
      </c>
      <c r="AG21" s="24">
        <f t="shared" ca="1" si="29"/>
        <v>2</v>
      </c>
      <c r="AH21" s="8">
        <v>20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9">
        <v>1</v>
      </c>
    </row>
    <row r="22" spans="1:40" ht="14" x14ac:dyDescent="0.15">
      <c r="A22" s="16" t="str">
        <f t="shared" si="25"/>
        <v>30029_3-3/45&lt;lv70&gt;s3</v>
      </c>
      <c r="B22" s="22">
        <v>30029</v>
      </c>
      <c r="C22" s="21">
        <v>3</v>
      </c>
      <c r="D22" s="2" t="str">
        <f t="shared" si="26"/>
        <v>30029_3</v>
      </c>
      <c r="E22" s="4" t="str">
        <f ca="1">VLOOKUP($B22,OFFSET([2]quests!$A$1,0,0,COUNTA([2]quests!$A:$A),MATCH(E$1,[2]quests!$1:$1,0)-MATCH($B$1,[2]quests!$1:$1,0)+1),MATCH(E$1,[2]quests!$1:$1,0)-MATCH($B$1,[2]quests!$1:$1,0)+1,FALSE)</f>
        <v>全ては主のために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【超級】全ては主のために</v>
      </c>
      <c r="G22" s="21">
        <v>3</v>
      </c>
      <c r="H22" s="15" t="str">
        <f t="shared" si="27"/>
        <v>30029_3-3</v>
      </c>
      <c r="I22" s="4">
        <f ca="1">VLOOKUP($H22,OFFSET(floors!$A$1,0,0,COUNTA(floors!$A:$A),MATCH(I$1,floors!$1:$1,0)-MATCH($H$1,floors!$1:$1,0)+1),MATCH(I$1,floors!$1:$1,0)-MATCH($H$1,floors!$1:$1,0)+1,FALSE)</f>
        <v>45</v>
      </c>
      <c r="J22" s="4">
        <f ca="1">VLOOKUP($H22,OFFSET(floors!$A$1,0,0,COUNTA(floors!$A:$A),MATCH(J$1,floors!$1:$1,0)-MATCH($H$1,floors!$1:$1,0)+1),MATCH(J$1,floors!$1:$1,0)-MATCH($H$1,floors!$1:$1,0)+1,FALSE)</f>
        <v>45</v>
      </c>
      <c r="K22" s="38" t="s">
        <v>53</v>
      </c>
      <c r="L22" s="20">
        <v>45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ショウイン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blue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Drop1N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animal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100">
        <v>70</v>
      </c>
      <c r="S22" s="25">
        <v>1.5</v>
      </c>
      <c r="T22" s="25">
        <v>1.3</v>
      </c>
      <c r="U22" s="5">
        <v>0</v>
      </c>
      <c r="V22" s="4" t="str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" s="4">
        <v>0</v>
      </c>
      <c r="X22" s="6">
        <v>1</v>
      </c>
      <c r="Y22" s="6">
        <v>100</v>
      </c>
      <c r="Z22" s="6">
        <v>1</v>
      </c>
      <c r="AA22" s="17">
        <v>3</v>
      </c>
      <c r="AB22" s="24">
        <f t="shared" si="28"/>
        <v>45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2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2" s="7">
        <v>1</v>
      </c>
      <c r="AG22" s="24">
        <f t="shared" ca="1" si="29"/>
        <v>2</v>
      </c>
      <c r="AH22" s="8">
        <v>20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9">
        <v>1</v>
      </c>
    </row>
    <row r="23" spans="1:40" ht="14" x14ac:dyDescent="0.15">
      <c r="A23" s="16" t="str">
        <f t="shared" si="25"/>
        <v>30029_3-3/59&lt;lv45&gt;s2</v>
      </c>
      <c r="B23" s="22">
        <v>30029</v>
      </c>
      <c r="C23" s="21">
        <v>3</v>
      </c>
      <c r="D23" s="2" t="str">
        <f t="shared" si="26"/>
        <v>30029_3</v>
      </c>
      <c r="E23" s="4" t="str">
        <f ca="1">VLOOKUP($B23,OFFSET([2]quests!$A$1,0,0,COUNTA([2]quests!$A:$A),MATCH(E$1,[2]quests!$1:$1,0)-MATCH($B$1,[2]quests!$1:$1,0)+1),MATCH(E$1,[2]quests!$1:$1,0)-MATCH($B$1,[2]quests!$1:$1,0)+1,FALSE)</f>
        <v>全ては主のために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【超級】全ては主のために</v>
      </c>
      <c r="G23" s="21">
        <v>3</v>
      </c>
      <c r="H23" s="15" t="str">
        <f t="shared" si="27"/>
        <v>30029_3-3</v>
      </c>
      <c r="I23" s="4">
        <f ca="1">VLOOKUP($H23,OFFSET(floors!$A$1,0,0,COUNTA(floors!$A:$A),MATCH(I$1,floors!$1:$1,0)-MATCH($H$1,floors!$1:$1,0)+1),MATCH(I$1,floors!$1:$1,0)-MATCH($H$1,floors!$1:$1,0)+1,FALSE)</f>
        <v>45</v>
      </c>
      <c r="J23" s="4">
        <f ca="1">VLOOKUP($H23,OFFSET(floors!$A$1,0,0,COUNTA(floors!$A:$A),MATCH(J$1,floors!$1:$1,0)-MATCH($H$1,floors!$1:$1,0)+1),MATCH(J$1,floors!$1:$1,0)-MATCH($H$1,floors!$1:$1,0)+1,FALSE)</f>
        <v>45</v>
      </c>
      <c r="K23" s="38" t="s">
        <v>53</v>
      </c>
      <c r="L23" s="20">
        <v>59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マーチ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Drop1N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animal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100">
        <v>45</v>
      </c>
      <c r="S23" s="25">
        <v>1.5</v>
      </c>
      <c r="T23" s="25">
        <v>1</v>
      </c>
      <c r="U23" s="5">
        <v>0</v>
      </c>
      <c r="V23" s="4" t="e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3" s="4">
        <v>30029005</v>
      </c>
      <c r="X23" s="6">
        <v>2</v>
      </c>
      <c r="Y23" s="6">
        <v>100</v>
      </c>
      <c r="Z23" s="6">
        <v>0</v>
      </c>
      <c r="AA23" s="17">
        <v>2</v>
      </c>
      <c r="AB23" s="24">
        <f t="shared" si="28"/>
        <v>59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マーチ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Drop1N</v>
      </c>
      <c r="AF23" s="7">
        <v>1</v>
      </c>
      <c r="AG23" s="24">
        <f t="shared" ca="1" si="29"/>
        <v>2</v>
      </c>
      <c r="AH23" s="8">
        <v>20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9">
        <v>1</v>
      </c>
    </row>
    <row r="24" spans="1:40" ht="14" x14ac:dyDescent="0.15">
      <c r="A24" s="16" t="str">
        <f t="shared" si="25"/>
        <v>30029_3-4/648&lt;lv60&gt;s2</v>
      </c>
      <c r="B24" s="22">
        <v>30029</v>
      </c>
      <c r="C24" s="21">
        <v>3</v>
      </c>
      <c r="D24" s="2" t="str">
        <f t="shared" si="26"/>
        <v>30029_3</v>
      </c>
      <c r="E24" s="4" t="str">
        <f ca="1">VLOOKUP($B24,OFFSET([2]quests!$A$1,0,0,COUNTA([2]quests!$A:$A),MATCH(E$1,[2]quests!$1:$1,0)-MATCH($B$1,[2]quests!$1:$1,0)+1),MATCH(E$1,[2]quests!$1:$1,0)-MATCH($B$1,[2]quests!$1:$1,0)+1,FALSE)</f>
        <v>全ては主のために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【超級】全ては主のために</v>
      </c>
      <c r="G24" s="21">
        <v>4</v>
      </c>
      <c r="H24" s="15" t="str">
        <f t="shared" si="27"/>
        <v>30029_3-4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8">
        <v>4</v>
      </c>
      <c r="L24" s="20">
        <v>648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パールヴァティ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DropWizS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god</v>
      </c>
      <c r="Q24" s="17">
        <f ca="1">VLOOKUP($L24,OFFSET([3]enemies!$A$1,0,0,COUNTA([3]enemies!$A:$A),MATCH(Q$1,[3]enemies!$1:$1,0)-MATCH($L$1,[3]enemies!$1:$1,0)+1),MATCH(Q$1,[3]enemies!$1:$1,0)-MATCH($L$1,[3]enemies!$1:$1,0)+1,FALSE)</f>
        <v>30</v>
      </c>
      <c r="R24" s="99">
        <v>60</v>
      </c>
      <c r="S24" s="25">
        <v>1.5</v>
      </c>
      <c r="T24" s="25">
        <v>1</v>
      </c>
      <c r="U24" s="5">
        <v>0</v>
      </c>
      <c r="V24" s="4" t="e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4" s="4">
        <v>30029006</v>
      </c>
      <c r="X24" s="6">
        <v>1</v>
      </c>
      <c r="Y24" s="6">
        <v>100</v>
      </c>
      <c r="Z24" s="6">
        <v>1</v>
      </c>
      <c r="AA24" s="17">
        <v>2</v>
      </c>
      <c r="AB24" s="24">
        <f t="shared" si="28"/>
        <v>648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パールヴァティ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4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24" s="7">
        <v>1</v>
      </c>
      <c r="AG24" s="24">
        <f t="shared" ca="1" si="29"/>
        <v>4</v>
      </c>
      <c r="AH24" s="8">
        <v>100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9">
        <v>1</v>
      </c>
    </row>
    <row r="25" spans="1:40" ht="14" x14ac:dyDescent="0.15">
      <c r="A25" s="16" t="str">
        <f t="shared" si="25"/>
        <v>30029_3-4/11&lt;lv52&gt;s2</v>
      </c>
      <c r="B25" s="22">
        <v>30029</v>
      </c>
      <c r="C25" s="21">
        <v>3</v>
      </c>
      <c r="D25" s="2" t="str">
        <f t="shared" si="26"/>
        <v>30029_3</v>
      </c>
      <c r="E25" s="4" t="str">
        <f ca="1">VLOOKUP($B25,OFFSET([2]quests!$A$1,0,0,COUNTA([2]quests!$A:$A),MATCH(E$1,[2]quests!$1:$1,0)-MATCH($B$1,[2]quests!$1:$1,0)+1),MATCH(E$1,[2]quests!$1:$1,0)-MATCH($B$1,[2]quests!$1:$1,0)+1,FALSE)</f>
        <v>全ては主のために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【超級】全ては主のために</v>
      </c>
      <c r="G25" s="21">
        <v>4</v>
      </c>
      <c r="H25" s="15" t="str">
        <f t="shared" si="27"/>
        <v>30029_3-4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8" t="s">
        <v>53</v>
      </c>
      <c r="L25" s="20">
        <v>11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マグリット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green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Drop1W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animal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100">
        <v>52</v>
      </c>
      <c r="S25" s="25">
        <v>1.5</v>
      </c>
      <c r="T25" s="25">
        <v>0.8</v>
      </c>
      <c r="U25" s="5">
        <v>0</v>
      </c>
      <c r="V25" s="4" t="e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5" s="4">
        <v>30029008</v>
      </c>
      <c r="X25" s="6">
        <v>2</v>
      </c>
      <c r="Y25" s="6">
        <v>100</v>
      </c>
      <c r="Z25" s="6">
        <v>0</v>
      </c>
      <c r="AA25" s="17">
        <v>2</v>
      </c>
      <c r="AB25" s="24">
        <f t="shared" si="28"/>
        <v>11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マグリット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1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Drop1W</v>
      </c>
      <c r="AF25" s="7">
        <v>1</v>
      </c>
      <c r="AG25" s="24">
        <f t="shared" ca="1" si="29"/>
        <v>1</v>
      </c>
      <c r="AH25" s="8">
        <v>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Q5" sqref="Q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6.83203125" style="3" bestFit="1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30029_1-4/648&lt;lv40&gt;sq1st2</v>
      </c>
      <c r="B2" s="22">
        <v>30029</v>
      </c>
      <c r="C2" s="21">
        <v>1</v>
      </c>
      <c r="D2" s="2" t="str">
        <f>B2&amp;"_"&amp;C2</f>
        <v>30029_1</v>
      </c>
      <c r="E2" s="4" t="str">
        <f ca="1">VLOOKUP($B2,OFFSET([2]quests!$A$1,0,0,COUNTA([2]quests!$A:$A),MATCH(E$1,[2]quests!$1:$1,0)-MATCH($B$1,[2]quests!$1:$1,0)+1),MATCH(E$1,[2]quests!$1:$1,0)-MATCH($B$1,[2]quests!$1:$1,0)+1,FALSE)</f>
        <v>全ては主のために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【中級】全ては主のために</v>
      </c>
      <c r="G2" s="21">
        <v>4</v>
      </c>
      <c r="H2" s="15" t="str">
        <f>B2&amp;"_"&amp;C2&amp;"-"&amp;G2</f>
        <v>30029_1-4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648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パールヴァティ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40</v>
      </c>
      <c r="T2" s="25">
        <v>1.5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30029007</v>
      </c>
      <c r="Y2" s="70">
        <v>2</v>
      </c>
    </row>
    <row r="3" spans="1:25" ht="21" customHeight="1" x14ac:dyDescent="0.15">
      <c r="A3" s="16" t="str">
        <f t="shared" ref="A3:A5" si="0">B3&amp;"_"&amp;C3&amp;"-"&amp;G3&amp;"/"&amp;M3&amp;"&lt;lv"&amp;S3&amp;"&gt;sq"&amp;K3&amp;"st"&amp;L3</f>
        <v>30029_2-4/648&lt;lv50&gt;sq2st2</v>
      </c>
      <c r="B3" s="22">
        <v>30029</v>
      </c>
      <c r="C3" s="21">
        <v>2</v>
      </c>
      <c r="D3" s="2" t="str">
        <f t="shared" ref="D3:D5" si="1">B3&amp;"_"&amp;C3</f>
        <v>30029_2</v>
      </c>
      <c r="E3" s="4" t="str">
        <f ca="1">VLOOKUP($B3,OFFSET([2]quests!$A$1,0,0,COUNTA([2]quests!$A:$A),MATCH(E$1,[2]quests!$1:$1,0)-MATCH($B$1,[2]quests!$1:$1,0)+1),MATCH(E$1,[2]quests!$1:$1,0)-MATCH($B$1,[2]quests!$1:$1,0)+1,FALSE)</f>
        <v>全ては主のために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【上級】全ては主のために</v>
      </c>
      <c r="G3" s="21">
        <v>4</v>
      </c>
      <c r="H3" s="15" t="str">
        <f t="shared" ref="H3:H5" si="2">B3&amp;"_"&amp;C3&amp;"-"&amp;G3</f>
        <v>30029_2-4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648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パールヴァティ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50</v>
      </c>
      <c r="T3" s="25">
        <v>1.5</v>
      </c>
      <c r="U3" s="25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30029007</v>
      </c>
      <c r="Y3" s="70">
        <v>2</v>
      </c>
    </row>
    <row r="4" spans="1:25" ht="21" customHeight="1" x14ac:dyDescent="0.15">
      <c r="A4" s="16" t="str">
        <f t="shared" si="0"/>
        <v>30029_3-2/138&lt;lv74&gt;sq3st2</v>
      </c>
      <c r="B4" s="22">
        <v>30029</v>
      </c>
      <c r="C4" s="21">
        <v>3</v>
      </c>
      <c r="D4" s="2" t="str">
        <f t="shared" si="1"/>
        <v>30029_3</v>
      </c>
      <c r="E4" s="4" t="str">
        <f ca="1">VLOOKUP($B4,OFFSET([2]quests!$A$1,0,0,COUNTA([2]quests!$A:$A),MATCH(E$1,[2]quests!$1:$1,0)-MATCH($B$1,[2]quests!$1:$1,0)+1),MATCH(E$1,[2]quests!$1:$1,0)-MATCH($B$1,[2]quests!$1:$1,0)+1,FALSE)</f>
        <v>全ては主のために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【超級】全ては主のために</v>
      </c>
      <c r="G4" s="21">
        <v>2</v>
      </c>
      <c r="H4" s="15" t="str">
        <f t="shared" si="2"/>
        <v>30029_3-2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138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蒼薙のトモエ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PremiumW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20</v>
      </c>
      <c r="S4" s="5">
        <v>74</v>
      </c>
      <c r="T4" s="25">
        <v>1</v>
      </c>
      <c r="U4" s="25">
        <v>1.4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30029003</v>
      </c>
      <c r="Y4" s="70">
        <f ca="1">VLOOKUP($M4,OFFSET([3]enemies!$A$1,0,0,COUNTA([3]enemies!$A:$A),MATCH(Y$1,[3]enemies!$1:$1,0)-MATCH($M$1,[3]enemies!$1:$1,0)+1),MATCH(Y$1,[3]enemies!$1:$1,0)-MATCH($M$1,[3]enemies!$1:$1,0)+1,FALSE)</f>
        <v>2</v>
      </c>
    </row>
    <row r="5" spans="1:25" ht="21" customHeight="1" x14ac:dyDescent="0.15">
      <c r="A5" s="16" t="str">
        <f t="shared" si="0"/>
        <v>30029_3-4/648&lt;lv60&gt;sq4st2</v>
      </c>
      <c r="B5" s="22">
        <v>30029</v>
      </c>
      <c r="C5" s="21">
        <v>3</v>
      </c>
      <c r="D5" s="2" t="str">
        <f t="shared" si="1"/>
        <v>30029_3</v>
      </c>
      <c r="E5" s="4" t="str">
        <f ca="1">VLOOKUP($B5,OFFSET([2]quests!$A$1,0,0,COUNTA([2]quests!$A:$A),MATCH(E$1,[2]quests!$1:$1,0)-MATCH($B$1,[2]quests!$1:$1,0)+1),MATCH(E$1,[2]quests!$1:$1,0)-MATCH($B$1,[2]quests!$1:$1,0)+1,FALSE)</f>
        <v>全ては主のために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【超級】全ては主のために</v>
      </c>
      <c r="G5" s="21">
        <v>4</v>
      </c>
      <c r="H5" s="15" t="str">
        <f t="shared" si="2"/>
        <v>30029_3-4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648</v>
      </c>
      <c r="N5" s="17" t="str">
        <f ca="1">VLOOKUP($M5,OFFSET([3]enemies!$A$1,0,0,COUNTA([3]enemies!$A:$A),MATCH(N$1,[3]enemies!$1:$1,0)-MATCH($M$1,[3]enemies!$1:$1,0)+1),MATCH(N$1,[3]enemies!$1:$1,0)-MATCH($M$1,[3]enemies!$1:$1,0)+1,FALSE)</f>
        <v>パールヴァティ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60</v>
      </c>
      <c r="T5" s="25">
        <v>1.5</v>
      </c>
      <c r="U5" s="25">
        <v>1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4">
        <v>30029007</v>
      </c>
      <c r="Y5" s="70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8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18" sqref="E18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18" si="0">B2&amp;"_"&amp;C2</f>
        <v>30029001_30029006</v>
      </c>
      <c r="B2" s="49">
        <v>30029001</v>
      </c>
      <c r="C2" s="49">
        <v>30029006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ヒール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体力が回復した</v>
      </c>
      <c r="F2" s="49">
        <v>30029006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" s="4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" s="47"/>
      <c r="Q2" s="47"/>
      <c r="R2" s="47"/>
    </row>
    <row r="3" spans="1:18" ht="21" customHeight="1" x14ac:dyDescent="0.15">
      <c r="A3" s="39" t="str">
        <f t="shared" si="0"/>
        <v>30029002_30029011</v>
      </c>
      <c r="B3" s="49">
        <v>30029002</v>
      </c>
      <c r="C3" s="49">
        <v>30029011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侵入者を発見！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3ターントモエの防御力UP！</v>
      </c>
      <c r="F3" s="49">
        <v>30029011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30029002_30029012</v>
      </c>
      <c r="B4" s="49">
        <v>30029002</v>
      </c>
      <c r="C4" s="49">
        <v>30029012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一網打尽にしてくれる！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49">
        <v>30029012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v>40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" s="47"/>
      <c r="Q4" s="47"/>
      <c r="R4" s="47"/>
    </row>
    <row r="5" spans="1:18" ht="21" customHeight="1" x14ac:dyDescent="0.15">
      <c r="A5" s="39" t="str">
        <f t="shared" si="0"/>
        <v>30029002_30029013</v>
      </c>
      <c r="B5" s="49">
        <v>30029002</v>
      </c>
      <c r="C5" s="49">
        <v>30029013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隙あり！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3ターンハートパネルが使えない！</v>
      </c>
      <c r="F5" s="49">
        <v>30029013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</row>
    <row r="6" spans="1:18" ht="21" customHeight="1" x14ac:dyDescent="0.15">
      <c r="A6" s="39" t="str">
        <f t="shared" si="0"/>
        <v>30029003_30029016</v>
      </c>
      <c r="B6" s="49">
        <v>30029003</v>
      </c>
      <c r="C6" s="49">
        <v>30029016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この程度では倒れぬわ！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状態異常耐性＋お邪魔パネル生成</v>
      </c>
      <c r="F6" s="49">
        <v>30029016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30029003_30029017</v>
      </c>
      <c r="B7" s="49">
        <v>30029003</v>
      </c>
      <c r="C7" s="49">
        <v>30029017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くらえ！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" s="49">
        <v>30029017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v>40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" s="47"/>
      <c r="Q7" s="47"/>
      <c r="R7" s="47"/>
    </row>
    <row r="8" spans="1:18" ht="21" customHeight="1" x14ac:dyDescent="0.15">
      <c r="A8" s="39" t="str">
        <f t="shared" si="0"/>
        <v>30029003_30029018</v>
      </c>
      <c r="B8" s="49">
        <v>30029003</v>
      </c>
      <c r="C8" s="49">
        <v>30029018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逃がさんぞ！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3ターンハートパネルが使えない！</v>
      </c>
      <c r="F8" s="49">
        <v>30029018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7"/>
      <c r="Q8" s="47"/>
      <c r="R8" s="47"/>
    </row>
    <row r="9" spans="1:18" ht="21" customHeight="1" x14ac:dyDescent="0.15">
      <c r="A9" s="39" t="str">
        <f t="shared" ref="A9" si="1">B9&amp;"_"&amp;C9</f>
        <v>30029003_30029019</v>
      </c>
      <c r="B9" s="49">
        <v>30029003</v>
      </c>
      <c r="C9" s="49">
        <v>30029019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すでに私の策の中ぞ！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お邪魔パネル生成</v>
      </c>
      <c r="F9" s="49">
        <v>30029019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30029004_30029021</v>
      </c>
      <c r="B10" s="49">
        <v>30029004</v>
      </c>
      <c r="C10" s="49">
        <v>30029021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ヒール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体力が回復した</v>
      </c>
      <c r="F10" s="49">
        <v>30029021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0"/>
        <v>30029005_30029031</v>
      </c>
      <c r="B11" s="49">
        <v>30029005</v>
      </c>
      <c r="C11" s="49">
        <v>30029031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ヒール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体力が回復した</v>
      </c>
      <c r="F11" s="49">
        <v>30029031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1" s="47"/>
      <c r="Q11" s="47"/>
      <c r="R11" s="47"/>
    </row>
    <row r="12" spans="1:18" ht="21" customHeight="1" x14ac:dyDescent="0.15">
      <c r="A12" s="39" t="str">
        <f t="shared" si="0"/>
        <v>30029006_30029036</v>
      </c>
      <c r="B12" s="49">
        <v>30029006</v>
      </c>
      <c r="C12" s="49">
        <v>30029036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カーマ様の敵を確認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状態異常耐性＋_x000D_5ターンの間マグリットの防御力UP</v>
      </c>
      <c r="F12" s="49">
        <v>30029036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0"/>
        <v>30029006_30029037</v>
      </c>
      <c r="B13" s="49">
        <v>30029006</v>
      </c>
      <c r="C13" s="49">
        <v>30029037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この攻撃はどう？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" s="49">
        <v>30029037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3" s="47"/>
      <c r="Q13" s="47"/>
      <c r="R13" s="47"/>
    </row>
    <row r="14" spans="1:18" ht="21" customHeight="1" x14ac:dyDescent="0.15">
      <c r="A14" s="39" t="str">
        <f t="shared" si="0"/>
        <v>30029006_30029038</v>
      </c>
      <c r="B14" s="49">
        <v>30029006</v>
      </c>
      <c r="C14" s="49">
        <v>30029038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痛くはないわ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全体回復</v>
      </c>
      <c r="F14" s="49">
        <v>30029038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7"/>
      <c r="Q14" s="47"/>
      <c r="R14" s="47"/>
    </row>
    <row r="15" spans="1:18" ht="21" customHeight="1" x14ac:dyDescent="0.15">
      <c r="A15" s="39" t="str">
        <f t="shared" si="0"/>
        <v>30029006_30029039</v>
      </c>
      <c r="B15" s="49">
        <v>30029006</v>
      </c>
      <c r="C15" s="49">
        <v>30029039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捕まえた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黄パネル吸収攻撃で1体に大ダメージ</v>
      </c>
      <c r="F15" s="49">
        <v>30029039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5" s="47"/>
      <c r="Q15" s="47"/>
      <c r="R15" s="47"/>
    </row>
    <row r="16" spans="1:18" ht="21" customHeight="1" x14ac:dyDescent="0.15">
      <c r="A16" s="39" t="str">
        <f t="shared" si="0"/>
        <v>30029007_30029046</v>
      </c>
      <c r="B16" s="49">
        <v>30029007</v>
      </c>
      <c r="C16" s="49">
        <v>30029046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まだまだ戦えるわ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6" s="49">
        <v>30029046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0"/>
        <v>30029007_30029047</v>
      </c>
      <c r="B17" s="49">
        <v>30029007</v>
      </c>
      <c r="C17" s="49">
        <v>30029047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あなたには倒されないもの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完全回復</v>
      </c>
      <c r="F17" s="49">
        <v>30029047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0"/>
        <v>30029008_30029056</v>
      </c>
      <c r="B18" s="49">
        <v>30029008</v>
      </c>
      <c r="C18" s="49">
        <v>30029056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ご主人様のため！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18" s="49">
        <v>30029056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8" s="47"/>
      <c r="Q18" s="47"/>
      <c r="R18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1"/>
  <sheetViews>
    <sheetView showGridLines="0" zoomScale="115" zoomScaleNormal="115" zoomScalePageLayoutView="115" workbookViewId="0">
      <pane ySplit="1" topLeftCell="A2" activePane="bottomLeft" state="frozenSplit"/>
      <selection pane="bottomLeft" activeCell="E42" sqref="E4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283</v>
      </c>
      <c r="D1" s="40" t="s">
        <v>126</v>
      </c>
      <c r="E1" s="40" t="s">
        <v>267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30029001</v>
      </c>
      <c r="B2" s="47" t="s">
        <v>228</v>
      </c>
      <c r="C2" s="50">
        <v>3</v>
      </c>
      <c r="D2" s="50" t="s">
        <v>127</v>
      </c>
      <c r="E2" s="51" t="s">
        <v>216</v>
      </c>
      <c r="F2" s="51" t="s">
        <v>217</v>
      </c>
      <c r="G2" s="63" t="str">
        <f>IFERROR(LEFT(B2,FIND("],",B2)),B2)</f>
        <v>[effect:nothing]</v>
      </c>
      <c r="H2" s="63">
        <f>FIND("effect:",G2)+7</f>
        <v>9</v>
      </c>
      <c r="I2" s="63">
        <f>IFERROR(FIND(",",G2),LEN(G2))</f>
        <v>16</v>
      </c>
      <c r="J2" s="63" t="e">
        <f>FIND("target:",G2)+7</f>
        <v>#VALUE!</v>
      </c>
      <c r="K2" s="63" t="e">
        <f>FIND(",",G2,I2+1)</f>
        <v>#VALUE!</v>
      </c>
      <c r="L2" s="63" t="str">
        <f>IFERROR(VLOOKUP(MID(G2,J2,K2-J2),[6]skilldef!$C:$D,2,FALSE),"-") &amp; " / " &amp; IFERROR(VLOOKUP(MID(G2,H2,I2-H2),[6]skilldef!$A:$B,2,FALSE),"-")</f>
        <v>- / 何もしない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 t="s">
        <v>214</v>
      </c>
      <c r="AA2" s="52">
        <v>42433</v>
      </c>
      <c r="AB2" s="50" t="s">
        <v>215</v>
      </c>
    </row>
    <row r="3" spans="1:28" ht="21" customHeight="1" x14ac:dyDescent="0.15">
      <c r="A3" s="47">
        <v>30029002</v>
      </c>
      <c r="B3" s="47" t="s">
        <v>228</v>
      </c>
      <c r="C3" s="50">
        <v>3</v>
      </c>
      <c r="D3" s="50" t="s">
        <v>127</v>
      </c>
      <c r="E3" s="51" t="s">
        <v>216</v>
      </c>
      <c r="F3" s="51" t="s">
        <v>217</v>
      </c>
      <c r="G3" s="63" t="str">
        <f t="shared" ref="G3:G29" si="0">IFERROR(LEFT(B3,FIND("],",B3)),B3)</f>
        <v>[effect:nothing]</v>
      </c>
      <c r="H3" s="63">
        <f t="shared" ref="H3:H61" si="1">FIND("effect:",G3)+7</f>
        <v>9</v>
      </c>
      <c r="I3" s="63">
        <f t="shared" ref="I3:I29" si="2">IFERROR(FIND(",",G3),LEN(G3))</f>
        <v>16</v>
      </c>
      <c r="J3" s="63" t="e">
        <f t="shared" ref="J3:J29" si="3">FIND("target:",G3)+7</f>
        <v>#VALUE!</v>
      </c>
      <c r="K3" s="63" t="e">
        <f t="shared" ref="K3:K29" si="4">FIND(",",G3,I3+1)</f>
        <v>#VALUE!</v>
      </c>
      <c r="L3" s="63" t="str">
        <f>IFERROR(VLOOKUP(MID(G3,J3,K3-J3),[6]skilldef!$C:$D,2,FALSE),"-") &amp; " / " &amp; IFERROR(VLOOKUP(MID(G3,H3,I3-H3),[6]skilldef!$A:$B,2,FALSE),"-")</f>
        <v>- / 何もしない</v>
      </c>
      <c r="M3" s="63" t="str">
        <f t="shared" ref="M3:M29" si="5">IFERROR(RIGHT(B3,LEN(B3)-FIND("],",B3)-1),"none")</f>
        <v>none</v>
      </c>
      <c r="N3" s="48" t="str">
        <f t="shared" ref="N3:N29" si="6">IFERROR(LEFT(M3,FIND("],",M3)+S13),M3)</f>
        <v>none</v>
      </c>
      <c r="O3" s="63" t="e">
        <f t="shared" ref="O3:O61" si="7">FIND("effect:",N3)+7</f>
        <v>#VALUE!</v>
      </c>
      <c r="P3" s="63">
        <f t="shared" ref="P3:P29" si="8">IFERROR(FIND(",",N3),LEN(N3))</f>
        <v>4</v>
      </c>
      <c r="Q3" s="63" t="e">
        <f t="shared" ref="Q3:Q29" si="9">FIND("target:",N3)+7</f>
        <v>#VALUE!</v>
      </c>
      <c r="R3" s="63" t="e">
        <f t="shared" ref="R3:R29" si="10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29" si="11">IFERROR(RIGHT(M3,LEN(M3)-FIND("],",M3)-1),"none")</f>
        <v>none</v>
      </c>
      <c r="U3" s="63" t="e">
        <f t="shared" ref="U3:U61" si="12">FIND("effect:",T3)+7</f>
        <v>#VALUE!</v>
      </c>
      <c r="V3" s="63">
        <f t="shared" ref="V3:V29" si="13">IFERROR(FIND(",",T3),LEN(T3))</f>
        <v>4</v>
      </c>
      <c r="W3" s="63" t="e">
        <f t="shared" ref="W3:W29" si="14">FIND("target:",T3)+7</f>
        <v>#VALUE!</v>
      </c>
      <c r="X3" s="63" t="e">
        <f t="shared" ref="X3:X29" si="15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 t="s">
        <v>214</v>
      </c>
      <c r="AA3" s="52">
        <v>42433</v>
      </c>
      <c r="AB3" s="50" t="s">
        <v>215</v>
      </c>
    </row>
    <row r="4" spans="1:28" ht="21" customHeight="1" x14ac:dyDescent="0.15">
      <c r="A4" s="47">
        <v>30029003</v>
      </c>
      <c r="B4" s="47" t="s">
        <v>228</v>
      </c>
      <c r="C4" s="50">
        <v>3</v>
      </c>
      <c r="D4" s="50" t="s">
        <v>127</v>
      </c>
      <c r="E4" s="51" t="s">
        <v>216</v>
      </c>
      <c r="F4" s="51" t="s">
        <v>217</v>
      </c>
      <c r="G4" s="63" t="str">
        <f t="shared" si="0"/>
        <v>[effect:nothing]</v>
      </c>
      <c r="H4" s="63">
        <f t="shared" si="1"/>
        <v>9</v>
      </c>
      <c r="I4" s="63">
        <f t="shared" si="2"/>
        <v>16</v>
      </c>
      <c r="J4" s="63" t="e">
        <f t="shared" si="3"/>
        <v>#VALUE!</v>
      </c>
      <c r="K4" s="63" t="e">
        <f t="shared" si="4"/>
        <v>#VALUE!</v>
      </c>
      <c r="L4" s="63" t="str">
        <f>IFERROR(VLOOKUP(MID(G4,J4,K4-J4),[6]skilldef!$C:$D,2,FALSE),"-") &amp; " / " &amp; IFERROR(VLOOKUP(MID(G4,H4,I4-H4),[6]skilldef!$A:$B,2,FALSE),"-")</f>
        <v>- / 何もしない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 t="s">
        <v>214</v>
      </c>
      <c r="AA4" s="52">
        <v>42433</v>
      </c>
      <c r="AB4" s="50" t="s">
        <v>215</v>
      </c>
    </row>
    <row r="5" spans="1:28" ht="21" customHeight="1" x14ac:dyDescent="0.15">
      <c r="A5" s="47">
        <v>30029004</v>
      </c>
      <c r="B5" s="47" t="s">
        <v>228</v>
      </c>
      <c r="C5" s="50">
        <v>3</v>
      </c>
      <c r="D5" s="50" t="s">
        <v>127</v>
      </c>
      <c r="E5" s="51" t="s">
        <v>216</v>
      </c>
      <c r="F5" s="51" t="s">
        <v>217</v>
      </c>
      <c r="G5" s="63" t="str">
        <f t="shared" si="0"/>
        <v>[effect:nothing]</v>
      </c>
      <c r="H5" s="63">
        <f t="shared" si="1"/>
        <v>9</v>
      </c>
      <c r="I5" s="63">
        <f t="shared" si="2"/>
        <v>16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IFERROR(VLOOKUP(MID(G5,J5,K5-J5),[6]skilldef!$C:$D,2,FALSE),"-") &amp; " / " &amp; IFERROR(VLOOKUP(MID(G5,H5,I5-H5),[6]skilldef!$A:$B,2,FALSE),"-")</f>
        <v>- / 何もしない</v>
      </c>
      <c r="M5" s="63" t="str">
        <f t="shared" si="5"/>
        <v>none</v>
      </c>
      <c r="N5" s="48" t="str">
        <f t="shared" si="6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 t="s">
        <v>214</v>
      </c>
      <c r="AA5" s="52">
        <v>42433</v>
      </c>
      <c r="AB5" s="50" t="s">
        <v>215</v>
      </c>
    </row>
    <row r="6" spans="1:28" ht="21" customHeight="1" x14ac:dyDescent="0.15">
      <c r="A6" s="47">
        <v>30029005</v>
      </c>
      <c r="B6" s="47" t="s">
        <v>228</v>
      </c>
      <c r="C6" s="50">
        <v>3</v>
      </c>
      <c r="D6" s="50" t="s">
        <v>127</v>
      </c>
      <c r="E6" s="51" t="s">
        <v>216</v>
      </c>
      <c r="F6" s="51" t="s">
        <v>217</v>
      </c>
      <c r="G6" s="63" t="str">
        <f t="shared" si="0"/>
        <v>[effect:nothing]</v>
      </c>
      <c r="H6" s="63">
        <f t="shared" si="1"/>
        <v>9</v>
      </c>
      <c r="I6" s="63">
        <f t="shared" si="2"/>
        <v>16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IFERROR(VLOOKUP(MID(G6,J6,K6-J6),[6]skilldef!$C:$D,2,FALSE),"-") &amp; " / " &amp; IFERROR(VLOOKUP(MID(G6,H6,I6-H6),[6]skilldef!$A:$B,2,FALSE),"-")</f>
        <v>- / 何もしない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 t="s">
        <v>214</v>
      </c>
      <c r="AA6" s="52">
        <v>42433</v>
      </c>
      <c r="AB6" s="50" t="s">
        <v>215</v>
      </c>
    </row>
    <row r="7" spans="1:28" ht="21" customHeight="1" x14ac:dyDescent="0.15">
      <c r="A7" s="102">
        <v>30029006</v>
      </c>
      <c r="B7" s="47" t="s">
        <v>227</v>
      </c>
      <c r="C7" s="50">
        <v>3</v>
      </c>
      <c r="D7" s="50" t="s">
        <v>127</v>
      </c>
      <c r="E7" s="51" t="s">
        <v>261</v>
      </c>
      <c r="F7" s="51" t="s">
        <v>251</v>
      </c>
      <c r="G7" s="63" t="str">
        <f t="shared" si="0"/>
        <v>[effect:heal, target:enemy_all, val:0.3, animation:enemy_heal]</v>
      </c>
      <c r="H7" s="63">
        <f t="shared" si="1"/>
        <v>9</v>
      </c>
      <c r="I7" s="63">
        <f t="shared" si="2"/>
        <v>13</v>
      </c>
      <c r="J7" s="63">
        <f t="shared" si="3"/>
        <v>22</v>
      </c>
      <c r="K7" s="63">
        <f t="shared" si="4"/>
        <v>31</v>
      </c>
      <c r="L7" s="63" t="str">
        <f>IFERROR(VLOOKUP(MID(G7,J7,K7-J7),[6]skilldef!$C:$D,2,FALSE),"-") &amp; " / " &amp; IFERROR(VLOOKUP(MID(G7,H7,I7-H7),[6]skilldef!$A:$B,2,FALSE),"-")</f>
        <v>敵全体に / 回復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 t="s">
        <v>214</v>
      </c>
      <c r="AA7" s="52">
        <v>42433</v>
      </c>
      <c r="AB7" s="50" t="s">
        <v>215</v>
      </c>
    </row>
    <row r="8" spans="1:28" ht="21" customHeight="1" x14ac:dyDescent="0.15">
      <c r="A8" s="47">
        <v>30029007</v>
      </c>
      <c r="B8" s="47" t="s">
        <v>228</v>
      </c>
      <c r="C8" s="50">
        <v>3</v>
      </c>
      <c r="D8" s="50" t="s">
        <v>127</v>
      </c>
      <c r="E8" s="51" t="s">
        <v>218</v>
      </c>
      <c r="F8" s="51" t="s">
        <v>217</v>
      </c>
      <c r="G8" s="63" t="str">
        <f t="shared" si="0"/>
        <v>[effect:nothing]</v>
      </c>
      <c r="H8" s="63">
        <f t="shared" si="1"/>
        <v>9</v>
      </c>
      <c r="I8" s="63">
        <f t="shared" si="2"/>
        <v>16</v>
      </c>
      <c r="J8" s="63" t="e">
        <f t="shared" si="3"/>
        <v>#VALUE!</v>
      </c>
      <c r="K8" s="63" t="e">
        <f t="shared" si="4"/>
        <v>#VALUE!</v>
      </c>
      <c r="L8" s="63" t="str">
        <f>IFERROR(VLOOKUP(MID(G8,J8,K8-J8),[6]skilldef!$C:$D,2,FALSE),"-") &amp; " / " &amp; IFERROR(VLOOKUP(MID(G8,H8,I8-H8),[6]skilldef!$A:$B,2,FALSE),"-")</f>
        <v>- / 何もしない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 t="s">
        <v>214</v>
      </c>
      <c r="AA8" s="52">
        <v>42433</v>
      </c>
      <c r="AB8" s="50" t="s">
        <v>215</v>
      </c>
    </row>
    <row r="9" spans="1:28" ht="21" customHeight="1" x14ac:dyDescent="0.15">
      <c r="A9" s="47">
        <v>30029008</v>
      </c>
      <c r="B9" s="47" t="s">
        <v>228</v>
      </c>
      <c r="C9" s="50">
        <v>3</v>
      </c>
      <c r="D9" s="50" t="s">
        <v>127</v>
      </c>
      <c r="E9" s="51" t="s">
        <v>218</v>
      </c>
      <c r="F9" s="51" t="s">
        <v>217</v>
      </c>
      <c r="G9" s="63" t="str">
        <f t="shared" si="0"/>
        <v>[effect:nothing]</v>
      </c>
      <c r="H9" s="63">
        <f t="shared" si="1"/>
        <v>9</v>
      </c>
      <c r="I9" s="63">
        <f t="shared" si="2"/>
        <v>16</v>
      </c>
      <c r="J9" s="63" t="e">
        <f t="shared" si="3"/>
        <v>#VALUE!</v>
      </c>
      <c r="K9" s="63" t="e">
        <f t="shared" si="4"/>
        <v>#VALUE!</v>
      </c>
      <c r="L9" s="63" t="str">
        <f>IFERROR(VLOOKUP(MID(G9,J9,K9-J9),[6]skilldef!$C:$D,2,FALSE),"-") &amp; " / " &amp; IFERROR(VLOOKUP(MID(G9,H9,I9-H9),[6]skilldef!$A:$B,2,FALSE),"-")</f>
        <v>- / 何もしない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 t="s">
        <v>214</v>
      </c>
      <c r="AA9" s="52">
        <v>42433</v>
      </c>
      <c r="AB9" s="50" t="s">
        <v>215</v>
      </c>
    </row>
    <row r="10" spans="1:28" ht="21" customHeight="1" x14ac:dyDescent="0.15">
      <c r="A10" s="47">
        <v>30029009</v>
      </c>
      <c r="B10" s="47" t="s">
        <v>228</v>
      </c>
      <c r="C10" s="50">
        <v>3</v>
      </c>
      <c r="D10" s="50" t="s">
        <v>127</v>
      </c>
      <c r="E10" s="51" t="s">
        <v>218</v>
      </c>
      <c r="F10" s="51" t="s">
        <v>217</v>
      </c>
      <c r="G10" s="63" t="str">
        <f t="shared" si="0"/>
        <v>[effect:nothing]</v>
      </c>
      <c r="H10" s="63">
        <f t="shared" si="1"/>
        <v>9</v>
      </c>
      <c r="I10" s="63">
        <f t="shared" si="2"/>
        <v>16</v>
      </c>
      <c r="J10" s="63" t="e">
        <f t="shared" si="3"/>
        <v>#VALUE!</v>
      </c>
      <c r="K10" s="63" t="e">
        <f t="shared" si="4"/>
        <v>#VALUE!</v>
      </c>
      <c r="L10" s="63" t="str">
        <f>IFERROR(VLOOKUP(MID(G10,J10,K10-J10),[6]skilldef!$C:$D,2,FALSE),"-") &amp; " / " &amp; IFERROR(VLOOKUP(MID(G10,H10,I10-H10),[6]skilldef!$A:$B,2,FALSE),"-")</f>
        <v>- / 何もしない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 t="s">
        <v>214</v>
      </c>
      <c r="AA10" s="52">
        <v>42433</v>
      </c>
      <c r="AB10" s="50" t="s">
        <v>215</v>
      </c>
    </row>
    <row r="11" spans="1:28" ht="21" customHeight="1" x14ac:dyDescent="0.15">
      <c r="A11" s="47">
        <v>30029010</v>
      </c>
      <c r="B11" s="47" t="s">
        <v>229</v>
      </c>
      <c r="C11" s="50">
        <v>3</v>
      </c>
      <c r="D11" s="50" t="s">
        <v>127</v>
      </c>
      <c r="E11" s="51" t="s">
        <v>218</v>
      </c>
      <c r="F11" s="51" t="s">
        <v>217</v>
      </c>
      <c r="G11" s="63" t="str">
        <f t="shared" si="0"/>
        <v>[effect:nothing]</v>
      </c>
      <c r="H11" s="63">
        <f t="shared" si="1"/>
        <v>9</v>
      </c>
      <c r="I11" s="63">
        <f t="shared" si="2"/>
        <v>16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IFERROR(VLOOKUP(MID(G11,J11,K11-J11),[6]skilldef!$C:$D,2,FALSE),"-") &amp; " / " &amp; IFERROR(VLOOKUP(MID(G11,H11,I11-H11),[6]skilldef!$A:$B,2,FALSE),"-")</f>
        <v>- / 何もしない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 t="s">
        <v>214</v>
      </c>
      <c r="AA11" s="52">
        <v>42433</v>
      </c>
      <c r="AB11" s="50" t="s">
        <v>215</v>
      </c>
    </row>
    <row r="12" spans="1:28" ht="21" customHeight="1" x14ac:dyDescent="0.15">
      <c r="A12" s="102">
        <v>30029011</v>
      </c>
      <c r="B12" s="47" t="s">
        <v>239</v>
      </c>
      <c r="C12" s="50">
        <v>3</v>
      </c>
      <c r="D12" s="50" t="s">
        <v>127</v>
      </c>
      <c r="E12" s="51" t="s">
        <v>273</v>
      </c>
      <c r="F12" s="51" t="s">
        <v>286</v>
      </c>
      <c r="G12" s="63" t="str">
        <f t="shared" si="0"/>
        <v>[effect:enhance_enemy, target:myself, turn:3, status:defense, val:1500, animation:enemy_enhance_defense]</v>
      </c>
      <c r="H12" s="63">
        <f t="shared" si="1"/>
        <v>9</v>
      </c>
      <c r="I12" s="63">
        <f t="shared" si="2"/>
        <v>22</v>
      </c>
      <c r="J12" s="63">
        <f t="shared" si="3"/>
        <v>31</v>
      </c>
      <c r="K12" s="63">
        <f t="shared" si="4"/>
        <v>37</v>
      </c>
      <c r="L12" s="63" t="str">
        <f>IFERROR(VLOOKUP(MID(G12,J12,K12-J12),[6]skilldef!$C:$D,2,FALSE),"-") &amp; " / " &amp; IFERROR(VLOOKUP(MID(G12,H12,I12-H12),[6]skilldef!$A:$B,2,FALSE),"-")</f>
        <v>自分自身に / ステータス強化</v>
      </c>
      <c r="M12" s="63" t="str">
        <f t="shared" si="5"/>
        <v>none</v>
      </c>
      <c r="N12" s="48" t="str">
        <f t="shared" si="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 t="s">
        <v>214</v>
      </c>
      <c r="AA12" s="52">
        <v>42433</v>
      </c>
      <c r="AB12" s="50" t="s">
        <v>215</v>
      </c>
    </row>
    <row r="13" spans="1:28" ht="21" customHeight="1" x14ac:dyDescent="0.15">
      <c r="A13" s="102">
        <v>30029012</v>
      </c>
      <c r="B13" s="47" t="s">
        <v>230</v>
      </c>
      <c r="C13" s="50">
        <v>3</v>
      </c>
      <c r="D13" s="50" t="s">
        <v>127</v>
      </c>
      <c r="E13" s="51" t="s">
        <v>252</v>
      </c>
      <c r="F13" s="101" t="s">
        <v>253</v>
      </c>
      <c r="G13" s="63" t="str">
        <f t="shared" si="0"/>
        <v>[effect:spread, val:0.3]</v>
      </c>
      <c r="H13" s="63">
        <f t="shared" si="1"/>
        <v>9</v>
      </c>
      <c r="I13" s="63">
        <f t="shared" si="2"/>
        <v>15</v>
      </c>
      <c r="J13" s="63" t="e">
        <f t="shared" si="3"/>
        <v>#VALUE!</v>
      </c>
      <c r="K13" s="63" t="e">
        <f t="shared" si="4"/>
        <v>#VALUE!</v>
      </c>
      <c r="L13" s="63" t="str">
        <f>IFERROR(VLOOKUP(MID(G13,J13,K13-J13),[6]skilldef!$C:$D,2,FALSE),"-") &amp; " / " &amp; IFERROR(VLOOKUP(MID(G13,H13,I13-H13),[6]skilldef!$A:$B,2,FALSE),"-")</f>
        <v>- / 全体攻撃</v>
      </c>
      <c r="M13" s="63" t="str">
        <f t="shared" si="5"/>
        <v>none</v>
      </c>
      <c r="N13" s="48" t="str">
        <f t="shared" si="6"/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 t="s">
        <v>214</v>
      </c>
      <c r="AA13" s="52">
        <v>42433</v>
      </c>
      <c r="AB13" s="50" t="s">
        <v>215</v>
      </c>
    </row>
    <row r="14" spans="1:28" ht="21" customHeight="1" x14ac:dyDescent="0.15">
      <c r="A14" s="102">
        <v>30029013</v>
      </c>
      <c r="B14" s="47" t="s">
        <v>236</v>
      </c>
      <c r="C14" s="50">
        <v>3</v>
      </c>
      <c r="D14" s="50" t="s">
        <v>127</v>
      </c>
      <c r="E14" s="51" t="s">
        <v>254</v>
      </c>
      <c r="F14" s="51" t="s">
        <v>276</v>
      </c>
      <c r="G14" s="63" t="str">
        <f t="shared" si="0"/>
        <v>[effect:dis_heart, turn:3, animation:enemy_dis_heart]</v>
      </c>
      <c r="H14" s="63">
        <f t="shared" si="1"/>
        <v>9</v>
      </c>
      <c r="I14" s="63">
        <f t="shared" si="2"/>
        <v>18</v>
      </c>
      <c r="J14" s="63" t="e">
        <f t="shared" si="3"/>
        <v>#VALUE!</v>
      </c>
      <c r="K14" s="63">
        <f t="shared" si="4"/>
        <v>26</v>
      </c>
      <c r="L14" s="63" t="str">
        <f>IFERROR(VLOOKUP(MID(G14,J14,K14-J14),[6]skilldef!$C:$D,2,FALSE),"-") &amp; " / " &amp; IFERROR(VLOOKUP(MID(G14,H14,I14-H14),[6]skilldef!$A:$B,2,FALSE),"-")</f>
        <v>- / ディスハート</v>
      </c>
      <c r="M14" s="63" t="str">
        <f t="shared" si="5"/>
        <v>none</v>
      </c>
      <c r="N14" s="48" t="str">
        <f t="shared" si="6"/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 t="s">
        <v>214</v>
      </c>
      <c r="AA14" s="52">
        <v>42433</v>
      </c>
      <c r="AB14" s="50" t="s">
        <v>215</v>
      </c>
    </row>
    <row r="15" spans="1:28" ht="21" customHeight="1" x14ac:dyDescent="0.15">
      <c r="A15" s="47">
        <v>30029014</v>
      </c>
      <c r="B15" s="47" t="s">
        <v>228</v>
      </c>
      <c r="C15" s="50">
        <v>3</v>
      </c>
      <c r="D15" s="50" t="s">
        <v>127</v>
      </c>
      <c r="E15" s="51" t="s">
        <v>219</v>
      </c>
      <c r="F15" s="51" t="s">
        <v>217</v>
      </c>
      <c r="G15" s="63" t="str">
        <f t="shared" si="0"/>
        <v>[effect:nothing]</v>
      </c>
      <c r="H15" s="63">
        <f t="shared" si="1"/>
        <v>9</v>
      </c>
      <c r="I15" s="63">
        <f t="shared" si="2"/>
        <v>16</v>
      </c>
      <c r="J15" s="63" t="e">
        <f t="shared" si="3"/>
        <v>#VALUE!</v>
      </c>
      <c r="K15" s="63" t="e">
        <f t="shared" si="4"/>
        <v>#VALUE!</v>
      </c>
      <c r="L15" s="63" t="str">
        <f>IFERROR(VLOOKUP(MID(G15,J15,K15-J15),[6]skilldef!$C:$D,2,FALSE),"-") &amp; " / " &amp; IFERROR(VLOOKUP(MID(G15,H15,I15-H15),[6]skilldef!$A:$B,2,FALSE),"-")</f>
        <v>- / 何もしない</v>
      </c>
      <c r="M15" s="63" t="str">
        <f t="shared" si="5"/>
        <v>none</v>
      </c>
      <c r="N15" s="48" t="str">
        <f t="shared" si="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 t="s">
        <v>214</v>
      </c>
      <c r="AA15" s="52">
        <v>42433</v>
      </c>
      <c r="AB15" s="50" t="s">
        <v>215</v>
      </c>
    </row>
    <row r="16" spans="1:28" ht="21" customHeight="1" x14ac:dyDescent="0.15">
      <c r="A16" s="47">
        <v>30029015</v>
      </c>
      <c r="B16" s="47" t="s">
        <v>228</v>
      </c>
      <c r="C16" s="50">
        <v>3</v>
      </c>
      <c r="D16" s="50" t="s">
        <v>127</v>
      </c>
      <c r="E16" s="51" t="s">
        <v>219</v>
      </c>
      <c r="F16" s="51" t="s">
        <v>217</v>
      </c>
      <c r="G16" s="63" t="str">
        <f t="shared" si="0"/>
        <v>[effect:nothing]</v>
      </c>
      <c r="H16" s="63">
        <f t="shared" si="1"/>
        <v>9</v>
      </c>
      <c r="I16" s="63">
        <f t="shared" si="2"/>
        <v>16</v>
      </c>
      <c r="J16" s="63" t="e">
        <f t="shared" si="3"/>
        <v>#VALUE!</v>
      </c>
      <c r="K16" s="63" t="e">
        <f t="shared" si="4"/>
        <v>#VALUE!</v>
      </c>
      <c r="L16" s="63" t="str">
        <f>IFERROR(VLOOKUP(MID(G16,J16,K16-J16),[6]skilldef!$C:$D,2,FALSE),"-") &amp; " / " &amp; IFERROR(VLOOKUP(MID(G16,H16,I16-H16),[6]skilldef!$A:$B,2,FALSE),"-")</f>
        <v>- / 何もしない</v>
      </c>
      <c r="M16" s="63" t="str">
        <f t="shared" si="5"/>
        <v>none</v>
      </c>
      <c r="N16" s="48" t="str">
        <f t="shared" si="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 t="s">
        <v>214</v>
      </c>
      <c r="AA16" s="52">
        <v>42433</v>
      </c>
      <c r="AB16" s="50" t="s">
        <v>215</v>
      </c>
    </row>
    <row r="17" spans="1:28" ht="21" customHeight="1" x14ac:dyDescent="0.15">
      <c r="A17" s="102">
        <v>30029016</v>
      </c>
      <c r="B17" s="47" t="s">
        <v>240</v>
      </c>
      <c r="C17" s="50">
        <v>3</v>
      </c>
      <c r="D17" s="50" t="s">
        <v>127</v>
      </c>
      <c r="E17" s="51" t="s">
        <v>256</v>
      </c>
      <c r="F17" s="51" t="s">
        <v>255</v>
      </c>
      <c r="G17" s="63" t="str">
        <f t="shared" si="0"/>
        <v>[effect:tolerance, target:myself, turn:-1, tolerance_effect:sleep, count:-1]</v>
      </c>
      <c r="H17" s="63">
        <f t="shared" si="1"/>
        <v>9</v>
      </c>
      <c r="I17" s="63">
        <f t="shared" si="2"/>
        <v>18</v>
      </c>
      <c r="J17" s="63">
        <f t="shared" si="3"/>
        <v>27</v>
      </c>
      <c r="K17" s="63">
        <f t="shared" si="4"/>
        <v>33</v>
      </c>
      <c r="L17" s="63" t="str">
        <f>IFERROR(VLOOKUP(MID(G17,J17,K17-J17),[6]skilldef!$C:$D,2,FALSE),"-") &amp; " / " &amp; IFERROR(VLOOKUP(MID(G17,H17,I17-H17),[6]skilldef!$A:$B,2,FALSE),"-")</f>
        <v>自分自身に / 状態異常耐性</v>
      </c>
      <c r="M17" s="63" t="str">
        <f t="shared" si="5"/>
        <v>[effect:tolerance, target:myself, turn:-1, tolerance_effect:virus, count:-1],[effect:tolerance, target:myself, turn:-1, tolerance_effect:hungup, count:-1, animation:enemy_tolerance],[effect:change_block, new_block:jammer, target:block_all, count:3, val:0, no_effect_msg:no_effect_msg_change_block_heal, animation:change_block]</v>
      </c>
      <c r="N17" s="48" t="str">
        <f t="shared" si="6"/>
        <v>[effect:tolerance, target:myself, turn:-1, tolerance_effect:virus, count:-1],[effect:tolerance, target:myself, turn:-1, tolerance_effect:hungup, count:-1, animation:enemy_tolerance],[effect:change_block, new_block:jammer, target:block_all, count:3, val:0, no_effect_msg:no_effect_msg_change_block_heal, animation:change_block]</v>
      </c>
      <c r="O17" s="63">
        <f t="shared" si="7"/>
        <v>9</v>
      </c>
      <c r="P17" s="63">
        <f t="shared" si="8"/>
        <v>18</v>
      </c>
      <c r="Q17" s="63">
        <f t="shared" si="9"/>
        <v>27</v>
      </c>
      <c r="R17" s="63">
        <f t="shared" si="10"/>
        <v>33</v>
      </c>
      <c r="S17" s="63" t="str">
        <f>IFERROR(VLOOKUP(MID(N17,Q17,R17-Q17),[6]skilldef!$C:$D,2,FALSE),"-") &amp; " / " &amp; IFERROR(VLOOKUP(MID(N17,O17,P17-O17),[6]skilldef!$A:$B,2,FALSE),"-")</f>
        <v>自分自身に / 状態異常耐性</v>
      </c>
      <c r="T17" s="48" t="str">
        <f t="shared" si="11"/>
        <v>[effect:tolerance, target:myself, turn:-1, tolerance_effect:hungup, count:-1, animation:enemy_tolerance],[effect:change_block, new_block:jammer, target:block_all, count:3, val:0, no_effect_msg:no_effect_msg_change_block_heal, animation:change_block]</v>
      </c>
      <c r="U17" s="63">
        <f t="shared" si="12"/>
        <v>9</v>
      </c>
      <c r="V17" s="63">
        <f t="shared" si="13"/>
        <v>18</v>
      </c>
      <c r="W17" s="63">
        <f t="shared" si="14"/>
        <v>27</v>
      </c>
      <c r="X17" s="63">
        <f t="shared" si="15"/>
        <v>33</v>
      </c>
      <c r="Y17" s="63" t="str">
        <f>IFERROR(VLOOKUP(MID(T17,W17,X17-W17),[6]skilldef!$C:$D,2,FALSE),"-") &amp; " / " &amp; IFERROR(VLOOKUP(MID(T17,U17,V17-U17),[6]skilldef!$A:$B,2,FALSE),"-")</f>
        <v>自分自身に / 状態異常耐性</v>
      </c>
      <c r="Z17" s="50" t="s">
        <v>214</v>
      </c>
      <c r="AA17" s="52">
        <v>42433</v>
      </c>
      <c r="AB17" s="50" t="s">
        <v>215</v>
      </c>
    </row>
    <row r="18" spans="1:28" ht="21" customHeight="1" x14ac:dyDescent="0.15">
      <c r="A18" s="102">
        <v>30029017</v>
      </c>
      <c r="B18" s="47" t="s">
        <v>230</v>
      </c>
      <c r="C18" s="50">
        <v>3</v>
      </c>
      <c r="D18" s="50" t="s">
        <v>127</v>
      </c>
      <c r="E18" s="51" t="s">
        <v>257</v>
      </c>
      <c r="F18" s="101" t="s">
        <v>253</v>
      </c>
      <c r="G18" s="63" t="str">
        <f t="shared" si="0"/>
        <v>[effect:spread, val:0.3]</v>
      </c>
      <c r="H18" s="63">
        <f t="shared" si="1"/>
        <v>9</v>
      </c>
      <c r="I18" s="63">
        <f t="shared" si="2"/>
        <v>15</v>
      </c>
      <c r="J18" s="63" t="e">
        <f t="shared" si="3"/>
        <v>#VALUE!</v>
      </c>
      <c r="K18" s="63" t="e">
        <f t="shared" si="4"/>
        <v>#VALUE!</v>
      </c>
      <c r="L18" s="63" t="str">
        <f>IFERROR(VLOOKUP(MID(G18,J18,K18-J18),[6]skilldef!$C:$D,2,FALSE),"-") &amp; " / " &amp; IFERROR(VLOOKUP(MID(G18,H18,I18-H18),[6]skilldef!$A:$B,2,FALSE),"-")</f>
        <v>- / 全体攻撃</v>
      </c>
      <c r="M18" s="63" t="str">
        <f t="shared" si="5"/>
        <v>none</v>
      </c>
      <c r="N18" s="48" t="str">
        <f t="shared" si="6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 t="s">
        <v>214</v>
      </c>
      <c r="AA18" s="52">
        <v>42433</v>
      </c>
      <c r="AB18" s="50" t="s">
        <v>215</v>
      </c>
    </row>
    <row r="19" spans="1:28" ht="21" customHeight="1" x14ac:dyDescent="0.15">
      <c r="A19" s="102">
        <v>30029018</v>
      </c>
      <c r="B19" s="47" t="s">
        <v>231</v>
      </c>
      <c r="C19" s="50">
        <v>3</v>
      </c>
      <c r="D19" s="50" t="s">
        <v>127</v>
      </c>
      <c r="E19" s="51" t="s">
        <v>258</v>
      </c>
      <c r="F19" s="51" t="s">
        <v>276</v>
      </c>
      <c r="G19" s="63" t="str">
        <f t="shared" si="0"/>
        <v>[effect:dis_heart, turn:3, animation:enemy_dis_heart]</v>
      </c>
      <c r="H19" s="63">
        <f t="shared" si="1"/>
        <v>9</v>
      </c>
      <c r="I19" s="63">
        <f t="shared" si="2"/>
        <v>18</v>
      </c>
      <c r="J19" s="63" t="e">
        <f t="shared" si="3"/>
        <v>#VALUE!</v>
      </c>
      <c r="K19" s="63">
        <f t="shared" si="4"/>
        <v>26</v>
      </c>
      <c r="L19" s="63" t="str">
        <f>IFERROR(VLOOKUP(MID(G19,J19,K19-J19),[6]skilldef!$C:$D,2,FALSE),"-") &amp; " / " &amp; IFERROR(VLOOKUP(MID(G19,H19,I19-H19),[6]skilldef!$A:$B,2,FALSE),"-")</f>
        <v>- / ディスハート</v>
      </c>
      <c r="M19" s="63" t="str">
        <f t="shared" si="5"/>
        <v>none</v>
      </c>
      <c r="N19" s="48" t="str">
        <f t="shared" si="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 t="s">
        <v>214</v>
      </c>
      <c r="AA19" s="52">
        <v>42433</v>
      </c>
      <c r="AB19" s="50" t="s">
        <v>215</v>
      </c>
    </row>
    <row r="20" spans="1:28" ht="21" customHeight="1" x14ac:dyDescent="0.15">
      <c r="A20" s="102">
        <v>30029019</v>
      </c>
      <c r="B20" s="47" t="s">
        <v>242</v>
      </c>
      <c r="C20" s="50">
        <v>3</v>
      </c>
      <c r="D20" s="50" t="s">
        <v>127</v>
      </c>
      <c r="E20" s="51" t="s">
        <v>259</v>
      </c>
      <c r="F20" s="51" t="s">
        <v>287</v>
      </c>
      <c r="G20" s="63" t="str">
        <f t="shared" si="0"/>
        <v>[effect:change_block, new_block:jammer, target:block_all, count:3, val:0, no_effect_msg:no_effect_msg_change_block_heal, animation:change_block]</v>
      </c>
      <c r="H20" s="63">
        <f t="shared" si="1"/>
        <v>9</v>
      </c>
      <c r="I20" s="63">
        <f t="shared" si="2"/>
        <v>21</v>
      </c>
      <c r="J20" s="63">
        <f t="shared" si="3"/>
        <v>48</v>
      </c>
      <c r="K20" s="63">
        <f t="shared" si="4"/>
        <v>39</v>
      </c>
      <c r="L20" s="63" t="str">
        <f>IFERROR(VLOOKUP(MID(G20,J20,K20-J20),[6]skilldef!$C:$D,2,FALSE),"-") &amp; " / " &amp; IFERROR(VLOOKUP(MID(G20,H20,I20-H20),[6]skilldef!$A:$B,2,FALSE),"-")</f>
        <v>- / ブロック変換</v>
      </c>
      <c r="M20" s="63" t="str">
        <f t="shared" si="5"/>
        <v>none</v>
      </c>
      <c r="N20" s="48" t="str">
        <f t="shared" si="6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 t="s">
        <v>214</v>
      </c>
      <c r="AA20" s="52">
        <v>42433</v>
      </c>
      <c r="AB20" s="50" t="s">
        <v>215</v>
      </c>
    </row>
    <row r="21" spans="1:28" ht="21" customHeight="1" x14ac:dyDescent="0.15">
      <c r="A21" s="47">
        <v>30029020</v>
      </c>
      <c r="B21" s="47" t="s">
        <v>228</v>
      </c>
      <c r="C21" s="50">
        <v>3</v>
      </c>
      <c r="D21" s="50" t="s">
        <v>127</v>
      </c>
      <c r="E21" s="51" t="s">
        <v>220</v>
      </c>
      <c r="F21" s="51" t="s">
        <v>217</v>
      </c>
      <c r="G21" s="63" t="str">
        <f t="shared" si="0"/>
        <v>[effect:nothing]</v>
      </c>
      <c r="H21" s="63">
        <f t="shared" si="1"/>
        <v>9</v>
      </c>
      <c r="I21" s="63">
        <f t="shared" si="2"/>
        <v>16</v>
      </c>
      <c r="J21" s="63" t="e">
        <f t="shared" si="3"/>
        <v>#VALUE!</v>
      </c>
      <c r="K21" s="63" t="e">
        <f t="shared" si="4"/>
        <v>#VALUE!</v>
      </c>
      <c r="L21" s="63" t="str">
        <f>IFERROR(VLOOKUP(MID(G21,J21,K21-J21),[6]skilldef!$C:$D,2,FALSE),"-") &amp; " / " &amp; IFERROR(VLOOKUP(MID(G21,H21,I21-H21),[6]skilldef!$A:$B,2,FALSE),"-")</f>
        <v>- / 何もしない</v>
      </c>
      <c r="M21" s="63" t="str">
        <f t="shared" si="5"/>
        <v>none</v>
      </c>
      <c r="N21" s="48" t="str">
        <f t="shared" si="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 t="s">
        <v>214</v>
      </c>
      <c r="AA21" s="52">
        <v>42433</v>
      </c>
      <c r="AB21" s="50" t="s">
        <v>215</v>
      </c>
    </row>
    <row r="22" spans="1:28" ht="21" customHeight="1" x14ac:dyDescent="0.15">
      <c r="A22" s="102">
        <v>30029021</v>
      </c>
      <c r="B22" s="47" t="s">
        <v>227</v>
      </c>
      <c r="C22" s="50">
        <v>3</v>
      </c>
      <c r="D22" s="50" t="s">
        <v>127</v>
      </c>
      <c r="E22" s="51" t="s">
        <v>260</v>
      </c>
      <c r="F22" s="51" t="s">
        <v>262</v>
      </c>
      <c r="G22" s="63" t="str">
        <f t="shared" si="0"/>
        <v>[effect:heal, target:enemy_all, val:0.3, animation:enemy_heal]</v>
      </c>
      <c r="H22" s="63">
        <f t="shared" si="1"/>
        <v>9</v>
      </c>
      <c r="I22" s="63">
        <f t="shared" si="2"/>
        <v>13</v>
      </c>
      <c r="J22" s="63">
        <f t="shared" si="3"/>
        <v>22</v>
      </c>
      <c r="K22" s="63">
        <f t="shared" si="4"/>
        <v>31</v>
      </c>
      <c r="L22" s="63" t="str">
        <f>IFERROR(VLOOKUP(MID(G22,J22,K22-J22),[6]skilldef!$C:$D,2,FALSE),"-") &amp; " / " &amp; IFERROR(VLOOKUP(MID(G22,H22,I22-H22),[6]skilldef!$A:$B,2,FALSE),"-")</f>
        <v>敵全体に / 回復</v>
      </c>
      <c r="M22" s="63" t="str">
        <f t="shared" si="5"/>
        <v>none</v>
      </c>
      <c r="N22" s="48" t="str">
        <f t="shared" si="6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 t="s">
        <v>214</v>
      </c>
      <c r="AA22" s="52">
        <v>42433</v>
      </c>
      <c r="AB22" s="50" t="s">
        <v>215</v>
      </c>
    </row>
    <row r="23" spans="1:28" ht="21" customHeight="1" x14ac:dyDescent="0.15">
      <c r="A23" s="47">
        <v>30029022</v>
      </c>
      <c r="B23" s="47" t="s">
        <v>228</v>
      </c>
      <c r="C23" s="50">
        <v>3</v>
      </c>
      <c r="D23" s="50" t="s">
        <v>127</v>
      </c>
      <c r="E23" s="51" t="s">
        <v>221</v>
      </c>
      <c r="F23" s="51" t="s">
        <v>217</v>
      </c>
      <c r="G23" s="63" t="str">
        <f t="shared" si="0"/>
        <v>[effect:nothing]</v>
      </c>
      <c r="H23" s="63">
        <f t="shared" si="1"/>
        <v>9</v>
      </c>
      <c r="I23" s="63">
        <f t="shared" si="2"/>
        <v>16</v>
      </c>
      <c r="J23" s="63" t="e">
        <f t="shared" si="3"/>
        <v>#VALUE!</v>
      </c>
      <c r="K23" s="63" t="e">
        <f t="shared" si="4"/>
        <v>#VALUE!</v>
      </c>
      <c r="L23" s="63" t="str">
        <f>IFERROR(VLOOKUP(MID(G23,J23,K23-J23),[6]skilldef!$C:$D,2,FALSE),"-") &amp; " / " &amp; IFERROR(VLOOKUP(MID(G23,H23,I23-H23),[6]skilldef!$A:$B,2,FALSE),"-")</f>
        <v>- / 何もしない</v>
      </c>
      <c r="M23" s="63" t="str">
        <f t="shared" si="5"/>
        <v>none</v>
      </c>
      <c r="N23" s="48" t="str">
        <f t="shared" si="6"/>
        <v>none</v>
      </c>
      <c r="O23" s="63" t="e">
        <f t="shared" si="7"/>
        <v>#VALUE!</v>
      </c>
      <c r="P23" s="63">
        <f t="shared" si="8"/>
        <v>4</v>
      </c>
      <c r="Q23" s="63" t="e">
        <f t="shared" si="9"/>
        <v>#VALUE!</v>
      </c>
      <c r="R23" s="63" t="e">
        <f t="shared" si="10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 t="s">
        <v>214</v>
      </c>
      <c r="AA23" s="52">
        <v>42433</v>
      </c>
      <c r="AB23" s="50" t="s">
        <v>215</v>
      </c>
    </row>
    <row r="24" spans="1:28" ht="21" customHeight="1" x14ac:dyDescent="0.15">
      <c r="A24" s="47">
        <v>30029023</v>
      </c>
      <c r="B24" s="47" t="s">
        <v>228</v>
      </c>
      <c r="C24" s="50">
        <v>3</v>
      </c>
      <c r="D24" s="50" t="s">
        <v>127</v>
      </c>
      <c r="E24" s="51" t="s">
        <v>221</v>
      </c>
      <c r="F24" s="51" t="s">
        <v>217</v>
      </c>
      <c r="G24" s="63" t="str">
        <f t="shared" si="0"/>
        <v>[effect:nothing]</v>
      </c>
      <c r="H24" s="63">
        <f t="shared" si="1"/>
        <v>9</v>
      </c>
      <c r="I24" s="63">
        <f t="shared" si="2"/>
        <v>16</v>
      </c>
      <c r="J24" s="63" t="e">
        <f t="shared" si="3"/>
        <v>#VALUE!</v>
      </c>
      <c r="K24" s="63" t="e">
        <f t="shared" si="4"/>
        <v>#VALUE!</v>
      </c>
      <c r="L24" s="63" t="str">
        <f>IFERROR(VLOOKUP(MID(G24,J24,K24-J24),[6]skilldef!$C:$D,2,FALSE),"-") &amp; " / " &amp; IFERROR(VLOOKUP(MID(G24,H24,I24-H24),[6]skilldef!$A:$B,2,FALSE),"-")</f>
        <v>- / 何もしない</v>
      </c>
      <c r="M24" s="63" t="str">
        <f t="shared" si="5"/>
        <v>none</v>
      </c>
      <c r="N24" s="48" t="str">
        <f t="shared" si="6"/>
        <v>none</v>
      </c>
      <c r="O24" s="63" t="e">
        <f t="shared" si="7"/>
        <v>#VALUE!</v>
      </c>
      <c r="P24" s="63">
        <f t="shared" si="8"/>
        <v>4</v>
      </c>
      <c r="Q24" s="63" t="e">
        <f t="shared" si="9"/>
        <v>#VALUE!</v>
      </c>
      <c r="R24" s="63" t="e">
        <f t="shared" si="10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 t="s">
        <v>214</v>
      </c>
      <c r="AA24" s="52">
        <v>42433</v>
      </c>
      <c r="AB24" s="50" t="s">
        <v>215</v>
      </c>
    </row>
    <row r="25" spans="1:28" ht="21" customHeight="1" x14ac:dyDescent="0.15">
      <c r="A25" s="47">
        <v>30029024</v>
      </c>
      <c r="B25" s="47" t="s">
        <v>228</v>
      </c>
      <c r="C25" s="50">
        <v>3</v>
      </c>
      <c r="D25" s="50" t="s">
        <v>127</v>
      </c>
      <c r="E25" s="51" t="s">
        <v>221</v>
      </c>
      <c r="F25" s="51" t="s">
        <v>217</v>
      </c>
      <c r="G25" s="63" t="str">
        <f t="shared" si="0"/>
        <v>[effect:nothing]</v>
      </c>
      <c r="H25" s="63">
        <f t="shared" si="1"/>
        <v>9</v>
      </c>
      <c r="I25" s="63">
        <f t="shared" si="2"/>
        <v>16</v>
      </c>
      <c r="J25" s="63" t="e">
        <f t="shared" si="3"/>
        <v>#VALUE!</v>
      </c>
      <c r="K25" s="63" t="e">
        <f t="shared" si="4"/>
        <v>#VALUE!</v>
      </c>
      <c r="L25" s="63" t="str">
        <f>IFERROR(VLOOKUP(MID(G25,J25,K25-J25),[6]skilldef!$C:$D,2,FALSE),"-") &amp; " / " &amp; IFERROR(VLOOKUP(MID(G25,H25,I25-H25),[6]skilldef!$A:$B,2,FALSE),"-")</f>
        <v>- / 何もしない</v>
      </c>
      <c r="M25" s="63" t="str">
        <f t="shared" si="5"/>
        <v>none</v>
      </c>
      <c r="N25" s="48" t="str">
        <f t="shared" si="6"/>
        <v>none</v>
      </c>
      <c r="O25" s="63" t="e">
        <f t="shared" si="7"/>
        <v>#VALUE!</v>
      </c>
      <c r="P25" s="63">
        <f t="shared" si="8"/>
        <v>4</v>
      </c>
      <c r="Q25" s="63" t="e">
        <f t="shared" si="9"/>
        <v>#VALUE!</v>
      </c>
      <c r="R25" s="63" t="e">
        <f t="shared" si="10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 t="s">
        <v>214</v>
      </c>
      <c r="AA25" s="52">
        <v>42433</v>
      </c>
      <c r="AB25" s="50" t="s">
        <v>215</v>
      </c>
    </row>
    <row r="26" spans="1:28" ht="21" customHeight="1" x14ac:dyDescent="0.15">
      <c r="A26" s="47">
        <v>30029025</v>
      </c>
      <c r="B26" s="47" t="s">
        <v>228</v>
      </c>
      <c r="C26" s="50">
        <v>3</v>
      </c>
      <c r="D26" s="50" t="s">
        <v>127</v>
      </c>
      <c r="E26" s="51" t="s">
        <v>221</v>
      </c>
      <c r="F26" s="51" t="s">
        <v>217</v>
      </c>
      <c r="G26" s="63" t="str">
        <f t="shared" si="0"/>
        <v>[effect:nothing]</v>
      </c>
      <c r="H26" s="63">
        <f t="shared" si="1"/>
        <v>9</v>
      </c>
      <c r="I26" s="63">
        <f t="shared" si="2"/>
        <v>16</v>
      </c>
      <c r="J26" s="63" t="e">
        <f t="shared" si="3"/>
        <v>#VALUE!</v>
      </c>
      <c r="K26" s="63" t="e">
        <f t="shared" si="4"/>
        <v>#VALUE!</v>
      </c>
      <c r="L26" s="63" t="str">
        <f>IFERROR(VLOOKUP(MID(G26,J26,K26-J26),[6]skilldef!$C:$D,2,FALSE),"-") &amp; " / " &amp; IFERROR(VLOOKUP(MID(G26,H26,I26-H26),[6]skilldef!$A:$B,2,FALSE),"-")</f>
        <v>- / 何もしない</v>
      </c>
      <c r="M26" s="63" t="str">
        <f t="shared" si="5"/>
        <v>none</v>
      </c>
      <c r="N26" s="48" t="str">
        <f t="shared" si="6"/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 t="s">
        <v>214</v>
      </c>
      <c r="AA26" s="52">
        <v>42433</v>
      </c>
      <c r="AB26" s="50" t="s">
        <v>215</v>
      </c>
    </row>
    <row r="27" spans="1:28" ht="21" customHeight="1" x14ac:dyDescent="0.15">
      <c r="A27" s="47">
        <v>30029026</v>
      </c>
      <c r="B27" s="47" t="s">
        <v>228</v>
      </c>
      <c r="C27" s="50">
        <v>3</v>
      </c>
      <c r="D27" s="50" t="s">
        <v>127</v>
      </c>
      <c r="E27" s="51" t="s">
        <v>222</v>
      </c>
      <c r="F27" s="51" t="s">
        <v>217</v>
      </c>
      <c r="G27" s="63" t="str">
        <f t="shared" si="0"/>
        <v>[effect:nothing]</v>
      </c>
      <c r="H27" s="63">
        <f t="shared" si="1"/>
        <v>9</v>
      </c>
      <c r="I27" s="63">
        <f t="shared" si="2"/>
        <v>16</v>
      </c>
      <c r="J27" s="63" t="e">
        <f t="shared" si="3"/>
        <v>#VALUE!</v>
      </c>
      <c r="K27" s="63" t="e">
        <f t="shared" si="4"/>
        <v>#VALUE!</v>
      </c>
      <c r="L27" s="63" t="str">
        <f>IFERROR(VLOOKUP(MID(G27,J27,K27-J27),[6]skilldef!$C:$D,2,FALSE),"-") &amp; " / " &amp; IFERROR(VLOOKUP(MID(G27,H27,I27-H27),[6]skilldef!$A:$B,2,FALSE),"-")</f>
        <v>- / 何もしない</v>
      </c>
      <c r="M27" s="63" t="str">
        <f t="shared" si="5"/>
        <v>none</v>
      </c>
      <c r="N27" s="48" t="str">
        <f t="shared" si="6"/>
        <v>none</v>
      </c>
      <c r="O27" s="63" t="e">
        <f t="shared" si="7"/>
        <v>#VALUE!</v>
      </c>
      <c r="P27" s="63">
        <f t="shared" si="8"/>
        <v>4</v>
      </c>
      <c r="Q27" s="63" t="e">
        <f t="shared" si="9"/>
        <v>#VALUE!</v>
      </c>
      <c r="R27" s="63" t="e">
        <f t="shared" si="10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 t="s">
        <v>214</v>
      </c>
      <c r="AA27" s="52">
        <v>42433</v>
      </c>
      <c r="AB27" s="50" t="s">
        <v>215</v>
      </c>
    </row>
    <row r="28" spans="1:28" ht="21" customHeight="1" x14ac:dyDescent="0.15">
      <c r="A28" s="47">
        <v>30029027</v>
      </c>
      <c r="B28" s="47" t="s">
        <v>228</v>
      </c>
      <c r="C28" s="50">
        <v>3</v>
      </c>
      <c r="D28" s="50" t="s">
        <v>127</v>
      </c>
      <c r="E28" s="51" t="s">
        <v>222</v>
      </c>
      <c r="F28" s="51" t="s">
        <v>217</v>
      </c>
      <c r="G28" s="63" t="str">
        <f t="shared" si="0"/>
        <v>[effect:nothing]</v>
      </c>
      <c r="H28" s="63">
        <f t="shared" si="1"/>
        <v>9</v>
      </c>
      <c r="I28" s="63">
        <f t="shared" si="2"/>
        <v>16</v>
      </c>
      <c r="J28" s="63" t="e">
        <f t="shared" si="3"/>
        <v>#VALUE!</v>
      </c>
      <c r="K28" s="63" t="e">
        <f t="shared" si="4"/>
        <v>#VALUE!</v>
      </c>
      <c r="L28" s="63" t="str">
        <f>IFERROR(VLOOKUP(MID(G28,J28,K28-J28),[6]skilldef!$C:$D,2,FALSE),"-") &amp; " / " &amp; IFERROR(VLOOKUP(MID(G28,H28,I28-H28),[6]skilldef!$A:$B,2,FALSE),"-")</f>
        <v>- / 何もしない</v>
      </c>
      <c r="M28" s="63" t="str">
        <f t="shared" si="5"/>
        <v>none</v>
      </c>
      <c r="N28" s="48" t="str">
        <f t="shared" si="6"/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 t="s">
        <v>214</v>
      </c>
      <c r="AA28" s="52">
        <v>42433</v>
      </c>
      <c r="AB28" s="50" t="s">
        <v>215</v>
      </c>
    </row>
    <row r="29" spans="1:28" ht="21" customHeight="1" x14ac:dyDescent="0.15">
      <c r="A29" s="47">
        <v>30029028</v>
      </c>
      <c r="B29" s="47" t="s">
        <v>228</v>
      </c>
      <c r="C29" s="50">
        <v>3</v>
      </c>
      <c r="D29" s="50" t="s">
        <v>127</v>
      </c>
      <c r="E29" s="51" t="s">
        <v>222</v>
      </c>
      <c r="F29" s="51" t="s">
        <v>217</v>
      </c>
      <c r="G29" s="63" t="str">
        <f t="shared" si="0"/>
        <v>[effect:nothing]</v>
      </c>
      <c r="H29" s="63">
        <f t="shared" si="1"/>
        <v>9</v>
      </c>
      <c r="I29" s="63">
        <f t="shared" si="2"/>
        <v>16</v>
      </c>
      <c r="J29" s="63" t="e">
        <f t="shared" si="3"/>
        <v>#VALUE!</v>
      </c>
      <c r="K29" s="63" t="e">
        <f t="shared" si="4"/>
        <v>#VALUE!</v>
      </c>
      <c r="L29" s="63" t="str">
        <f>IFERROR(VLOOKUP(MID(G29,J29,K29-J29),[6]skilldef!$C:$D,2,FALSE),"-") &amp; " / " &amp; IFERROR(VLOOKUP(MID(G29,H29,I29-H29),[6]skilldef!$A:$B,2,FALSE),"-")</f>
        <v>- / 何もしない</v>
      </c>
      <c r="M29" s="63" t="str">
        <f t="shared" si="5"/>
        <v>none</v>
      </c>
      <c r="N29" s="48" t="str">
        <f t="shared" si="6"/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 t="s">
        <v>214</v>
      </c>
      <c r="AA29" s="52">
        <v>42433</v>
      </c>
      <c r="AB29" s="50" t="s">
        <v>215</v>
      </c>
    </row>
    <row r="30" spans="1:28" ht="21" customHeight="1" x14ac:dyDescent="0.15">
      <c r="A30" s="47">
        <v>30029029</v>
      </c>
      <c r="B30" s="47" t="s">
        <v>228</v>
      </c>
      <c r="C30" s="50">
        <v>3</v>
      </c>
      <c r="D30" s="50" t="s">
        <v>127</v>
      </c>
      <c r="E30" s="51" t="s">
        <v>222</v>
      </c>
      <c r="F30" s="51" t="s">
        <v>217</v>
      </c>
      <c r="G30" s="63" t="str">
        <f t="shared" ref="G30:G47" si="16">IFERROR(LEFT(B30,FIND("],",B30)),B30)</f>
        <v>[effect:nothing]</v>
      </c>
      <c r="H30" s="63">
        <f t="shared" si="1"/>
        <v>9</v>
      </c>
      <c r="I30" s="63">
        <f t="shared" ref="I30:I47" si="17">IFERROR(FIND(",",G30),LEN(G30))</f>
        <v>16</v>
      </c>
      <c r="J30" s="63" t="e">
        <f t="shared" ref="J30:J47" si="18">FIND("target:",G30)+7</f>
        <v>#VALUE!</v>
      </c>
      <c r="K30" s="63" t="e">
        <f t="shared" ref="K30:K47" si="19">FIND(",",G30,I30+1)</f>
        <v>#VALUE!</v>
      </c>
      <c r="L30" s="63" t="str">
        <f>IFERROR(VLOOKUP(MID(G30,J30,K30-J30),[6]skilldef!$C:$D,2,FALSE),"-") &amp; " / " &amp; IFERROR(VLOOKUP(MID(G30,H30,I30-H30),[6]skilldef!$A:$B,2,FALSE),"-")</f>
        <v>- / 何もしない</v>
      </c>
      <c r="M30" s="63" t="str">
        <f t="shared" ref="M30:M47" si="20">IFERROR(RIGHT(B30,LEN(B30)-FIND("],",B30)-1),"none")</f>
        <v>none</v>
      </c>
      <c r="N30" s="48" t="str">
        <f t="shared" ref="N30:N47" si="21">IFERROR(LEFT(M30,FIND("],",M30)+S40),M30)</f>
        <v>none</v>
      </c>
      <c r="O30" s="63" t="e">
        <f t="shared" si="7"/>
        <v>#VALUE!</v>
      </c>
      <c r="P30" s="63">
        <f t="shared" ref="P30:P47" si="22">IFERROR(FIND(",",N30),LEN(N30))</f>
        <v>4</v>
      </c>
      <c r="Q30" s="63" t="e">
        <f t="shared" ref="Q30:Q47" si="23">FIND("target:",N30)+7</f>
        <v>#VALUE!</v>
      </c>
      <c r="R30" s="63" t="e">
        <f t="shared" ref="R30:R47" si="24">FIND(",",N30,P30+1)</f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ref="T30:T47" si="25">IFERROR(RIGHT(M30,LEN(M30)-FIND("],",M30)-1),"none")</f>
        <v>none</v>
      </c>
      <c r="U30" s="63" t="e">
        <f t="shared" si="12"/>
        <v>#VALUE!</v>
      </c>
      <c r="V30" s="63">
        <f t="shared" ref="V30:V47" si="26">IFERROR(FIND(",",T30),LEN(T30))</f>
        <v>4</v>
      </c>
      <c r="W30" s="63" t="e">
        <f t="shared" ref="W30:W47" si="27">FIND("target:",T30)+7</f>
        <v>#VALUE!</v>
      </c>
      <c r="X30" s="63" t="e">
        <f t="shared" ref="X30:X47" si="28">FIND(",",T30,V30+1)</f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 t="s">
        <v>214</v>
      </c>
      <c r="AA30" s="52">
        <v>42433</v>
      </c>
      <c r="AB30" s="50" t="s">
        <v>215</v>
      </c>
    </row>
    <row r="31" spans="1:28" ht="21" customHeight="1" x14ac:dyDescent="0.15">
      <c r="A31" s="47">
        <v>30029030</v>
      </c>
      <c r="B31" s="47" t="s">
        <v>228</v>
      </c>
      <c r="C31" s="50">
        <v>3</v>
      </c>
      <c r="D31" s="50" t="s">
        <v>127</v>
      </c>
      <c r="E31" s="51" t="s">
        <v>222</v>
      </c>
      <c r="F31" s="51" t="s">
        <v>217</v>
      </c>
      <c r="G31" s="63" t="str">
        <f t="shared" si="16"/>
        <v>[effect:nothing]</v>
      </c>
      <c r="H31" s="63">
        <f t="shared" si="1"/>
        <v>9</v>
      </c>
      <c r="I31" s="63">
        <f t="shared" si="17"/>
        <v>16</v>
      </c>
      <c r="J31" s="63" t="e">
        <f t="shared" si="18"/>
        <v>#VALUE!</v>
      </c>
      <c r="K31" s="63" t="e">
        <f t="shared" si="19"/>
        <v>#VALUE!</v>
      </c>
      <c r="L31" s="63" t="str">
        <f>IFERROR(VLOOKUP(MID(G31,J31,K31-J31),[6]skilldef!$C:$D,2,FALSE),"-") &amp; " / " &amp; IFERROR(VLOOKUP(MID(G31,H31,I31-H31),[6]skilldef!$A:$B,2,FALSE),"-")</f>
        <v>- / 何もしない</v>
      </c>
      <c r="M31" s="63" t="str">
        <f t="shared" si="20"/>
        <v>none</v>
      </c>
      <c r="N31" s="48" t="str">
        <f t="shared" si="21"/>
        <v>none</v>
      </c>
      <c r="O31" s="63" t="e">
        <f t="shared" si="7"/>
        <v>#VALUE!</v>
      </c>
      <c r="P31" s="63">
        <f t="shared" si="22"/>
        <v>4</v>
      </c>
      <c r="Q31" s="63" t="e">
        <f t="shared" si="23"/>
        <v>#VALUE!</v>
      </c>
      <c r="R31" s="63" t="e">
        <f t="shared" si="24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25"/>
        <v>none</v>
      </c>
      <c r="U31" s="63" t="e">
        <f t="shared" si="12"/>
        <v>#VALUE!</v>
      </c>
      <c r="V31" s="63">
        <f t="shared" si="26"/>
        <v>4</v>
      </c>
      <c r="W31" s="63" t="e">
        <f t="shared" si="27"/>
        <v>#VALUE!</v>
      </c>
      <c r="X31" s="63" t="e">
        <f t="shared" si="28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 t="s">
        <v>214</v>
      </c>
      <c r="AA31" s="52">
        <v>42433</v>
      </c>
      <c r="AB31" s="50" t="s">
        <v>215</v>
      </c>
    </row>
    <row r="32" spans="1:28" ht="21" customHeight="1" x14ac:dyDescent="0.15">
      <c r="A32" s="102">
        <v>30029031</v>
      </c>
      <c r="B32" s="47" t="s">
        <v>227</v>
      </c>
      <c r="C32" s="50">
        <v>3</v>
      </c>
      <c r="D32" s="50" t="s">
        <v>127</v>
      </c>
      <c r="E32" s="51" t="s">
        <v>263</v>
      </c>
      <c r="F32" s="51" t="s">
        <v>262</v>
      </c>
      <c r="G32" s="63" t="str">
        <f t="shared" si="16"/>
        <v>[effect:heal, target:enemy_all, val:0.3, animation:enemy_heal]</v>
      </c>
      <c r="H32" s="63">
        <f t="shared" si="1"/>
        <v>9</v>
      </c>
      <c r="I32" s="63">
        <f t="shared" si="17"/>
        <v>13</v>
      </c>
      <c r="J32" s="63">
        <f t="shared" si="18"/>
        <v>22</v>
      </c>
      <c r="K32" s="63">
        <f t="shared" si="19"/>
        <v>31</v>
      </c>
      <c r="L32" s="63" t="str">
        <f>IFERROR(VLOOKUP(MID(G32,J32,K32-J32),[6]skilldef!$C:$D,2,FALSE),"-") &amp; " / " &amp; IFERROR(VLOOKUP(MID(G32,H32,I32-H32),[6]skilldef!$A:$B,2,FALSE),"-")</f>
        <v>敵全体に / 回復</v>
      </c>
      <c r="M32" s="63" t="str">
        <f t="shared" si="20"/>
        <v>none</v>
      </c>
      <c r="N32" s="48" t="str">
        <f t="shared" si="21"/>
        <v>none</v>
      </c>
      <c r="O32" s="63" t="e">
        <f t="shared" si="7"/>
        <v>#VALUE!</v>
      </c>
      <c r="P32" s="63">
        <f t="shared" si="22"/>
        <v>4</v>
      </c>
      <c r="Q32" s="63" t="e">
        <f t="shared" si="23"/>
        <v>#VALUE!</v>
      </c>
      <c r="R32" s="63" t="e">
        <f t="shared" si="24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25"/>
        <v>none</v>
      </c>
      <c r="U32" s="63" t="e">
        <f t="shared" si="12"/>
        <v>#VALUE!</v>
      </c>
      <c r="V32" s="63">
        <f t="shared" si="26"/>
        <v>4</v>
      </c>
      <c r="W32" s="63" t="e">
        <f t="shared" si="27"/>
        <v>#VALUE!</v>
      </c>
      <c r="X32" s="63" t="e">
        <f t="shared" si="28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 t="s">
        <v>214</v>
      </c>
      <c r="AA32" s="52">
        <v>42433</v>
      </c>
      <c r="AB32" s="50" t="s">
        <v>215</v>
      </c>
    </row>
    <row r="33" spans="1:28" ht="21" customHeight="1" x14ac:dyDescent="0.15">
      <c r="A33" s="47">
        <v>30029032</v>
      </c>
      <c r="B33" s="47" t="s">
        <v>228</v>
      </c>
      <c r="C33" s="50">
        <v>3</v>
      </c>
      <c r="D33" s="50" t="s">
        <v>127</v>
      </c>
      <c r="E33" s="51" t="s">
        <v>223</v>
      </c>
      <c r="F33" s="51" t="s">
        <v>217</v>
      </c>
      <c r="G33" s="63" t="str">
        <f t="shared" si="16"/>
        <v>[effect:nothing]</v>
      </c>
      <c r="H33" s="63">
        <f t="shared" si="1"/>
        <v>9</v>
      </c>
      <c r="I33" s="63">
        <f t="shared" si="17"/>
        <v>16</v>
      </c>
      <c r="J33" s="63" t="e">
        <f t="shared" si="18"/>
        <v>#VALUE!</v>
      </c>
      <c r="K33" s="63" t="e">
        <f t="shared" si="19"/>
        <v>#VALUE!</v>
      </c>
      <c r="L33" s="63" t="str">
        <f>IFERROR(VLOOKUP(MID(G33,J33,K33-J33),[6]skilldef!$C:$D,2,FALSE),"-") &amp; " / " &amp; IFERROR(VLOOKUP(MID(G33,H33,I33-H33),[6]skilldef!$A:$B,2,FALSE),"-")</f>
        <v>- / 何もしない</v>
      </c>
      <c r="M33" s="63" t="str">
        <f t="shared" si="20"/>
        <v>none</v>
      </c>
      <c r="N33" s="48" t="str">
        <f t="shared" si="21"/>
        <v>none</v>
      </c>
      <c r="O33" s="63" t="e">
        <f t="shared" si="7"/>
        <v>#VALUE!</v>
      </c>
      <c r="P33" s="63">
        <f t="shared" si="22"/>
        <v>4</v>
      </c>
      <c r="Q33" s="63" t="e">
        <f t="shared" si="23"/>
        <v>#VALUE!</v>
      </c>
      <c r="R33" s="63" t="e">
        <f t="shared" si="24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25"/>
        <v>none</v>
      </c>
      <c r="U33" s="63" t="e">
        <f t="shared" si="12"/>
        <v>#VALUE!</v>
      </c>
      <c r="V33" s="63">
        <f t="shared" si="26"/>
        <v>4</v>
      </c>
      <c r="W33" s="63" t="e">
        <f t="shared" si="27"/>
        <v>#VALUE!</v>
      </c>
      <c r="X33" s="63" t="e">
        <f t="shared" si="28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 t="s">
        <v>214</v>
      </c>
      <c r="AA33" s="52">
        <v>42433</v>
      </c>
      <c r="AB33" s="50" t="s">
        <v>215</v>
      </c>
    </row>
    <row r="34" spans="1:28" ht="21" customHeight="1" x14ac:dyDescent="0.15">
      <c r="A34" s="47">
        <v>30029033</v>
      </c>
      <c r="B34" s="47" t="s">
        <v>228</v>
      </c>
      <c r="C34" s="50">
        <v>3</v>
      </c>
      <c r="D34" s="50" t="s">
        <v>127</v>
      </c>
      <c r="E34" s="51" t="s">
        <v>223</v>
      </c>
      <c r="F34" s="51" t="s">
        <v>217</v>
      </c>
      <c r="G34" s="63" t="str">
        <f t="shared" si="16"/>
        <v>[effect:nothing]</v>
      </c>
      <c r="H34" s="63">
        <f t="shared" si="1"/>
        <v>9</v>
      </c>
      <c r="I34" s="63">
        <f t="shared" si="17"/>
        <v>16</v>
      </c>
      <c r="J34" s="63" t="e">
        <f t="shared" si="18"/>
        <v>#VALUE!</v>
      </c>
      <c r="K34" s="63" t="e">
        <f t="shared" si="19"/>
        <v>#VALUE!</v>
      </c>
      <c r="L34" s="63" t="str">
        <f>IFERROR(VLOOKUP(MID(G34,J34,K34-J34),[6]skilldef!$C:$D,2,FALSE),"-") &amp; " / " &amp; IFERROR(VLOOKUP(MID(G34,H34,I34-H34),[6]skilldef!$A:$B,2,FALSE),"-")</f>
        <v>- / 何もしない</v>
      </c>
      <c r="M34" s="63" t="str">
        <f t="shared" si="20"/>
        <v>none</v>
      </c>
      <c r="N34" s="48" t="str">
        <f t="shared" si="21"/>
        <v>none</v>
      </c>
      <c r="O34" s="63" t="e">
        <f t="shared" si="7"/>
        <v>#VALUE!</v>
      </c>
      <c r="P34" s="63">
        <f t="shared" si="22"/>
        <v>4</v>
      </c>
      <c r="Q34" s="63" t="e">
        <f t="shared" si="23"/>
        <v>#VALUE!</v>
      </c>
      <c r="R34" s="63" t="e">
        <f t="shared" si="24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25"/>
        <v>none</v>
      </c>
      <c r="U34" s="63" t="e">
        <f t="shared" si="12"/>
        <v>#VALUE!</v>
      </c>
      <c r="V34" s="63">
        <f t="shared" si="26"/>
        <v>4</v>
      </c>
      <c r="W34" s="63" t="e">
        <f t="shared" si="27"/>
        <v>#VALUE!</v>
      </c>
      <c r="X34" s="63" t="e">
        <f t="shared" si="28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 t="s">
        <v>214</v>
      </c>
      <c r="AA34" s="52">
        <v>42433</v>
      </c>
      <c r="AB34" s="50" t="s">
        <v>215</v>
      </c>
    </row>
    <row r="35" spans="1:28" ht="21" customHeight="1" x14ac:dyDescent="0.15">
      <c r="A35" s="47">
        <v>30029034</v>
      </c>
      <c r="B35" s="47" t="s">
        <v>228</v>
      </c>
      <c r="C35" s="50">
        <v>3</v>
      </c>
      <c r="D35" s="50" t="s">
        <v>127</v>
      </c>
      <c r="E35" s="51" t="s">
        <v>223</v>
      </c>
      <c r="F35" s="51" t="s">
        <v>217</v>
      </c>
      <c r="G35" s="63" t="str">
        <f t="shared" si="16"/>
        <v>[effect:nothing]</v>
      </c>
      <c r="H35" s="63">
        <f t="shared" si="1"/>
        <v>9</v>
      </c>
      <c r="I35" s="63">
        <f t="shared" si="17"/>
        <v>16</v>
      </c>
      <c r="J35" s="63" t="e">
        <f t="shared" si="18"/>
        <v>#VALUE!</v>
      </c>
      <c r="K35" s="63" t="e">
        <f t="shared" si="19"/>
        <v>#VALUE!</v>
      </c>
      <c r="L35" s="63" t="str">
        <f>IFERROR(VLOOKUP(MID(G35,J35,K35-J35),[6]skilldef!$C:$D,2,FALSE),"-") &amp; " / " &amp; IFERROR(VLOOKUP(MID(G35,H35,I35-H35),[6]skilldef!$A:$B,2,FALSE),"-")</f>
        <v>- / 何もしない</v>
      </c>
      <c r="M35" s="63" t="str">
        <f t="shared" si="20"/>
        <v>none</v>
      </c>
      <c r="N35" s="48" t="str">
        <f t="shared" si="21"/>
        <v>none</v>
      </c>
      <c r="O35" s="63" t="e">
        <f t="shared" si="7"/>
        <v>#VALUE!</v>
      </c>
      <c r="P35" s="63">
        <f t="shared" si="22"/>
        <v>4</v>
      </c>
      <c r="Q35" s="63" t="e">
        <f t="shared" si="23"/>
        <v>#VALUE!</v>
      </c>
      <c r="R35" s="63" t="e">
        <f t="shared" si="24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25"/>
        <v>none</v>
      </c>
      <c r="U35" s="63" t="e">
        <f t="shared" si="12"/>
        <v>#VALUE!</v>
      </c>
      <c r="V35" s="63">
        <f t="shared" si="26"/>
        <v>4</v>
      </c>
      <c r="W35" s="63" t="e">
        <f t="shared" si="27"/>
        <v>#VALUE!</v>
      </c>
      <c r="X35" s="63" t="e">
        <f t="shared" si="28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 t="s">
        <v>214</v>
      </c>
      <c r="AA35" s="52">
        <v>42433</v>
      </c>
      <c r="AB35" s="50" t="s">
        <v>215</v>
      </c>
    </row>
    <row r="36" spans="1:28" ht="21" customHeight="1" x14ac:dyDescent="0.15">
      <c r="A36" s="47">
        <v>30029035</v>
      </c>
      <c r="B36" s="47" t="s">
        <v>228</v>
      </c>
      <c r="C36" s="50">
        <v>3</v>
      </c>
      <c r="D36" s="50" t="s">
        <v>127</v>
      </c>
      <c r="E36" s="51" t="s">
        <v>223</v>
      </c>
      <c r="F36" s="51" t="s">
        <v>217</v>
      </c>
      <c r="G36" s="63" t="str">
        <f t="shared" si="16"/>
        <v>[effect:nothing]</v>
      </c>
      <c r="H36" s="63">
        <f t="shared" si="1"/>
        <v>9</v>
      </c>
      <c r="I36" s="63">
        <f t="shared" si="17"/>
        <v>16</v>
      </c>
      <c r="J36" s="63" t="e">
        <f t="shared" si="18"/>
        <v>#VALUE!</v>
      </c>
      <c r="K36" s="63" t="e">
        <f t="shared" si="19"/>
        <v>#VALUE!</v>
      </c>
      <c r="L36" s="63" t="str">
        <f>IFERROR(VLOOKUP(MID(G36,J36,K36-J36),[6]skilldef!$C:$D,2,FALSE),"-") &amp; " / " &amp; IFERROR(VLOOKUP(MID(G36,H36,I36-H36),[6]skilldef!$A:$B,2,FALSE),"-")</f>
        <v>- / 何もしない</v>
      </c>
      <c r="M36" s="63" t="str">
        <f t="shared" si="20"/>
        <v>none</v>
      </c>
      <c r="N36" s="48" t="str">
        <f t="shared" si="21"/>
        <v>none</v>
      </c>
      <c r="O36" s="63" t="e">
        <f t="shared" si="7"/>
        <v>#VALUE!</v>
      </c>
      <c r="P36" s="63">
        <f t="shared" si="22"/>
        <v>4</v>
      </c>
      <c r="Q36" s="63" t="e">
        <f t="shared" si="23"/>
        <v>#VALUE!</v>
      </c>
      <c r="R36" s="63" t="e">
        <f t="shared" si="24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25"/>
        <v>none</v>
      </c>
      <c r="U36" s="63" t="e">
        <f t="shared" si="12"/>
        <v>#VALUE!</v>
      </c>
      <c r="V36" s="63">
        <f t="shared" si="26"/>
        <v>4</v>
      </c>
      <c r="W36" s="63" t="e">
        <f t="shared" si="27"/>
        <v>#VALUE!</v>
      </c>
      <c r="X36" s="63" t="e">
        <f t="shared" si="28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 t="s">
        <v>214</v>
      </c>
      <c r="AA36" s="52">
        <v>42433</v>
      </c>
      <c r="AB36" s="50" t="s">
        <v>215</v>
      </c>
    </row>
    <row r="37" spans="1:28" ht="21" customHeight="1" x14ac:dyDescent="0.15">
      <c r="A37" s="102">
        <v>30029036</v>
      </c>
      <c r="B37" s="47" t="s">
        <v>284</v>
      </c>
      <c r="C37" s="50">
        <v>3</v>
      </c>
      <c r="D37" s="50" t="s">
        <v>127</v>
      </c>
      <c r="E37" s="51" t="s">
        <v>274</v>
      </c>
      <c r="F37" s="51" t="s">
        <v>285</v>
      </c>
      <c r="G37" s="63" t="str">
        <f t="shared" si="16"/>
        <v>[effect:tolerance, target:myself, turn:-1, tolerance_effect:sleep, count:-1]</v>
      </c>
      <c r="H37" s="63">
        <f t="shared" si="1"/>
        <v>9</v>
      </c>
      <c r="I37" s="63">
        <f t="shared" si="17"/>
        <v>18</v>
      </c>
      <c r="J37" s="63">
        <f t="shared" si="18"/>
        <v>27</v>
      </c>
      <c r="K37" s="63">
        <f t="shared" si="19"/>
        <v>33</v>
      </c>
      <c r="L37" s="63" t="str">
        <f>IFERROR(VLOOKUP(MID(G37,J37,K37-J37),[6]skilldef!$C:$D,2,FALSE),"-") &amp; " / " &amp; IFERROR(VLOOKUP(MID(G37,H37,I37-H37),[6]skilldef!$A:$B,2,FALSE),"-")</f>
        <v>自分自身に / 状態異常耐性</v>
      </c>
      <c r="M37" s="63" t="str">
        <f t="shared" si="20"/>
        <v>[effect:tolerance, target:myself, turn:-1, tolerance_effect:virus, count:-1],[effect:tolerance, target:myself, turn:-1, tolerance_effect:hungup, count:-1, animation:enemy_tolerance],[effect:enhance_enemy, target:enemy_green, turn:5, status:defense, val:3000, animation:enemy_enhance_defense]</v>
      </c>
      <c r="N37" s="48" t="str">
        <f t="shared" si="21"/>
        <v>[effect:tolerance, target:myself, turn:-1, tolerance_effect:virus, count:-1],[effect:tolerance, target:myself, turn:-1, tolerance_effect:hungup, count:-1, animation:enemy_tolerance],[effect:enhance_enemy, target:enemy_green, turn:5, status:defense, val:3000, animation:enemy_enhance_defense]</v>
      </c>
      <c r="O37" s="63">
        <f t="shared" si="7"/>
        <v>9</v>
      </c>
      <c r="P37" s="63">
        <f t="shared" si="22"/>
        <v>18</v>
      </c>
      <c r="Q37" s="63">
        <f t="shared" si="23"/>
        <v>27</v>
      </c>
      <c r="R37" s="63">
        <f t="shared" si="24"/>
        <v>33</v>
      </c>
      <c r="S37" s="63" t="str">
        <f>IFERROR(VLOOKUP(MID(N37,Q37,R37-Q37),[6]skilldef!$C:$D,2,FALSE),"-") &amp; " / " &amp; IFERROR(VLOOKUP(MID(N37,O37,P37-O37),[6]skilldef!$A:$B,2,FALSE),"-")</f>
        <v>自分自身に / 状態異常耐性</v>
      </c>
      <c r="T37" s="48" t="str">
        <f t="shared" si="25"/>
        <v>[effect:tolerance, target:myself, turn:-1, tolerance_effect:hungup, count:-1, animation:enemy_tolerance],[effect:enhance_enemy, target:enemy_green, turn:5, status:defense, val:3000, animation:enemy_enhance_defense]</v>
      </c>
      <c r="U37" s="63">
        <f t="shared" si="12"/>
        <v>9</v>
      </c>
      <c r="V37" s="63">
        <f t="shared" si="26"/>
        <v>18</v>
      </c>
      <c r="W37" s="63">
        <f t="shared" si="27"/>
        <v>27</v>
      </c>
      <c r="X37" s="63">
        <f t="shared" si="28"/>
        <v>33</v>
      </c>
      <c r="Y37" s="63" t="str">
        <f>IFERROR(VLOOKUP(MID(T37,W37,X37-W37),[6]skilldef!$C:$D,2,FALSE),"-") &amp; " / " &amp; IFERROR(VLOOKUP(MID(T37,U37,V37-U37),[6]skilldef!$A:$B,2,FALSE),"-")</f>
        <v>自分自身に / 状態異常耐性</v>
      </c>
      <c r="Z37" s="50" t="s">
        <v>214</v>
      </c>
      <c r="AA37" s="52">
        <v>42433</v>
      </c>
      <c r="AB37" s="50" t="s">
        <v>215</v>
      </c>
    </row>
    <row r="38" spans="1:28" ht="21" customHeight="1" x14ac:dyDescent="0.15">
      <c r="A38" s="102">
        <v>30029037</v>
      </c>
      <c r="B38" s="47" t="s">
        <v>250</v>
      </c>
      <c r="C38" s="50">
        <v>3</v>
      </c>
      <c r="D38" s="50" t="s">
        <v>127</v>
      </c>
      <c r="E38" s="51" t="s">
        <v>270</v>
      </c>
      <c r="F38" s="51" t="s">
        <v>253</v>
      </c>
      <c r="G38" s="63" t="str">
        <f t="shared" si="16"/>
        <v>[effect:spread, val:0.4]</v>
      </c>
      <c r="H38" s="63">
        <f t="shared" si="1"/>
        <v>9</v>
      </c>
      <c r="I38" s="63">
        <f t="shared" si="17"/>
        <v>15</v>
      </c>
      <c r="J38" s="63" t="e">
        <f t="shared" si="18"/>
        <v>#VALUE!</v>
      </c>
      <c r="K38" s="63" t="e">
        <f t="shared" si="19"/>
        <v>#VALUE!</v>
      </c>
      <c r="L38" s="63" t="str">
        <f>IFERROR(VLOOKUP(MID(G38,J38,K38-J38),[6]skilldef!$C:$D,2,FALSE),"-") &amp; " / " &amp; IFERROR(VLOOKUP(MID(G38,H38,I38-H38),[6]skilldef!$A:$B,2,FALSE),"-")</f>
        <v>- / 全体攻撃</v>
      </c>
      <c r="M38" s="63" t="str">
        <f t="shared" si="20"/>
        <v>none</v>
      </c>
      <c r="N38" s="48" t="str">
        <f t="shared" si="21"/>
        <v>none</v>
      </c>
      <c r="O38" s="63" t="e">
        <f t="shared" si="7"/>
        <v>#VALUE!</v>
      </c>
      <c r="P38" s="63">
        <f t="shared" si="22"/>
        <v>4</v>
      </c>
      <c r="Q38" s="63" t="e">
        <f t="shared" si="23"/>
        <v>#VALUE!</v>
      </c>
      <c r="R38" s="63" t="e">
        <f t="shared" si="24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25"/>
        <v>none</v>
      </c>
      <c r="U38" s="63" t="e">
        <f t="shared" si="12"/>
        <v>#VALUE!</v>
      </c>
      <c r="V38" s="63">
        <f t="shared" si="26"/>
        <v>4</v>
      </c>
      <c r="W38" s="63" t="e">
        <f t="shared" si="27"/>
        <v>#VALUE!</v>
      </c>
      <c r="X38" s="63" t="e">
        <f t="shared" si="28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 t="s">
        <v>214</v>
      </c>
      <c r="AA38" s="52">
        <v>42433</v>
      </c>
      <c r="AB38" s="50" t="s">
        <v>215</v>
      </c>
    </row>
    <row r="39" spans="1:28" ht="21" customHeight="1" x14ac:dyDescent="0.15">
      <c r="A39" s="102">
        <v>30029038</v>
      </c>
      <c r="B39" s="47" t="s">
        <v>227</v>
      </c>
      <c r="C39" s="50">
        <v>3</v>
      </c>
      <c r="D39" s="50" t="s">
        <v>127</v>
      </c>
      <c r="E39" s="51" t="s">
        <v>271</v>
      </c>
      <c r="F39" s="51" t="s">
        <v>264</v>
      </c>
      <c r="G39" s="63" t="str">
        <f t="shared" si="16"/>
        <v>[effect:heal, target:enemy_all, val:0.3, animation:enemy_heal]</v>
      </c>
      <c r="H39" s="63">
        <f t="shared" si="1"/>
        <v>9</v>
      </c>
      <c r="I39" s="63">
        <f t="shared" si="17"/>
        <v>13</v>
      </c>
      <c r="J39" s="63">
        <f t="shared" si="18"/>
        <v>22</v>
      </c>
      <c r="K39" s="63">
        <f t="shared" si="19"/>
        <v>31</v>
      </c>
      <c r="L39" s="63" t="str">
        <f>IFERROR(VLOOKUP(MID(G39,J39,K39-J39),[6]skilldef!$C:$D,2,FALSE),"-") &amp; " / " &amp; IFERROR(VLOOKUP(MID(G39,H39,I39-H39),[6]skilldef!$A:$B,2,FALSE),"-")</f>
        <v>敵全体に / 回復</v>
      </c>
      <c r="M39" s="63" t="str">
        <f t="shared" si="20"/>
        <v>none</v>
      </c>
      <c r="N39" s="48" t="str">
        <f t="shared" si="21"/>
        <v>none</v>
      </c>
      <c r="O39" s="63" t="e">
        <f t="shared" si="7"/>
        <v>#VALUE!</v>
      </c>
      <c r="P39" s="63">
        <f t="shared" si="22"/>
        <v>4</v>
      </c>
      <c r="Q39" s="63" t="e">
        <f t="shared" si="23"/>
        <v>#VALUE!</v>
      </c>
      <c r="R39" s="63" t="e">
        <f t="shared" si="24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25"/>
        <v>none</v>
      </c>
      <c r="U39" s="63" t="e">
        <f t="shared" si="12"/>
        <v>#VALUE!</v>
      </c>
      <c r="V39" s="63">
        <f t="shared" si="26"/>
        <v>4</v>
      </c>
      <c r="W39" s="63" t="e">
        <f t="shared" si="27"/>
        <v>#VALUE!</v>
      </c>
      <c r="X39" s="63" t="e">
        <f t="shared" si="28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 t="s">
        <v>214</v>
      </c>
      <c r="AA39" s="52">
        <v>42433</v>
      </c>
      <c r="AB39" s="50" t="s">
        <v>215</v>
      </c>
    </row>
    <row r="40" spans="1:28" ht="21" customHeight="1" x14ac:dyDescent="0.15">
      <c r="A40" s="102">
        <v>30029039</v>
      </c>
      <c r="B40" s="47" t="s">
        <v>249</v>
      </c>
      <c r="C40" s="50">
        <v>3</v>
      </c>
      <c r="D40" s="50" t="s">
        <v>127</v>
      </c>
      <c r="E40" s="51" t="s">
        <v>289</v>
      </c>
      <c r="F40" s="51" t="s">
        <v>288</v>
      </c>
      <c r="G40" s="63" t="str">
        <f t="shared" si="16"/>
        <v>[effect:break_attack, val:0.1, lowest_val:1000, count:-1, block:block_yellow, target:unit_one]</v>
      </c>
      <c r="H40" s="63">
        <f t="shared" si="1"/>
        <v>9</v>
      </c>
      <c r="I40" s="63">
        <f t="shared" si="17"/>
        <v>21</v>
      </c>
      <c r="J40" s="63">
        <f t="shared" si="18"/>
        <v>86</v>
      </c>
      <c r="K40" s="63">
        <f t="shared" si="19"/>
        <v>30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 t="shared" si="20"/>
        <v>none</v>
      </c>
      <c r="N40" s="48" t="str">
        <f t="shared" si="21"/>
        <v>none</v>
      </c>
      <c r="O40" s="63" t="e">
        <f t="shared" si="7"/>
        <v>#VALUE!</v>
      </c>
      <c r="P40" s="63">
        <f t="shared" si="22"/>
        <v>4</v>
      </c>
      <c r="Q40" s="63" t="e">
        <f t="shared" si="23"/>
        <v>#VALUE!</v>
      </c>
      <c r="R40" s="63" t="e">
        <f t="shared" si="24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25"/>
        <v>none</v>
      </c>
      <c r="U40" s="63" t="e">
        <f t="shared" si="12"/>
        <v>#VALUE!</v>
      </c>
      <c r="V40" s="63">
        <f t="shared" si="26"/>
        <v>4</v>
      </c>
      <c r="W40" s="63" t="e">
        <f t="shared" si="27"/>
        <v>#VALUE!</v>
      </c>
      <c r="X40" s="63" t="e">
        <f t="shared" si="28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 t="s">
        <v>214</v>
      </c>
      <c r="AA40" s="52">
        <v>42433</v>
      </c>
      <c r="AB40" s="50" t="s">
        <v>215</v>
      </c>
    </row>
    <row r="41" spans="1:28" ht="21" customHeight="1" x14ac:dyDescent="0.15">
      <c r="A41" s="47">
        <v>30029040</v>
      </c>
      <c r="B41" s="47" t="s">
        <v>228</v>
      </c>
      <c r="C41" s="50">
        <v>3</v>
      </c>
      <c r="D41" s="50" t="s">
        <v>127</v>
      </c>
      <c r="E41" s="51" t="s">
        <v>224</v>
      </c>
      <c r="F41" s="51" t="s">
        <v>217</v>
      </c>
      <c r="G41" s="63" t="str">
        <f t="shared" si="16"/>
        <v>[effect:nothing]</v>
      </c>
      <c r="H41" s="63">
        <f t="shared" si="1"/>
        <v>9</v>
      </c>
      <c r="I41" s="63">
        <f t="shared" si="17"/>
        <v>16</v>
      </c>
      <c r="J41" s="63" t="e">
        <f t="shared" si="18"/>
        <v>#VALUE!</v>
      </c>
      <c r="K41" s="63" t="e">
        <f t="shared" si="19"/>
        <v>#VALUE!</v>
      </c>
      <c r="L41" s="63" t="str">
        <f>IFERROR(VLOOKUP(MID(G41,J41,K41-J41),[6]skilldef!$C:$D,2,FALSE),"-") &amp; " / " &amp; IFERROR(VLOOKUP(MID(G41,H41,I41-H41),[6]skilldef!$A:$B,2,FALSE),"-")</f>
        <v>- / 何もしない</v>
      </c>
      <c r="M41" s="63" t="str">
        <f t="shared" si="20"/>
        <v>none</v>
      </c>
      <c r="N41" s="48" t="str">
        <f t="shared" si="21"/>
        <v>none</v>
      </c>
      <c r="O41" s="63" t="e">
        <f t="shared" si="7"/>
        <v>#VALUE!</v>
      </c>
      <c r="P41" s="63">
        <f t="shared" si="22"/>
        <v>4</v>
      </c>
      <c r="Q41" s="63" t="e">
        <f t="shared" si="23"/>
        <v>#VALUE!</v>
      </c>
      <c r="R41" s="63" t="e">
        <f t="shared" si="24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25"/>
        <v>none</v>
      </c>
      <c r="U41" s="63" t="e">
        <f t="shared" si="12"/>
        <v>#VALUE!</v>
      </c>
      <c r="V41" s="63">
        <f t="shared" si="26"/>
        <v>4</v>
      </c>
      <c r="W41" s="63" t="e">
        <f t="shared" si="27"/>
        <v>#VALUE!</v>
      </c>
      <c r="X41" s="63" t="e">
        <f t="shared" si="28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 t="s">
        <v>214</v>
      </c>
      <c r="AA41" s="52">
        <v>42433</v>
      </c>
      <c r="AB41" s="50" t="s">
        <v>215</v>
      </c>
    </row>
    <row r="42" spans="1:28" ht="21" customHeight="1" x14ac:dyDescent="0.15">
      <c r="A42" s="47">
        <v>30029041</v>
      </c>
      <c r="B42" s="47" t="s">
        <v>228</v>
      </c>
      <c r="C42" s="50">
        <v>3</v>
      </c>
      <c r="D42" s="50" t="s">
        <v>127</v>
      </c>
      <c r="E42" s="51" t="s">
        <v>224</v>
      </c>
      <c r="F42" s="51" t="s">
        <v>217</v>
      </c>
      <c r="G42" s="63" t="str">
        <f t="shared" si="16"/>
        <v>[effect:nothing]</v>
      </c>
      <c r="H42" s="63">
        <f t="shared" si="1"/>
        <v>9</v>
      </c>
      <c r="I42" s="63">
        <f t="shared" si="17"/>
        <v>16</v>
      </c>
      <c r="J42" s="63" t="e">
        <f t="shared" si="18"/>
        <v>#VALUE!</v>
      </c>
      <c r="K42" s="63" t="e">
        <f t="shared" si="19"/>
        <v>#VALUE!</v>
      </c>
      <c r="L42" s="63" t="str">
        <f>IFERROR(VLOOKUP(MID(G42,J42,K42-J42),[6]skilldef!$C:$D,2,FALSE),"-") &amp; " / " &amp; IFERROR(VLOOKUP(MID(G42,H42,I42-H42),[6]skilldef!$A:$B,2,FALSE),"-")</f>
        <v>- / 何もしない</v>
      </c>
      <c r="M42" s="63" t="str">
        <f t="shared" si="20"/>
        <v>none</v>
      </c>
      <c r="N42" s="48" t="str">
        <f t="shared" si="21"/>
        <v>none</v>
      </c>
      <c r="O42" s="63" t="e">
        <f t="shared" si="7"/>
        <v>#VALUE!</v>
      </c>
      <c r="P42" s="63">
        <f t="shared" si="22"/>
        <v>4</v>
      </c>
      <c r="Q42" s="63" t="e">
        <f t="shared" si="23"/>
        <v>#VALUE!</v>
      </c>
      <c r="R42" s="63" t="e">
        <f t="shared" si="24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25"/>
        <v>none</v>
      </c>
      <c r="U42" s="63" t="e">
        <f t="shared" si="12"/>
        <v>#VALUE!</v>
      </c>
      <c r="V42" s="63">
        <f t="shared" si="26"/>
        <v>4</v>
      </c>
      <c r="W42" s="63" t="e">
        <f t="shared" si="27"/>
        <v>#VALUE!</v>
      </c>
      <c r="X42" s="63" t="e">
        <f t="shared" si="28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 t="s">
        <v>214</v>
      </c>
      <c r="AA42" s="52">
        <v>42433</v>
      </c>
      <c r="AB42" s="50" t="s">
        <v>215</v>
      </c>
    </row>
    <row r="43" spans="1:28" ht="21" customHeight="1" x14ac:dyDescent="0.15">
      <c r="A43" s="47">
        <v>30029042</v>
      </c>
      <c r="B43" s="47" t="s">
        <v>228</v>
      </c>
      <c r="C43" s="50">
        <v>3</v>
      </c>
      <c r="D43" s="50" t="s">
        <v>127</v>
      </c>
      <c r="E43" s="51" t="s">
        <v>224</v>
      </c>
      <c r="F43" s="51" t="s">
        <v>217</v>
      </c>
      <c r="G43" s="63" t="str">
        <f t="shared" si="16"/>
        <v>[effect:nothing]</v>
      </c>
      <c r="H43" s="63">
        <f t="shared" si="1"/>
        <v>9</v>
      </c>
      <c r="I43" s="63">
        <f t="shared" si="17"/>
        <v>16</v>
      </c>
      <c r="J43" s="63" t="e">
        <f t="shared" si="18"/>
        <v>#VALUE!</v>
      </c>
      <c r="K43" s="63" t="e">
        <f t="shared" si="19"/>
        <v>#VALUE!</v>
      </c>
      <c r="L43" s="63" t="str">
        <f>IFERROR(VLOOKUP(MID(G43,J43,K43-J43),[6]skilldef!$C:$D,2,FALSE),"-") &amp; " / " &amp; IFERROR(VLOOKUP(MID(G43,H43,I43-H43),[6]skilldef!$A:$B,2,FALSE),"-")</f>
        <v>- / 何もしない</v>
      </c>
      <c r="M43" s="63" t="str">
        <f t="shared" si="20"/>
        <v>none</v>
      </c>
      <c r="N43" s="48" t="str">
        <f t="shared" si="21"/>
        <v>none</v>
      </c>
      <c r="O43" s="63" t="e">
        <f t="shared" si="7"/>
        <v>#VALUE!</v>
      </c>
      <c r="P43" s="63">
        <f t="shared" si="22"/>
        <v>4</v>
      </c>
      <c r="Q43" s="63" t="e">
        <f t="shared" si="23"/>
        <v>#VALUE!</v>
      </c>
      <c r="R43" s="63" t="e">
        <f t="shared" si="24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25"/>
        <v>none</v>
      </c>
      <c r="U43" s="63" t="e">
        <f t="shared" si="12"/>
        <v>#VALUE!</v>
      </c>
      <c r="V43" s="63">
        <f t="shared" si="26"/>
        <v>4</v>
      </c>
      <c r="W43" s="63" t="e">
        <f t="shared" si="27"/>
        <v>#VALUE!</v>
      </c>
      <c r="X43" s="63" t="e">
        <f t="shared" si="28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 t="s">
        <v>214</v>
      </c>
      <c r="AA43" s="52">
        <v>42433</v>
      </c>
      <c r="AB43" s="50" t="s">
        <v>215</v>
      </c>
    </row>
    <row r="44" spans="1:28" ht="21" customHeight="1" x14ac:dyDescent="0.15">
      <c r="A44" s="47">
        <v>30029043</v>
      </c>
      <c r="B44" s="47" t="s">
        <v>238</v>
      </c>
      <c r="C44" s="50">
        <v>3</v>
      </c>
      <c r="D44" s="50" t="s">
        <v>127</v>
      </c>
      <c r="E44" s="51" t="s">
        <v>224</v>
      </c>
      <c r="F44" s="51" t="s">
        <v>217</v>
      </c>
      <c r="G44" s="63" t="str">
        <f t="shared" si="16"/>
        <v xml:space="preserve">[effect:break_attack, val:0.2, lowest_val:1000, count:-1, block:block_yellow, target:unit_one]    </v>
      </c>
      <c r="H44" s="63">
        <f t="shared" si="1"/>
        <v>9</v>
      </c>
      <c r="I44" s="63">
        <f t="shared" si="17"/>
        <v>21</v>
      </c>
      <c r="J44" s="63">
        <f t="shared" si="18"/>
        <v>86</v>
      </c>
      <c r="K44" s="63">
        <f t="shared" si="19"/>
        <v>30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 t="shared" si="20"/>
        <v>none</v>
      </c>
      <c r="N44" s="48" t="str">
        <f t="shared" si="21"/>
        <v>none</v>
      </c>
      <c r="O44" s="63" t="e">
        <f t="shared" si="7"/>
        <v>#VALUE!</v>
      </c>
      <c r="P44" s="63">
        <f t="shared" si="22"/>
        <v>4</v>
      </c>
      <c r="Q44" s="63" t="e">
        <f t="shared" si="23"/>
        <v>#VALUE!</v>
      </c>
      <c r="R44" s="63" t="e">
        <f t="shared" si="24"/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25"/>
        <v>none</v>
      </c>
      <c r="U44" s="63" t="e">
        <f t="shared" si="12"/>
        <v>#VALUE!</v>
      </c>
      <c r="V44" s="63">
        <f t="shared" si="26"/>
        <v>4</v>
      </c>
      <c r="W44" s="63" t="e">
        <f t="shared" si="27"/>
        <v>#VALUE!</v>
      </c>
      <c r="X44" s="63" t="e">
        <f t="shared" si="28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 t="s">
        <v>214</v>
      </c>
      <c r="AA44" s="52">
        <v>42433</v>
      </c>
      <c r="AB44" s="50" t="s">
        <v>215</v>
      </c>
    </row>
    <row r="45" spans="1:28" ht="21" customHeight="1" x14ac:dyDescent="0.15">
      <c r="A45" s="47">
        <v>30029044</v>
      </c>
      <c r="B45" s="47" t="s">
        <v>228</v>
      </c>
      <c r="C45" s="50">
        <v>3</v>
      </c>
      <c r="D45" s="50" t="s">
        <v>127</v>
      </c>
      <c r="E45" s="51" t="s">
        <v>224</v>
      </c>
      <c r="F45" s="51" t="s">
        <v>217</v>
      </c>
      <c r="G45" s="63" t="str">
        <f t="shared" si="16"/>
        <v>[effect:nothing]</v>
      </c>
      <c r="H45" s="63">
        <f t="shared" si="1"/>
        <v>9</v>
      </c>
      <c r="I45" s="63">
        <f t="shared" si="17"/>
        <v>16</v>
      </c>
      <c r="J45" s="63" t="e">
        <f t="shared" si="18"/>
        <v>#VALUE!</v>
      </c>
      <c r="K45" s="63" t="e">
        <f t="shared" si="19"/>
        <v>#VALUE!</v>
      </c>
      <c r="L45" s="63" t="str">
        <f>IFERROR(VLOOKUP(MID(G45,J45,K45-J45),[6]skilldef!$C:$D,2,FALSE),"-") &amp; " / " &amp; IFERROR(VLOOKUP(MID(G45,H45,I45-H45),[6]skilldef!$A:$B,2,FALSE),"-")</f>
        <v>- / 何もしない</v>
      </c>
      <c r="M45" s="63" t="str">
        <f t="shared" si="20"/>
        <v>none</v>
      </c>
      <c r="N45" s="48" t="str">
        <f t="shared" si="21"/>
        <v>none</v>
      </c>
      <c r="O45" s="63" t="e">
        <f t="shared" si="7"/>
        <v>#VALUE!</v>
      </c>
      <c r="P45" s="63">
        <f t="shared" si="22"/>
        <v>4</v>
      </c>
      <c r="Q45" s="63" t="e">
        <f t="shared" si="23"/>
        <v>#VALUE!</v>
      </c>
      <c r="R45" s="63" t="e">
        <f t="shared" si="24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25"/>
        <v>none</v>
      </c>
      <c r="U45" s="63" t="e">
        <f t="shared" si="12"/>
        <v>#VALUE!</v>
      </c>
      <c r="V45" s="63">
        <f t="shared" si="26"/>
        <v>4</v>
      </c>
      <c r="W45" s="63" t="e">
        <f t="shared" si="27"/>
        <v>#VALUE!</v>
      </c>
      <c r="X45" s="63" t="e">
        <f t="shared" si="28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 t="s">
        <v>214</v>
      </c>
      <c r="AA45" s="52">
        <v>42433</v>
      </c>
      <c r="AB45" s="50" t="s">
        <v>215</v>
      </c>
    </row>
    <row r="46" spans="1:28" ht="21" customHeight="1" x14ac:dyDescent="0.15">
      <c r="A46" s="47">
        <v>30029045</v>
      </c>
      <c r="B46" s="47" t="s">
        <v>228</v>
      </c>
      <c r="C46" s="50">
        <v>3</v>
      </c>
      <c r="D46" s="50" t="s">
        <v>127</v>
      </c>
      <c r="E46" s="51" t="s">
        <v>224</v>
      </c>
      <c r="F46" s="51" t="s">
        <v>217</v>
      </c>
      <c r="G46" s="63" t="str">
        <f t="shared" si="16"/>
        <v>[effect:nothing]</v>
      </c>
      <c r="H46" s="63">
        <f t="shared" si="1"/>
        <v>9</v>
      </c>
      <c r="I46" s="63">
        <f t="shared" si="17"/>
        <v>16</v>
      </c>
      <c r="J46" s="63" t="e">
        <f t="shared" si="18"/>
        <v>#VALUE!</v>
      </c>
      <c r="K46" s="63" t="e">
        <f t="shared" si="19"/>
        <v>#VALUE!</v>
      </c>
      <c r="L46" s="63" t="str">
        <f>IFERROR(VLOOKUP(MID(G46,J46,K46-J46),[6]skilldef!$C:$D,2,FALSE),"-") &amp; " / " &amp; IFERROR(VLOOKUP(MID(G46,H46,I46-H46),[6]skilldef!$A:$B,2,FALSE),"-")</f>
        <v>- / 何もしない</v>
      </c>
      <c r="M46" s="63" t="str">
        <f t="shared" si="20"/>
        <v>none</v>
      </c>
      <c r="N46" s="48" t="str">
        <f t="shared" si="21"/>
        <v>none</v>
      </c>
      <c r="O46" s="63" t="e">
        <f t="shared" si="7"/>
        <v>#VALUE!</v>
      </c>
      <c r="P46" s="63">
        <f t="shared" si="22"/>
        <v>4</v>
      </c>
      <c r="Q46" s="63" t="e">
        <f t="shared" si="23"/>
        <v>#VALUE!</v>
      </c>
      <c r="R46" s="63" t="e">
        <f t="shared" si="24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25"/>
        <v>none</v>
      </c>
      <c r="U46" s="63" t="e">
        <f t="shared" si="12"/>
        <v>#VALUE!</v>
      </c>
      <c r="V46" s="63">
        <f t="shared" si="26"/>
        <v>4</v>
      </c>
      <c r="W46" s="63" t="e">
        <f t="shared" si="27"/>
        <v>#VALUE!</v>
      </c>
      <c r="X46" s="63" t="e">
        <f t="shared" si="28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 t="s">
        <v>214</v>
      </c>
      <c r="AA46" s="52">
        <v>42433</v>
      </c>
      <c r="AB46" s="50" t="s">
        <v>215</v>
      </c>
    </row>
    <row r="47" spans="1:28" ht="21" customHeight="1" x14ac:dyDescent="0.15">
      <c r="A47" s="102">
        <v>30029046</v>
      </c>
      <c r="B47" s="47" t="s">
        <v>235</v>
      </c>
      <c r="C47" s="50">
        <v>3</v>
      </c>
      <c r="D47" s="50" t="s">
        <v>127</v>
      </c>
      <c r="E47" s="51" t="s">
        <v>275</v>
      </c>
      <c r="F47" s="51" t="s">
        <v>266</v>
      </c>
      <c r="G47" s="63" t="str">
        <f t="shared" si="16"/>
        <v>[effect:tolerance, target:myself, turn:-1, tolerance_effect:sleep, count:-1]</v>
      </c>
      <c r="H47" s="63">
        <f t="shared" si="1"/>
        <v>9</v>
      </c>
      <c r="I47" s="63">
        <f t="shared" si="17"/>
        <v>18</v>
      </c>
      <c r="J47" s="63">
        <f t="shared" si="18"/>
        <v>27</v>
      </c>
      <c r="K47" s="63">
        <f t="shared" si="19"/>
        <v>33</v>
      </c>
      <c r="L47" s="63" t="str">
        <f>IFERROR(VLOOKUP(MID(G47,J47,K47-J47),[6]skilldef!$C:$D,2,FALSE),"-") &amp; " / " &amp; IFERROR(VLOOKUP(MID(G47,H47,I47-H47),[6]skilldef!$A:$B,2,FALSE),"-")</f>
        <v>自分自身に / 状態異常耐性</v>
      </c>
      <c r="M47" s="63" t="str">
        <f t="shared" si="20"/>
        <v>[effect:tolerance, target:myself, turn:-1, tolerance_effect:virus, count:-1],[effect:tolerance, target:myself, turn:-1, tolerance_effect:hungup, count:-1, animation:enemy_tolerance]</v>
      </c>
      <c r="N47" s="48" t="str">
        <f t="shared" si="21"/>
        <v>[effect:tolerance, target:myself, turn:-1, tolerance_effect:virus, count:-1],[effect:tolerance, target:myself, turn:-1, tolerance_effect:hungup, count:-1, animation:enemy_tolerance]</v>
      </c>
      <c r="O47" s="63">
        <f t="shared" si="7"/>
        <v>9</v>
      </c>
      <c r="P47" s="63">
        <f t="shared" si="22"/>
        <v>18</v>
      </c>
      <c r="Q47" s="63">
        <f t="shared" si="23"/>
        <v>27</v>
      </c>
      <c r="R47" s="63">
        <f t="shared" si="24"/>
        <v>33</v>
      </c>
      <c r="S47" s="63" t="str">
        <f>IFERROR(VLOOKUP(MID(N47,Q47,R47-Q47),[6]skilldef!$C:$D,2,FALSE),"-") &amp; " / " &amp; IFERROR(VLOOKUP(MID(N47,O47,P47-O47),[6]skilldef!$A:$B,2,FALSE),"-")</f>
        <v>自分自身に / 状態異常耐性</v>
      </c>
      <c r="T47" s="48" t="str">
        <f t="shared" si="25"/>
        <v>[effect:tolerance, target:myself, turn:-1, tolerance_effect:hungup, count:-1, animation:enemy_tolerance]</v>
      </c>
      <c r="U47" s="63">
        <f t="shared" si="12"/>
        <v>9</v>
      </c>
      <c r="V47" s="63">
        <f t="shared" si="26"/>
        <v>18</v>
      </c>
      <c r="W47" s="63">
        <f t="shared" si="27"/>
        <v>27</v>
      </c>
      <c r="X47" s="63">
        <f t="shared" si="28"/>
        <v>33</v>
      </c>
      <c r="Y47" s="63" t="str">
        <f>IFERROR(VLOOKUP(MID(T47,W47,X47-W47),[6]skilldef!$C:$D,2,FALSE),"-") &amp; " / " &amp; IFERROR(VLOOKUP(MID(T47,U47,V47-U47),[6]skilldef!$A:$B,2,FALSE),"-")</f>
        <v>自分自身に / 状態異常耐性</v>
      </c>
      <c r="Z47" s="50" t="s">
        <v>214</v>
      </c>
      <c r="AA47" s="52">
        <v>42433</v>
      </c>
      <c r="AB47" s="50" t="s">
        <v>215</v>
      </c>
    </row>
    <row r="48" spans="1:28" ht="21" customHeight="1" x14ac:dyDescent="0.15">
      <c r="A48" s="102">
        <v>30029047</v>
      </c>
      <c r="B48" s="47" t="s">
        <v>237</v>
      </c>
      <c r="C48" s="50">
        <v>3</v>
      </c>
      <c r="D48" s="50" t="s">
        <v>127</v>
      </c>
      <c r="E48" s="51" t="s">
        <v>272</v>
      </c>
      <c r="F48" s="51" t="s">
        <v>265</v>
      </c>
      <c r="G48" s="63" t="str">
        <f t="shared" ref="G48:G52" si="29">IFERROR(LEFT(B48,FIND("],",B48)),B48)</f>
        <v>[effect:heal, target:myself, val:1, animation:enemy_heal]</v>
      </c>
      <c r="H48" s="63">
        <f t="shared" si="1"/>
        <v>9</v>
      </c>
      <c r="I48" s="63">
        <f t="shared" ref="I48:I52" si="30">IFERROR(FIND(",",G48),LEN(G48))</f>
        <v>13</v>
      </c>
      <c r="J48" s="63">
        <f t="shared" ref="J48:J52" si="31">FIND("target:",G48)+7</f>
        <v>22</v>
      </c>
      <c r="K48" s="63">
        <f t="shared" ref="K48:K52" si="32">FIND(",",G48,I48+1)</f>
        <v>28</v>
      </c>
      <c r="L48" s="63" t="str">
        <f>IFERROR(VLOOKUP(MID(G48,J48,K48-J48),[6]skilldef!$C:$D,2,FALSE),"-") &amp; " / " &amp; IFERROR(VLOOKUP(MID(G48,H48,I48-H48),[6]skilldef!$A:$B,2,FALSE),"-")</f>
        <v>自分自身に / 回復</v>
      </c>
      <c r="M48" s="63" t="str">
        <f t="shared" ref="M48:M52" si="33">IFERROR(RIGHT(B48,LEN(B48)-FIND("],",B48)-1),"none")</f>
        <v>none</v>
      </c>
      <c r="N48" s="48" t="str">
        <f t="shared" ref="N48:N52" si="34">IFERROR(LEFT(M48,FIND("],",M48)+S58),M48)</f>
        <v>none</v>
      </c>
      <c r="O48" s="63" t="e">
        <f t="shared" si="7"/>
        <v>#VALUE!</v>
      </c>
      <c r="P48" s="63">
        <f t="shared" ref="P48:P52" si="35">IFERROR(FIND(",",N48),LEN(N48))</f>
        <v>4</v>
      </c>
      <c r="Q48" s="63" t="e">
        <f t="shared" ref="Q48:Q52" si="36">FIND("target:",N48)+7</f>
        <v>#VALUE!</v>
      </c>
      <c r="R48" s="63" t="e">
        <f t="shared" ref="R48:R52" si="37">FIND(",",N48,P48+1)</f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ref="T48:T52" si="38">IFERROR(RIGHT(M48,LEN(M48)-FIND("],",M48)-1),"none")</f>
        <v>none</v>
      </c>
      <c r="U48" s="63" t="e">
        <f t="shared" si="12"/>
        <v>#VALUE!</v>
      </c>
      <c r="V48" s="63">
        <f t="shared" ref="V48:V52" si="39">IFERROR(FIND(",",T48),LEN(T48))</f>
        <v>4</v>
      </c>
      <c r="W48" s="63" t="e">
        <f t="shared" ref="W48:W52" si="40">FIND("target:",T48)+7</f>
        <v>#VALUE!</v>
      </c>
      <c r="X48" s="63" t="e">
        <f t="shared" ref="X48:X52" si="41">FIND(",",T48,V48+1)</f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 t="s">
        <v>214</v>
      </c>
      <c r="AA48" s="52">
        <v>42433</v>
      </c>
      <c r="AB48" s="50" t="s">
        <v>215</v>
      </c>
    </row>
    <row r="49" spans="1:28" ht="21" customHeight="1" x14ac:dyDescent="0.15">
      <c r="A49" s="47">
        <v>30029048</v>
      </c>
      <c r="B49" s="47" t="s">
        <v>228</v>
      </c>
      <c r="C49" s="50">
        <v>3</v>
      </c>
      <c r="D49" s="50" t="s">
        <v>127</v>
      </c>
      <c r="E49" s="51" t="s">
        <v>226</v>
      </c>
      <c r="F49" s="51" t="s">
        <v>217</v>
      </c>
      <c r="G49" s="63" t="str">
        <f t="shared" si="29"/>
        <v>[effect:nothing]</v>
      </c>
      <c r="H49" s="63">
        <f t="shared" si="1"/>
        <v>9</v>
      </c>
      <c r="I49" s="63">
        <f t="shared" si="30"/>
        <v>16</v>
      </c>
      <c r="J49" s="63" t="e">
        <f t="shared" si="31"/>
        <v>#VALUE!</v>
      </c>
      <c r="K49" s="63" t="e">
        <f t="shared" si="32"/>
        <v>#VALUE!</v>
      </c>
      <c r="L49" s="63" t="str">
        <f>IFERROR(VLOOKUP(MID(G49,J49,K49-J49),[6]skilldef!$C:$D,2,FALSE),"-") &amp; " / " &amp; IFERROR(VLOOKUP(MID(G49,H49,I49-H49),[6]skilldef!$A:$B,2,FALSE),"-")</f>
        <v>- / 何もしない</v>
      </c>
      <c r="M49" s="63" t="str">
        <f t="shared" si="33"/>
        <v>none</v>
      </c>
      <c r="N49" s="48" t="str">
        <f t="shared" si="34"/>
        <v>none</v>
      </c>
      <c r="O49" s="63" t="e">
        <f t="shared" si="7"/>
        <v>#VALUE!</v>
      </c>
      <c r="P49" s="63">
        <f t="shared" si="35"/>
        <v>4</v>
      </c>
      <c r="Q49" s="63" t="e">
        <f t="shared" si="36"/>
        <v>#VALUE!</v>
      </c>
      <c r="R49" s="63" t="e">
        <f t="shared" si="37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38"/>
        <v>none</v>
      </c>
      <c r="U49" s="63" t="e">
        <f t="shared" si="12"/>
        <v>#VALUE!</v>
      </c>
      <c r="V49" s="63">
        <f t="shared" si="39"/>
        <v>4</v>
      </c>
      <c r="W49" s="63" t="e">
        <f t="shared" si="40"/>
        <v>#VALUE!</v>
      </c>
      <c r="X49" s="63" t="e">
        <f t="shared" si="41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 t="s">
        <v>214</v>
      </c>
      <c r="AA49" s="52">
        <v>42433</v>
      </c>
      <c r="AB49" s="50" t="s">
        <v>215</v>
      </c>
    </row>
    <row r="50" spans="1:28" ht="21" customHeight="1" x14ac:dyDescent="0.15">
      <c r="A50" s="47">
        <v>30029049</v>
      </c>
      <c r="B50" s="47" t="s">
        <v>228</v>
      </c>
      <c r="C50" s="50">
        <v>3</v>
      </c>
      <c r="D50" s="50" t="s">
        <v>127</v>
      </c>
      <c r="E50" s="51" t="s">
        <v>226</v>
      </c>
      <c r="F50" s="51" t="s">
        <v>217</v>
      </c>
      <c r="G50" s="63" t="str">
        <f t="shared" si="29"/>
        <v>[effect:nothing]</v>
      </c>
      <c r="H50" s="63">
        <f t="shared" si="1"/>
        <v>9</v>
      </c>
      <c r="I50" s="63">
        <f t="shared" si="30"/>
        <v>16</v>
      </c>
      <c r="J50" s="63" t="e">
        <f t="shared" si="31"/>
        <v>#VALUE!</v>
      </c>
      <c r="K50" s="63" t="e">
        <f t="shared" si="32"/>
        <v>#VALUE!</v>
      </c>
      <c r="L50" s="63" t="str">
        <f>IFERROR(VLOOKUP(MID(G50,J50,K50-J50),[6]skilldef!$C:$D,2,FALSE),"-") &amp; " / " &amp; IFERROR(VLOOKUP(MID(G50,H50,I50-H50),[6]skilldef!$A:$B,2,FALSE),"-")</f>
        <v>- / 何もしない</v>
      </c>
      <c r="M50" s="63" t="str">
        <f t="shared" si="33"/>
        <v>none</v>
      </c>
      <c r="N50" s="48" t="str">
        <f t="shared" si="34"/>
        <v>none</v>
      </c>
      <c r="O50" s="63" t="e">
        <f t="shared" si="7"/>
        <v>#VALUE!</v>
      </c>
      <c r="P50" s="63">
        <f t="shared" si="35"/>
        <v>4</v>
      </c>
      <c r="Q50" s="63" t="e">
        <f t="shared" si="36"/>
        <v>#VALUE!</v>
      </c>
      <c r="R50" s="63" t="e">
        <f t="shared" si="37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38"/>
        <v>none</v>
      </c>
      <c r="U50" s="63" t="e">
        <f t="shared" si="12"/>
        <v>#VALUE!</v>
      </c>
      <c r="V50" s="63">
        <f t="shared" si="39"/>
        <v>4</v>
      </c>
      <c r="W50" s="63" t="e">
        <f t="shared" si="40"/>
        <v>#VALUE!</v>
      </c>
      <c r="X50" s="63" t="e">
        <f t="shared" si="41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 t="s">
        <v>214</v>
      </c>
      <c r="AA50" s="52">
        <v>42433</v>
      </c>
      <c r="AB50" s="50" t="s">
        <v>215</v>
      </c>
    </row>
    <row r="51" spans="1:28" ht="21" customHeight="1" x14ac:dyDescent="0.15">
      <c r="A51" s="47">
        <v>30029050</v>
      </c>
      <c r="B51" s="47" t="s">
        <v>228</v>
      </c>
      <c r="C51" s="50">
        <v>3</v>
      </c>
      <c r="D51" s="50" t="s">
        <v>127</v>
      </c>
      <c r="E51" s="51" t="s">
        <v>226</v>
      </c>
      <c r="F51" s="51" t="s">
        <v>217</v>
      </c>
      <c r="G51" s="63" t="str">
        <f t="shared" si="29"/>
        <v>[effect:nothing]</v>
      </c>
      <c r="H51" s="63">
        <f t="shared" si="1"/>
        <v>9</v>
      </c>
      <c r="I51" s="63">
        <f t="shared" si="30"/>
        <v>16</v>
      </c>
      <c r="J51" s="63" t="e">
        <f t="shared" si="31"/>
        <v>#VALUE!</v>
      </c>
      <c r="K51" s="63" t="e">
        <f t="shared" si="32"/>
        <v>#VALUE!</v>
      </c>
      <c r="L51" s="63" t="str">
        <f>IFERROR(VLOOKUP(MID(G51,J51,K51-J51),[6]skilldef!$C:$D,2,FALSE),"-") &amp; " / " &amp; IFERROR(VLOOKUP(MID(G51,H51,I51-H51),[6]skilldef!$A:$B,2,FALSE),"-")</f>
        <v>- / 何もしない</v>
      </c>
      <c r="M51" s="63" t="str">
        <f t="shared" si="33"/>
        <v>none</v>
      </c>
      <c r="N51" s="48" t="str">
        <f t="shared" si="34"/>
        <v>none</v>
      </c>
      <c r="O51" s="63" t="e">
        <f t="shared" si="7"/>
        <v>#VALUE!</v>
      </c>
      <c r="P51" s="63">
        <f t="shared" si="35"/>
        <v>4</v>
      </c>
      <c r="Q51" s="63" t="e">
        <f t="shared" si="36"/>
        <v>#VALUE!</v>
      </c>
      <c r="R51" s="63" t="e">
        <f t="shared" si="37"/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38"/>
        <v>none</v>
      </c>
      <c r="U51" s="63" t="e">
        <f t="shared" si="12"/>
        <v>#VALUE!</v>
      </c>
      <c r="V51" s="63">
        <f t="shared" si="39"/>
        <v>4</v>
      </c>
      <c r="W51" s="63" t="e">
        <f t="shared" si="40"/>
        <v>#VALUE!</v>
      </c>
      <c r="X51" s="63" t="e">
        <f t="shared" si="41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 t="s">
        <v>214</v>
      </c>
      <c r="AA51" s="52">
        <v>42433</v>
      </c>
      <c r="AB51" s="50" t="s">
        <v>215</v>
      </c>
    </row>
    <row r="52" spans="1:28" ht="21" customHeight="1" x14ac:dyDescent="0.15">
      <c r="A52" s="47">
        <v>30029051</v>
      </c>
      <c r="B52" s="47" t="s">
        <v>228</v>
      </c>
      <c r="C52" s="50">
        <v>3</v>
      </c>
      <c r="D52" s="50" t="s">
        <v>127</v>
      </c>
      <c r="E52" s="51" t="s">
        <v>226</v>
      </c>
      <c r="F52" s="51" t="s">
        <v>217</v>
      </c>
      <c r="G52" s="63" t="str">
        <f t="shared" si="29"/>
        <v>[effect:nothing]</v>
      </c>
      <c r="H52" s="63">
        <f t="shared" si="1"/>
        <v>9</v>
      </c>
      <c r="I52" s="63">
        <f t="shared" si="30"/>
        <v>16</v>
      </c>
      <c r="J52" s="63" t="e">
        <f t="shared" si="31"/>
        <v>#VALUE!</v>
      </c>
      <c r="K52" s="63" t="e">
        <f t="shared" si="32"/>
        <v>#VALUE!</v>
      </c>
      <c r="L52" s="63" t="str">
        <f>IFERROR(VLOOKUP(MID(G52,J52,K52-J52),[6]skilldef!$C:$D,2,FALSE),"-") &amp; " / " &amp; IFERROR(VLOOKUP(MID(G52,H52,I52-H52),[6]skilldef!$A:$B,2,FALSE),"-")</f>
        <v>- / 何もしない</v>
      </c>
      <c r="M52" s="63" t="str">
        <f t="shared" si="33"/>
        <v>none</v>
      </c>
      <c r="N52" s="48" t="str">
        <f t="shared" si="34"/>
        <v>none</v>
      </c>
      <c r="O52" s="63" t="e">
        <f t="shared" si="7"/>
        <v>#VALUE!</v>
      </c>
      <c r="P52" s="63">
        <f t="shared" si="35"/>
        <v>4</v>
      </c>
      <c r="Q52" s="63" t="e">
        <f t="shared" si="36"/>
        <v>#VALUE!</v>
      </c>
      <c r="R52" s="63" t="e">
        <f t="shared" si="37"/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si="38"/>
        <v>none</v>
      </c>
      <c r="U52" s="63" t="e">
        <f t="shared" si="12"/>
        <v>#VALUE!</v>
      </c>
      <c r="V52" s="63">
        <f t="shared" si="39"/>
        <v>4</v>
      </c>
      <c r="W52" s="63" t="e">
        <f t="shared" si="40"/>
        <v>#VALUE!</v>
      </c>
      <c r="X52" s="63" t="e">
        <f t="shared" si="41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 t="s">
        <v>214</v>
      </c>
      <c r="AA52" s="52">
        <v>42433</v>
      </c>
      <c r="AB52" s="50" t="s">
        <v>215</v>
      </c>
    </row>
    <row r="53" spans="1:28" ht="21" customHeight="1" x14ac:dyDescent="0.15">
      <c r="A53" s="47">
        <v>30029052</v>
      </c>
      <c r="B53" s="47" t="s">
        <v>228</v>
      </c>
      <c r="C53" s="50">
        <v>3</v>
      </c>
      <c r="D53" s="50" t="s">
        <v>127</v>
      </c>
      <c r="E53" s="51" t="s">
        <v>226</v>
      </c>
      <c r="F53" s="51" t="s">
        <v>217</v>
      </c>
      <c r="G53" s="63" t="str">
        <f t="shared" ref="G53:G61" si="42">IFERROR(LEFT(B53,FIND("],",B53)),B53)</f>
        <v>[effect:nothing]</v>
      </c>
      <c r="H53" s="63">
        <f t="shared" si="1"/>
        <v>9</v>
      </c>
      <c r="I53" s="63">
        <f t="shared" ref="I53:I61" si="43">IFERROR(FIND(",",G53),LEN(G53))</f>
        <v>16</v>
      </c>
      <c r="J53" s="63" t="e">
        <f t="shared" ref="J53:J61" si="44">FIND("target:",G53)+7</f>
        <v>#VALUE!</v>
      </c>
      <c r="K53" s="63" t="e">
        <f t="shared" ref="K53:K61" si="45">FIND(",",G53,I53+1)</f>
        <v>#VALUE!</v>
      </c>
      <c r="L53" s="63" t="str">
        <f>IFERROR(VLOOKUP(MID(G53,J53,K53-J53),[6]skilldef!$C:$D,2,FALSE),"-") &amp; " / " &amp; IFERROR(VLOOKUP(MID(G53,H53,I53-H53),[6]skilldef!$A:$B,2,FALSE),"-")</f>
        <v>- / 何もしない</v>
      </c>
      <c r="M53" s="63" t="str">
        <f t="shared" ref="M53:M61" si="46">IFERROR(RIGHT(B53,LEN(B53)-FIND("],",B53)-1),"none")</f>
        <v>none</v>
      </c>
      <c r="N53" s="48" t="str">
        <f t="shared" ref="N53:N61" si="47">IFERROR(LEFT(M53,FIND("],",M53)+S63),M53)</f>
        <v>none</v>
      </c>
      <c r="O53" s="63" t="e">
        <f t="shared" si="7"/>
        <v>#VALUE!</v>
      </c>
      <c r="P53" s="63">
        <f t="shared" ref="P53:P61" si="48">IFERROR(FIND(",",N53),LEN(N53))</f>
        <v>4</v>
      </c>
      <c r="Q53" s="63" t="e">
        <f t="shared" ref="Q53:Q61" si="49">FIND("target:",N53)+7</f>
        <v>#VALUE!</v>
      </c>
      <c r="R53" s="63" t="e">
        <f t="shared" ref="R53:R61" si="50">FIND(",",N53,P53+1)</f>
        <v>#VALUE!</v>
      </c>
      <c r="S53" s="63" t="str">
        <f>IFERROR(VLOOKUP(MID(N53,Q53,R53-Q53),[6]skilldef!$C:$D,2,FALSE),"-") &amp; " / " &amp; IFERROR(VLOOKUP(MID(N53,O53,P53-O53),[6]skilldef!$A:$B,2,FALSE),"-")</f>
        <v>- / -</v>
      </c>
      <c r="T53" s="48" t="str">
        <f t="shared" ref="T53:T61" si="51">IFERROR(RIGHT(M53,LEN(M53)-FIND("],",M53)-1),"none")</f>
        <v>none</v>
      </c>
      <c r="U53" s="63" t="e">
        <f t="shared" si="12"/>
        <v>#VALUE!</v>
      </c>
      <c r="V53" s="63">
        <f t="shared" ref="V53:V61" si="52">IFERROR(FIND(",",T53),LEN(T53))</f>
        <v>4</v>
      </c>
      <c r="W53" s="63" t="e">
        <f t="shared" ref="W53:W61" si="53">FIND("target:",T53)+7</f>
        <v>#VALUE!</v>
      </c>
      <c r="X53" s="63" t="e">
        <f t="shared" ref="X53:X61" si="54">FIND(",",T53,V53+1)</f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 t="s">
        <v>214</v>
      </c>
      <c r="AA53" s="52">
        <v>42433</v>
      </c>
      <c r="AB53" s="50" t="s">
        <v>215</v>
      </c>
    </row>
    <row r="54" spans="1:28" ht="21" customHeight="1" x14ac:dyDescent="0.15">
      <c r="A54" s="47">
        <v>30029053</v>
      </c>
      <c r="B54" s="47" t="s">
        <v>228</v>
      </c>
      <c r="C54" s="50">
        <v>3</v>
      </c>
      <c r="D54" s="50" t="s">
        <v>127</v>
      </c>
      <c r="E54" s="51" t="s">
        <v>226</v>
      </c>
      <c r="F54" s="51" t="s">
        <v>217</v>
      </c>
      <c r="G54" s="63" t="str">
        <f t="shared" si="42"/>
        <v>[effect:nothing]</v>
      </c>
      <c r="H54" s="63">
        <f t="shared" si="1"/>
        <v>9</v>
      </c>
      <c r="I54" s="63">
        <f t="shared" si="43"/>
        <v>16</v>
      </c>
      <c r="J54" s="63" t="e">
        <f t="shared" si="44"/>
        <v>#VALUE!</v>
      </c>
      <c r="K54" s="63" t="e">
        <f t="shared" si="45"/>
        <v>#VALUE!</v>
      </c>
      <c r="L54" s="63" t="str">
        <f>IFERROR(VLOOKUP(MID(G54,J54,K54-J54),[6]skilldef!$C:$D,2,FALSE),"-") &amp; " / " &amp; IFERROR(VLOOKUP(MID(G54,H54,I54-H54),[6]skilldef!$A:$B,2,FALSE),"-")</f>
        <v>- / 何もしない</v>
      </c>
      <c r="M54" s="63" t="str">
        <f t="shared" si="46"/>
        <v>none</v>
      </c>
      <c r="N54" s="48" t="str">
        <f t="shared" si="47"/>
        <v>none</v>
      </c>
      <c r="O54" s="63" t="e">
        <f t="shared" si="7"/>
        <v>#VALUE!</v>
      </c>
      <c r="P54" s="63">
        <f t="shared" si="48"/>
        <v>4</v>
      </c>
      <c r="Q54" s="63" t="e">
        <f t="shared" si="49"/>
        <v>#VALUE!</v>
      </c>
      <c r="R54" s="63" t="e">
        <f t="shared" si="50"/>
        <v>#VALUE!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si="51"/>
        <v>none</v>
      </c>
      <c r="U54" s="63" t="e">
        <f t="shared" si="12"/>
        <v>#VALUE!</v>
      </c>
      <c r="V54" s="63">
        <f t="shared" si="52"/>
        <v>4</v>
      </c>
      <c r="W54" s="63" t="e">
        <f t="shared" si="53"/>
        <v>#VALUE!</v>
      </c>
      <c r="X54" s="63" t="e">
        <f t="shared" si="54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 t="s">
        <v>214</v>
      </c>
      <c r="AA54" s="52">
        <v>42433</v>
      </c>
      <c r="AB54" s="50" t="s">
        <v>215</v>
      </c>
    </row>
    <row r="55" spans="1:28" ht="21" customHeight="1" x14ac:dyDescent="0.15">
      <c r="A55" s="47">
        <v>30029054</v>
      </c>
      <c r="B55" s="47" t="s">
        <v>228</v>
      </c>
      <c r="C55" s="50">
        <v>3</v>
      </c>
      <c r="D55" s="50" t="s">
        <v>127</v>
      </c>
      <c r="E55" s="51" t="s">
        <v>226</v>
      </c>
      <c r="F55" s="51" t="s">
        <v>217</v>
      </c>
      <c r="G55" s="63" t="str">
        <f t="shared" si="42"/>
        <v>[effect:nothing]</v>
      </c>
      <c r="H55" s="63">
        <f t="shared" si="1"/>
        <v>9</v>
      </c>
      <c r="I55" s="63">
        <f t="shared" si="43"/>
        <v>16</v>
      </c>
      <c r="J55" s="63" t="e">
        <f t="shared" si="44"/>
        <v>#VALUE!</v>
      </c>
      <c r="K55" s="63" t="e">
        <f t="shared" si="45"/>
        <v>#VALUE!</v>
      </c>
      <c r="L55" s="63" t="str">
        <f>IFERROR(VLOOKUP(MID(G55,J55,K55-J55),[6]skilldef!$C:$D,2,FALSE),"-") &amp; " / " &amp; IFERROR(VLOOKUP(MID(G55,H55,I55-H55),[6]skilldef!$A:$B,2,FALSE),"-")</f>
        <v>- / 何もしない</v>
      </c>
      <c r="M55" s="63" t="str">
        <f t="shared" si="46"/>
        <v>none</v>
      </c>
      <c r="N55" s="48" t="str">
        <f t="shared" si="47"/>
        <v>none</v>
      </c>
      <c r="O55" s="63" t="e">
        <f t="shared" si="7"/>
        <v>#VALUE!</v>
      </c>
      <c r="P55" s="63">
        <f t="shared" si="48"/>
        <v>4</v>
      </c>
      <c r="Q55" s="63" t="e">
        <f t="shared" si="49"/>
        <v>#VALUE!</v>
      </c>
      <c r="R55" s="63" t="e">
        <f t="shared" si="50"/>
        <v>#VALUE!</v>
      </c>
      <c r="S55" s="63" t="str">
        <f>IFERROR(VLOOKUP(MID(N55,Q55,R55-Q55),[6]skilldef!$C:$D,2,FALSE),"-") &amp; " / " &amp; IFERROR(VLOOKUP(MID(N55,O55,P55-O55),[6]skilldef!$A:$B,2,FALSE),"-")</f>
        <v>- / -</v>
      </c>
      <c r="T55" s="48" t="str">
        <f t="shared" si="51"/>
        <v>none</v>
      </c>
      <c r="U55" s="63" t="e">
        <f t="shared" si="12"/>
        <v>#VALUE!</v>
      </c>
      <c r="V55" s="63">
        <f t="shared" si="52"/>
        <v>4</v>
      </c>
      <c r="W55" s="63" t="e">
        <f t="shared" si="53"/>
        <v>#VALUE!</v>
      </c>
      <c r="X55" s="63" t="e">
        <f t="shared" si="54"/>
        <v>#VALUE!</v>
      </c>
      <c r="Y55" s="63" t="str">
        <f>IFERROR(VLOOKUP(MID(T55,W55,X55-W55),[6]skilldef!$C:$D,2,FALSE),"-") &amp; " / " &amp; IFERROR(VLOOKUP(MID(T55,U55,V55-U55),[6]skilldef!$A:$B,2,FALSE),"-")</f>
        <v>- / -</v>
      </c>
      <c r="Z55" s="50" t="s">
        <v>214</v>
      </c>
      <c r="AA55" s="52">
        <v>42433</v>
      </c>
      <c r="AB55" s="50" t="s">
        <v>215</v>
      </c>
    </row>
    <row r="56" spans="1:28" ht="21" customHeight="1" x14ac:dyDescent="0.15">
      <c r="A56" s="47">
        <v>30029055</v>
      </c>
      <c r="B56" s="47" t="s">
        <v>228</v>
      </c>
      <c r="C56" s="50">
        <v>3</v>
      </c>
      <c r="D56" s="50" t="s">
        <v>127</v>
      </c>
      <c r="E56" s="51" t="s">
        <v>226</v>
      </c>
      <c r="F56" s="51" t="s">
        <v>217</v>
      </c>
      <c r="G56" s="63" t="str">
        <f t="shared" si="42"/>
        <v>[effect:nothing]</v>
      </c>
      <c r="H56" s="63">
        <f t="shared" si="1"/>
        <v>9</v>
      </c>
      <c r="I56" s="63">
        <f t="shared" si="43"/>
        <v>16</v>
      </c>
      <c r="J56" s="63" t="e">
        <f t="shared" si="44"/>
        <v>#VALUE!</v>
      </c>
      <c r="K56" s="63" t="e">
        <f t="shared" si="45"/>
        <v>#VALUE!</v>
      </c>
      <c r="L56" s="63" t="str">
        <f>IFERROR(VLOOKUP(MID(G56,J56,K56-J56),[6]skilldef!$C:$D,2,FALSE),"-") &amp; " / " &amp; IFERROR(VLOOKUP(MID(G56,H56,I56-H56),[6]skilldef!$A:$B,2,FALSE),"-")</f>
        <v>- / 何もしない</v>
      </c>
      <c r="M56" s="63" t="str">
        <f t="shared" si="46"/>
        <v>none</v>
      </c>
      <c r="N56" s="48" t="str">
        <f t="shared" si="47"/>
        <v>none</v>
      </c>
      <c r="O56" s="63" t="e">
        <f t="shared" si="7"/>
        <v>#VALUE!</v>
      </c>
      <c r="P56" s="63">
        <f t="shared" si="48"/>
        <v>4</v>
      </c>
      <c r="Q56" s="63" t="e">
        <f t="shared" si="49"/>
        <v>#VALUE!</v>
      </c>
      <c r="R56" s="63" t="e">
        <f t="shared" si="50"/>
        <v>#VALUE!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51"/>
        <v>none</v>
      </c>
      <c r="U56" s="63" t="e">
        <f t="shared" si="12"/>
        <v>#VALUE!</v>
      </c>
      <c r="V56" s="63">
        <f t="shared" si="52"/>
        <v>4</v>
      </c>
      <c r="W56" s="63" t="e">
        <f t="shared" si="53"/>
        <v>#VALUE!</v>
      </c>
      <c r="X56" s="63" t="e">
        <f t="shared" si="54"/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 t="s">
        <v>214</v>
      </c>
      <c r="AA56" s="52">
        <v>42433</v>
      </c>
      <c r="AB56" s="50" t="s">
        <v>215</v>
      </c>
    </row>
    <row r="57" spans="1:28" ht="21" customHeight="1" x14ac:dyDescent="0.15">
      <c r="A57" s="102">
        <v>30029056</v>
      </c>
      <c r="B57" s="47" t="s">
        <v>232</v>
      </c>
      <c r="C57" s="50">
        <v>3</v>
      </c>
      <c r="D57" s="50" t="s">
        <v>127</v>
      </c>
      <c r="E57" s="51" t="s">
        <v>269</v>
      </c>
      <c r="F57" s="51" t="s">
        <v>268</v>
      </c>
      <c r="G57" s="63" t="str">
        <f t="shared" si="42"/>
        <v>[effect:critical, val:1.5]</v>
      </c>
      <c r="H57" s="63">
        <f t="shared" si="1"/>
        <v>9</v>
      </c>
      <c r="I57" s="63">
        <f t="shared" si="43"/>
        <v>17</v>
      </c>
      <c r="J57" s="63" t="e">
        <f t="shared" si="44"/>
        <v>#VALUE!</v>
      </c>
      <c r="K57" s="63" t="e">
        <f t="shared" si="45"/>
        <v>#VALUE!</v>
      </c>
      <c r="L57" s="63" t="str">
        <f>IFERROR(VLOOKUP(MID(G57,J57,K57-J57),[6]skilldef!$C:$D,2,FALSE),"-") &amp; " / " &amp; IFERROR(VLOOKUP(MID(G57,H57,I57-H57),[6]skilldef!$A:$B,2,FALSE),"-")</f>
        <v>- / 大攻撃</v>
      </c>
      <c r="M57" s="63" t="str">
        <f t="shared" si="46"/>
        <v>none</v>
      </c>
      <c r="N57" s="48" t="str">
        <f t="shared" si="47"/>
        <v>none</v>
      </c>
      <c r="O57" s="63" t="e">
        <f t="shared" si="7"/>
        <v>#VALUE!</v>
      </c>
      <c r="P57" s="63">
        <f t="shared" si="48"/>
        <v>4</v>
      </c>
      <c r="Q57" s="63" t="e">
        <f t="shared" si="49"/>
        <v>#VALUE!</v>
      </c>
      <c r="R57" s="63" t="e">
        <f t="shared" si="50"/>
        <v>#VALUE!</v>
      </c>
      <c r="S57" s="63" t="str">
        <f>IFERROR(VLOOKUP(MID(N57,Q57,R57-Q57),[6]skilldef!$C:$D,2,FALSE),"-") &amp; " / " &amp; IFERROR(VLOOKUP(MID(N57,O57,P57-O57),[6]skilldef!$A:$B,2,FALSE),"-")</f>
        <v>- / -</v>
      </c>
      <c r="T57" s="48" t="str">
        <f t="shared" si="51"/>
        <v>none</v>
      </c>
      <c r="U57" s="63" t="e">
        <f t="shared" si="12"/>
        <v>#VALUE!</v>
      </c>
      <c r="V57" s="63">
        <f t="shared" si="52"/>
        <v>4</v>
      </c>
      <c r="W57" s="63" t="e">
        <f t="shared" si="53"/>
        <v>#VALUE!</v>
      </c>
      <c r="X57" s="63" t="e">
        <f t="shared" si="54"/>
        <v>#VALUE!</v>
      </c>
      <c r="Y57" s="63" t="str">
        <f>IFERROR(VLOOKUP(MID(T57,W57,X57-W57),[6]skilldef!$C:$D,2,FALSE),"-") &amp; " / " &amp; IFERROR(VLOOKUP(MID(T57,U57,V57-U57),[6]skilldef!$A:$B,2,FALSE),"-")</f>
        <v>- / -</v>
      </c>
      <c r="Z57" s="50" t="s">
        <v>214</v>
      </c>
      <c r="AA57" s="52">
        <v>42433</v>
      </c>
      <c r="AB57" s="50" t="s">
        <v>215</v>
      </c>
    </row>
    <row r="58" spans="1:28" ht="21" customHeight="1" x14ac:dyDescent="0.15">
      <c r="A58" s="47">
        <v>30029057</v>
      </c>
      <c r="B58" s="47" t="s">
        <v>228</v>
      </c>
      <c r="C58" s="50">
        <v>3</v>
      </c>
      <c r="D58" s="50" t="s">
        <v>127</v>
      </c>
      <c r="E58" s="51" t="s">
        <v>225</v>
      </c>
      <c r="F58" s="51" t="s">
        <v>217</v>
      </c>
      <c r="G58" s="63" t="str">
        <f t="shared" si="42"/>
        <v>[effect:nothing]</v>
      </c>
      <c r="H58" s="63">
        <f t="shared" si="1"/>
        <v>9</v>
      </c>
      <c r="I58" s="63">
        <f t="shared" si="43"/>
        <v>16</v>
      </c>
      <c r="J58" s="63" t="e">
        <f t="shared" si="44"/>
        <v>#VALUE!</v>
      </c>
      <c r="K58" s="63" t="e">
        <f t="shared" si="45"/>
        <v>#VALUE!</v>
      </c>
      <c r="L58" s="63" t="str">
        <f>IFERROR(VLOOKUP(MID(G58,J58,K58-J58),[6]skilldef!$C:$D,2,FALSE),"-") &amp; " / " &amp; IFERROR(VLOOKUP(MID(G58,H58,I58-H58),[6]skilldef!$A:$B,2,FALSE),"-")</f>
        <v>- / 何もしない</v>
      </c>
      <c r="M58" s="63" t="str">
        <f t="shared" si="46"/>
        <v>none</v>
      </c>
      <c r="N58" s="48" t="str">
        <f t="shared" si="47"/>
        <v>none</v>
      </c>
      <c r="O58" s="63" t="e">
        <f t="shared" si="7"/>
        <v>#VALUE!</v>
      </c>
      <c r="P58" s="63">
        <f t="shared" si="48"/>
        <v>4</v>
      </c>
      <c r="Q58" s="63" t="e">
        <f t="shared" si="49"/>
        <v>#VALUE!</v>
      </c>
      <c r="R58" s="63" t="e">
        <f t="shared" si="50"/>
        <v>#VALUE!</v>
      </c>
      <c r="S58" s="63" t="str">
        <f>IFERROR(VLOOKUP(MID(N58,Q58,R58-Q58),[6]skilldef!$C:$D,2,FALSE),"-") &amp; " / " &amp; IFERROR(VLOOKUP(MID(N58,O58,P58-O58),[6]skilldef!$A:$B,2,FALSE),"-")</f>
        <v>- / -</v>
      </c>
      <c r="T58" s="48" t="str">
        <f t="shared" si="51"/>
        <v>none</v>
      </c>
      <c r="U58" s="63" t="e">
        <f t="shared" si="12"/>
        <v>#VALUE!</v>
      </c>
      <c r="V58" s="63">
        <f t="shared" si="52"/>
        <v>4</v>
      </c>
      <c r="W58" s="63" t="e">
        <f t="shared" si="53"/>
        <v>#VALUE!</v>
      </c>
      <c r="X58" s="63" t="e">
        <f t="shared" si="54"/>
        <v>#VALUE!</v>
      </c>
      <c r="Y58" s="63" t="str">
        <f>IFERROR(VLOOKUP(MID(T58,W58,X58-W58),[6]skilldef!$C:$D,2,FALSE),"-") &amp; " / " &amp; IFERROR(VLOOKUP(MID(T58,U58,V58-U58),[6]skilldef!$A:$B,2,FALSE),"-")</f>
        <v>- / -</v>
      </c>
      <c r="Z58" s="50" t="s">
        <v>214</v>
      </c>
      <c r="AA58" s="52">
        <v>42433</v>
      </c>
      <c r="AB58" s="50" t="s">
        <v>215</v>
      </c>
    </row>
    <row r="59" spans="1:28" ht="21" customHeight="1" x14ac:dyDescent="0.15">
      <c r="A59" s="47">
        <v>30029058</v>
      </c>
      <c r="B59" s="47" t="s">
        <v>228</v>
      </c>
      <c r="C59" s="50">
        <v>3</v>
      </c>
      <c r="D59" s="50" t="s">
        <v>127</v>
      </c>
      <c r="E59" s="51" t="s">
        <v>225</v>
      </c>
      <c r="F59" s="51" t="s">
        <v>217</v>
      </c>
      <c r="G59" s="63" t="str">
        <f t="shared" si="42"/>
        <v>[effect:nothing]</v>
      </c>
      <c r="H59" s="63">
        <f t="shared" si="1"/>
        <v>9</v>
      </c>
      <c r="I59" s="63">
        <f t="shared" si="43"/>
        <v>16</v>
      </c>
      <c r="J59" s="63" t="e">
        <f t="shared" si="44"/>
        <v>#VALUE!</v>
      </c>
      <c r="K59" s="63" t="e">
        <f t="shared" si="45"/>
        <v>#VALUE!</v>
      </c>
      <c r="L59" s="63" t="str">
        <f>IFERROR(VLOOKUP(MID(G59,J59,K59-J59),[6]skilldef!$C:$D,2,FALSE),"-") &amp; " / " &amp; IFERROR(VLOOKUP(MID(G59,H59,I59-H59),[6]skilldef!$A:$B,2,FALSE),"-")</f>
        <v>- / 何もしない</v>
      </c>
      <c r="M59" s="63" t="str">
        <f t="shared" si="46"/>
        <v>none</v>
      </c>
      <c r="N59" s="48" t="str">
        <f t="shared" si="47"/>
        <v>none</v>
      </c>
      <c r="O59" s="63" t="e">
        <f t="shared" si="7"/>
        <v>#VALUE!</v>
      </c>
      <c r="P59" s="63">
        <f t="shared" si="48"/>
        <v>4</v>
      </c>
      <c r="Q59" s="63" t="e">
        <f t="shared" si="49"/>
        <v>#VALUE!</v>
      </c>
      <c r="R59" s="63" t="e">
        <f t="shared" si="50"/>
        <v>#VALUE!</v>
      </c>
      <c r="S59" s="63" t="str">
        <f>IFERROR(VLOOKUP(MID(N59,Q59,R59-Q59),[6]skilldef!$C:$D,2,FALSE),"-") &amp; " / " &amp; IFERROR(VLOOKUP(MID(N59,O59,P59-O59),[6]skilldef!$A:$B,2,FALSE),"-")</f>
        <v>- / -</v>
      </c>
      <c r="T59" s="48" t="str">
        <f t="shared" si="51"/>
        <v>none</v>
      </c>
      <c r="U59" s="63" t="e">
        <f t="shared" si="12"/>
        <v>#VALUE!</v>
      </c>
      <c r="V59" s="63">
        <f t="shared" si="52"/>
        <v>4</v>
      </c>
      <c r="W59" s="63" t="e">
        <f t="shared" si="53"/>
        <v>#VALUE!</v>
      </c>
      <c r="X59" s="63" t="e">
        <f t="shared" si="54"/>
        <v>#VALUE!</v>
      </c>
      <c r="Y59" s="63" t="str">
        <f>IFERROR(VLOOKUP(MID(T59,W59,X59-W59),[6]skilldef!$C:$D,2,FALSE),"-") &amp; " / " &amp; IFERROR(VLOOKUP(MID(T59,U59,V59-U59),[6]skilldef!$A:$B,2,FALSE),"-")</f>
        <v>- / -</v>
      </c>
      <c r="Z59" s="50" t="s">
        <v>214</v>
      </c>
      <c r="AA59" s="52">
        <v>42433</v>
      </c>
      <c r="AB59" s="50" t="s">
        <v>215</v>
      </c>
    </row>
    <row r="60" spans="1:28" ht="21" customHeight="1" x14ac:dyDescent="0.15">
      <c r="A60" s="47">
        <v>30029059</v>
      </c>
      <c r="B60" s="47" t="s">
        <v>228</v>
      </c>
      <c r="C60" s="50">
        <v>3</v>
      </c>
      <c r="D60" s="50" t="s">
        <v>127</v>
      </c>
      <c r="E60" s="51" t="s">
        <v>225</v>
      </c>
      <c r="F60" s="51" t="s">
        <v>217</v>
      </c>
      <c r="G60" s="63" t="str">
        <f t="shared" si="42"/>
        <v>[effect:nothing]</v>
      </c>
      <c r="H60" s="63">
        <f t="shared" si="1"/>
        <v>9</v>
      </c>
      <c r="I60" s="63">
        <f t="shared" si="43"/>
        <v>16</v>
      </c>
      <c r="J60" s="63" t="e">
        <f t="shared" si="44"/>
        <v>#VALUE!</v>
      </c>
      <c r="K60" s="63" t="e">
        <f t="shared" si="45"/>
        <v>#VALUE!</v>
      </c>
      <c r="L60" s="63" t="str">
        <f>IFERROR(VLOOKUP(MID(G60,J60,K60-J60),[6]skilldef!$C:$D,2,FALSE),"-") &amp; " / " &amp; IFERROR(VLOOKUP(MID(G60,H60,I60-H60),[6]skilldef!$A:$B,2,FALSE),"-")</f>
        <v>- / 何もしない</v>
      </c>
      <c r="M60" s="63" t="str">
        <f t="shared" si="46"/>
        <v>none</v>
      </c>
      <c r="N60" s="48" t="str">
        <f t="shared" si="47"/>
        <v>none</v>
      </c>
      <c r="O60" s="63" t="e">
        <f t="shared" si="7"/>
        <v>#VALUE!</v>
      </c>
      <c r="P60" s="63">
        <f t="shared" si="48"/>
        <v>4</v>
      </c>
      <c r="Q60" s="63" t="e">
        <f t="shared" si="49"/>
        <v>#VALUE!</v>
      </c>
      <c r="R60" s="63" t="e">
        <f t="shared" si="50"/>
        <v>#VALUE!</v>
      </c>
      <c r="S60" s="63" t="str">
        <f>IFERROR(VLOOKUP(MID(N60,Q60,R60-Q60),[6]skilldef!$C:$D,2,FALSE),"-") &amp; " / " &amp; IFERROR(VLOOKUP(MID(N60,O60,P60-O60),[6]skilldef!$A:$B,2,FALSE),"-")</f>
        <v>- / -</v>
      </c>
      <c r="T60" s="48" t="str">
        <f t="shared" si="51"/>
        <v>none</v>
      </c>
      <c r="U60" s="63" t="e">
        <f t="shared" si="12"/>
        <v>#VALUE!</v>
      </c>
      <c r="V60" s="63">
        <f t="shared" si="52"/>
        <v>4</v>
      </c>
      <c r="W60" s="63" t="e">
        <f t="shared" si="53"/>
        <v>#VALUE!</v>
      </c>
      <c r="X60" s="63" t="e">
        <f t="shared" si="54"/>
        <v>#VALUE!</v>
      </c>
      <c r="Y60" s="63" t="str">
        <f>IFERROR(VLOOKUP(MID(T60,W60,X60-W60),[6]skilldef!$C:$D,2,FALSE),"-") &amp; " / " &amp; IFERROR(VLOOKUP(MID(T60,U60,V60-U60),[6]skilldef!$A:$B,2,FALSE),"-")</f>
        <v>- / -</v>
      </c>
      <c r="Z60" s="50" t="s">
        <v>214</v>
      </c>
      <c r="AA60" s="52">
        <v>42433</v>
      </c>
      <c r="AB60" s="50" t="s">
        <v>215</v>
      </c>
    </row>
    <row r="61" spans="1:28" ht="21" customHeight="1" x14ac:dyDescent="0.15">
      <c r="A61" s="47">
        <v>30029060</v>
      </c>
      <c r="B61" s="47" t="s">
        <v>228</v>
      </c>
      <c r="C61" s="50">
        <v>3</v>
      </c>
      <c r="D61" s="50" t="s">
        <v>127</v>
      </c>
      <c r="E61" s="51" t="s">
        <v>225</v>
      </c>
      <c r="F61" s="51" t="s">
        <v>217</v>
      </c>
      <c r="G61" s="63" t="str">
        <f t="shared" si="42"/>
        <v>[effect:nothing]</v>
      </c>
      <c r="H61" s="63">
        <f t="shared" si="1"/>
        <v>9</v>
      </c>
      <c r="I61" s="63">
        <f t="shared" si="43"/>
        <v>16</v>
      </c>
      <c r="J61" s="63" t="e">
        <f t="shared" si="44"/>
        <v>#VALUE!</v>
      </c>
      <c r="K61" s="63" t="e">
        <f t="shared" si="45"/>
        <v>#VALUE!</v>
      </c>
      <c r="L61" s="63" t="str">
        <f>IFERROR(VLOOKUP(MID(G61,J61,K61-J61),[6]skilldef!$C:$D,2,FALSE),"-") &amp; " / " &amp; IFERROR(VLOOKUP(MID(G61,H61,I61-H61),[6]skilldef!$A:$B,2,FALSE),"-")</f>
        <v>- / 何もしない</v>
      </c>
      <c r="M61" s="63" t="str">
        <f t="shared" si="46"/>
        <v>none</v>
      </c>
      <c r="N61" s="48" t="str">
        <f t="shared" si="47"/>
        <v>none</v>
      </c>
      <c r="O61" s="63" t="e">
        <f t="shared" si="7"/>
        <v>#VALUE!</v>
      </c>
      <c r="P61" s="63">
        <f t="shared" si="48"/>
        <v>4</v>
      </c>
      <c r="Q61" s="63" t="e">
        <f t="shared" si="49"/>
        <v>#VALUE!</v>
      </c>
      <c r="R61" s="63" t="e">
        <f t="shared" si="50"/>
        <v>#VALUE!</v>
      </c>
      <c r="S61" s="63" t="str">
        <f>IFERROR(VLOOKUP(MID(N61,Q61,R61-Q61),[6]skilldef!$C:$D,2,FALSE),"-") &amp; " / " &amp; IFERROR(VLOOKUP(MID(N61,O61,P61-O61),[6]skilldef!$A:$B,2,FALSE),"-")</f>
        <v>- / -</v>
      </c>
      <c r="T61" s="48" t="str">
        <f t="shared" si="51"/>
        <v>none</v>
      </c>
      <c r="U61" s="63" t="e">
        <f t="shared" si="12"/>
        <v>#VALUE!</v>
      </c>
      <c r="V61" s="63">
        <f t="shared" si="52"/>
        <v>4</v>
      </c>
      <c r="W61" s="63" t="e">
        <f t="shared" si="53"/>
        <v>#VALUE!</v>
      </c>
      <c r="X61" s="63" t="e">
        <f t="shared" si="54"/>
        <v>#VALUE!</v>
      </c>
      <c r="Y61" s="63" t="str">
        <f>IFERROR(VLOOKUP(MID(T61,W61,X61-W61),[6]skilldef!$C:$D,2,FALSE),"-") &amp; " / " &amp; IFERROR(VLOOKUP(MID(T61,U61,V61-U61),[6]skilldef!$A:$B,2,FALSE),"-")</f>
        <v>- / -</v>
      </c>
      <c r="Z61" s="50" t="s">
        <v>214</v>
      </c>
      <c r="AA61" s="52">
        <v>42433</v>
      </c>
      <c r="AB61" s="50" t="s">
        <v>215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8"/>
  <sheetViews>
    <sheetView showGridLines="0" zoomScale="130" zoomScaleNormal="130" zoomScalePageLayoutView="130" workbookViewId="0">
      <pane ySplit="1" topLeftCell="A2" activePane="bottomLeft" state="frozenSplit"/>
      <selection pane="bottomLeft" activeCell="E12" sqref="E1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87</v>
      </c>
    </row>
    <row r="2" spans="1:11" ht="21" customHeight="1" x14ac:dyDescent="0.15">
      <c r="A2" s="47">
        <v>30029006</v>
      </c>
      <c r="B2" s="47">
        <v>0</v>
      </c>
      <c r="C2" s="47" t="s">
        <v>88</v>
      </c>
      <c r="D2" s="47">
        <v>20</v>
      </c>
      <c r="E2" s="47">
        <v>100</v>
      </c>
      <c r="F2" s="47" t="s">
        <v>233</v>
      </c>
      <c r="G2" s="47" t="s">
        <v>234</v>
      </c>
      <c r="H2" s="47" t="s">
        <v>89</v>
      </c>
      <c r="I2" s="47" t="s">
        <v>89</v>
      </c>
      <c r="J2" s="48">
        <f t="shared" ref="J2" si="0">D2</f>
        <v>20</v>
      </c>
    </row>
    <row r="3" spans="1:11" ht="21" customHeight="1" x14ac:dyDescent="0.15">
      <c r="A3" s="47">
        <v>30029011</v>
      </c>
      <c r="B3" s="47">
        <v>1</v>
      </c>
      <c r="C3" s="47">
        <v>100</v>
      </c>
      <c r="D3" s="47">
        <v>100</v>
      </c>
      <c r="E3" s="47">
        <v>100</v>
      </c>
      <c r="F3" s="47" t="s">
        <v>233</v>
      </c>
      <c r="G3" s="47">
        <v>1</v>
      </c>
      <c r="H3" s="47" t="s">
        <v>53</v>
      </c>
      <c r="I3" s="47" t="s">
        <v>53</v>
      </c>
      <c r="J3" s="48">
        <f t="shared" ref="J3:J18" si="1">D3</f>
        <v>100</v>
      </c>
    </row>
    <row r="4" spans="1:11" ht="21" customHeight="1" x14ac:dyDescent="0.15">
      <c r="A4" s="47">
        <v>30029012</v>
      </c>
      <c r="B4" s="47">
        <v>0</v>
      </c>
      <c r="C4" s="47" t="s">
        <v>53</v>
      </c>
      <c r="D4" s="47">
        <v>25</v>
      </c>
      <c r="E4" s="47">
        <v>100</v>
      </c>
      <c r="F4" s="47" t="s">
        <v>233</v>
      </c>
      <c r="G4" s="47" t="s">
        <v>234</v>
      </c>
      <c r="H4" s="47" t="s">
        <v>53</v>
      </c>
      <c r="I4" s="47" t="s">
        <v>53</v>
      </c>
      <c r="J4" s="48">
        <f t="shared" si="1"/>
        <v>25</v>
      </c>
    </row>
    <row r="5" spans="1:11" ht="21" customHeight="1" x14ac:dyDescent="0.15">
      <c r="A5" s="47">
        <v>30029013</v>
      </c>
      <c r="B5" s="47">
        <v>0</v>
      </c>
      <c r="C5" s="47" t="s">
        <v>53</v>
      </c>
      <c r="D5" s="47">
        <v>50</v>
      </c>
      <c r="E5" s="47">
        <v>100</v>
      </c>
      <c r="F5" s="47" t="s">
        <v>233</v>
      </c>
      <c r="G5" s="47">
        <v>1</v>
      </c>
      <c r="H5" s="47" t="s">
        <v>53</v>
      </c>
      <c r="I5" s="47" t="s">
        <v>53</v>
      </c>
      <c r="J5" s="48">
        <f t="shared" si="1"/>
        <v>50</v>
      </c>
    </row>
    <row r="6" spans="1:11" ht="21" customHeight="1" x14ac:dyDescent="0.15">
      <c r="A6" s="47">
        <v>30029016</v>
      </c>
      <c r="B6" s="47">
        <v>1</v>
      </c>
      <c r="C6" s="47" t="s">
        <v>53</v>
      </c>
      <c r="D6" s="47">
        <v>100</v>
      </c>
      <c r="E6" s="47">
        <v>100</v>
      </c>
      <c r="F6" s="47" t="s">
        <v>233</v>
      </c>
      <c r="G6" s="47">
        <v>1</v>
      </c>
      <c r="H6" s="47" t="s">
        <v>53</v>
      </c>
      <c r="I6" s="47" t="s">
        <v>53</v>
      </c>
      <c r="J6" s="48">
        <f t="shared" si="1"/>
        <v>100</v>
      </c>
    </row>
    <row r="7" spans="1:11" ht="21" customHeight="1" x14ac:dyDescent="0.15">
      <c r="A7" s="47">
        <v>30029017</v>
      </c>
      <c r="B7" s="47">
        <v>0</v>
      </c>
      <c r="C7" s="47" t="s">
        <v>53</v>
      </c>
      <c r="D7" s="47">
        <v>25</v>
      </c>
      <c r="E7" s="47">
        <v>100</v>
      </c>
      <c r="F7" s="47" t="s">
        <v>233</v>
      </c>
      <c r="G7" s="47" t="s">
        <v>234</v>
      </c>
      <c r="H7" s="47" t="s">
        <v>53</v>
      </c>
      <c r="I7" s="47" t="s">
        <v>53</v>
      </c>
      <c r="J7" s="48">
        <f t="shared" si="1"/>
        <v>25</v>
      </c>
    </row>
    <row r="8" spans="1:11" ht="21" customHeight="1" x14ac:dyDescent="0.15">
      <c r="A8" s="47">
        <v>30029019</v>
      </c>
      <c r="B8" s="47">
        <v>0</v>
      </c>
      <c r="C8" s="47">
        <v>1</v>
      </c>
      <c r="D8" s="47">
        <v>100</v>
      </c>
      <c r="E8" s="47">
        <v>100</v>
      </c>
      <c r="F8" s="47" t="s">
        <v>233</v>
      </c>
      <c r="G8" s="47" t="s">
        <v>241</v>
      </c>
      <c r="H8" s="47">
        <v>3</v>
      </c>
      <c r="I8" s="47" t="s">
        <v>53</v>
      </c>
      <c r="J8" s="48">
        <f t="shared" si="1"/>
        <v>100</v>
      </c>
    </row>
    <row r="9" spans="1:11" ht="21" customHeight="1" x14ac:dyDescent="0.15">
      <c r="A9" s="47">
        <v>30029018</v>
      </c>
      <c r="B9" s="47">
        <v>0</v>
      </c>
      <c r="C9" s="47" t="s">
        <v>53</v>
      </c>
      <c r="D9" s="47">
        <v>50</v>
      </c>
      <c r="E9" s="47">
        <v>100</v>
      </c>
      <c r="F9" s="47" t="s">
        <v>53</v>
      </c>
      <c r="G9" s="47">
        <v>1</v>
      </c>
      <c r="H9" s="47" t="s">
        <v>53</v>
      </c>
      <c r="I9" s="47" t="s">
        <v>53</v>
      </c>
      <c r="J9" s="48">
        <f t="shared" ref="J9" si="2">D9</f>
        <v>50</v>
      </c>
    </row>
    <row r="10" spans="1:11" ht="21" customHeight="1" x14ac:dyDescent="0.15">
      <c r="A10" s="47">
        <v>30029021</v>
      </c>
      <c r="B10" s="47">
        <v>0</v>
      </c>
      <c r="C10" s="47" t="s">
        <v>53</v>
      </c>
      <c r="D10" s="47">
        <v>100</v>
      </c>
      <c r="E10" s="47">
        <v>100</v>
      </c>
      <c r="F10" s="47" t="s">
        <v>233</v>
      </c>
      <c r="G10" s="47" t="s">
        <v>234</v>
      </c>
      <c r="H10" s="47">
        <v>2</v>
      </c>
      <c r="I10" s="47" t="s">
        <v>53</v>
      </c>
      <c r="J10" s="48">
        <f t="shared" si="1"/>
        <v>100</v>
      </c>
    </row>
    <row r="11" spans="1:11" ht="21" customHeight="1" x14ac:dyDescent="0.15">
      <c r="A11" s="47">
        <v>30029031</v>
      </c>
      <c r="B11" s="47">
        <v>0</v>
      </c>
      <c r="C11" s="47" t="s">
        <v>53</v>
      </c>
      <c r="D11" s="47">
        <v>20</v>
      </c>
      <c r="E11" s="47">
        <v>100</v>
      </c>
      <c r="F11" s="47" t="s">
        <v>233</v>
      </c>
      <c r="G11" s="47" t="s">
        <v>234</v>
      </c>
      <c r="H11" s="47" t="s">
        <v>53</v>
      </c>
      <c r="I11" s="47" t="s">
        <v>53</v>
      </c>
      <c r="J11" s="48">
        <f t="shared" si="1"/>
        <v>20</v>
      </c>
    </row>
    <row r="12" spans="1:11" ht="21" customHeight="1" x14ac:dyDescent="0.15">
      <c r="A12" s="47">
        <v>30029036</v>
      </c>
      <c r="B12" s="47">
        <v>1</v>
      </c>
      <c r="C12" s="47">
        <v>100</v>
      </c>
      <c r="D12" s="47">
        <v>100</v>
      </c>
      <c r="E12" s="47">
        <v>100</v>
      </c>
      <c r="F12" s="47" t="s">
        <v>233</v>
      </c>
      <c r="G12" s="47">
        <v>1</v>
      </c>
      <c r="H12" s="47" t="s">
        <v>53</v>
      </c>
      <c r="I12" s="47" t="s">
        <v>53</v>
      </c>
      <c r="J12" s="48">
        <f t="shared" si="1"/>
        <v>100</v>
      </c>
    </row>
    <row r="13" spans="1:11" ht="21" customHeight="1" x14ac:dyDescent="0.15">
      <c r="A13" s="47">
        <v>30029037</v>
      </c>
      <c r="B13" s="47">
        <v>0</v>
      </c>
      <c r="C13" s="47" t="s">
        <v>53</v>
      </c>
      <c r="D13" s="47">
        <v>25</v>
      </c>
      <c r="E13" s="47">
        <v>100</v>
      </c>
      <c r="F13" s="47" t="s">
        <v>233</v>
      </c>
      <c r="G13" s="47" t="s">
        <v>234</v>
      </c>
      <c r="H13" s="47" t="s">
        <v>53</v>
      </c>
      <c r="I13" s="47" t="s">
        <v>53</v>
      </c>
      <c r="J13" s="48">
        <f t="shared" si="1"/>
        <v>25</v>
      </c>
    </row>
    <row r="14" spans="1:11" ht="21" customHeight="1" x14ac:dyDescent="0.15">
      <c r="A14" s="47">
        <v>30029038</v>
      </c>
      <c r="B14" s="47">
        <v>0</v>
      </c>
      <c r="C14" s="47" t="s">
        <v>53</v>
      </c>
      <c r="D14" s="47">
        <v>50</v>
      </c>
      <c r="E14" s="47">
        <v>100</v>
      </c>
      <c r="F14" s="47" t="s">
        <v>233</v>
      </c>
      <c r="G14" s="47" t="s">
        <v>234</v>
      </c>
      <c r="H14" s="47" t="s">
        <v>53</v>
      </c>
      <c r="I14" s="47" t="s">
        <v>53</v>
      </c>
      <c r="J14" s="48">
        <f t="shared" si="1"/>
        <v>50</v>
      </c>
    </row>
    <row r="15" spans="1:11" ht="21" customHeight="1" x14ac:dyDescent="0.15">
      <c r="A15" s="47">
        <v>30029039</v>
      </c>
      <c r="B15" s="47">
        <v>0</v>
      </c>
      <c r="C15" s="47" t="s">
        <v>53</v>
      </c>
      <c r="D15" s="47">
        <v>25</v>
      </c>
      <c r="E15" s="47">
        <v>50</v>
      </c>
      <c r="F15" s="47" t="s">
        <v>233</v>
      </c>
      <c r="G15" s="47" t="s">
        <v>234</v>
      </c>
      <c r="H15" s="47" t="s">
        <v>53</v>
      </c>
      <c r="I15" s="47" t="s">
        <v>53</v>
      </c>
      <c r="J15" s="48">
        <f t="shared" si="1"/>
        <v>25</v>
      </c>
    </row>
    <row r="16" spans="1:11" ht="21" customHeight="1" x14ac:dyDescent="0.15">
      <c r="A16" s="47">
        <v>30029046</v>
      </c>
      <c r="B16" s="47">
        <v>1</v>
      </c>
      <c r="C16" s="47" t="s">
        <v>53</v>
      </c>
      <c r="D16" s="47">
        <v>100</v>
      </c>
      <c r="E16" s="47">
        <v>100</v>
      </c>
      <c r="F16" s="47" t="s">
        <v>233</v>
      </c>
      <c r="G16" s="47">
        <v>1</v>
      </c>
      <c r="H16" s="47" t="s">
        <v>53</v>
      </c>
      <c r="I16" s="47" t="s">
        <v>53</v>
      </c>
      <c r="J16" s="48">
        <f t="shared" si="1"/>
        <v>100</v>
      </c>
    </row>
    <row r="17" spans="1:10" ht="21" customHeight="1" x14ac:dyDescent="0.15">
      <c r="A17" s="47">
        <v>30029047</v>
      </c>
      <c r="B17" s="47">
        <v>0</v>
      </c>
      <c r="C17" s="47" t="s">
        <v>53</v>
      </c>
      <c r="D17" s="47">
        <v>100</v>
      </c>
      <c r="E17" s="47">
        <v>40</v>
      </c>
      <c r="F17" s="47" t="s">
        <v>233</v>
      </c>
      <c r="G17" s="47" t="s">
        <v>234</v>
      </c>
      <c r="H17" s="47" t="s">
        <v>53</v>
      </c>
      <c r="I17" s="47" t="s">
        <v>53</v>
      </c>
      <c r="J17" s="48">
        <f t="shared" si="1"/>
        <v>100</v>
      </c>
    </row>
    <row r="18" spans="1:10" ht="21" customHeight="1" x14ac:dyDescent="0.15">
      <c r="A18" s="47">
        <v>30029056</v>
      </c>
      <c r="B18" s="47">
        <v>0</v>
      </c>
      <c r="C18" s="47" t="s">
        <v>53</v>
      </c>
      <c r="D18" s="47">
        <v>30</v>
      </c>
      <c r="E18" s="47">
        <v>100</v>
      </c>
      <c r="F18" s="47" t="s">
        <v>233</v>
      </c>
      <c r="G18" s="47" t="s">
        <v>234</v>
      </c>
      <c r="H18" s="47" t="s">
        <v>53</v>
      </c>
      <c r="I18" s="47" t="s">
        <v>53</v>
      </c>
      <c r="J18" s="48">
        <f t="shared" si="1"/>
        <v>30</v>
      </c>
    </row>
  </sheetData>
  <autoFilter ref="A1:G1"/>
  <phoneticPr fontId="5"/>
  <conditionalFormatting sqref="K1:K8 K10:K1048576">
    <cfRule type="duplicateValues" dxfId="1" priority="2"/>
  </conditionalFormatting>
  <conditionalFormatting sqref="K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topLeftCell="A6" workbookViewId="0">
      <selection activeCell="N31" sqref="N3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82">
        <v>30029</v>
      </c>
      <c r="B2" s="82">
        <v>1</v>
      </c>
      <c r="C2" s="71" t="str">
        <f>A2&amp; "_"&amp;B2</f>
        <v>30029_1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2">
        <v>1</v>
      </c>
      <c r="F2" s="82" t="s">
        <v>168</v>
      </c>
      <c r="G2" s="82">
        <v>3200</v>
      </c>
      <c r="H2" s="82" t="s">
        <v>243</v>
      </c>
      <c r="I2" s="82">
        <v>1</v>
      </c>
      <c r="J2" s="82">
        <v>1</v>
      </c>
      <c r="K2" s="82">
        <v>0</v>
      </c>
      <c r="L2" s="82">
        <v>0</v>
      </c>
      <c r="M2" s="82">
        <v>0</v>
      </c>
      <c r="N2" s="82">
        <v>0</v>
      </c>
      <c r="O2" s="82">
        <v>1</v>
      </c>
      <c r="P2" s="82">
        <v>200</v>
      </c>
      <c r="Q2" s="82" t="s">
        <v>169</v>
      </c>
      <c r="R2" s="82" t="s">
        <v>170</v>
      </c>
    </row>
    <row r="3" spans="1:18" x14ac:dyDescent="0.15">
      <c r="A3" s="82">
        <v>30029</v>
      </c>
      <c r="B3" s="82">
        <v>1</v>
      </c>
      <c r="C3" s="71" t="str">
        <f t="shared" ref="C3:C33" si="0">A3&amp; "_"&amp;B3</f>
        <v>30029_1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2">
        <v>2</v>
      </c>
      <c r="F3" s="82" t="s">
        <v>244</v>
      </c>
      <c r="G3" s="82">
        <v>20</v>
      </c>
      <c r="H3" s="82" t="s">
        <v>243</v>
      </c>
      <c r="I3" s="82">
        <v>1</v>
      </c>
      <c r="J3" s="82">
        <v>1</v>
      </c>
      <c r="K3" s="82">
        <v>0</v>
      </c>
      <c r="L3" s="82">
        <v>0</v>
      </c>
      <c r="M3" s="82">
        <v>0</v>
      </c>
      <c r="N3" s="82">
        <v>0</v>
      </c>
      <c r="O3" s="82">
        <v>1</v>
      </c>
      <c r="P3" s="82">
        <v>200</v>
      </c>
      <c r="Q3" s="82" t="s">
        <v>169</v>
      </c>
      <c r="R3" s="82" t="s">
        <v>170</v>
      </c>
    </row>
    <row r="4" spans="1:18" x14ac:dyDescent="0.15">
      <c r="A4" s="82">
        <v>30029</v>
      </c>
      <c r="B4" s="82">
        <v>1</v>
      </c>
      <c r="C4" s="71" t="str">
        <f t="shared" si="0"/>
        <v>30029_1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2">
        <v>3</v>
      </c>
      <c r="F4" s="82" t="s">
        <v>245</v>
      </c>
      <c r="G4" s="82">
        <v>340</v>
      </c>
      <c r="H4" s="82">
        <v>1</v>
      </c>
      <c r="I4" s="82">
        <v>1</v>
      </c>
      <c r="J4" s="82">
        <v>1</v>
      </c>
      <c r="K4" s="82">
        <v>0</v>
      </c>
      <c r="L4" s="82">
        <v>0</v>
      </c>
      <c r="M4" s="82">
        <v>0</v>
      </c>
      <c r="N4" s="82">
        <v>0</v>
      </c>
      <c r="O4" s="82">
        <v>1</v>
      </c>
      <c r="P4" s="82">
        <v>70</v>
      </c>
      <c r="Q4" s="82" t="s">
        <v>169</v>
      </c>
      <c r="R4" s="82" t="s">
        <v>170</v>
      </c>
    </row>
    <row r="5" spans="1:18" x14ac:dyDescent="0.15">
      <c r="A5" s="82">
        <v>30029</v>
      </c>
      <c r="B5" s="82">
        <v>1</v>
      </c>
      <c r="C5" s="71" t="str">
        <f t="shared" si="0"/>
        <v>30029_1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2">
        <v>4</v>
      </c>
      <c r="F5" s="82" t="s">
        <v>245</v>
      </c>
      <c r="G5" s="82">
        <v>341</v>
      </c>
      <c r="H5" s="82">
        <v>1</v>
      </c>
      <c r="I5" s="82">
        <v>1</v>
      </c>
      <c r="J5" s="82">
        <v>1</v>
      </c>
      <c r="K5" s="82">
        <v>0</v>
      </c>
      <c r="L5" s="82">
        <v>0</v>
      </c>
      <c r="M5" s="82">
        <v>0</v>
      </c>
      <c r="N5" s="82">
        <v>0</v>
      </c>
      <c r="O5" s="82">
        <v>1</v>
      </c>
      <c r="P5" s="82">
        <v>70</v>
      </c>
      <c r="Q5" s="82" t="s">
        <v>169</v>
      </c>
      <c r="R5" s="82" t="s">
        <v>170</v>
      </c>
    </row>
    <row r="6" spans="1:18" x14ac:dyDescent="0.15">
      <c r="A6" s="82">
        <v>30029</v>
      </c>
      <c r="B6" s="82">
        <v>1</v>
      </c>
      <c r="C6" s="71" t="str">
        <f t="shared" si="0"/>
        <v>30029_1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2">
        <v>5</v>
      </c>
      <c r="F6" s="82" t="s">
        <v>245</v>
      </c>
      <c r="G6" s="82">
        <v>121</v>
      </c>
      <c r="H6" s="82">
        <v>1</v>
      </c>
      <c r="I6" s="82">
        <v>1</v>
      </c>
      <c r="J6" s="82">
        <v>1</v>
      </c>
      <c r="K6" s="82">
        <v>0</v>
      </c>
      <c r="L6" s="82">
        <v>0</v>
      </c>
      <c r="M6" s="82">
        <v>0</v>
      </c>
      <c r="N6" s="82">
        <v>0</v>
      </c>
      <c r="O6" s="82">
        <v>1</v>
      </c>
      <c r="P6" s="82">
        <v>50</v>
      </c>
      <c r="Q6" s="82" t="s">
        <v>169</v>
      </c>
      <c r="R6" s="82" t="s">
        <v>170</v>
      </c>
    </row>
    <row r="7" spans="1:18" x14ac:dyDescent="0.15">
      <c r="A7" s="82">
        <v>30029</v>
      </c>
      <c r="B7" s="82">
        <v>1</v>
      </c>
      <c r="C7" s="71" t="str">
        <f t="shared" si="0"/>
        <v>30029_1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2">
        <v>6</v>
      </c>
      <c r="F7" s="82" t="s">
        <v>245</v>
      </c>
      <c r="G7" s="82">
        <v>122</v>
      </c>
      <c r="H7" s="82">
        <v>1</v>
      </c>
      <c r="I7" s="82">
        <v>1</v>
      </c>
      <c r="J7" s="82">
        <v>1</v>
      </c>
      <c r="K7" s="82">
        <v>0</v>
      </c>
      <c r="L7" s="82">
        <v>0</v>
      </c>
      <c r="M7" s="82">
        <v>0</v>
      </c>
      <c r="N7" s="82">
        <v>0</v>
      </c>
      <c r="O7" s="82">
        <v>1</v>
      </c>
      <c r="P7" s="82">
        <v>50</v>
      </c>
      <c r="Q7" s="82" t="s">
        <v>169</v>
      </c>
      <c r="R7" s="82" t="s">
        <v>170</v>
      </c>
    </row>
    <row r="8" spans="1:18" x14ac:dyDescent="0.15">
      <c r="A8" s="82">
        <v>30029</v>
      </c>
      <c r="B8" s="82">
        <v>1</v>
      </c>
      <c r="C8" s="71" t="str">
        <f t="shared" si="0"/>
        <v>30029_1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2">
        <v>7</v>
      </c>
      <c r="F8" s="82" t="s">
        <v>245</v>
      </c>
      <c r="G8" s="82">
        <v>123</v>
      </c>
      <c r="H8" s="82">
        <v>1</v>
      </c>
      <c r="I8" s="82">
        <v>1</v>
      </c>
      <c r="J8" s="82">
        <v>1</v>
      </c>
      <c r="K8" s="82">
        <v>0</v>
      </c>
      <c r="L8" s="82">
        <v>0</v>
      </c>
      <c r="M8" s="82">
        <v>0</v>
      </c>
      <c r="N8" s="82">
        <v>0</v>
      </c>
      <c r="O8" s="82">
        <v>1</v>
      </c>
      <c r="P8" s="82">
        <v>50</v>
      </c>
      <c r="Q8" s="82" t="s">
        <v>169</v>
      </c>
      <c r="R8" s="82" t="s">
        <v>170</v>
      </c>
    </row>
    <row r="9" spans="1:18" x14ac:dyDescent="0.15">
      <c r="A9" s="82">
        <v>30029</v>
      </c>
      <c r="B9" s="82">
        <v>1</v>
      </c>
      <c r="C9" s="71" t="str">
        <f t="shared" si="0"/>
        <v>30029_1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2">
        <v>8</v>
      </c>
      <c r="F9" s="82" t="s">
        <v>245</v>
      </c>
      <c r="G9" s="82">
        <v>125</v>
      </c>
      <c r="H9" s="82">
        <v>1</v>
      </c>
      <c r="I9" s="82">
        <v>1</v>
      </c>
      <c r="J9" s="82">
        <v>1</v>
      </c>
      <c r="K9" s="82">
        <v>0</v>
      </c>
      <c r="L9" s="82">
        <v>0</v>
      </c>
      <c r="M9" s="82">
        <v>0</v>
      </c>
      <c r="N9" s="82">
        <v>0</v>
      </c>
      <c r="O9" s="82">
        <v>1</v>
      </c>
      <c r="P9" s="82">
        <v>10</v>
      </c>
      <c r="Q9" s="82" t="s">
        <v>169</v>
      </c>
      <c r="R9" s="82" t="s">
        <v>170</v>
      </c>
    </row>
    <row r="10" spans="1:18" x14ac:dyDescent="0.15">
      <c r="A10" s="82">
        <v>30029</v>
      </c>
      <c r="B10" s="82">
        <v>1</v>
      </c>
      <c r="C10" s="71" t="str">
        <f t="shared" si="0"/>
        <v>30029_1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2">
        <v>9</v>
      </c>
      <c r="F10" s="82" t="s">
        <v>245</v>
      </c>
      <c r="G10" s="82">
        <v>648</v>
      </c>
      <c r="H10" s="82">
        <v>1</v>
      </c>
      <c r="I10" s="82">
        <v>1</v>
      </c>
      <c r="J10" s="82">
        <v>1</v>
      </c>
      <c r="K10" s="82">
        <v>0</v>
      </c>
      <c r="L10" s="82">
        <v>0</v>
      </c>
      <c r="M10" s="82">
        <v>0</v>
      </c>
      <c r="N10" s="82">
        <v>0</v>
      </c>
      <c r="O10" s="82">
        <v>1</v>
      </c>
      <c r="P10" s="82">
        <v>200</v>
      </c>
      <c r="Q10" s="82" t="s">
        <v>169</v>
      </c>
      <c r="R10" s="82" t="s">
        <v>170</v>
      </c>
    </row>
    <row r="11" spans="1:18" ht="16" thickBot="1" x14ac:dyDescent="0.2">
      <c r="A11" s="124">
        <v>30029</v>
      </c>
      <c r="B11" s="124">
        <v>1</v>
      </c>
      <c r="C11" s="125" t="str">
        <f t="shared" si="0"/>
        <v>30029_1</v>
      </c>
      <c r="D11" s="126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24">
        <v>10</v>
      </c>
      <c r="F11" s="124" t="s">
        <v>245</v>
      </c>
      <c r="G11" s="124">
        <v>352</v>
      </c>
      <c r="H11" s="124">
        <v>1</v>
      </c>
      <c r="I11" s="124">
        <v>1</v>
      </c>
      <c r="J11" s="124">
        <v>1</v>
      </c>
      <c r="K11" s="124">
        <v>0</v>
      </c>
      <c r="L11" s="124">
        <v>0</v>
      </c>
      <c r="M11" s="124">
        <v>0</v>
      </c>
      <c r="N11" s="124">
        <v>0</v>
      </c>
      <c r="O11" s="124">
        <v>1</v>
      </c>
      <c r="P11" s="124">
        <v>100</v>
      </c>
      <c r="Q11" s="124" t="s">
        <v>169</v>
      </c>
      <c r="R11" s="124" t="s">
        <v>170</v>
      </c>
    </row>
    <row r="12" spans="1:18" ht="16" thickTop="1" x14ac:dyDescent="0.15">
      <c r="A12" s="104">
        <v>30029</v>
      </c>
      <c r="B12" s="104">
        <v>2</v>
      </c>
      <c r="C12" s="122" t="str">
        <f t="shared" si="0"/>
        <v>30029_2</v>
      </c>
      <c r="D12" s="123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04">
        <v>11</v>
      </c>
      <c r="F12" s="104" t="s">
        <v>168</v>
      </c>
      <c r="G12" s="104">
        <v>5000</v>
      </c>
      <c r="H12" s="104" t="s">
        <v>243</v>
      </c>
      <c r="I12" s="104">
        <v>1</v>
      </c>
      <c r="J12" s="104">
        <v>1</v>
      </c>
      <c r="K12" s="104">
        <v>0</v>
      </c>
      <c r="L12" s="104">
        <v>0</v>
      </c>
      <c r="M12" s="104">
        <v>0</v>
      </c>
      <c r="N12" s="104">
        <v>0</v>
      </c>
      <c r="O12" s="104">
        <v>1</v>
      </c>
      <c r="P12" s="104">
        <v>200</v>
      </c>
      <c r="Q12" s="104" t="s">
        <v>169</v>
      </c>
      <c r="R12" s="104" t="s">
        <v>170</v>
      </c>
    </row>
    <row r="13" spans="1:18" x14ac:dyDescent="0.15">
      <c r="A13" s="82">
        <v>30029</v>
      </c>
      <c r="B13" s="82">
        <v>2</v>
      </c>
      <c r="C13" s="71" t="str">
        <f t="shared" si="0"/>
        <v>30029_2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2">
        <v>12</v>
      </c>
      <c r="F13" s="82" t="s">
        <v>246</v>
      </c>
      <c r="G13" s="82">
        <v>25</v>
      </c>
      <c r="H13" s="82" t="s">
        <v>243</v>
      </c>
      <c r="I13" s="82">
        <v>1</v>
      </c>
      <c r="J13" s="82">
        <v>1</v>
      </c>
      <c r="K13" s="82">
        <v>0</v>
      </c>
      <c r="L13" s="82">
        <v>0</v>
      </c>
      <c r="M13" s="82">
        <v>0</v>
      </c>
      <c r="N13" s="82">
        <v>0</v>
      </c>
      <c r="O13" s="82">
        <v>1</v>
      </c>
      <c r="P13" s="82">
        <v>150</v>
      </c>
      <c r="Q13" s="82" t="s">
        <v>169</v>
      </c>
      <c r="R13" s="82" t="s">
        <v>170</v>
      </c>
    </row>
    <row r="14" spans="1:18" x14ac:dyDescent="0.15">
      <c r="A14" s="82">
        <v>30029</v>
      </c>
      <c r="B14" s="82">
        <v>2</v>
      </c>
      <c r="C14" s="71" t="str">
        <f t="shared" si="0"/>
        <v>30029_2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2">
        <v>13</v>
      </c>
      <c r="F14" s="82" t="s">
        <v>245</v>
      </c>
      <c r="G14" s="82">
        <v>340</v>
      </c>
      <c r="H14" s="82">
        <v>1</v>
      </c>
      <c r="I14" s="82">
        <v>1</v>
      </c>
      <c r="J14" s="82">
        <v>1</v>
      </c>
      <c r="K14" s="82">
        <v>0</v>
      </c>
      <c r="L14" s="82">
        <v>0</v>
      </c>
      <c r="M14" s="82">
        <v>0</v>
      </c>
      <c r="N14" s="82">
        <v>0</v>
      </c>
      <c r="O14" s="82">
        <v>1</v>
      </c>
      <c r="P14" s="82">
        <v>56</v>
      </c>
      <c r="Q14" s="82" t="s">
        <v>169</v>
      </c>
      <c r="R14" s="82" t="s">
        <v>170</v>
      </c>
    </row>
    <row r="15" spans="1:18" x14ac:dyDescent="0.15">
      <c r="A15" s="82">
        <v>30029</v>
      </c>
      <c r="B15" s="82">
        <v>2</v>
      </c>
      <c r="C15" s="71" t="str">
        <f t="shared" si="0"/>
        <v>30029_2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2">
        <v>14</v>
      </c>
      <c r="F15" s="82" t="s">
        <v>245</v>
      </c>
      <c r="G15" s="82">
        <v>341</v>
      </c>
      <c r="H15" s="82">
        <v>1</v>
      </c>
      <c r="I15" s="82">
        <v>1</v>
      </c>
      <c r="J15" s="82">
        <v>1</v>
      </c>
      <c r="K15" s="82">
        <v>0</v>
      </c>
      <c r="L15" s="82">
        <v>0</v>
      </c>
      <c r="M15" s="82">
        <v>0</v>
      </c>
      <c r="N15" s="82">
        <v>0</v>
      </c>
      <c r="O15" s="82">
        <v>1</v>
      </c>
      <c r="P15" s="82">
        <v>56</v>
      </c>
      <c r="Q15" s="82" t="s">
        <v>169</v>
      </c>
      <c r="R15" s="82" t="s">
        <v>170</v>
      </c>
    </row>
    <row r="16" spans="1:18" x14ac:dyDescent="0.15">
      <c r="A16" s="82">
        <v>30029</v>
      </c>
      <c r="B16" s="82">
        <v>2</v>
      </c>
      <c r="C16" s="71" t="str">
        <f t="shared" si="0"/>
        <v>30029_2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2">
        <v>15</v>
      </c>
      <c r="F16" s="82" t="s">
        <v>245</v>
      </c>
      <c r="G16" s="82">
        <v>342</v>
      </c>
      <c r="H16" s="82">
        <v>1</v>
      </c>
      <c r="I16" s="82">
        <v>1</v>
      </c>
      <c r="J16" s="82">
        <v>1</v>
      </c>
      <c r="K16" s="82">
        <v>0</v>
      </c>
      <c r="L16" s="82">
        <v>0</v>
      </c>
      <c r="M16" s="82">
        <v>0</v>
      </c>
      <c r="N16" s="82">
        <v>0</v>
      </c>
      <c r="O16" s="82">
        <v>1</v>
      </c>
      <c r="P16" s="82">
        <v>28</v>
      </c>
      <c r="Q16" s="82" t="s">
        <v>169</v>
      </c>
      <c r="R16" s="82" t="s">
        <v>170</v>
      </c>
    </row>
    <row r="17" spans="1:18" x14ac:dyDescent="0.15">
      <c r="A17" s="82">
        <v>30029</v>
      </c>
      <c r="B17" s="82">
        <v>2</v>
      </c>
      <c r="C17" s="71" t="str">
        <f t="shared" si="0"/>
        <v>30029_2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2">
        <v>16</v>
      </c>
      <c r="F17" s="82" t="s">
        <v>245</v>
      </c>
      <c r="G17" s="82">
        <v>121</v>
      </c>
      <c r="H17" s="82">
        <v>1</v>
      </c>
      <c r="I17" s="82">
        <v>1</v>
      </c>
      <c r="J17" s="82">
        <v>1</v>
      </c>
      <c r="K17" s="82">
        <v>0</v>
      </c>
      <c r="L17" s="82">
        <v>0</v>
      </c>
      <c r="M17" s="82">
        <v>0</v>
      </c>
      <c r="N17" s="82">
        <v>0</v>
      </c>
      <c r="O17" s="82">
        <v>1</v>
      </c>
      <c r="P17" s="82">
        <v>50</v>
      </c>
      <c r="Q17" s="82" t="s">
        <v>169</v>
      </c>
      <c r="R17" s="82" t="s">
        <v>170</v>
      </c>
    </row>
    <row r="18" spans="1:18" x14ac:dyDescent="0.15">
      <c r="A18" s="82">
        <v>30029</v>
      </c>
      <c r="B18" s="82">
        <v>2</v>
      </c>
      <c r="C18" s="71" t="str">
        <f t="shared" si="0"/>
        <v>30029_2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2">
        <v>17</v>
      </c>
      <c r="F18" s="82" t="s">
        <v>245</v>
      </c>
      <c r="G18" s="82">
        <v>122</v>
      </c>
      <c r="H18" s="82">
        <v>1</v>
      </c>
      <c r="I18" s="82">
        <v>1</v>
      </c>
      <c r="J18" s="82">
        <v>1</v>
      </c>
      <c r="K18" s="82">
        <v>0</v>
      </c>
      <c r="L18" s="82">
        <v>0</v>
      </c>
      <c r="M18" s="82">
        <v>0</v>
      </c>
      <c r="N18" s="82">
        <v>0</v>
      </c>
      <c r="O18" s="82">
        <v>1</v>
      </c>
      <c r="P18" s="82">
        <v>50</v>
      </c>
      <c r="Q18" s="82" t="s">
        <v>169</v>
      </c>
      <c r="R18" s="82" t="s">
        <v>170</v>
      </c>
    </row>
    <row r="19" spans="1:18" x14ac:dyDescent="0.15">
      <c r="A19" s="82">
        <v>30029</v>
      </c>
      <c r="B19" s="82">
        <v>2</v>
      </c>
      <c r="C19" s="71" t="str">
        <f t="shared" si="0"/>
        <v>30029_2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82">
        <v>18</v>
      </c>
      <c r="F19" s="82" t="s">
        <v>245</v>
      </c>
      <c r="G19" s="82">
        <v>123</v>
      </c>
      <c r="H19" s="82">
        <v>1</v>
      </c>
      <c r="I19" s="82">
        <v>1</v>
      </c>
      <c r="J19" s="82">
        <v>1</v>
      </c>
      <c r="K19" s="82">
        <v>0</v>
      </c>
      <c r="L19" s="82">
        <v>0</v>
      </c>
      <c r="M19" s="82">
        <v>0</v>
      </c>
      <c r="N19" s="82">
        <v>0</v>
      </c>
      <c r="O19" s="82">
        <v>1</v>
      </c>
      <c r="P19" s="82">
        <v>50</v>
      </c>
      <c r="Q19" s="82" t="s">
        <v>169</v>
      </c>
      <c r="R19" s="82" t="s">
        <v>170</v>
      </c>
    </row>
    <row r="20" spans="1:18" x14ac:dyDescent="0.15">
      <c r="A20" s="82">
        <v>30029</v>
      </c>
      <c r="B20" s="82">
        <v>2</v>
      </c>
      <c r="C20" s="71" t="str">
        <f t="shared" si="0"/>
        <v>30029_2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2">
        <v>19</v>
      </c>
      <c r="F20" s="82" t="s">
        <v>245</v>
      </c>
      <c r="G20" s="82">
        <v>125</v>
      </c>
      <c r="H20" s="82">
        <v>1</v>
      </c>
      <c r="I20" s="82">
        <v>1</v>
      </c>
      <c r="J20" s="82">
        <v>1</v>
      </c>
      <c r="K20" s="82">
        <v>0</v>
      </c>
      <c r="L20" s="82">
        <v>0</v>
      </c>
      <c r="M20" s="82">
        <v>0</v>
      </c>
      <c r="N20" s="82">
        <v>0</v>
      </c>
      <c r="O20" s="82">
        <v>1</v>
      </c>
      <c r="P20" s="82">
        <v>10</v>
      </c>
      <c r="Q20" s="82" t="s">
        <v>169</v>
      </c>
      <c r="R20" s="82" t="s">
        <v>170</v>
      </c>
    </row>
    <row r="21" spans="1:18" x14ac:dyDescent="0.15">
      <c r="A21" s="82">
        <v>30029</v>
      </c>
      <c r="B21" s="82">
        <v>2</v>
      </c>
      <c r="C21" s="71" t="str">
        <f t="shared" si="0"/>
        <v>30029_2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2">
        <v>20</v>
      </c>
      <c r="F21" s="82" t="s">
        <v>245</v>
      </c>
      <c r="G21" s="82">
        <v>648</v>
      </c>
      <c r="H21" s="82">
        <v>1</v>
      </c>
      <c r="I21" s="82">
        <v>1</v>
      </c>
      <c r="J21" s="82">
        <v>1</v>
      </c>
      <c r="K21" s="82">
        <v>0</v>
      </c>
      <c r="L21" s="82">
        <v>0</v>
      </c>
      <c r="M21" s="82">
        <v>0</v>
      </c>
      <c r="N21" s="82">
        <v>0</v>
      </c>
      <c r="O21" s="82">
        <v>1</v>
      </c>
      <c r="P21" s="82">
        <v>250</v>
      </c>
      <c r="Q21" s="82" t="s">
        <v>169</v>
      </c>
      <c r="R21" s="82" t="s">
        <v>170</v>
      </c>
    </row>
    <row r="22" spans="1:18" ht="16" thickBot="1" x14ac:dyDescent="0.2">
      <c r="A22" s="124">
        <v>30029</v>
      </c>
      <c r="B22" s="124">
        <v>2</v>
      </c>
      <c r="C22" s="125" t="str">
        <f t="shared" si="0"/>
        <v>30029_2</v>
      </c>
      <c r="D22" s="126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24">
        <v>21</v>
      </c>
      <c r="F22" s="124" t="s">
        <v>245</v>
      </c>
      <c r="G22" s="124">
        <v>352</v>
      </c>
      <c r="H22" s="124">
        <v>1</v>
      </c>
      <c r="I22" s="124">
        <v>1</v>
      </c>
      <c r="J22" s="124">
        <v>1</v>
      </c>
      <c r="K22" s="124">
        <v>0</v>
      </c>
      <c r="L22" s="124">
        <v>0</v>
      </c>
      <c r="M22" s="124">
        <v>0</v>
      </c>
      <c r="N22" s="124">
        <v>0</v>
      </c>
      <c r="O22" s="124">
        <v>1</v>
      </c>
      <c r="P22" s="124">
        <v>100</v>
      </c>
      <c r="Q22" s="124" t="s">
        <v>169</v>
      </c>
      <c r="R22" s="124" t="s">
        <v>170</v>
      </c>
    </row>
    <row r="23" spans="1:18" ht="16" thickTop="1" x14ac:dyDescent="0.15">
      <c r="A23" s="104">
        <v>30029</v>
      </c>
      <c r="B23" s="104">
        <v>3</v>
      </c>
      <c r="C23" s="122" t="str">
        <f t="shared" si="0"/>
        <v>30029_3</v>
      </c>
      <c r="D23" s="123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04">
        <v>22</v>
      </c>
      <c r="F23" s="104" t="s">
        <v>168</v>
      </c>
      <c r="G23" s="104">
        <v>6500</v>
      </c>
      <c r="H23" s="104" t="s">
        <v>247</v>
      </c>
      <c r="I23" s="104">
        <v>1</v>
      </c>
      <c r="J23" s="104">
        <v>1</v>
      </c>
      <c r="K23" s="104">
        <v>0</v>
      </c>
      <c r="L23" s="104">
        <v>0</v>
      </c>
      <c r="M23" s="104">
        <v>0</v>
      </c>
      <c r="N23" s="104">
        <v>0</v>
      </c>
      <c r="O23" s="104">
        <v>1</v>
      </c>
      <c r="P23" s="104">
        <v>100</v>
      </c>
      <c r="Q23" s="104" t="s">
        <v>169</v>
      </c>
      <c r="R23" s="104" t="s">
        <v>170</v>
      </c>
    </row>
    <row r="24" spans="1:18" x14ac:dyDescent="0.15">
      <c r="A24" s="82">
        <v>30029</v>
      </c>
      <c r="B24" s="82">
        <v>3</v>
      </c>
      <c r="C24" s="71" t="str">
        <f t="shared" si="0"/>
        <v>30029_3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2">
        <v>23</v>
      </c>
      <c r="F24" s="82" t="s">
        <v>246</v>
      </c>
      <c r="G24" s="82">
        <v>25</v>
      </c>
      <c r="H24" s="82" t="s">
        <v>243</v>
      </c>
      <c r="I24" s="82">
        <v>1</v>
      </c>
      <c r="J24" s="82">
        <v>1</v>
      </c>
      <c r="K24" s="82">
        <v>0</v>
      </c>
      <c r="L24" s="82">
        <v>0</v>
      </c>
      <c r="M24" s="82">
        <v>0</v>
      </c>
      <c r="N24" s="82">
        <v>0</v>
      </c>
      <c r="O24" s="82">
        <v>1</v>
      </c>
      <c r="P24" s="82">
        <v>100</v>
      </c>
      <c r="Q24" s="82" t="s">
        <v>169</v>
      </c>
      <c r="R24" s="82" t="s">
        <v>170</v>
      </c>
    </row>
    <row r="25" spans="1:18" x14ac:dyDescent="0.15">
      <c r="A25" s="82">
        <v>30029</v>
      </c>
      <c r="B25" s="82">
        <v>3</v>
      </c>
      <c r="C25" s="71" t="str">
        <f t="shared" si="0"/>
        <v>30029_3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2">
        <v>24</v>
      </c>
      <c r="F25" s="82" t="s">
        <v>245</v>
      </c>
      <c r="G25" s="82">
        <v>340</v>
      </c>
      <c r="H25" s="82">
        <v>1</v>
      </c>
      <c r="I25" s="82">
        <v>1</v>
      </c>
      <c r="J25" s="82">
        <v>1</v>
      </c>
      <c r="K25" s="82">
        <v>0</v>
      </c>
      <c r="L25" s="82">
        <v>0</v>
      </c>
      <c r="M25" s="82">
        <v>0</v>
      </c>
      <c r="N25" s="82">
        <v>0</v>
      </c>
      <c r="O25" s="82">
        <v>1</v>
      </c>
      <c r="P25" s="82">
        <v>28</v>
      </c>
      <c r="Q25" s="82" t="s">
        <v>169</v>
      </c>
      <c r="R25" s="82" t="s">
        <v>170</v>
      </c>
    </row>
    <row r="26" spans="1:18" x14ac:dyDescent="0.15">
      <c r="A26" s="82">
        <v>30029</v>
      </c>
      <c r="B26" s="82">
        <v>3</v>
      </c>
      <c r="C26" s="71" t="str">
        <f t="shared" si="0"/>
        <v>30029_3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2">
        <v>25</v>
      </c>
      <c r="F26" s="82" t="s">
        <v>245</v>
      </c>
      <c r="G26" s="82">
        <v>341</v>
      </c>
      <c r="H26" s="82">
        <v>1</v>
      </c>
      <c r="I26" s="82">
        <v>1</v>
      </c>
      <c r="J26" s="82">
        <v>1</v>
      </c>
      <c r="K26" s="82">
        <v>0</v>
      </c>
      <c r="L26" s="82">
        <v>0</v>
      </c>
      <c r="M26" s="82">
        <v>0</v>
      </c>
      <c r="N26" s="82">
        <v>0</v>
      </c>
      <c r="O26" s="82">
        <v>1</v>
      </c>
      <c r="P26" s="82">
        <v>56</v>
      </c>
      <c r="Q26" s="82" t="s">
        <v>169</v>
      </c>
      <c r="R26" s="82" t="s">
        <v>170</v>
      </c>
    </row>
    <row r="27" spans="1:18" x14ac:dyDescent="0.15">
      <c r="A27" s="82">
        <v>30029</v>
      </c>
      <c r="B27" s="82">
        <v>3</v>
      </c>
      <c r="C27" s="71" t="str">
        <f t="shared" si="0"/>
        <v>30029_3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82">
        <v>26</v>
      </c>
      <c r="F27" s="82" t="s">
        <v>245</v>
      </c>
      <c r="G27" s="82">
        <v>342</v>
      </c>
      <c r="H27" s="82">
        <v>1</v>
      </c>
      <c r="I27" s="82">
        <v>1</v>
      </c>
      <c r="J27" s="82">
        <v>1</v>
      </c>
      <c r="K27" s="82">
        <v>0</v>
      </c>
      <c r="L27" s="82">
        <v>0</v>
      </c>
      <c r="M27" s="82">
        <v>0</v>
      </c>
      <c r="N27" s="82">
        <v>0</v>
      </c>
      <c r="O27" s="82">
        <v>1</v>
      </c>
      <c r="P27" s="82">
        <v>56</v>
      </c>
      <c r="Q27" s="82" t="s">
        <v>169</v>
      </c>
      <c r="R27" s="82" t="s">
        <v>170</v>
      </c>
    </row>
    <row r="28" spans="1:18" x14ac:dyDescent="0.15">
      <c r="A28" s="82">
        <v>30029</v>
      </c>
      <c r="B28" s="82">
        <v>3</v>
      </c>
      <c r="C28" s="71" t="str">
        <f t="shared" si="0"/>
        <v>30029_3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82">
        <v>27</v>
      </c>
      <c r="F28" s="82" t="s">
        <v>245</v>
      </c>
      <c r="G28" s="82">
        <v>121</v>
      </c>
      <c r="H28" s="82">
        <v>1</v>
      </c>
      <c r="I28" s="82">
        <v>1</v>
      </c>
      <c r="J28" s="82">
        <v>1</v>
      </c>
      <c r="K28" s="82">
        <v>0</v>
      </c>
      <c r="L28" s="82">
        <v>0</v>
      </c>
      <c r="M28" s="82">
        <v>0</v>
      </c>
      <c r="N28" s="82">
        <v>0</v>
      </c>
      <c r="O28" s="82">
        <v>1</v>
      </c>
      <c r="P28" s="82">
        <v>50</v>
      </c>
      <c r="Q28" s="82" t="s">
        <v>169</v>
      </c>
      <c r="R28" s="82" t="s">
        <v>170</v>
      </c>
    </row>
    <row r="29" spans="1:18" x14ac:dyDescent="0.15">
      <c r="A29" s="82">
        <v>30029</v>
      </c>
      <c r="B29" s="82">
        <v>3</v>
      </c>
      <c r="C29" s="71" t="str">
        <f t="shared" si="0"/>
        <v>30029_3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82">
        <v>28</v>
      </c>
      <c r="F29" s="82" t="s">
        <v>245</v>
      </c>
      <c r="G29" s="82">
        <v>122</v>
      </c>
      <c r="H29" s="82">
        <v>1</v>
      </c>
      <c r="I29" s="82">
        <v>1</v>
      </c>
      <c r="J29" s="82">
        <v>1</v>
      </c>
      <c r="K29" s="82">
        <v>0</v>
      </c>
      <c r="L29" s="82">
        <v>0</v>
      </c>
      <c r="M29" s="82">
        <v>0</v>
      </c>
      <c r="N29" s="82">
        <v>0</v>
      </c>
      <c r="O29" s="82">
        <v>1</v>
      </c>
      <c r="P29" s="82">
        <v>50</v>
      </c>
      <c r="Q29" s="82" t="s">
        <v>169</v>
      </c>
      <c r="R29" s="82" t="s">
        <v>170</v>
      </c>
    </row>
    <row r="30" spans="1:18" x14ac:dyDescent="0.15">
      <c r="A30" s="82">
        <v>30029</v>
      </c>
      <c r="B30" s="82">
        <v>3</v>
      </c>
      <c r="C30" s="71" t="str">
        <f t="shared" si="0"/>
        <v>30029_3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82">
        <v>29</v>
      </c>
      <c r="F30" s="82" t="s">
        <v>245</v>
      </c>
      <c r="G30" s="82">
        <v>123</v>
      </c>
      <c r="H30" s="82">
        <v>1</v>
      </c>
      <c r="I30" s="82">
        <v>1</v>
      </c>
      <c r="J30" s="82">
        <v>1</v>
      </c>
      <c r="K30" s="82">
        <v>0</v>
      </c>
      <c r="L30" s="82">
        <v>0</v>
      </c>
      <c r="M30" s="82">
        <v>0</v>
      </c>
      <c r="N30" s="82">
        <v>0</v>
      </c>
      <c r="O30" s="82">
        <v>1</v>
      </c>
      <c r="P30" s="82">
        <v>50</v>
      </c>
      <c r="Q30" s="82" t="s">
        <v>169</v>
      </c>
      <c r="R30" s="82" t="s">
        <v>170</v>
      </c>
    </row>
    <row r="31" spans="1:18" x14ac:dyDescent="0.15">
      <c r="A31" s="82">
        <v>30029</v>
      </c>
      <c r="B31" s="82">
        <v>3</v>
      </c>
      <c r="C31" s="71" t="str">
        <f t="shared" si="0"/>
        <v>30029_3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82">
        <v>30</v>
      </c>
      <c r="F31" s="82" t="s">
        <v>245</v>
      </c>
      <c r="G31" s="82">
        <v>125</v>
      </c>
      <c r="H31" s="82">
        <v>1</v>
      </c>
      <c r="I31" s="82">
        <v>1</v>
      </c>
      <c r="J31" s="82">
        <v>1</v>
      </c>
      <c r="K31" s="82">
        <v>0</v>
      </c>
      <c r="L31" s="82">
        <v>0</v>
      </c>
      <c r="M31" s="82">
        <v>0</v>
      </c>
      <c r="N31" s="82">
        <v>0</v>
      </c>
      <c r="O31" s="82">
        <v>1</v>
      </c>
      <c r="P31" s="82">
        <v>10</v>
      </c>
      <c r="Q31" s="82" t="s">
        <v>169</v>
      </c>
      <c r="R31" s="82" t="s">
        <v>170</v>
      </c>
    </row>
    <row r="32" spans="1:18" x14ac:dyDescent="0.15">
      <c r="A32" s="82">
        <v>30029</v>
      </c>
      <c r="B32" s="82">
        <v>3</v>
      </c>
      <c r="C32" s="71" t="str">
        <f t="shared" si="0"/>
        <v>30029_3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82">
        <v>31</v>
      </c>
      <c r="F32" s="82" t="s">
        <v>245</v>
      </c>
      <c r="G32" s="82">
        <v>648</v>
      </c>
      <c r="H32" s="82">
        <v>1</v>
      </c>
      <c r="I32" s="82">
        <v>1</v>
      </c>
      <c r="J32" s="82">
        <v>1</v>
      </c>
      <c r="K32" s="82">
        <v>0</v>
      </c>
      <c r="L32" s="82">
        <v>0</v>
      </c>
      <c r="M32" s="82">
        <v>0</v>
      </c>
      <c r="N32" s="82">
        <v>0</v>
      </c>
      <c r="O32" s="82">
        <v>1</v>
      </c>
      <c r="P32" s="82">
        <v>400</v>
      </c>
      <c r="Q32" s="82" t="s">
        <v>169</v>
      </c>
      <c r="R32" s="82" t="s">
        <v>170</v>
      </c>
    </row>
    <row r="33" spans="1:18" x14ac:dyDescent="0.15">
      <c r="A33" s="82">
        <v>30029</v>
      </c>
      <c r="B33" s="82">
        <v>3</v>
      </c>
      <c r="C33" s="71" t="str">
        <f t="shared" si="0"/>
        <v>30029_3</v>
      </c>
      <c r="D33" s="18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82">
        <v>32</v>
      </c>
      <c r="F33" s="82" t="s">
        <v>248</v>
      </c>
      <c r="G33" s="82">
        <v>352</v>
      </c>
      <c r="H33" s="82">
        <v>1</v>
      </c>
      <c r="I33" s="82">
        <v>1</v>
      </c>
      <c r="J33" s="82">
        <v>1</v>
      </c>
      <c r="K33" s="82">
        <v>0</v>
      </c>
      <c r="L33" s="82">
        <v>0</v>
      </c>
      <c r="M33" s="82">
        <v>0</v>
      </c>
      <c r="N33" s="82">
        <v>0</v>
      </c>
      <c r="O33" s="82">
        <v>1</v>
      </c>
      <c r="P33" s="82">
        <v>100</v>
      </c>
      <c r="Q33" s="82" t="s">
        <v>169</v>
      </c>
      <c r="R33" s="82" t="s">
        <v>170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L2" sqref="L2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0" width="11.1640625" customWidth="1"/>
    <col min="11" max="11" width="26.6640625" bestFit="1" customWidth="1"/>
    <col min="12" max="12" width="42.6640625" customWidth="1"/>
  </cols>
  <sheetData>
    <row r="1" spans="1:13" x14ac:dyDescent="0.15">
      <c r="A1" s="77" t="s">
        <v>187</v>
      </c>
      <c r="B1" s="73" t="s">
        <v>188</v>
      </c>
      <c r="C1" s="78" t="s">
        <v>189</v>
      </c>
      <c r="D1" s="78" t="s">
        <v>33</v>
      </c>
      <c r="E1" s="73" t="s">
        <v>190</v>
      </c>
      <c r="F1" s="78" t="s">
        <v>191</v>
      </c>
      <c r="G1" s="78" t="s">
        <v>33</v>
      </c>
      <c r="H1" s="73" t="s">
        <v>192</v>
      </c>
      <c r="I1" s="92" t="s">
        <v>194</v>
      </c>
      <c r="J1" s="80" t="s">
        <v>126</v>
      </c>
      <c r="K1" s="79" t="s">
        <v>186</v>
      </c>
      <c r="L1" s="93" t="s">
        <v>185</v>
      </c>
      <c r="M1" s="81" t="s">
        <v>195</v>
      </c>
    </row>
    <row r="2" spans="1:13" x14ac:dyDescent="0.15">
      <c r="A2" s="82" t="s">
        <v>200</v>
      </c>
      <c r="B2" s="83">
        <f>floors!$C$2</f>
        <v>30029</v>
      </c>
      <c r="C2" s="84" t="str">
        <f ca="1">VLOOKUP($B2,OFFSET([2]quests!$A$1,0,0,COUNTA([2]quests!$A:$A),MATCH(C$1,[2]quests!$1:$1,0)-MATCH($B$1,[2]quests!$1:$1,0)+1),MATCH(C$1,[2]quests!$1:$1,0)-MATCH($B$1,[2]quests!$1:$1,0)+1,FALSE)</f>
        <v>全ては主のために</v>
      </c>
      <c r="D2" s="84" t="str">
        <f ca="1">VLOOKUP($B2,OFFSET([2]quests!$A$1,0,0,COUNTA([2]quests!$A:$A),MATCH(D$1,[2]quests!$1:$1,0)-MATCH($B$1,[2]quests!$1:$1,0)+1),MATCH(D$1,[2]quests!$1:$1,0)-MATCH($B$1,[2]quests!$1:$1,0)+1,FALSE)</f>
        <v>ドロップイベント8（マルチ専用）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【中級】全ては主のために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" s="86">
        <v>0</v>
      </c>
      <c r="I2">
        <v>3</v>
      </c>
      <c r="J2" s="85" t="s">
        <v>197</v>
      </c>
      <c r="K2" s="94" t="str">
        <f>VLOOKUP(I2,[7]stage_hints!$A:$C,3,FALSE)</f>
        <v>ターゲット</v>
      </c>
      <c r="L2" s="95" t="str">
        <f>VLOOKUP(I2,[7]stage_hints!$A:$D,4,FALSE)</f>
        <v>敵ユニットをタップすると_x000D_その敵を狙い撃ちできます</v>
      </c>
      <c r="M2" s="57" t="s">
        <v>210</v>
      </c>
    </row>
    <row r="3" spans="1:13" x14ac:dyDescent="0.15">
      <c r="A3" s="82" t="s">
        <v>200</v>
      </c>
      <c r="B3" s="83">
        <f>floors!$C$2</f>
        <v>30029</v>
      </c>
      <c r="C3" s="84" t="str">
        <f ca="1">VLOOKUP($B3,OFFSET([2]quests!$A$1,0,0,COUNTA([2]quests!$A:$A),MATCH(C$1,[2]quests!$1:$1,0)-MATCH($B$1,[2]quests!$1:$1,0)+1),MATCH(C$1,[2]quests!$1:$1,0)-MATCH($B$1,[2]quests!$1:$1,0)+1,FALSE)</f>
        <v>全ては主のために</v>
      </c>
      <c r="D3" s="84" t="str">
        <f ca="1">VLOOKUP($B3,OFFSET([2]quests!$A$1,0,0,COUNTA([2]quests!$A:$A),MATCH(D$1,[2]quests!$1:$1,0)-MATCH($B$1,[2]quests!$1:$1,0)+1),MATCH(D$1,[2]quests!$1:$1,0)-MATCH($B$1,[2]quests!$1:$1,0)+1,FALSE)</f>
        <v>ドロップイベント8（マルチ専用）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【中級】全ては主のために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" s="86">
        <v>0</v>
      </c>
      <c r="I3">
        <v>6</v>
      </c>
      <c r="J3" s="85" t="s">
        <v>197</v>
      </c>
      <c r="K3" s="94" t="str">
        <f>VLOOKUP(I3,[7]stage_hints!$A:$C,3,FALSE)</f>
        <v>ユニット強化の属性ボーナス</v>
      </c>
      <c r="L3" s="95" t="str">
        <f>VLOOKUP(I3,[7]stage_hints!$A:$D,4,FALSE)</f>
        <v>同属性ユニットを強化素材にすると_x000D_経験値が多くもらえます</v>
      </c>
      <c r="M3" s="57" t="s">
        <v>210</v>
      </c>
    </row>
    <row r="4" spans="1:13" x14ac:dyDescent="0.15">
      <c r="A4" s="82" t="s">
        <v>200</v>
      </c>
      <c r="B4" s="83">
        <f>floors!$C$2</f>
        <v>30029</v>
      </c>
      <c r="C4" s="84" t="str">
        <f ca="1">VLOOKUP($B4,OFFSET([2]quests!$A$1,0,0,COUNTA([2]quests!$A:$A),MATCH(C$1,[2]quests!$1:$1,0)-MATCH($B$1,[2]quests!$1:$1,0)+1),MATCH(C$1,[2]quests!$1:$1,0)-MATCH($B$1,[2]quests!$1:$1,0)+1,FALSE)</f>
        <v>全ては主のために</v>
      </c>
      <c r="D4" s="84" t="str">
        <f ca="1">VLOOKUP($B4,OFFSET([2]quests!$A$1,0,0,COUNTA([2]quests!$A:$A),MATCH(D$1,[2]quests!$1:$1,0)-MATCH($B$1,[2]quests!$1:$1,0)+1),MATCH(D$1,[2]quests!$1:$1,0)-MATCH($B$1,[2]quests!$1:$1,0)+1,FALSE)</f>
        <v>ドロップイベント8（マルチ専用）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【中級】全ては主のために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" s="86">
        <v>0</v>
      </c>
      <c r="I4">
        <v>7</v>
      </c>
      <c r="J4" s="85" t="s">
        <v>197</v>
      </c>
      <c r="K4" s="94" t="str">
        <f>VLOOKUP(I4,[7]stage_hints!$A:$C,3,FALSE)</f>
        <v>メタルダックで経験値を獲得</v>
      </c>
      <c r="L4" s="95" t="str">
        <f>VLOOKUP(I4,[7]stage_hints!$A:$D,4,FALSE)</f>
        <v>「メタルなアヒル」を強化素材にすると_x000D_大量の経験値がもらえます</v>
      </c>
      <c r="M4" s="57" t="s">
        <v>210</v>
      </c>
    </row>
    <row r="5" spans="1:13" x14ac:dyDescent="0.15">
      <c r="A5" s="82" t="s">
        <v>200</v>
      </c>
      <c r="B5" s="83">
        <f>floors!$C$2</f>
        <v>30029</v>
      </c>
      <c r="C5" s="84" t="str">
        <f ca="1">VLOOKUP($B5,OFFSET([2]quests!$A$1,0,0,COUNTA([2]quests!$A:$A),MATCH(C$1,[2]quests!$1:$1,0)-MATCH($B$1,[2]quests!$1:$1,0)+1),MATCH(C$1,[2]quests!$1:$1,0)-MATCH($B$1,[2]quests!$1:$1,0)+1,FALSE)</f>
        <v>全ては主のために</v>
      </c>
      <c r="D5" s="84" t="str">
        <f ca="1">VLOOKUP($B5,OFFSET([2]quests!$A$1,0,0,COUNTA([2]quests!$A:$A),MATCH(D$1,[2]quests!$1:$1,0)-MATCH($B$1,[2]quests!$1:$1,0)+1),MATCH(D$1,[2]quests!$1:$1,0)-MATCH($B$1,[2]quests!$1:$1,0)+1,FALSE)</f>
        <v>ドロップイベント8（マルチ専用）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【中級】全ては主のために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" s="86">
        <v>0</v>
      </c>
      <c r="I5">
        <v>8</v>
      </c>
      <c r="J5" s="85" t="s">
        <v>197</v>
      </c>
      <c r="K5" s="94" t="str">
        <f>VLOOKUP(I5,[7]stage_hints!$A:$C,3,FALSE)</f>
        <v>ゲリラクエストは要チェック</v>
      </c>
      <c r="L5" s="95" t="str">
        <f>VLOOKUP(I5,[7]stage_hints!$A:$D,4,FALSE)</f>
        <v>時間限定の「アヒル捕獲作戦」では_x000D_経験値素材ユニットが多く手に入ります</v>
      </c>
      <c r="M5" s="57" t="s">
        <v>210</v>
      </c>
    </row>
    <row r="6" spans="1:13" x14ac:dyDescent="0.15">
      <c r="A6" s="82" t="s">
        <v>200</v>
      </c>
      <c r="B6" s="83">
        <f>floors!$C$2</f>
        <v>30029</v>
      </c>
      <c r="C6" s="84" t="str">
        <f ca="1">VLOOKUP($B6,OFFSET([2]quests!$A$1,0,0,COUNTA([2]quests!$A:$A),MATCH(C$1,[2]quests!$1:$1,0)-MATCH($B$1,[2]quests!$1:$1,0)+1),MATCH(C$1,[2]quests!$1:$1,0)-MATCH($B$1,[2]quests!$1:$1,0)+1,FALSE)</f>
        <v>全ては主のために</v>
      </c>
      <c r="D6" s="84" t="str">
        <f ca="1">VLOOKUP($B6,OFFSET([2]quests!$A$1,0,0,COUNTA([2]quests!$A:$A),MATCH(D$1,[2]quests!$1:$1,0)-MATCH($B$1,[2]quests!$1:$1,0)+1),MATCH(D$1,[2]quests!$1:$1,0)-MATCH($B$1,[2]quests!$1:$1,0)+1,FALSE)</f>
        <v>ドロップイベント8（マルチ専用）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【中級】全ては主のために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" s="86">
        <v>0</v>
      </c>
      <c r="I6">
        <v>9</v>
      </c>
      <c r="J6" s="85" t="s">
        <v>197</v>
      </c>
      <c r="K6" s="94" t="str">
        <f>VLOOKUP(I6,[7]stage_hints!$A:$C,3,FALSE)</f>
        <v>ゴールドダックでビットを獲得</v>
      </c>
      <c r="L6" s="95" t="str">
        <f>VLOOKUP(I6,[7]stage_hints!$A:$D,4,FALSE)</f>
        <v>「ゴールドなアヒル」を売却すると_x000D_大量のビットがもらえます</v>
      </c>
      <c r="M6" s="57" t="s">
        <v>210</v>
      </c>
    </row>
    <row r="7" spans="1:13" x14ac:dyDescent="0.15">
      <c r="A7" s="82" t="s">
        <v>200</v>
      </c>
      <c r="B7" s="83">
        <f>floors!$C$2</f>
        <v>30029</v>
      </c>
      <c r="C7" s="84" t="str">
        <f ca="1">VLOOKUP($B7,OFFSET([2]quests!$A$1,0,0,COUNTA([2]quests!$A:$A),MATCH(C$1,[2]quests!$1:$1,0)-MATCH($B$1,[2]quests!$1:$1,0)+1),MATCH(C$1,[2]quests!$1:$1,0)-MATCH($B$1,[2]quests!$1:$1,0)+1,FALSE)</f>
        <v>全ては主のために</v>
      </c>
      <c r="D7" s="84" t="str">
        <f ca="1">VLOOKUP($B7,OFFSET([2]quests!$A$1,0,0,COUNTA([2]quests!$A:$A),MATCH(D$1,[2]quests!$1:$1,0)-MATCH($B$1,[2]quests!$1:$1,0)+1),MATCH(D$1,[2]quests!$1:$1,0)-MATCH($B$1,[2]quests!$1:$1,0)+1,FALSE)</f>
        <v>ドロップイベント8（マルチ専用）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【中級】全ては主のために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" s="86">
        <v>0</v>
      </c>
      <c r="I7">
        <v>10</v>
      </c>
      <c r="J7" s="85" t="s">
        <v>197</v>
      </c>
      <c r="K7" s="94" t="str">
        <f>VLOOKUP(I7,[7]stage_hints!$A:$C,3,FALSE)</f>
        <v>土日に大量のビットを獲得</v>
      </c>
      <c r="L7" s="95" t="str">
        <f>VLOOKUP(I7,[7]stage_hints!$A:$D,4,FALSE)</f>
        <v>土日限定の「ゴールドカジノ」では_x000D_売却素材ユニットが多く手に入ります</v>
      </c>
      <c r="M7" s="57" t="s">
        <v>210</v>
      </c>
    </row>
    <row r="8" spans="1:13" x14ac:dyDescent="0.15">
      <c r="A8" s="82" t="s">
        <v>200</v>
      </c>
      <c r="B8" s="83">
        <f>floors!$C$2</f>
        <v>30029</v>
      </c>
      <c r="C8" s="84" t="str">
        <f ca="1">VLOOKUP($B8,OFFSET([2]quests!$A$1,0,0,COUNTA([2]quests!$A:$A),MATCH(C$1,[2]quests!$1:$1,0)-MATCH($B$1,[2]quests!$1:$1,0)+1),MATCH(C$1,[2]quests!$1:$1,0)-MATCH($B$1,[2]quests!$1:$1,0)+1,FALSE)</f>
        <v>全ては主のために</v>
      </c>
      <c r="D8" s="84" t="str">
        <f ca="1">VLOOKUP($B8,OFFSET([2]quests!$A$1,0,0,COUNTA([2]quests!$A:$A),MATCH(D$1,[2]quests!$1:$1,0)-MATCH($B$1,[2]quests!$1:$1,0)+1),MATCH(D$1,[2]quests!$1:$1,0)-MATCH($B$1,[2]quests!$1:$1,0)+1,FALSE)</f>
        <v>ドロップイベント8（マルチ専用）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【中級】全ては主のために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8" s="86">
        <v>0</v>
      </c>
      <c r="I8">
        <v>11</v>
      </c>
      <c r="J8" s="85" t="s">
        <v>197</v>
      </c>
      <c r="K8" s="94" t="str">
        <f>VLOOKUP(I8,[7]stage_hints!$A:$C,3,FALSE)</f>
        <v>ランク解放クエスト</v>
      </c>
      <c r="L8" s="95" t="str">
        <f>VLOOKUP(I8,[7]stage_hints!$A:$D,4,FALSE)</f>
        <v>一定ランクに到達すると_x000D_報酬付きのランク開放クエストが現れます</v>
      </c>
      <c r="M8" s="57" t="s">
        <v>210</v>
      </c>
    </row>
    <row r="9" spans="1:13" x14ac:dyDescent="0.15">
      <c r="A9" s="82" t="s">
        <v>200</v>
      </c>
      <c r="B9" s="83">
        <f>floors!$C$2</f>
        <v>30029</v>
      </c>
      <c r="C9" s="84" t="str">
        <f ca="1">VLOOKUP($B9,OFFSET([2]quests!$A$1,0,0,COUNTA([2]quests!$A:$A),MATCH(C$1,[2]quests!$1:$1,0)-MATCH($B$1,[2]quests!$1:$1,0)+1),MATCH(C$1,[2]quests!$1:$1,0)-MATCH($B$1,[2]quests!$1:$1,0)+1,FALSE)</f>
        <v>全ては主のために</v>
      </c>
      <c r="D9" s="84" t="str">
        <f ca="1">VLOOKUP($B9,OFFSET([2]quests!$A$1,0,0,COUNTA([2]quests!$A:$A),MATCH(D$1,[2]quests!$1:$1,0)-MATCH($B$1,[2]quests!$1:$1,0)+1),MATCH(D$1,[2]quests!$1:$1,0)-MATCH($B$1,[2]quests!$1:$1,0)+1,FALSE)</f>
        <v>ドロップイベント8（マルチ専用）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【中級】全ては主のために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9" s="86">
        <v>0</v>
      </c>
      <c r="I9">
        <v>12</v>
      </c>
      <c r="J9" s="85" t="s">
        <v>197</v>
      </c>
      <c r="K9" s="94" t="str">
        <f>VLOOKUP(I9,[7]stage_hints!$A:$C,3,FALSE)</f>
        <v>ユニットのお気に入り登録</v>
      </c>
      <c r="L9" s="95" t="str">
        <f>VLOOKUP(I9,[7]stage_hints!$A:$D,4,FALSE)</f>
        <v>大事なユニットを誤って消さないように_x000D_フォルダから「お気に入り登録」しましょう</v>
      </c>
      <c r="M9" s="57" t="s">
        <v>210</v>
      </c>
    </row>
    <row r="10" spans="1:13" x14ac:dyDescent="0.15">
      <c r="A10" s="82" t="s">
        <v>200</v>
      </c>
      <c r="B10" s="83">
        <f>floors!$C$2</f>
        <v>30029</v>
      </c>
      <c r="C10" s="84" t="str">
        <f ca="1">VLOOKUP($B10,OFFSET([2]quests!$A$1,0,0,COUNTA([2]quests!$A:$A),MATCH(C$1,[2]quests!$1:$1,0)-MATCH($B$1,[2]quests!$1:$1,0)+1),MATCH(C$1,[2]quests!$1:$1,0)-MATCH($B$1,[2]quests!$1:$1,0)+1,FALSE)</f>
        <v>全ては主のために</v>
      </c>
      <c r="D10" s="84" t="str">
        <f ca="1">VLOOKUP($B10,OFFSET([2]quests!$A$1,0,0,COUNTA([2]quests!$A:$A),MATCH(D$1,[2]quests!$1:$1,0)-MATCH($B$1,[2]quests!$1:$1,0)+1),MATCH(D$1,[2]quests!$1:$1,0)-MATCH($B$1,[2]quests!$1:$1,0)+1,FALSE)</f>
        <v>ドロップイベント8（マルチ専用）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【中級】全ては主のために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0" s="86">
        <v>0</v>
      </c>
      <c r="I10">
        <v>13</v>
      </c>
      <c r="J10" s="85" t="s">
        <v>197</v>
      </c>
      <c r="K10" s="94" t="str">
        <f>VLOOKUP(I10,[7]stage_hints!$A:$C,3,FALSE)</f>
        <v>ユニットの覚醒</v>
      </c>
      <c r="L10" s="95" t="str">
        <f>VLOOKUP(I10,[7]stage_hints!$A:$D,4,FALSE)</f>
        <v>ユニットを覚醒させると_x000D_比べものにならない強さが手に入ります</v>
      </c>
      <c r="M10" s="57" t="s">
        <v>210</v>
      </c>
    </row>
    <row r="11" spans="1:13" x14ac:dyDescent="0.15">
      <c r="A11" s="82" t="s">
        <v>200</v>
      </c>
      <c r="B11" s="83">
        <f>floors!$C$2</f>
        <v>30029</v>
      </c>
      <c r="C11" s="84" t="str">
        <f ca="1">VLOOKUP($B11,OFFSET([2]quests!$A$1,0,0,COUNTA([2]quests!$A:$A),MATCH(C$1,[2]quests!$1:$1,0)-MATCH($B$1,[2]quests!$1:$1,0)+1),MATCH(C$1,[2]quests!$1:$1,0)-MATCH($B$1,[2]quests!$1:$1,0)+1,FALSE)</f>
        <v>全ては主のために</v>
      </c>
      <c r="D11" s="84" t="str">
        <f ca="1">VLOOKUP($B11,OFFSET([2]quests!$A$1,0,0,COUNTA([2]quests!$A:$A),MATCH(D$1,[2]quests!$1:$1,0)-MATCH($B$1,[2]quests!$1:$1,0)+1),MATCH(D$1,[2]quests!$1:$1,0)-MATCH($B$1,[2]quests!$1:$1,0)+1,FALSE)</f>
        <v>ドロップイベント8（マルチ専用）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【中級】全ては主のために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1" s="86">
        <v>0</v>
      </c>
      <c r="I11">
        <v>14</v>
      </c>
      <c r="J11" s="85" t="s">
        <v>197</v>
      </c>
      <c r="K11" s="94" t="str">
        <f>VLOOKUP(I11,[7]stage_hints!$A:$C,3,FALSE)</f>
        <v>覚醒するにはレベルを最大に</v>
      </c>
      <c r="L11" s="95" t="str">
        <f>VLOOKUP(I11,[7]stage_hints!$A:$D,4,FALSE)</f>
        <v>覚醒するにはユニットのレベルを_x000D_最大まで上げる必要があります</v>
      </c>
      <c r="M11" s="57" t="s">
        <v>210</v>
      </c>
    </row>
    <row r="12" spans="1:13" x14ac:dyDescent="0.15">
      <c r="A12" s="82" t="s">
        <v>200</v>
      </c>
      <c r="B12" s="83">
        <f>floors!$C$2</f>
        <v>30029</v>
      </c>
      <c r="C12" s="84" t="str">
        <f ca="1">VLOOKUP($B12,OFFSET([2]quests!$A$1,0,0,COUNTA([2]quests!$A:$A),MATCH(C$1,[2]quests!$1:$1,0)-MATCH($B$1,[2]quests!$1:$1,0)+1),MATCH(C$1,[2]quests!$1:$1,0)-MATCH($B$1,[2]quests!$1:$1,0)+1,FALSE)</f>
        <v>全ては主のために</v>
      </c>
      <c r="D12" s="84" t="str">
        <f ca="1">VLOOKUP($B12,OFFSET([2]quests!$A$1,0,0,COUNTA([2]quests!$A:$A),MATCH(D$1,[2]quests!$1:$1,0)-MATCH($B$1,[2]quests!$1:$1,0)+1),MATCH(D$1,[2]quests!$1:$1,0)-MATCH($B$1,[2]quests!$1:$1,0)+1,FALSE)</f>
        <v>ドロップイベント8（マルチ専用）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【中級】全ては主のために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2" s="86">
        <v>0</v>
      </c>
      <c r="I12">
        <v>15</v>
      </c>
      <c r="J12" s="85" t="s">
        <v>197</v>
      </c>
      <c r="K12" s="94" t="str">
        <f>VLOOKUP(I12,[7]stage_hints!$A:$C,3,FALSE)</f>
        <v>覚醒素材を獲得</v>
      </c>
      <c r="L12" s="95" t="str">
        <f>VLOOKUP(I12,[7]stage_hints!$A:$D,4,FALSE)</f>
        <v>「曜日クエスト」では_x000D_ユニットの覚醒に必要な素材が手に入ります</v>
      </c>
      <c r="M12" s="57" t="s">
        <v>210</v>
      </c>
    </row>
    <row r="13" spans="1:13" x14ac:dyDescent="0.15">
      <c r="A13" s="82" t="s">
        <v>200</v>
      </c>
      <c r="B13" s="83">
        <f>floors!$C$2</f>
        <v>30029</v>
      </c>
      <c r="C13" s="84" t="str">
        <f ca="1">VLOOKUP($B13,OFFSET([2]quests!$A$1,0,0,COUNTA([2]quests!$A:$A),MATCH(C$1,[2]quests!$1:$1,0)-MATCH($B$1,[2]quests!$1:$1,0)+1),MATCH(C$1,[2]quests!$1:$1,0)-MATCH($B$1,[2]quests!$1:$1,0)+1,FALSE)</f>
        <v>全ては主のために</v>
      </c>
      <c r="D13" s="84" t="str">
        <f ca="1">VLOOKUP($B13,OFFSET([2]quests!$A$1,0,0,COUNTA([2]quests!$A:$A),MATCH(D$1,[2]quests!$1:$1,0)-MATCH($B$1,[2]quests!$1:$1,0)+1),MATCH(D$1,[2]quests!$1:$1,0)-MATCH($B$1,[2]quests!$1:$1,0)+1,FALSE)</f>
        <v>ドロップイベント8（マルチ専用）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【中級】全ては主のために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3" s="86">
        <v>0</v>
      </c>
      <c r="I13">
        <v>16</v>
      </c>
      <c r="J13" s="85" t="s">
        <v>197</v>
      </c>
      <c r="K13" s="94" t="str">
        <f>VLOOKUP(I13,[7]stage_hints!$A:$C,3,FALSE)</f>
        <v>マルチプレイのメリット（その1）</v>
      </c>
      <c r="L13" s="95" t="str">
        <f>VLOOKUP(I13,[7]stage_hints!$A:$D,4,FALSE)</f>
        <v>他のプレイヤーとマルチプレイで遊ぶと_x000D_ポリゴンがもらえます（100人まで）</v>
      </c>
      <c r="M13" s="57" t="s">
        <v>210</v>
      </c>
    </row>
    <row r="14" spans="1:13" x14ac:dyDescent="0.15">
      <c r="A14" s="82" t="s">
        <v>200</v>
      </c>
      <c r="B14" s="83">
        <f>floors!$C$2</f>
        <v>30029</v>
      </c>
      <c r="C14" s="84" t="str">
        <f ca="1">VLOOKUP($B14,OFFSET([2]quests!$A$1,0,0,COUNTA([2]quests!$A:$A),MATCH(C$1,[2]quests!$1:$1,0)-MATCH($B$1,[2]quests!$1:$1,0)+1),MATCH(C$1,[2]quests!$1:$1,0)-MATCH($B$1,[2]quests!$1:$1,0)+1,FALSE)</f>
        <v>全ては主のために</v>
      </c>
      <c r="D14" s="84" t="str">
        <f ca="1">VLOOKUP($B14,OFFSET([2]quests!$A$1,0,0,COUNTA([2]quests!$A:$A),MATCH(D$1,[2]quests!$1:$1,0)-MATCH($B$1,[2]quests!$1:$1,0)+1),MATCH(D$1,[2]quests!$1:$1,0)-MATCH($B$1,[2]quests!$1:$1,0)+1,FALSE)</f>
        <v>ドロップイベント8（マルチ専用）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【中級】全ては主のために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4" s="86">
        <v>0</v>
      </c>
      <c r="I14">
        <v>17</v>
      </c>
      <c r="J14" s="85" t="s">
        <v>197</v>
      </c>
      <c r="K14" s="94" t="str">
        <f>VLOOKUP(I14,[7]stage_hints!$A:$C,3,FALSE)</f>
        <v>リンクガチャ</v>
      </c>
      <c r="L14" s="95" t="str">
        <f>VLOOKUP(I14,[7]stage_hints!$A:$D,4,FALSE)</f>
        <v>無料のリンクガチャを回して_x000D_経験値素材や売却素材を獲得しましょう</v>
      </c>
      <c r="M14" s="57" t="s">
        <v>210</v>
      </c>
    </row>
    <row r="15" spans="1:13" x14ac:dyDescent="0.15">
      <c r="A15" s="82" t="s">
        <v>200</v>
      </c>
      <c r="B15" s="83">
        <f>floors!$C$2</f>
        <v>30029</v>
      </c>
      <c r="C15" s="84" t="str">
        <f ca="1">VLOOKUP($B15,OFFSET([2]quests!$A$1,0,0,COUNTA([2]quests!$A:$A),MATCH(C$1,[2]quests!$1:$1,0)-MATCH($B$1,[2]quests!$1:$1,0)+1),MATCH(C$1,[2]quests!$1:$1,0)-MATCH($B$1,[2]quests!$1:$1,0)+1,FALSE)</f>
        <v>全ては主のために</v>
      </c>
      <c r="D15" s="84" t="str">
        <f ca="1">VLOOKUP($B15,OFFSET([2]quests!$A$1,0,0,COUNTA([2]quests!$A:$A),MATCH(D$1,[2]quests!$1:$1,0)-MATCH($B$1,[2]quests!$1:$1,0)+1),MATCH(D$1,[2]quests!$1:$1,0)-MATCH($B$1,[2]quests!$1:$1,0)+1,FALSE)</f>
        <v>ドロップイベント8（マルチ専用）</v>
      </c>
      <c r="E15" s="88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【中級】全ては主のために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5" s="86">
        <v>0</v>
      </c>
      <c r="I15">
        <v>18</v>
      </c>
      <c r="J15" s="85" t="s">
        <v>197</v>
      </c>
      <c r="K15" s="94" t="str">
        <f>VLOOKUP(I15,[7]stage_hints!$A:$C,3,FALSE)</f>
        <v>マルチプレイのメリット（その2）</v>
      </c>
      <c r="L15" s="95" t="str">
        <f>VLOOKUP(I15,[7]stage_hints!$A:$D,4,FALSE)</f>
        <v>マルチプレイならリンクが2倍もらえます_x000D_リンクガチャをたくさん回しましょう</v>
      </c>
      <c r="M15" s="57" t="s">
        <v>210</v>
      </c>
    </row>
    <row r="16" spans="1:13" x14ac:dyDescent="0.15">
      <c r="A16" s="82" t="s">
        <v>200</v>
      </c>
      <c r="B16" s="83">
        <f>floors!$C$2</f>
        <v>30029</v>
      </c>
      <c r="C16" s="84" t="str">
        <f ca="1">VLOOKUP($B16,OFFSET([2]quests!$A$1,0,0,COUNTA([2]quests!$A:$A),MATCH(C$1,[2]quests!$1:$1,0)-MATCH($B$1,[2]quests!$1:$1,0)+1),MATCH(C$1,[2]quests!$1:$1,0)-MATCH($B$1,[2]quests!$1:$1,0)+1,FALSE)</f>
        <v>全ては主のために</v>
      </c>
      <c r="D16" s="84" t="str">
        <f ca="1">VLOOKUP($B16,OFFSET([2]quests!$A$1,0,0,COUNTA([2]quests!$A:$A),MATCH(D$1,[2]quests!$1:$1,0)-MATCH($B$1,[2]quests!$1:$1,0)+1),MATCH(D$1,[2]quests!$1:$1,0)-MATCH($B$1,[2]quests!$1:$1,0)+1,FALSE)</f>
        <v>ドロップイベント8（マルチ専用）</v>
      </c>
      <c r="E16" s="88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【中級】全ては主のために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6" s="86">
        <v>0</v>
      </c>
      <c r="I16">
        <v>19</v>
      </c>
      <c r="J16" s="85" t="s">
        <v>197</v>
      </c>
      <c r="K16" s="94" t="str">
        <f>VLOOKUP(I16,[7]stage_hints!$A:$C,3,FALSE)</f>
        <v>ソロ専用タワーオブザクイーン</v>
      </c>
      <c r="L16" s="95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7" t="s">
        <v>210</v>
      </c>
    </row>
    <row r="17" spans="1:13" x14ac:dyDescent="0.15">
      <c r="A17" s="82" t="s">
        <v>200</v>
      </c>
      <c r="B17" s="83">
        <f>floors!$C$2</f>
        <v>30029</v>
      </c>
      <c r="C17" s="84" t="str">
        <f ca="1">VLOOKUP($B17,OFFSET([2]quests!$A$1,0,0,COUNTA([2]quests!$A:$A),MATCH(C$1,[2]quests!$1:$1,0)-MATCH($B$1,[2]quests!$1:$1,0)+1),MATCH(C$1,[2]quests!$1:$1,0)-MATCH($B$1,[2]quests!$1:$1,0)+1,FALSE)</f>
        <v>全ては主のために</v>
      </c>
      <c r="D17" s="84" t="str">
        <f ca="1">VLOOKUP($B17,OFFSET([2]quests!$A$1,0,0,COUNTA([2]quests!$A:$A),MATCH(D$1,[2]quests!$1:$1,0)-MATCH($B$1,[2]quests!$1:$1,0)+1),MATCH(D$1,[2]quests!$1:$1,0)-MATCH($B$1,[2]quests!$1:$1,0)+1,FALSE)</f>
        <v>ドロップイベント8（マルチ専用）</v>
      </c>
      <c r="E17" s="88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【中級】全ては主のために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7" s="86">
        <v>0</v>
      </c>
      <c r="I17">
        <v>20</v>
      </c>
      <c r="J17" s="85" t="s">
        <v>197</v>
      </c>
      <c r="K17" s="94" t="str">
        <f>VLOOKUP(I17,[7]stage_hints!$A:$C,3,FALSE)</f>
        <v>マルチプレイのメリット（その3）</v>
      </c>
      <c r="L17" s="95" t="str">
        <f>VLOOKUP(I17,[7]stage_hints!$A:$D,4,FALSE)</f>
        <v>マルチプレイへの参加はエナジー消費ゼロ_x000D_いつでも好きなだけ遊ぶことができます</v>
      </c>
      <c r="M17" s="57" t="s">
        <v>210</v>
      </c>
    </row>
    <row r="18" spans="1:13" x14ac:dyDescent="0.15">
      <c r="A18" s="82" t="s">
        <v>200</v>
      </c>
      <c r="B18" s="83">
        <f>floors!$C$2</f>
        <v>30029</v>
      </c>
      <c r="C18" s="84" t="str">
        <f ca="1">VLOOKUP($B18,OFFSET([2]quests!$A$1,0,0,COUNTA([2]quests!$A:$A),MATCH(C$1,[2]quests!$1:$1,0)-MATCH($B$1,[2]quests!$1:$1,0)+1),MATCH(C$1,[2]quests!$1:$1,0)-MATCH($B$1,[2]quests!$1:$1,0)+1,FALSE)</f>
        <v>全ては主のために</v>
      </c>
      <c r="D18" s="84" t="str">
        <f ca="1">VLOOKUP($B18,OFFSET([2]quests!$A$1,0,0,COUNTA([2]quests!$A:$A),MATCH(D$1,[2]quests!$1:$1,0)-MATCH($B$1,[2]quests!$1:$1,0)+1),MATCH(D$1,[2]quests!$1:$1,0)-MATCH($B$1,[2]quests!$1:$1,0)+1,FALSE)</f>
        <v>ドロップイベント8（マルチ専用）</v>
      </c>
      <c r="E18" s="88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【中級】全ては主のために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8" s="86">
        <v>0</v>
      </c>
      <c r="I18">
        <v>21</v>
      </c>
      <c r="J18" s="85" t="s">
        <v>197</v>
      </c>
      <c r="K18" s="94" t="str">
        <f>VLOOKUP(I18,[7]stage_hints!$A:$C,3,FALSE)</f>
        <v>スキルを有効に</v>
      </c>
      <c r="L18" s="95" t="str">
        <f>VLOOKUP(I18,[7]stage_hints!$A:$D,4,FALSE)</f>
        <v>ターン経過でユニットのスキルが使えます_x000D_強力スキルでバトルを有利に進めましょう</v>
      </c>
      <c r="M18" s="57" t="s">
        <v>210</v>
      </c>
    </row>
    <row r="19" spans="1:13" x14ac:dyDescent="0.15">
      <c r="A19" s="82" t="s">
        <v>200</v>
      </c>
      <c r="B19" s="83">
        <f>floors!$C$2</f>
        <v>30029</v>
      </c>
      <c r="C19" s="84" t="str">
        <f ca="1">VLOOKUP($B19,OFFSET([2]quests!$A$1,0,0,COUNTA([2]quests!$A:$A),MATCH(C$1,[2]quests!$1:$1,0)-MATCH($B$1,[2]quests!$1:$1,0)+1),MATCH(C$1,[2]quests!$1:$1,0)-MATCH($B$1,[2]quests!$1:$1,0)+1,FALSE)</f>
        <v>全ては主のために</v>
      </c>
      <c r="D19" s="84" t="str">
        <f ca="1">VLOOKUP($B19,OFFSET([2]quests!$A$1,0,0,COUNTA([2]quests!$A:$A),MATCH(D$1,[2]quests!$1:$1,0)-MATCH($B$1,[2]quests!$1:$1,0)+1),MATCH(D$1,[2]quests!$1:$1,0)-MATCH($B$1,[2]quests!$1:$1,0)+1,FALSE)</f>
        <v>ドロップイベント8（マルチ専用）</v>
      </c>
      <c r="E19" s="88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【中級】全ては主のために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9" s="86">
        <v>0</v>
      </c>
      <c r="I19">
        <v>22</v>
      </c>
      <c r="J19" s="85" t="s">
        <v>197</v>
      </c>
      <c r="K19" s="94" t="str">
        <f>VLOOKUP(I19,[7]stage_hints!$A:$C,3,FALSE)</f>
        <v>フィーバーで一発逆転（その1）</v>
      </c>
      <c r="L19" s="95" t="str">
        <f>VLOOKUP(I19,[7]stage_hints!$A:$D,4,FALSE)</f>
        <v>フィーバーは攻撃と回復を兼ね備えます_x000D_ピンチからの一発逆転を狙いましょう</v>
      </c>
      <c r="M19" s="57" t="s">
        <v>210</v>
      </c>
    </row>
    <row r="20" spans="1:13" x14ac:dyDescent="0.15">
      <c r="A20" s="82" t="s">
        <v>200</v>
      </c>
      <c r="B20" s="83">
        <f>floors!$C$2</f>
        <v>30029</v>
      </c>
      <c r="C20" s="84" t="str">
        <f ca="1">VLOOKUP($B20,OFFSET([2]quests!$A$1,0,0,COUNTA([2]quests!$A:$A),MATCH(C$1,[2]quests!$1:$1,0)-MATCH($B$1,[2]quests!$1:$1,0)+1),MATCH(C$1,[2]quests!$1:$1,0)-MATCH($B$1,[2]quests!$1:$1,0)+1,FALSE)</f>
        <v>全ては主のために</v>
      </c>
      <c r="D20" s="84" t="str">
        <f ca="1">VLOOKUP($B20,OFFSET([2]quests!$A$1,0,0,COUNTA([2]quests!$A:$A),MATCH(D$1,[2]quests!$1:$1,0)-MATCH($B$1,[2]quests!$1:$1,0)+1),MATCH(D$1,[2]quests!$1:$1,0)-MATCH($B$1,[2]quests!$1:$1,0)+1,FALSE)</f>
        <v>ドロップイベント8（マルチ専用）</v>
      </c>
      <c r="E20" s="88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【中級】全ては主のために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0" s="86">
        <v>0</v>
      </c>
      <c r="I20">
        <v>23</v>
      </c>
      <c r="J20" s="85" t="s">
        <v>197</v>
      </c>
      <c r="K20" s="94" t="str">
        <f>VLOOKUP(I20,[7]stage_hints!$A:$C,3,FALSE)</f>
        <v>フィーバーで一発逆転（その2）</v>
      </c>
      <c r="L20" s="95" t="str">
        <f>VLOOKUP(I20,[7]stage_hints!$A:$D,4,FALSE)</f>
        <v>フィーバー中は虹色のボムパネルを狙って_x000D_画面上のパネルを一気に破壊しましょう</v>
      </c>
      <c r="M20" s="57" t="s">
        <v>210</v>
      </c>
    </row>
    <row r="21" spans="1:13" x14ac:dyDescent="0.15">
      <c r="A21" s="82" t="s">
        <v>200</v>
      </c>
      <c r="B21" s="83">
        <f>floors!$C$2</f>
        <v>30029</v>
      </c>
      <c r="C21" s="84" t="str">
        <f ca="1">VLOOKUP($B21,OFFSET([2]quests!$A$1,0,0,COUNTA([2]quests!$A:$A),MATCH(C$1,[2]quests!$1:$1,0)-MATCH($B$1,[2]quests!$1:$1,0)+1),MATCH(C$1,[2]quests!$1:$1,0)-MATCH($B$1,[2]quests!$1:$1,0)+1,FALSE)</f>
        <v>全ては主のために</v>
      </c>
      <c r="D21" s="84" t="str">
        <f ca="1">VLOOKUP($B21,OFFSET([2]quests!$A$1,0,0,COUNTA([2]quests!$A:$A),MATCH(D$1,[2]quests!$1:$1,0)-MATCH($B$1,[2]quests!$1:$1,0)+1),MATCH(D$1,[2]quests!$1:$1,0)-MATCH($B$1,[2]quests!$1:$1,0)+1,FALSE)</f>
        <v>ドロップイベント8（マルチ専用）</v>
      </c>
      <c r="E21" s="88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【中級】全ては主のために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1" s="86">
        <v>0</v>
      </c>
      <c r="I21">
        <v>24</v>
      </c>
      <c r="J21" s="85" t="s">
        <v>197</v>
      </c>
      <c r="K21" s="94" t="str">
        <f>VLOOKUP(I21,[7]stage_hints!$A:$C,3,FALSE)</f>
        <v>果実を使って限界突破</v>
      </c>
      <c r="L21" s="95" t="str">
        <f>VLOOKUP(I21,[7]stage_hints!$A:$D,4,FALSE)</f>
        <v>攻めの果実 癒しの果実_x000D_生命の果実をユニット強化に使うと_x000D_ステータスが限界突破します（計99個迄）</v>
      </c>
      <c r="M21" s="57" t="s">
        <v>210</v>
      </c>
    </row>
    <row r="22" spans="1:13" x14ac:dyDescent="0.15">
      <c r="A22" s="82" t="s">
        <v>200</v>
      </c>
      <c r="B22" s="83">
        <f>floors!$C$2</f>
        <v>30029</v>
      </c>
      <c r="C22" s="84" t="str">
        <f ca="1">VLOOKUP($B22,OFFSET([2]quests!$A$1,0,0,COUNTA([2]quests!$A:$A),MATCH(C$1,[2]quests!$1:$1,0)-MATCH($B$1,[2]quests!$1:$1,0)+1),MATCH(C$1,[2]quests!$1:$1,0)-MATCH($B$1,[2]quests!$1:$1,0)+1,FALSE)</f>
        <v>全ては主のために</v>
      </c>
      <c r="D22" s="84" t="str">
        <f ca="1">VLOOKUP($B22,OFFSET([2]quests!$A$1,0,0,COUNTA([2]quests!$A:$A),MATCH(D$1,[2]quests!$1:$1,0)-MATCH($B$1,[2]quests!$1:$1,0)+1),MATCH(D$1,[2]quests!$1:$1,0)-MATCH($B$1,[2]quests!$1:$1,0)+1,FALSE)</f>
        <v>ドロップイベント8（マルチ専用）</v>
      </c>
      <c r="E22" s="88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【中級】全ては主のために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2" s="86">
        <v>0</v>
      </c>
      <c r="I22">
        <v>25</v>
      </c>
      <c r="J22" s="85" t="s">
        <v>197</v>
      </c>
      <c r="K22" s="94" t="str">
        <f>VLOOKUP(I22,[7]stage_hints!$A:$C,3,FALSE)</f>
        <v>スキルレベルアップ</v>
      </c>
      <c r="L22" s="95" t="str">
        <f>VLOOKUP(I22,[7]stage_hints!$A:$D,4,FALSE)</f>
        <v>「秘術の果実」を強化に使うと_x000D_スキルレベルを上げることができます</v>
      </c>
      <c r="M22" s="57" t="s">
        <v>210</v>
      </c>
    </row>
    <row r="23" spans="1:13" x14ac:dyDescent="0.15">
      <c r="A23" s="82" t="s">
        <v>200</v>
      </c>
      <c r="B23" s="83">
        <f>floors!$C$2</f>
        <v>30029</v>
      </c>
      <c r="C23" s="84" t="str">
        <f ca="1">VLOOKUP($B23,OFFSET([2]quests!$A$1,0,0,COUNTA([2]quests!$A:$A),MATCH(C$1,[2]quests!$1:$1,0)-MATCH($B$1,[2]quests!$1:$1,0)+1),MATCH(C$1,[2]quests!$1:$1,0)-MATCH($B$1,[2]quests!$1:$1,0)+1,FALSE)</f>
        <v>全ては主のために</v>
      </c>
      <c r="D23" s="84" t="str">
        <f ca="1">VLOOKUP($B23,OFFSET([2]quests!$A$1,0,0,COUNTA([2]quests!$A:$A),MATCH(D$1,[2]quests!$1:$1,0)-MATCH($B$1,[2]quests!$1:$1,0)+1),MATCH(D$1,[2]quests!$1:$1,0)-MATCH($B$1,[2]quests!$1:$1,0)+1,FALSE)</f>
        <v>ドロップイベント8（マルチ専用）</v>
      </c>
      <c r="E23" s="88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【中級】全ては主のために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3" s="86">
        <v>0</v>
      </c>
      <c r="I23">
        <v>26</v>
      </c>
      <c r="J23" s="85" t="s">
        <v>197</v>
      </c>
      <c r="K23" s="94" t="str">
        <f>VLOOKUP(I23,[7]stage_hints!$A:$C,3,FALSE)</f>
        <v>スキルレベルの効果</v>
      </c>
      <c r="L23" s="95" t="str">
        <f>VLOOKUP(I23,[7]stage_hints!$A:$D,4,FALSE)</f>
        <v>スキルレベルが上がると_x000D_短いターンでスキルを使うことができます</v>
      </c>
      <c r="M23" s="57" t="s">
        <v>210</v>
      </c>
    </row>
    <row r="24" spans="1:13" x14ac:dyDescent="0.15">
      <c r="A24" s="82" t="s">
        <v>200</v>
      </c>
      <c r="B24" s="83">
        <f>floors!$C$2</f>
        <v>30029</v>
      </c>
      <c r="C24" s="84" t="str">
        <f ca="1">VLOOKUP($B24,OFFSET([2]quests!$A$1,0,0,COUNTA([2]quests!$A:$A),MATCH(C$1,[2]quests!$1:$1,0)-MATCH($B$1,[2]quests!$1:$1,0)+1),MATCH(C$1,[2]quests!$1:$1,0)-MATCH($B$1,[2]quests!$1:$1,0)+1,FALSE)</f>
        <v>全ては主のために</v>
      </c>
      <c r="D24" s="84" t="str">
        <f ca="1">VLOOKUP($B24,OFFSET([2]quests!$A$1,0,0,COUNTA([2]quests!$A:$A),MATCH(D$1,[2]quests!$1:$1,0)-MATCH($B$1,[2]quests!$1:$1,0)+1),MATCH(D$1,[2]quests!$1:$1,0)-MATCH($B$1,[2]quests!$1:$1,0)+1,FALSE)</f>
        <v>ドロップイベント8（マルチ専用）</v>
      </c>
      <c r="E24" s="88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【中級】全ては主のために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4" s="86">
        <v>0</v>
      </c>
      <c r="I24">
        <v>27</v>
      </c>
      <c r="J24" s="85" t="s">
        <v>197</v>
      </c>
      <c r="K24" s="94" t="str">
        <f>VLOOKUP(I24,[7]stage_hints!$A:$C,3,FALSE)</f>
        <v>ホーム画面からデッキを編成</v>
      </c>
      <c r="L24" s="95" t="str">
        <f>VLOOKUP(I24,[7]stage_hints!$A:$D,4,FALSE)</f>
        <v>ホーム画面でユニットを長押しすると_x000D_すぐにパーティ編成に移動できます</v>
      </c>
      <c r="M24" s="57" t="s">
        <v>210</v>
      </c>
    </row>
    <row r="25" spans="1:13" x14ac:dyDescent="0.15">
      <c r="A25" s="82" t="s">
        <v>200</v>
      </c>
      <c r="B25" s="83">
        <f>floors!$C$2</f>
        <v>30029</v>
      </c>
      <c r="C25" s="84" t="str">
        <f ca="1">VLOOKUP($B25,OFFSET([2]quests!$A$1,0,0,COUNTA([2]quests!$A:$A),MATCH(C$1,[2]quests!$1:$1,0)-MATCH($B$1,[2]quests!$1:$1,0)+1),MATCH(C$1,[2]quests!$1:$1,0)-MATCH($B$1,[2]quests!$1:$1,0)+1,FALSE)</f>
        <v>全ては主のために</v>
      </c>
      <c r="D25" s="84" t="str">
        <f ca="1">VLOOKUP($B25,OFFSET([2]quests!$A$1,0,0,COUNTA([2]quests!$A:$A),MATCH(D$1,[2]quests!$1:$1,0)-MATCH($B$1,[2]quests!$1:$1,0)+1),MATCH(D$1,[2]quests!$1:$1,0)-MATCH($B$1,[2]quests!$1:$1,0)+1,FALSE)</f>
        <v>ドロップイベント8（マルチ専用）</v>
      </c>
      <c r="E25" s="88">
        <v>1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【中級】全ては主のために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5" s="86">
        <v>0</v>
      </c>
      <c r="I25">
        <v>28</v>
      </c>
      <c r="J25" s="85" t="s">
        <v>197</v>
      </c>
      <c r="K25" s="94" t="str">
        <f>VLOOKUP(I25,[7]stage_hints!$A:$C,3,FALSE)</f>
        <v>ステータス情報は長押しで</v>
      </c>
      <c r="L25" s="95" t="str">
        <f>VLOOKUP(I25,[7]stage_hints!$A:$D,4,FALSE)</f>
        <v>ユニットのアイコンを長押しすると_x000D_ステータス情報を確認することができます</v>
      </c>
      <c r="M25" s="57" t="s">
        <v>210</v>
      </c>
    </row>
    <row r="26" spans="1:13" x14ac:dyDescent="0.15">
      <c r="A26" s="82" t="s">
        <v>200</v>
      </c>
      <c r="B26" s="83">
        <f>floors!$C$2</f>
        <v>30029</v>
      </c>
      <c r="C26" s="84" t="str">
        <f ca="1">VLOOKUP($B26,OFFSET([2]quests!$A$1,0,0,COUNTA([2]quests!$A:$A),MATCH(C$1,[2]quests!$1:$1,0)-MATCH($B$1,[2]quests!$1:$1,0)+1),MATCH(C$1,[2]quests!$1:$1,0)-MATCH($B$1,[2]quests!$1:$1,0)+1,FALSE)</f>
        <v>全ては主のために</v>
      </c>
      <c r="D26" s="84" t="str">
        <f ca="1">VLOOKUP($B26,OFFSET([2]quests!$A$1,0,0,COUNTA([2]quests!$A:$A),MATCH(D$1,[2]quests!$1:$1,0)-MATCH($B$1,[2]quests!$1:$1,0)+1),MATCH(D$1,[2]quests!$1:$1,0)-MATCH($B$1,[2]quests!$1:$1,0)+1,FALSE)</f>
        <v>ドロップイベント8（マルチ専用）</v>
      </c>
      <c r="E26" s="88">
        <v>1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【中級】全ては主のために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6" s="86">
        <v>0</v>
      </c>
      <c r="I26">
        <v>29</v>
      </c>
      <c r="J26" s="85" t="s">
        <v>197</v>
      </c>
      <c r="K26" s="94" t="str">
        <f>VLOOKUP(I26,[7]stage_hints!$A:$C,3,FALSE)</f>
        <v>「バグ」のメリット</v>
      </c>
      <c r="L26" s="95" t="str">
        <f>VLOOKUP(I26,[7]stage_hints!$A:$D,4,FALSE)</f>
        <v>ユニットの「バグ」を増やすと_x000D_報酬をもらえる確率がアップします</v>
      </c>
      <c r="M26" s="57" t="s">
        <v>210</v>
      </c>
    </row>
    <row r="27" spans="1:13" x14ac:dyDescent="0.15">
      <c r="A27" s="82" t="s">
        <v>200</v>
      </c>
      <c r="B27" s="83">
        <f>floors!$C$2</f>
        <v>30029</v>
      </c>
      <c r="C27" s="84" t="str">
        <f ca="1">VLOOKUP($B27,OFFSET([2]quests!$A$1,0,0,COUNTA([2]quests!$A:$A),MATCH(C$1,[2]quests!$1:$1,0)-MATCH($B$1,[2]quests!$1:$1,0)+1),MATCH(C$1,[2]quests!$1:$1,0)-MATCH($B$1,[2]quests!$1:$1,0)+1,FALSE)</f>
        <v>全ては主のために</v>
      </c>
      <c r="D27" s="84" t="str">
        <f ca="1">VLOOKUP($B27,OFFSET([2]quests!$A$1,0,0,COUNTA([2]quests!$A:$A),MATCH(D$1,[2]quests!$1:$1,0)-MATCH($B$1,[2]quests!$1:$1,0)+1),MATCH(D$1,[2]quests!$1:$1,0)-MATCH($B$1,[2]quests!$1:$1,0)+1,FALSE)</f>
        <v>ドロップイベント8（マルチ専用）</v>
      </c>
      <c r="E27" s="88">
        <v>1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【中級】全ては主のために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7" s="86">
        <v>0</v>
      </c>
      <c r="I27">
        <v>30</v>
      </c>
      <c r="J27" s="85" t="s">
        <v>197</v>
      </c>
      <c r="K27" s="94" t="str">
        <f>VLOOKUP(I27,[7]stage_hints!$A:$C,3,FALSE)</f>
        <v>「バグ」の増やし方</v>
      </c>
      <c r="L27" s="95" t="str">
        <f>VLOOKUP(I27,[7]stage_hints!$A:$D,4,FALSE)</f>
        <v>同じユニット同士を強化で合成すると_x000D_「バグ」を増やすことができます</v>
      </c>
      <c r="M27" s="57" t="s">
        <v>210</v>
      </c>
    </row>
    <row r="28" spans="1:13" x14ac:dyDescent="0.15">
      <c r="A28" s="82" t="s">
        <v>200</v>
      </c>
      <c r="B28" s="83">
        <f>floors!$C$2</f>
        <v>30029</v>
      </c>
      <c r="C28" s="84" t="str">
        <f ca="1">VLOOKUP($B28,OFFSET([2]quests!$A$1,0,0,COUNTA([2]quests!$A:$A),MATCH(C$1,[2]quests!$1:$1,0)-MATCH($B$1,[2]quests!$1:$1,0)+1),MATCH(C$1,[2]quests!$1:$1,0)-MATCH($B$1,[2]quests!$1:$1,0)+1,FALSE)</f>
        <v>全ては主のために</v>
      </c>
      <c r="D28" s="84" t="str">
        <f ca="1">VLOOKUP($B28,OFFSET([2]quests!$A$1,0,0,COUNTA([2]quests!$A:$A),MATCH(D$1,[2]quests!$1:$1,0)-MATCH($B$1,[2]quests!$1:$1,0)+1),MATCH(D$1,[2]quests!$1:$1,0)-MATCH($B$1,[2]quests!$1:$1,0)+1,FALSE)</f>
        <v>ドロップイベント8（マルチ専用）</v>
      </c>
      <c r="E28" s="88">
        <v>1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【中級】全ては主のために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8" s="86">
        <v>0</v>
      </c>
      <c r="I28">
        <v>31</v>
      </c>
      <c r="J28" s="85" t="s">
        <v>197</v>
      </c>
      <c r="K28" s="94" t="str">
        <f>VLOOKUP(I28,[7]stage_hints!$A:$C,3,FALSE)</f>
        <v>イベントはお知らせでチェック</v>
      </c>
      <c r="L28" s="95" t="str">
        <f>VLOOKUP(I28,[7]stage_hints!$A:$D,4,FALSE)</f>
        <v>イベント限定ユニットを取り忘れないように_x000D_お知らせをこまめにチェックしましょう</v>
      </c>
      <c r="M28" s="57" t="s">
        <v>210</v>
      </c>
    </row>
    <row r="29" spans="1:13" x14ac:dyDescent="0.15">
      <c r="A29" s="82" t="s">
        <v>200</v>
      </c>
      <c r="B29" s="83">
        <f>floors!$C$2</f>
        <v>30029</v>
      </c>
      <c r="C29" s="84" t="str">
        <f ca="1">VLOOKUP($B29,OFFSET([2]quests!$A$1,0,0,COUNTA([2]quests!$A:$A),MATCH(C$1,[2]quests!$1:$1,0)-MATCH($B$1,[2]quests!$1:$1,0)+1),MATCH(C$1,[2]quests!$1:$1,0)-MATCH($B$1,[2]quests!$1:$1,0)+1,FALSE)</f>
        <v>全ては主のために</v>
      </c>
      <c r="D29" s="84" t="str">
        <f ca="1">VLOOKUP($B29,OFFSET([2]quests!$A$1,0,0,COUNTA([2]quests!$A:$A),MATCH(D$1,[2]quests!$1:$1,0)-MATCH($B$1,[2]quests!$1:$1,0)+1),MATCH(D$1,[2]quests!$1:$1,0)-MATCH($B$1,[2]quests!$1:$1,0)+1,FALSE)</f>
        <v>ドロップイベント8（マルチ専用）</v>
      </c>
      <c r="E29" s="88">
        <v>1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【中級】全ては主のために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9" s="86">
        <v>0</v>
      </c>
      <c r="I29">
        <v>32</v>
      </c>
      <c r="J29" s="85" t="s">
        <v>197</v>
      </c>
      <c r="K29" s="94" t="str">
        <f>VLOOKUP(I29,[7]stage_hints!$A:$C,3,FALSE)</f>
        <v>敵の連続攻撃には</v>
      </c>
      <c r="L29" s="95" t="str">
        <f>VLOOKUP(I29,[7]stage_hints!$A:$D,4,FALSE)</f>
        <v>カウンタースキルを持つユニットがいれば_x000D_ダメージ回数分の反撃ができます</v>
      </c>
      <c r="M29" s="57" t="s">
        <v>210</v>
      </c>
    </row>
    <row r="30" spans="1:13" x14ac:dyDescent="0.15">
      <c r="A30" s="82" t="s">
        <v>200</v>
      </c>
      <c r="B30" s="83">
        <f>floors!$C$2</f>
        <v>30029</v>
      </c>
      <c r="C30" s="84" t="str">
        <f ca="1">VLOOKUP($B30,OFFSET([2]quests!$A$1,0,0,COUNTA([2]quests!$A:$A),MATCH(C$1,[2]quests!$1:$1,0)-MATCH($B$1,[2]quests!$1:$1,0)+1),MATCH(C$1,[2]quests!$1:$1,0)-MATCH($B$1,[2]quests!$1:$1,0)+1,FALSE)</f>
        <v>全ては主のために</v>
      </c>
      <c r="D30" s="84" t="str">
        <f ca="1">VLOOKUP($B30,OFFSET([2]quests!$A$1,0,0,COUNTA([2]quests!$A:$A),MATCH(D$1,[2]quests!$1:$1,0)-MATCH($B$1,[2]quests!$1:$1,0)+1),MATCH(D$1,[2]quests!$1:$1,0)-MATCH($B$1,[2]quests!$1:$1,0)+1,FALSE)</f>
        <v>ドロップイベント8（マルチ専用）</v>
      </c>
      <c r="E30" s="88">
        <v>1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【中級】全ては主のために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0" s="86">
        <v>0</v>
      </c>
      <c r="I30">
        <v>33</v>
      </c>
      <c r="J30" s="85" t="s">
        <v>197</v>
      </c>
      <c r="K30" s="94" t="str">
        <f>VLOOKUP(I30,[7]stage_hints!$A:$C,3,FALSE)</f>
        <v>敵のカウンター攻撃には</v>
      </c>
      <c r="L30" s="95" t="str">
        <f>VLOOKUP(I30,[7]stage_hints!$A:$D,4,FALSE)</f>
        <v>カウンターブレイクスキルを持っていれば_x000D_敵のカウンターを解除して攻撃ができます</v>
      </c>
      <c r="M30" s="57" t="s">
        <v>210</v>
      </c>
    </row>
    <row r="31" spans="1:13" x14ac:dyDescent="0.15">
      <c r="A31" s="82" t="s">
        <v>200</v>
      </c>
      <c r="B31" s="83">
        <f>floors!$C$2</f>
        <v>30029</v>
      </c>
      <c r="C31" s="84" t="str">
        <f ca="1">VLOOKUP($B31,OFFSET([2]quests!$A$1,0,0,COUNTA([2]quests!$A:$A),MATCH(C$1,[2]quests!$1:$1,0)-MATCH($B$1,[2]quests!$1:$1,0)+1),MATCH(C$1,[2]quests!$1:$1,0)-MATCH($B$1,[2]quests!$1:$1,0)+1,FALSE)</f>
        <v>全ては主のために</v>
      </c>
      <c r="D31" s="84" t="str">
        <f ca="1">VLOOKUP($B31,OFFSET([2]quests!$A$1,0,0,COUNTA([2]quests!$A:$A),MATCH(D$1,[2]quests!$1:$1,0)-MATCH($B$1,[2]quests!$1:$1,0)+1),MATCH(D$1,[2]quests!$1:$1,0)-MATCH($B$1,[2]quests!$1:$1,0)+1,FALSE)</f>
        <v>ドロップイベント8（マルチ専用）</v>
      </c>
      <c r="E31" s="88">
        <v>1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【中級】全ては主のために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1" s="86">
        <v>0</v>
      </c>
      <c r="I31">
        <v>34</v>
      </c>
      <c r="J31" s="85" t="s">
        <v>197</v>
      </c>
      <c r="K31" s="94" t="str">
        <f>VLOOKUP(I31,[7]stage_hints!$A:$C,3,FALSE)</f>
        <v>ステータスをスキルで下げられたら</v>
      </c>
      <c r="L31" s="95" t="str">
        <f>VLOOKUP(I31,[7]stage_hints!$A:$D,4,FALSE)</f>
        <v>ステータスダウンのスキルを受けたら_x000D_ステータスアップスキルで上書きしましょう</v>
      </c>
      <c r="M31" s="57" t="s">
        <v>210</v>
      </c>
    </row>
    <row r="32" spans="1:13" x14ac:dyDescent="0.15">
      <c r="A32" s="82" t="s">
        <v>200</v>
      </c>
      <c r="B32" s="83">
        <f>floors!$C$2</f>
        <v>30029</v>
      </c>
      <c r="C32" s="84" t="str">
        <f ca="1">VLOOKUP($B32,OFFSET([2]quests!$A$1,0,0,COUNTA([2]quests!$A:$A),MATCH(C$1,[2]quests!$1:$1,0)-MATCH($B$1,[2]quests!$1:$1,0)+1),MATCH(C$1,[2]quests!$1:$1,0)-MATCH($B$1,[2]quests!$1:$1,0)+1,FALSE)</f>
        <v>全ては主のために</v>
      </c>
      <c r="D32" s="84" t="str">
        <f ca="1">VLOOKUP($B32,OFFSET([2]quests!$A$1,0,0,COUNTA([2]quests!$A:$A),MATCH(D$1,[2]quests!$1:$1,0)-MATCH($B$1,[2]quests!$1:$1,0)+1),MATCH(D$1,[2]quests!$1:$1,0)-MATCH($B$1,[2]quests!$1:$1,0)+1,FALSE)</f>
        <v>ドロップイベント8（マルチ専用）</v>
      </c>
      <c r="E32" s="88">
        <v>1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【中級】全ては主のために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2" s="86">
        <v>0</v>
      </c>
      <c r="I32">
        <v>35</v>
      </c>
      <c r="J32" s="85" t="s">
        <v>197</v>
      </c>
      <c r="K32" s="94" t="str">
        <f>VLOOKUP(I32,[7]stage_hints!$A:$C,3,FALSE)</f>
        <v>敵のステータスがスキルで上がったら</v>
      </c>
      <c r="L32" s="95" t="str">
        <f>VLOOKUP(I32,[7]stage_hints!$A:$D,4,FALSE)</f>
        <v>敵のステータスがスキルでアップしたときは_x000D_ステータスダウンスキルで上書きしましょう</v>
      </c>
      <c r="M32" s="57" t="s">
        <v>210</v>
      </c>
    </row>
    <row r="33" spans="1:13" x14ac:dyDescent="0.15">
      <c r="A33" s="82" t="s">
        <v>200</v>
      </c>
      <c r="B33" s="83">
        <f>floors!$C$2</f>
        <v>30029</v>
      </c>
      <c r="C33" s="84" t="str">
        <f ca="1">VLOOKUP($B33,OFFSET([2]quests!$A$1,0,0,COUNTA([2]quests!$A:$A),MATCH(C$1,[2]quests!$1:$1,0)-MATCH($B$1,[2]quests!$1:$1,0)+1),MATCH(C$1,[2]quests!$1:$1,0)-MATCH($B$1,[2]quests!$1:$1,0)+1,FALSE)</f>
        <v>全ては主のために</v>
      </c>
      <c r="D33" s="84" t="str">
        <f ca="1">VLOOKUP($B33,OFFSET([2]quests!$A$1,0,0,COUNTA([2]quests!$A:$A),MATCH(D$1,[2]quests!$1:$1,0)-MATCH($B$1,[2]quests!$1:$1,0)+1),MATCH(D$1,[2]quests!$1:$1,0)-MATCH($B$1,[2]quests!$1:$1,0)+1,FALSE)</f>
        <v>ドロップイベント8（マルチ専用）</v>
      </c>
      <c r="E33" s="88">
        <v>1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【中級】全ては主のために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3" s="86">
        <v>0</v>
      </c>
      <c r="I33">
        <v>39</v>
      </c>
      <c r="J33" s="85" t="s">
        <v>197</v>
      </c>
      <c r="K33" s="94" t="str">
        <f>VLOOKUP(I33,[7]stage_hints!$A:$C,3,FALSE)</f>
        <v>システム適合者を確認</v>
      </c>
      <c r="L33" s="95" t="str">
        <f>VLOOKUP(I33,[7]stage_hints!$A:$D,4,FALSE)</f>
        <v>ALICEが 「アナタ」を呼んでいます</v>
      </c>
      <c r="M33" s="57" t="s">
        <v>210</v>
      </c>
    </row>
    <row r="34" spans="1:13" x14ac:dyDescent="0.15">
      <c r="A34" s="82" t="s">
        <v>200</v>
      </c>
      <c r="B34" s="83">
        <f>floors!$C$2</f>
        <v>30029</v>
      </c>
      <c r="C34" s="84" t="str">
        <f ca="1">VLOOKUP($B34,OFFSET([2]quests!$A$1,0,0,COUNTA([2]quests!$A:$A),MATCH(C$1,[2]quests!$1:$1,0)-MATCH($B$1,[2]quests!$1:$1,0)+1),MATCH(C$1,[2]quests!$1:$1,0)-MATCH($B$1,[2]quests!$1:$1,0)+1,FALSE)</f>
        <v>全ては主のために</v>
      </c>
      <c r="D34" s="84" t="str">
        <f ca="1">VLOOKUP($B34,OFFSET([2]quests!$A$1,0,0,COUNTA([2]quests!$A:$A),MATCH(D$1,[2]quests!$1:$1,0)-MATCH($B$1,[2]quests!$1:$1,0)+1),MATCH(D$1,[2]quests!$1:$1,0)-MATCH($B$1,[2]quests!$1:$1,0)+1,FALSE)</f>
        <v>ドロップイベント8（マルチ専用）</v>
      </c>
      <c r="E34" s="88">
        <v>2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【上級】全ては主のために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4" s="86">
        <v>0</v>
      </c>
      <c r="I34" s="98">
        <v>3</v>
      </c>
      <c r="J34" s="85" t="s">
        <v>197</v>
      </c>
      <c r="K34" s="94" t="str">
        <f>VLOOKUP(I34,[7]stage_hints!$A:$C,3,FALSE)</f>
        <v>ターゲット</v>
      </c>
      <c r="L34" s="95" t="str">
        <f>VLOOKUP(I34,[7]stage_hints!$A:$D,4,FALSE)</f>
        <v>敵ユニットをタップすると_x000D_その敵を狙い撃ちできます</v>
      </c>
      <c r="M34" s="57" t="s">
        <v>210</v>
      </c>
    </row>
    <row r="35" spans="1:13" x14ac:dyDescent="0.15">
      <c r="A35" s="82" t="s">
        <v>200</v>
      </c>
      <c r="B35" s="83">
        <f>floors!$C$2</f>
        <v>30029</v>
      </c>
      <c r="C35" s="84" t="str">
        <f ca="1">VLOOKUP($B35,OFFSET([2]quests!$A$1,0,0,COUNTA([2]quests!$A:$A),MATCH(C$1,[2]quests!$1:$1,0)-MATCH($B$1,[2]quests!$1:$1,0)+1),MATCH(C$1,[2]quests!$1:$1,0)-MATCH($B$1,[2]quests!$1:$1,0)+1,FALSE)</f>
        <v>全ては主のために</v>
      </c>
      <c r="D35" s="84" t="str">
        <f ca="1">VLOOKUP($B35,OFFSET([2]quests!$A$1,0,0,COUNTA([2]quests!$A:$A),MATCH(D$1,[2]quests!$1:$1,0)-MATCH($B$1,[2]quests!$1:$1,0)+1),MATCH(D$1,[2]quests!$1:$1,0)-MATCH($B$1,[2]quests!$1:$1,0)+1,FALSE)</f>
        <v>ドロップイベント8（マルチ専用）</v>
      </c>
      <c r="E35" s="88">
        <v>2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【上級】全ては主のために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5" s="86">
        <v>0</v>
      </c>
      <c r="I35" s="98">
        <v>6</v>
      </c>
      <c r="J35" s="85" t="s">
        <v>197</v>
      </c>
      <c r="K35" s="94" t="str">
        <f>VLOOKUP(I35,[7]stage_hints!$A:$C,3,FALSE)</f>
        <v>ユニット強化の属性ボーナス</v>
      </c>
      <c r="L35" s="95" t="str">
        <f>VLOOKUP(I35,[7]stage_hints!$A:$D,4,FALSE)</f>
        <v>同属性ユニットを強化素材にすると_x000D_経験値が多くもらえます</v>
      </c>
      <c r="M35" s="57" t="s">
        <v>210</v>
      </c>
    </row>
    <row r="36" spans="1:13" x14ac:dyDescent="0.15">
      <c r="A36" s="82" t="s">
        <v>200</v>
      </c>
      <c r="B36" s="83">
        <f>floors!$C$2</f>
        <v>30029</v>
      </c>
      <c r="C36" s="84" t="str">
        <f ca="1">VLOOKUP($B36,OFFSET([2]quests!$A$1,0,0,COUNTA([2]quests!$A:$A),MATCH(C$1,[2]quests!$1:$1,0)-MATCH($B$1,[2]quests!$1:$1,0)+1),MATCH(C$1,[2]quests!$1:$1,0)-MATCH($B$1,[2]quests!$1:$1,0)+1,FALSE)</f>
        <v>全ては主のために</v>
      </c>
      <c r="D36" s="84" t="str">
        <f ca="1">VLOOKUP($B36,OFFSET([2]quests!$A$1,0,0,COUNTA([2]quests!$A:$A),MATCH(D$1,[2]quests!$1:$1,0)-MATCH($B$1,[2]quests!$1:$1,0)+1),MATCH(D$1,[2]quests!$1:$1,0)-MATCH($B$1,[2]quests!$1:$1,0)+1,FALSE)</f>
        <v>ドロップイベント8（マルチ専用）</v>
      </c>
      <c r="E36" s="88">
        <v>2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【上級】全ては主のために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6" s="86">
        <v>0</v>
      </c>
      <c r="I36" s="98">
        <v>7</v>
      </c>
      <c r="J36" s="85" t="s">
        <v>197</v>
      </c>
      <c r="K36" s="94" t="str">
        <f>VLOOKUP(I36,[7]stage_hints!$A:$C,3,FALSE)</f>
        <v>メタルダックで経験値を獲得</v>
      </c>
      <c r="L36" s="95" t="str">
        <f>VLOOKUP(I36,[7]stage_hints!$A:$D,4,FALSE)</f>
        <v>「メタルなアヒル」を強化素材にすると_x000D_大量の経験値がもらえます</v>
      </c>
      <c r="M36" s="57" t="s">
        <v>210</v>
      </c>
    </row>
    <row r="37" spans="1:13" x14ac:dyDescent="0.15">
      <c r="A37" s="82" t="s">
        <v>200</v>
      </c>
      <c r="B37" s="83">
        <f>floors!$C$2</f>
        <v>30029</v>
      </c>
      <c r="C37" s="84" t="str">
        <f ca="1">VLOOKUP($B37,OFFSET([2]quests!$A$1,0,0,COUNTA([2]quests!$A:$A),MATCH(C$1,[2]quests!$1:$1,0)-MATCH($B$1,[2]quests!$1:$1,0)+1),MATCH(C$1,[2]quests!$1:$1,0)-MATCH($B$1,[2]quests!$1:$1,0)+1,FALSE)</f>
        <v>全ては主のために</v>
      </c>
      <c r="D37" s="84" t="str">
        <f ca="1">VLOOKUP($B37,OFFSET([2]quests!$A$1,0,0,COUNTA([2]quests!$A:$A),MATCH(D$1,[2]quests!$1:$1,0)-MATCH($B$1,[2]quests!$1:$1,0)+1),MATCH(D$1,[2]quests!$1:$1,0)-MATCH($B$1,[2]quests!$1:$1,0)+1,FALSE)</f>
        <v>ドロップイベント8（マルチ専用）</v>
      </c>
      <c r="E37" s="88">
        <v>2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【上級】全ては主のために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7" s="86">
        <v>0</v>
      </c>
      <c r="I37" s="98">
        <v>8</v>
      </c>
      <c r="J37" s="85" t="s">
        <v>197</v>
      </c>
      <c r="K37" s="94" t="str">
        <f>VLOOKUP(I37,[7]stage_hints!$A:$C,3,FALSE)</f>
        <v>ゲリラクエストは要チェック</v>
      </c>
      <c r="L37" s="95" t="str">
        <f>VLOOKUP(I37,[7]stage_hints!$A:$D,4,FALSE)</f>
        <v>時間限定の「アヒル捕獲作戦」では_x000D_経験値素材ユニットが多く手に入ります</v>
      </c>
      <c r="M37" s="57" t="s">
        <v>210</v>
      </c>
    </row>
    <row r="38" spans="1:13" x14ac:dyDescent="0.15">
      <c r="A38" s="82" t="s">
        <v>200</v>
      </c>
      <c r="B38" s="83">
        <f>floors!$C$2</f>
        <v>30029</v>
      </c>
      <c r="C38" s="84" t="str">
        <f ca="1">VLOOKUP($B38,OFFSET([2]quests!$A$1,0,0,COUNTA([2]quests!$A:$A),MATCH(C$1,[2]quests!$1:$1,0)-MATCH($B$1,[2]quests!$1:$1,0)+1),MATCH(C$1,[2]quests!$1:$1,0)-MATCH($B$1,[2]quests!$1:$1,0)+1,FALSE)</f>
        <v>全ては主のために</v>
      </c>
      <c r="D38" s="84" t="str">
        <f ca="1">VLOOKUP($B38,OFFSET([2]quests!$A$1,0,0,COUNTA([2]quests!$A:$A),MATCH(D$1,[2]quests!$1:$1,0)-MATCH($B$1,[2]quests!$1:$1,0)+1),MATCH(D$1,[2]quests!$1:$1,0)-MATCH($B$1,[2]quests!$1:$1,0)+1,FALSE)</f>
        <v>ドロップイベント8（マルチ専用）</v>
      </c>
      <c r="E38" s="88">
        <v>2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【上級】全ては主のために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8" s="86">
        <v>0</v>
      </c>
      <c r="I38" s="98">
        <v>9</v>
      </c>
      <c r="J38" s="85" t="s">
        <v>197</v>
      </c>
      <c r="K38" s="94" t="str">
        <f>VLOOKUP(I38,[7]stage_hints!$A:$C,3,FALSE)</f>
        <v>ゴールドダックでビットを獲得</v>
      </c>
      <c r="L38" s="95" t="str">
        <f>VLOOKUP(I38,[7]stage_hints!$A:$D,4,FALSE)</f>
        <v>「ゴールドなアヒル」を売却すると_x000D_大量のビットがもらえます</v>
      </c>
      <c r="M38" s="57" t="s">
        <v>210</v>
      </c>
    </row>
    <row r="39" spans="1:13" x14ac:dyDescent="0.15">
      <c r="A39" s="82" t="s">
        <v>200</v>
      </c>
      <c r="B39" s="83">
        <f>floors!$C$2</f>
        <v>30029</v>
      </c>
      <c r="C39" s="84" t="str">
        <f ca="1">VLOOKUP($B39,OFFSET([2]quests!$A$1,0,0,COUNTA([2]quests!$A:$A),MATCH(C$1,[2]quests!$1:$1,0)-MATCH($B$1,[2]quests!$1:$1,0)+1),MATCH(C$1,[2]quests!$1:$1,0)-MATCH($B$1,[2]quests!$1:$1,0)+1,FALSE)</f>
        <v>全ては主のために</v>
      </c>
      <c r="D39" s="84" t="str">
        <f ca="1">VLOOKUP($B39,OFFSET([2]quests!$A$1,0,0,COUNTA([2]quests!$A:$A),MATCH(D$1,[2]quests!$1:$1,0)-MATCH($B$1,[2]quests!$1:$1,0)+1),MATCH(D$1,[2]quests!$1:$1,0)-MATCH($B$1,[2]quests!$1:$1,0)+1,FALSE)</f>
        <v>ドロップイベント8（マルチ専用）</v>
      </c>
      <c r="E39" s="88">
        <v>2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【上級】全ては主のために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9" s="86">
        <v>0</v>
      </c>
      <c r="I39" s="98">
        <v>10</v>
      </c>
      <c r="J39" s="85" t="s">
        <v>197</v>
      </c>
      <c r="K39" s="94" t="str">
        <f>VLOOKUP(I39,[7]stage_hints!$A:$C,3,FALSE)</f>
        <v>土日に大量のビットを獲得</v>
      </c>
      <c r="L39" s="95" t="str">
        <f>VLOOKUP(I39,[7]stage_hints!$A:$D,4,FALSE)</f>
        <v>土日限定の「ゴールドカジノ」では_x000D_売却素材ユニットが多く手に入ります</v>
      </c>
      <c r="M39" s="57" t="s">
        <v>210</v>
      </c>
    </row>
    <row r="40" spans="1:13" x14ac:dyDescent="0.15">
      <c r="A40" s="82" t="s">
        <v>200</v>
      </c>
      <c r="B40" s="83">
        <f>floors!$C$2</f>
        <v>30029</v>
      </c>
      <c r="C40" s="84" t="str">
        <f ca="1">VLOOKUP($B40,OFFSET([2]quests!$A$1,0,0,COUNTA([2]quests!$A:$A),MATCH(C$1,[2]quests!$1:$1,0)-MATCH($B$1,[2]quests!$1:$1,0)+1),MATCH(C$1,[2]quests!$1:$1,0)-MATCH($B$1,[2]quests!$1:$1,0)+1,FALSE)</f>
        <v>全ては主のために</v>
      </c>
      <c r="D40" s="84" t="str">
        <f ca="1">VLOOKUP($B40,OFFSET([2]quests!$A$1,0,0,COUNTA([2]quests!$A:$A),MATCH(D$1,[2]quests!$1:$1,0)-MATCH($B$1,[2]quests!$1:$1,0)+1),MATCH(D$1,[2]quests!$1:$1,0)-MATCH($B$1,[2]quests!$1:$1,0)+1,FALSE)</f>
        <v>ドロップイベント8（マルチ専用）</v>
      </c>
      <c r="E40" s="88">
        <v>2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【上級】全ては主のために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0" s="86">
        <v>0</v>
      </c>
      <c r="I40" s="98">
        <v>11</v>
      </c>
      <c r="J40" s="85" t="s">
        <v>197</v>
      </c>
      <c r="K40" s="94" t="str">
        <f>VLOOKUP(I40,[7]stage_hints!$A:$C,3,FALSE)</f>
        <v>ランク解放クエスト</v>
      </c>
      <c r="L40" s="95" t="str">
        <f>VLOOKUP(I40,[7]stage_hints!$A:$D,4,FALSE)</f>
        <v>一定ランクに到達すると_x000D_報酬付きのランク開放クエストが現れます</v>
      </c>
      <c r="M40" s="57" t="s">
        <v>210</v>
      </c>
    </row>
    <row r="41" spans="1:13" x14ac:dyDescent="0.15">
      <c r="A41" s="82" t="s">
        <v>200</v>
      </c>
      <c r="B41" s="83">
        <f>floors!$C$2</f>
        <v>30029</v>
      </c>
      <c r="C41" s="84" t="str">
        <f ca="1">VLOOKUP($B41,OFFSET([2]quests!$A$1,0,0,COUNTA([2]quests!$A:$A),MATCH(C$1,[2]quests!$1:$1,0)-MATCH($B$1,[2]quests!$1:$1,0)+1),MATCH(C$1,[2]quests!$1:$1,0)-MATCH($B$1,[2]quests!$1:$1,0)+1,FALSE)</f>
        <v>全ては主のために</v>
      </c>
      <c r="D41" s="84" t="str">
        <f ca="1">VLOOKUP($B41,OFFSET([2]quests!$A$1,0,0,COUNTA([2]quests!$A:$A),MATCH(D$1,[2]quests!$1:$1,0)-MATCH($B$1,[2]quests!$1:$1,0)+1),MATCH(D$1,[2]quests!$1:$1,0)-MATCH($B$1,[2]quests!$1:$1,0)+1,FALSE)</f>
        <v>ドロップイベント8（マルチ専用）</v>
      </c>
      <c r="E41" s="88">
        <v>2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【上級】全ては主のために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1" s="86">
        <v>0</v>
      </c>
      <c r="I41" s="98">
        <v>12</v>
      </c>
      <c r="J41" s="85" t="s">
        <v>197</v>
      </c>
      <c r="K41" s="94" t="str">
        <f>VLOOKUP(I41,[7]stage_hints!$A:$C,3,FALSE)</f>
        <v>ユニットのお気に入り登録</v>
      </c>
      <c r="L41" s="95" t="str">
        <f>VLOOKUP(I41,[7]stage_hints!$A:$D,4,FALSE)</f>
        <v>大事なユニットを誤って消さないように_x000D_フォルダから「お気に入り登録」しましょう</v>
      </c>
      <c r="M41" s="57" t="s">
        <v>210</v>
      </c>
    </row>
    <row r="42" spans="1:13" x14ac:dyDescent="0.15">
      <c r="A42" s="82" t="s">
        <v>200</v>
      </c>
      <c r="B42" s="83">
        <f>floors!$C$2</f>
        <v>30029</v>
      </c>
      <c r="C42" s="84" t="str">
        <f ca="1">VLOOKUP($B42,OFFSET([2]quests!$A$1,0,0,COUNTA([2]quests!$A:$A),MATCH(C$1,[2]quests!$1:$1,0)-MATCH($B$1,[2]quests!$1:$1,0)+1),MATCH(C$1,[2]quests!$1:$1,0)-MATCH($B$1,[2]quests!$1:$1,0)+1,FALSE)</f>
        <v>全ては主のために</v>
      </c>
      <c r="D42" s="84" t="str">
        <f ca="1">VLOOKUP($B42,OFFSET([2]quests!$A$1,0,0,COUNTA([2]quests!$A:$A),MATCH(D$1,[2]quests!$1:$1,0)-MATCH($B$1,[2]quests!$1:$1,0)+1),MATCH(D$1,[2]quests!$1:$1,0)-MATCH($B$1,[2]quests!$1:$1,0)+1,FALSE)</f>
        <v>ドロップイベント8（マルチ専用）</v>
      </c>
      <c r="E42" s="88">
        <v>2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【上級】全ては主のために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2" s="86">
        <v>0</v>
      </c>
      <c r="I42" s="98">
        <v>13</v>
      </c>
      <c r="J42" s="85" t="s">
        <v>197</v>
      </c>
      <c r="K42" s="94" t="str">
        <f>VLOOKUP(I42,[7]stage_hints!$A:$C,3,FALSE)</f>
        <v>ユニットの覚醒</v>
      </c>
      <c r="L42" s="95" t="str">
        <f>VLOOKUP(I42,[7]stage_hints!$A:$D,4,FALSE)</f>
        <v>ユニットを覚醒させると_x000D_比べものにならない強さが手に入ります</v>
      </c>
      <c r="M42" s="57" t="s">
        <v>210</v>
      </c>
    </row>
    <row r="43" spans="1:13" x14ac:dyDescent="0.15">
      <c r="A43" s="82" t="s">
        <v>200</v>
      </c>
      <c r="B43" s="83">
        <f>floors!$C$2</f>
        <v>30029</v>
      </c>
      <c r="C43" s="84" t="str">
        <f ca="1">VLOOKUP($B43,OFFSET([2]quests!$A$1,0,0,COUNTA([2]quests!$A:$A),MATCH(C$1,[2]quests!$1:$1,0)-MATCH($B$1,[2]quests!$1:$1,0)+1),MATCH(C$1,[2]quests!$1:$1,0)-MATCH($B$1,[2]quests!$1:$1,0)+1,FALSE)</f>
        <v>全ては主のために</v>
      </c>
      <c r="D43" s="84" t="str">
        <f ca="1">VLOOKUP($B43,OFFSET([2]quests!$A$1,0,0,COUNTA([2]quests!$A:$A),MATCH(D$1,[2]quests!$1:$1,0)-MATCH($B$1,[2]quests!$1:$1,0)+1),MATCH(D$1,[2]quests!$1:$1,0)-MATCH($B$1,[2]quests!$1:$1,0)+1,FALSE)</f>
        <v>ドロップイベント8（マルチ専用）</v>
      </c>
      <c r="E43" s="88">
        <v>2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【上級】全ては主のために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3" s="86">
        <v>0</v>
      </c>
      <c r="I43" s="98">
        <v>14</v>
      </c>
      <c r="J43" s="85" t="s">
        <v>197</v>
      </c>
      <c r="K43" s="94" t="str">
        <f>VLOOKUP(I43,[7]stage_hints!$A:$C,3,FALSE)</f>
        <v>覚醒するにはレベルを最大に</v>
      </c>
      <c r="L43" s="95" t="str">
        <f>VLOOKUP(I43,[7]stage_hints!$A:$D,4,FALSE)</f>
        <v>覚醒するにはユニットのレベルを_x000D_最大まで上げる必要があります</v>
      </c>
      <c r="M43" s="57" t="s">
        <v>210</v>
      </c>
    </row>
    <row r="44" spans="1:13" x14ac:dyDescent="0.15">
      <c r="A44" s="82" t="s">
        <v>200</v>
      </c>
      <c r="B44" s="83">
        <f>floors!$C$2</f>
        <v>30029</v>
      </c>
      <c r="C44" s="84" t="str">
        <f ca="1">VLOOKUP($B44,OFFSET([2]quests!$A$1,0,0,COUNTA([2]quests!$A:$A),MATCH(C$1,[2]quests!$1:$1,0)-MATCH($B$1,[2]quests!$1:$1,0)+1),MATCH(C$1,[2]quests!$1:$1,0)-MATCH($B$1,[2]quests!$1:$1,0)+1,FALSE)</f>
        <v>全ては主のために</v>
      </c>
      <c r="D44" s="84" t="str">
        <f ca="1">VLOOKUP($B44,OFFSET([2]quests!$A$1,0,0,COUNTA([2]quests!$A:$A),MATCH(D$1,[2]quests!$1:$1,0)-MATCH($B$1,[2]quests!$1:$1,0)+1),MATCH(D$1,[2]quests!$1:$1,0)-MATCH($B$1,[2]quests!$1:$1,0)+1,FALSE)</f>
        <v>ドロップイベント8（マルチ専用）</v>
      </c>
      <c r="E44" s="88">
        <v>2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【上級】全ては主のために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4" s="86">
        <v>0</v>
      </c>
      <c r="I44" s="98">
        <v>15</v>
      </c>
      <c r="J44" s="85" t="s">
        <v>197</v>
      </c>
      <c r="K44" s="94" t="str">
        <f>VLOOKUP(I44,[7]stage_hints!$A:$C,3,FALSE)</f>
        <v>覚醒素材を獲得</v>
      </c>
      <c r="L44" s="95" t="str">
        <f>VLOOKUP(I44,[7]stage_hints!$A:$D,4,FALSE)</f>
        <v>「曜日クエスト」では_x000D_ユニットの覚醒に必要な素材が手に入ります</v>
      </c>
      <c r="M44" s="57" t="s">
        <v>210</v>
      </c>
    </row>
    <row r="45" spans="1:13" x14ac:dyDescent="0.15">
      <c r="A45" s="82" t="s">
        <v>200</v>
      </c>
      <c r="B45" s="83">
        <f>floors!$C$2</f>
        <v>30029</v>
      </c>
      <c r="C45" s="84" t="str">
        <f ca="1">VLOOKUP($B45,OFFSET([2]quests!$A$1,0,0,COUNTA([2]quests!$A:$A),MATCH(C$1,[2]quests!$1:$1,0)-MATCH($B$1,[2]quests!$1:$1,0)+1),MATCH(C$1,[2]quests!$1:$1,0)-MATCH($B$1,[2]quests!$1:$1,0)+1,FALSE)</f>
        <v>全ては主のために</v>
      </c>
      <c r="D45" s="84" t="str">
        <f ca="1">VLOOKUP($B45,OFFSET([2]quests!$A$1,0,0,COUNTA([2]quests!$A:$A),MATCH(D$1,[2]quests!$1:$1,0)-MATCH($B$1,[2]quests!$1:$1,0)+1),MATCH(D$1,[2]quests!$1:$1,0)-MATCH($B$1,[2]quests!$1:$1,0)+1,FALSE)</f>
        <v>ドロップイベント8（マルチ専用）</v>
      </c>
      <c r="E45" s="88">
        <v>2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【上級】全ては主のために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5" s="86">
        <v>0</v>
      </c>
      <c r="I45" s="98">
        <v>16</v>
      </c>
      <c r="J45" s="85" t="s">
        <v>197</v>
      </c>
      <c r="K45" s="94" t="str">
        <f>VLOOKUP(I45,[7]stage_hints!$A:$C,3,FALSE)</f>
        <v>マルチプレイのメリット（その1）</v>
      </c>
      <c r="L45" s="95" t="str">
        <f>VLOOKUP(I45,[7]stage_hints!$A:$D,4,FALSE)</f>
        <v>他のプレイヤーとマルチプレイで遊ぶと_x000D_ポリゴンがもらえます（100人まで）</v>
      </c>
      <c r="M45" s="57" t="s">
        <v>210</v>
      </c>
    </row>
    <row r="46" spans="1:13" x14ac:dyDescent="0.15">
      <c r="A46" s="82" t="s">
        <v>200</v>
      </c>
      <c r="B46" s="83">
        <f>floors!$C$2</f>
        <v>30029</v>
      </c>
      <c r="C46" s="84" t="str">
        <f ca="1">VLOOKUP($B46,OFFSET([2]quests!$A$1,0,0,COUNTA([2]quests!$A:$A),MATCH(C$1,[2]quests!$1:$1,0)-MATCH($B$1,[2]quests!$1:$1,0)+1),MATCH(C$1,[2]quests!$1:$1,0)-MATCH($B$1,[2]quests!$1:$1,0)+1,FALSE)</f>
        <v>全ては主のために</v>
      </c>
      <c r="D46" s="84" t="str">
        <f ca="1">VLOOKUP($B46,OFFSET([2]quests!$A$1,0,0,COUNTA([2]quests!$A:$A),MATCH(D$1,[2]quests!$1:$1,0)-MATCH($B$1,[2]quests!$1:$1,0)+1),MATCH(D$1,[2]quests!$1:$1,0)-MATCH($B$1,[2]quests!$1:$1,0)+1,FALSE)</f>
        <v>ドロップイベント8（マルチ専用）</v>
      </c>
      <c r="E46" s="88">
        <v>2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【上級】全ては主のために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6" s="86">
        <v>0</v>
      </c>
      <c r="I46" s="98">
        <v>17</v>
      </c>
      <c r="J46" s="85" t="s">
        <v>197</v>
      </c>
      <c r="K46" s="94" t="str">
        <f>VLOOKUP(I46,[7]stage_hints!$A:$C,3,FALSE)</f>
        <v>リンクガチャ</v>
      </c>
      <c r="L46" s="95" t="str">
        <f>VLOOKUP(I46,[7]stage_hints!$A:$D,4,FALSE)</f>
        <v>無料のリンクガチャを回して_x000D_経験値素材や売却素材を獲得しましょう</v>
      </c>
      <c r="M46" s="57" t="s">
        <v>210</v>
      </c>
    </row>
    <row r="47" spans="1:13" x14ac:dyDescent="0.15">
      <c r="A47" s="82" t="s">
        <v>200</v>
      </c>
      <c r="B47" s="83">
        <f>floors!$C$2</f>
        <v>30029</v>
      </c>
      <c r="C47" s="84" t="str">
        <f ca="1">VLOOKUP($B47,OFFSET([2]quests!$A$1,0,0,COUNTA([2]quests!$A:$A),MATCH(C$1,[2]quests!$1:$1,0)-MATCH($B$1,[2]quests!$1:$1,0)+1),MATCH(C$1,[2]quests!$1:$1,0)-MATCH($B$1,[2]quests!$1:$1,0)+1,FALSE)</f>
        <v>全ては主のために</v>
      </c>
      <c r="D47" s="84" t="str">
        <f ca="1">VLOOKUP($B47,OFFSET([2]quests!$A$1,0,0,COUNTA([2]quests!$A:$A),MATCH(D$1,[2]quests!$1:$1,0)-MATCH($B$1,[2]quests!$1:$1,0)+1),MATCH(D$1,[2]quests!$1:$1,0)-MATCH($B$1,[2]quests!$1:$1,0)+1,FALSE)</f>
        <v>ドロップイベント8（マルチ専用）</v>
      </c>
      <c r="E47" s="88">
        <v>2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【上級】全ては主のために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7" s="86">
        <v>0</v>
      </c>
      <c r="I47" s="98">
        <v>18</v>
      </c>
      <c r="J47" s="85" t="s">
        <v>197</v>
      </c>
      <c r="K47" s="94" t="str">
        <f>VLOOKUP(I47,[7]stage_hints!$A:$C,3,FALSE)</f>
        <v>マルチプレイのメリット（その2）</v>
      </c>
      <c r="L47" s="95" t="str">
        <f>VLOOKUP(I47,[7]stage_hints!$A:$D,4,FALSE)</f>
        <v>マルチプレイならリンクが2倍もらえます_x000D_リンクガチャをたくさん回しましょう</v>
      </c>
      <c r="M47" s="57" t="s">
        <v>210</v>
      </c>
    </row>
    <row r="48" spans="1:13" x14ac:dyDescent="0.15">
      <c r="A48" s="82" t="s">
        <v>200</v>
      </c>
      <c r="B48" s="83">
        <f>floors!$C$2</f>
        <v>30029</v>
      </c>
      <c r="C48" s="84" t="str">
        <f ca="1">VLOOKUP($B48,OFFSET([2]quests!$A$1,0,0,COUNTA([2]quests!$A:$A),MATCH(C$1,[2]quests!$1:$1,0)-MATCH($B$1,[2]quests!$1:$1,0)+1),MATCH(C$1,[2]quests!$1:$1,0)-MATCH($B$1,[2]quests!$1:$1,0)+1,FALSE)</f>
        <v>全ては主のために</v>
      </c>
      <c r="D48" s="84" t="str">
        <f ca="1">VLOOKUP($B48,OFFSET([2]quests!$A$1,0,0,COUNTA([2]quests!$A:$A),MATCH(D$1,[2]quests!$1:$1,0)-MATCH($B$1,[2]quests!$1:$1,0)+1),MATCH(D$1,[2]quests!$1:$1,0)-MATCH($B$1,[2]quests!$1:$1,0)+1,FALSE)</f>
        <v>ドロップイベント8（マルチ専用）</v>
      </c>
      <c r="E48" s="88">
        <v>2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【上級】全ては主のために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8" s="86">
        <v>0</v>
      </c>
      <c r="I48" s="98">
        <v>19</v>
      </c>
      <c r="J48" s="85" t="s">
        <v>197</v>
      </c>
      <c r="K48" s="94" t="str">
        <f>VLOOKUP(I48,[7]stage_hints!$A:$C,3,FALSE)</f>
        <v>ソロ専用タワーオブザクイーン</v>
      </c>
      <c r="L48" s="95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7" t="s">
        <v>210</v>
      </c>
    </row>
    <row r="49" spans="1:13" x14ac:dyDescent="0.15">
      <c r="A49" s="82" t="s">
        <v>200</v>
      </c>
      <c r="B49" s="83">
        <f>floors!$C$2</f>
        <v>30029</v>
      </c>
      <c r="C49" s="84" t="str">
        <f ca="1">VLOOKUP($B49,OFFSET([2]quests!$A$1,0,0,COUNTA([2]quests!$A:$A),MATCH(C$1,[2]quests!$1:$1,0)-MATCH($B$1,[2]quests!$1:$1,0)+1),MATCH(C$1,[2]quests!$1:$1,0)-MATCH($B$1,[2]quests!$1:$1,0)+1,FALSE)</f>
        <v>全ては主のために</v>
      </c>
      <c r="D49" s="84" t="str">
        <f ca="1">VLOOKUP($B49,OFFSET([2]quests!$A$1,0,0,COUNTA([2]quests!$A:$A),MATCH(D$1,[2]quests!$1:$1,0)-MATCH($B$1,[2]quests!$1:$1,0)+1),MATCH(D$1,[2]quests!$1:$1,0)-MATCH($B$1,[2]quests!$1:$1,0)+1,FALSE)</f>
        <v>ドロップイベント8（マルチ専用）</v>
      </c>
      <c r="E49" s="88">
        <v>2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【上級】全ては主のために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9" s="86">
        <v>0</v>
      </c>
      <c r="I49" s="98">
        <v>20</v>
      </c>
      <c r="J49" s="85" t="s">
        <v>197</v>
      </c>
      <c r="K49" s="94" t="str">
        <f>VLOOKUP(I49,[7]stage_hints!$A:$C,3,FALSE)</f>
        <v>マルチプレイのメリット（その3）</v>
      </c>
      <c r="L49" s="95" t="str">
        <f>VLOOKUP(I49,[7]stage_hints!$A:$D,4,FALSE)</f>
        <v>マルチプレイへの参加はエナジー消費ゼロ_x000D_いつでも好きなだけ遊ぶことができます</v>
      </c>
      <c r="M49" s="57" t="s">
        <v>210</v>
      </c>
    </row>
    <row r="50" spans="1:13" x14ac:dyDescent="0.15">
      <c r="A50" s="82" t="s">
        <v>200</v>
      </c>
      <c r="B50" s="83">
        <f>floors!$C$2</f>
        <v>30029</v>
      </c>
      <c r="C50" s="84" t="str">
        <f ca="1">VLOOKUP($B50,OFFSET([2]quests!$A$1,0,0,COUNTA([2]quests!$A:$A),MATCH(C$1,[2]quests!$1:$1,0)-MATCH($B$1,[2]quests!$1:$1,0)+1),MATCH(C$1,[2]quests!$1:$1,0)-MATCH($B$1,[2]quests!$1:$1,0)+1,FALSE)</f>
        <v>全ては主のために</v>
      </c>
      <c r="D50" s="84" t="str">
        <f ca="1">VLOOKUP($B50,OFFSET([2]quests!$A$1,0,0,COUNTA([2]quests!$A:$A),MATCH(D$1,[2]quests!$1:$1,0)-MATCH($B$1,[2]quests!$1:$1,0)+1),MATCH(D$1,[2]quests!$1:$1,0)-MATCH($B$1,[2]quests!$1:$1,0)+1,FALSE)</f>
        <v>ドロップイベント8（マルチ専用）</v>
      </c>
      <c r="E50" s="88">
        <v>2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【上級】全ては主のために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0" s="86">
        <v>0</v>
      </c>
      <c r="I50" s="98">
        <v>21</v>
      </c>
      <c r="J50" s="85" t="s">
        <v>197</v>
      </c>
      <c r="K50" s="94" t="str">
        <f>VLOOKUP(I50,[7]stage_hints!$A:$C,3,FALSE)</f>
        <v>スキルを有効に</v>
      </c>
      <c r="L50" s="95" t="str">
        <f>VLOOKUP(I50,[7]stage_hints!$A:$D,4,FALSE)</f>
        <v>ターン経過でユニットのスキルが使えます_x000D_強力スキルでバトルを有利に進めましょう</v>
      </c>
      <c r="M50" s="57" t="s">
        <v>210</v>
      </c>
    </row>
    <row r="51" spans="1:13" x14ac:dyDescent="0.15">
      <c r="A51" s="82" t="s">
        <v>200</v>
      </c>
      <c r="B51" s="83">
        <f>floors!$C$2</f>
        <v>30029</v>
      </c>
      <c r="C51" s="84" t="str">
        <f ca="1">VLOOKUP($B51,OFFSET([2]quests!$A$1,0,0,COUNTA([2]quests!$A:$A),MATCH(C$1,[2]quests!$1:$1,0)-MATCH($B$1,[2]quests!$1:$1,0)+1),MATCH(C$1,[2]quests!$1:$1,0)-MATCH($B$1,[2]quests!$1:$1,0)+1,FALSE)</f>
        <v>全ては主のために</v>
      </c>
      <c r="D51" s="84" t="str">
        <f ca="1">VLOOKUP($B51,OFFSET([2]quests!$A$1,0,0,COUNTA([2]quests!$A:$A),MATCH(D$1,[2]quests!$1:$1,0)-MATCH($B$1,[2]quests!$1:$1,0)+1),MATCH(D$1,[2]quests!$1:$1,0)-MATCH($B$1,[2]quests!$1:$1,0)+1,FALSE)</f>
        <v>ドロップイベント8（マルチ専用）</v>
      </c>
      <c r="E51" s="88">
        <v>2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【上級】全ては主のために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1" s="86">
        <v>0</v>
      </c>
      <c r="I51" s="98">
        <v>22</v>
      </c>
      <c r="J51" s="85" t="s">
        <v>197</v>
      </c>
      <c r="K51" s="94" t="str">
        <f>VLOOKUP(I51,[7]stage_hints!$A:$C,3,FALSE)</f>
        <v>フィーバーで一発逆転（その1）</v>
      </c>
      <c r="L51" s="95" t="str">
        <f>VLOOKUP(I51,[7]stage_hints!$A:$D,4,FALSE)</f>
        <v>フィーバーは攻撃と回復を兼ね備えます_x000D_ピンチからの一発逆転を狙いましょう</v>
      </c>
      <c r="M51" s="57" t="s">
        <v>210</v>
      </c>
    </row>
    <row r="52" spans="1:13" x14ac:dyDescent="0.15">
      <c r="A52" s="82" t="s">
        <v>200</v>
      </c>
      <c r="B52" s="83">
        <f>floors!$C$2</f>
        <v>30029</v>
      </c>
      <c r="C52" s="84" t="str">
        <f ca="1">VLOOKUP($B52,OFFSET([2]quests!$A$1,0,0,COUNTA([2]quests!$A:$A),MATCH(C$1,[2]quests!$1:$1,0)-MATCH($B$1,[2]quests!$1:$1,0)+1),MATCH(C$1,[2]quests!$1:$1,0)-MATCH($B$1,[2]quests!$1:$1,0)+1,FALSE)</f>
        <v>全ては主のために</v>
      </c>
      <c r="D52" s="84" t="str">
        <f ca="1">VLOOKUP($B52,OFFSET([2]quests!$A$1,0,0,COUNTA([2]quests!$A:$A),MATCH(D$1,[2]quests!$1:$1,0)-MATCH($B$1,[2]quests!$1:$1,0)+1),MATCH(D$1,[2]quests!$1:$1,0)-MATCH($B$1,[2]quests!$1:$1,0)+1,FALSE)</f>
        <v>ドロップイベント8（マルチ専用）</v>
      </c>
      <c r="E52" s="88">
        <v>2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【上級】全ては主のために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2" s="86">
        <v>0</v>
      </c>
      <c r="I52" s="98">
        <v>23</v>
      </c>
      <c r="J52" s="85" t="s">
        <v>197</v>
      </c>
      <c r="K52" s="94" t="str">
        <f>VLOOKUP(I52,[7]stage_hints!$A:$C,3,FALSE)</f>
        <v>フィーバーで一発逆転（その2）</v>
      </c>
      <c r="L52" s="95" t="str">
        <f>VLOOKUP(I52,[7]stage_hints!$A:$D,4,FALSE)</f>
        <v>フィーバー中は虹色のボムパネルを狙って_x000D_画面上のパネルを一気に破壊しましょう</v>
      </c>
      <c r="M52" s="57" t="s">
        <v>210</v>
      </c>
    </row>
    <row r="53" spans="1:13" x14ac:dyDescent="0.15">
      <c r="A53" s="82" t="s">
        <v>200</v>
      </c>
      <c r="B53" s="83">
        <f>floors!$C$2</f>
        <v>30029</v>
      </c>
      <c r="C53" s="84" t="str">
        <f ca="1">VLOOKUP($B53,OFFSET([2]quests!$A$1,0,0,COUNTA([2]quests!$A:$A),MATCH(C$1,[2]quests!$1:$1,0)-MATCH($B$1,[2]quests!$1:$1,0)+1),MATCH(C$1,[2]quests!$1:$1,0)-MATCH($B$1,[2]quests!$1:$1,0)+1,FALSE)</f>
        <v>全ては主のために</v>
      </c>
      <c r="D53" s="84" t="str">
        <f ca="1">VLOOKUP($B53,OFFSET([2]quests!$A$1,0,0,COUNTA([2]quests!$A:$A),MATCH(D$1,[2]quests!$1:$1,0)-MATCH($B$1,[2]quests!$1:$1,0)+1),MATCH(D$1,[2]quests!$1:$1,0)-MATCH($B$1,[2]quests!$1:$1,0)+1,FALSE)</f>
        <v>ドロップイベント8（マルチ専用）</v>
      </c>
      <c r="E53" s="88">
        <v>2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【上級】全ては主のために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3" s="86">
        <v>0</v>
      </c>
      <c r="I53" s="98">
        <v>24</v>
      </c>
      <c r="J53" s="85" t="s">
        <v>197</v>
      </c>
      <c r="K53" s="94" t="str">
        <f>VLOOKUP(I53,[7]stage_hints!$A:$C,3,FALSE)</f>
        <v>果実を使って限界突破</v>
      </c>
      <c r="L53" s="95" t="str">
        <f>VLOOKUP(I53,[7]stage_hints!$A:$D,4,FALSE)</f>
        <v>攻めの果実 癒しの果実_x000D_生命の果実をユニット強化に使うと_x000D_ステータスが限界突破します（計99個迄）</v>
      </c>
      <c r="M53" s="57" t="s">
        <v>210</v>
      </c>
    </row>
    <row r="54" spans="1:13" x14ac:dyDescent="0.15">
      <c r="A54" s="82" t="s">
        <v>200</v>
      </c>
      <c r="B54" s="83">
        <f>floors!$C$2</f>
        <v>30029</v>
      </c>
      <c r="C54" s="84" t="str">
        <f ca="1">VLOOKUP($B54,OFFSET([2]quests!$A$1,0,0,COUNTA([2]quests!$A:$A),MATCH(C$1,[2]quests!$1:$1,0)-MATCH($B$1,[2]quests!$1:$1,0)+1),MATCH(C$1,[2]quests!$1:$1,0)-MATCH($B$1,[2]quests!$1:$1,0)+1,FALSE)</f>
        <v>全ては主のために</v>
      </c>
      <c r="D54" s="84" t="str">
        <f ca="1">VLOOKUP($B54,OFFSET([2]quests!$A$1,0,0,COUNTA([2]quests!$A:$A),MATCH(D$1,[2]quests!$1:$1,0)-MATCH($B$1,[2]quests!$1:$1,0)+1),MATCH(D$1,[2]quests!$1:$1,0)-MATCH($B$1,[2]quests!$1:$1,0)+1,FALSE)</f>
        <v>ドロップイベント8（マルチ専用）</v>
      </c>
      <c r="E54" s="88">
        <v>2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【上級】全ては主のために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4" s="86">
        <v>0</v>
      </c>
      <c r="I54" s="98">
        <v>25</v>
      </c>
      <c r="J54" s="85" t="s">
        <v>197</v>
      </c>
      <c r="K54" s="94" t="str">
        <f>VLOOKUP(I54,[7]stage_hints!$A:$C,3,FALSE)</f>
        <v>スキルレベルアップ</v>
      </c>
      <c r="L54" s="95" t="str">
        <f>VLOOKUP(I54,[7]stage_hints!$A:$D,4,FALSE)</f>
        <v>「秘術の果実」を強化に使うと_x000D_スキルレベルを上げることができます</v>
      </c>
      <c r="M54" s="57" t="s">
        <v>210</v>
      </c>
    </row>
    <row r="55" spans="1:13" x14ac:dyDescent="0.15">
      <c r="A55" s="82" t="s">
        <v>200</v>
      </c>
      <c r="B55" s="83">
        <f>floors!$C$2</f>
        <v>30029</v>
      </c>
      <c r="C55" s="84" t="str">
        <f ca="1">VLOOKUP($B55,OFFSET([2]quests!$A$1,0,0,COUNTA([2]quests!$A:$A),MATCH(C$1,[2]quests!$1:$1,0)-MATCH($B$1,[2]quests!$1:$1,0)+1),MATCH(C$1,[2]quests!$1:$1,0)-MATCH($B$1,[2]quests!$1:$1,0)+1,FALSE)</f>
        <v>全ては主のために</v>
      </c>
      <c r="D55" s="84" t="str">
        <f ca="1">VLOOKUP($B55,OFFSET([2]quests!$A$1,0,0,COUNTA([2]quests!$A:$A),MATCH(D$1,[2]quests!$1:$1,0)-MATCH($B$1,[2]quests!$1:$1,0)+1),MATCH(D$1,[2]quests!$1:$1,0)-MATCH($B$1,[2]quests!$1:$1,0)+1,FALSE)</f>
        <v>ドロップイベント8（マルチ専用）</v>
      </c>
      <c r="E55" s="88">
        <v>2</v>
      </c>
      <c r="F55" s="84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【上級】全ては主のために</v>
      </c>
      <c r="G55" s="84" t="str">
        <f ca="1">VLOOKUP($B55&amp;"_"&amp;$E55,OFFSET([2]stages!$A$1,0,0,COUNTA([2]stages!$A:$A),MATCH(G$1,[2]stages!$2:$2,0)-MATCH("temp_stage",[2]stages!$2:$2,0)+1),MATCH(G$1,[2]stages!$2:$2,0)-MATCH("temp_stage",[2]stages!$2:$2,0)+1,FALSE)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5" s="86">
        <v>0</v>
      </c>
      <c r="I55" s="98">
        <v>26</v>
      </c>
      <c r="J55" s="85" t="s">
        <v>197</v>
      </c>
      <c r="K55" s="94" t="str">
        <f>VLOOKUP(I55,[7]stage_hints!$A:$C,3,FALSE)</f>
        <v>スキルレベルの効果</v>
      </c>
      <c r="L55" s="95" t="str">
        <f>VLOOKUP(I55,[7]stage_hints!$A:$D,4,FALSE)</f>
        <v>スキルレベルが上がると_x000D_短いターンでスキルを使うことができます</v>
      </c>
      <c r="M55" s="57" t="s">
        <v>210</v>
      </c>
    </row>
    <row r="56" spans="1:13" x14ac:dyDescent="0.15">
      <c r="A56" s="82" t="s">
        <v>200</v>
      </c>
      <c r="B56" s="83">
        <f>floors!$C$2</f>
        <v>30029</v>
      </c>
      <c r="C56" s="84" t="str">
        <f ca="1">VLOOKUP($B56,OFFSET([2]quests!$A$1,0,0,COUNTA([2]quests!$A:$A),MATCH(C$1,[2]quests!$1:$1,0)-MATCH($B$1,[2]quests!$1:$1,0)+1),MATCH(C$1,[2]quests!$1:$1,0)-MATCH($B$1,[2]quests!$1:$1,0)+1,FALSE)</f>
        <v>全ては主のために</v>
      </c>
      <c r="D56" s="84" t="str">
        <f ca="1">VLOOKUP($B56,OFFSET([2]quests!$A$1,0,0,COUNTA([2]quests!$A:$A),MATCH(D$1,[2]quests!$1:$1,0)-MATCH($B$1,[2]quests!$1:$1,0)+1),MATCH(D$1,[2]quests!$1:$1,0)-MATCH($B$1,[2]quests!$1:$1,0)+1,FALSE)</f>
        <v>ドロップイベント8（マルチ専用）</v>
      </c>
      <c r="E56" s="88">
        <v>2</v>
      </c>
      <c r="F56" s="84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【上級】全ては主のために</v>
      </c>
      <c r="G56" s="84" t="str">
        <f ca="1">VLOOKUP($B56&amp;"_"&amp;$E56,OFFSET([2]stages!$A$1,0,0,COUNTA([2]stages!$A:$A),MATCH(G$1,[2]stages!$2:$2,0)-MATCH("temp_stage",[2]stages!$2:$2,0)+1),MATCH(G$1,[2]stages!$2:$2,0)-MATCH("temp_stage",[2]stages!$2:$2,0)+1,FALSE)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6" s="86">
        <v>0</v>
      </c>
      <c r="I56" s="98">
        <v>27</v>
      </c>
      <c r="J56" s="85" t="s">
        <v>197</v>
      </c>
      <c r="K56" s="94" t="str">
        <f>VLOOKUP(I56,[7]stage_hints!$A:$C,3,FALSE)</f>
        <v>ホーム画面からデッキを編成</v>
      </c>
      <c r="L56" s="95" t="str">
        <f>VLOOKUP(I56,[7]stage_hints!$A:$D,4,FALSE)</f>
        <v>ホーム画面でユニットを長押しすると_x000D_すぐにパーティ編成に移動できます</v>
      </c>
      <c r="M56" s="57" t="s">
        <v>210</v>
      </c>
    </row>
    <row r="57" spans="1:13" x14ac:dyDescent="0.15">
      <c r="A57" s="82" t="s">
        <v>200</v>
      </c>
      <c r="B57" s="83">
        <f>floors!$C$2</f>
        <v>30029</v>
      </c>
      <c r="C57" s="84" t="str">
        <f ca="1">VLOOKUP($B57,OFFSET([2]quests!$A$1,0,0,COUNTA([2]quests!$A:$A),MATCH(C$1,[2]quests!$1:$1,0)-MATCH($B$1,[2]quests!$1:$1,0)+1),MATCH(C$1,[2]quests!$1:$1,0)-MATCH($B$1,[2]quests!$1:$1,0)+1,FALSE)</f>
        <v>全ては主のために</v>
      </c>
      <c r="D57" s="84" t="str">
        <f ca="1">VLOOKUP($B57,OFFSET([2]quests!$A$1,0,0,COUNTA([2]quests!$A:$A),MATCH(D$1,[2]quests!$1:$1,0)-MATCH($B$1,[2]quests!$1:$1,0)+1),MATCH(D$1,[2]quests!$1:$1,0)-MATCH($B$1,[2]quests!$1:$1,0)+1,FALSE)</f>
        <v>ドロップイベント8（マルチ専用）</v>
      </c>
      <c r="E57" s="88">
        <v>2</v>
      </c>
      <c r="F57" s="84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【上級】全ては主のために</v>
      </c>
      <c r="G57" s="84" t="str">
        <f ca="1">VLOOKUP($B57&amp;"_"&amp;$E57,OFFSET([2]stages!$A$1,0,0,COUNTA([2]stages!$A:$A),MATCH(G$1,[2]stages!$2:$2,0)-MATCH("temp_stage",[2]stages!$2:$2,0)+1),MATCH(G$1,[2]stages!$2:$2,0)-MATCH("temp_stage",[2]stages!$2:$2,0)+1,FALSE)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7" s="86">
        <v>0</v>
      </c>
      <c r="I57" s="98">
        <v>28</v>
      </c>
      <c r="J57" s="85" t="s">
        <v>197</v>
      </c>
      <c r="K57" s="94" t="str">
        <f>VLOOKUP(I57,[7]stage_hints!$A:$C,3,FALSE)</f>
        <v>ステータス情報は長押しで</v>
      </c>
      <c r="L57" s="95" t="str">
        <f>VLOOKUP(I57,[7]stage_hints!$A:$D,4,FALSE)</f>
        <v>ユニットのアイコンを長押しすると_x000D_ステータス情報を確認することができます</v>
      </c>
      <c r="M57" s="57" t="s">
        <v>210</v>
      </c>
    </row>
    <row r="58" spans="1:13" x14ac:dyDescent="0.15">
      <c r="A58" s="82" t="s">
        <v>200</v>
      </c>
      <c r="B58" s="83">
        <f>floors!$C$2</f>
        <v>30029</v>
      </c>
      <c r="C58" s="84" t="str">
        <f ca="1">VLOOKUP($B58,OFFSET([2]quests!$A$1,0,0,COUNTA([2]quests!$A:$A),MATCH(C$1,[2]quests!$1:$1,0)-MATCH($B$1,[2]quests!$1:$1,0)+1),MATCH(C$1,[2]quests!$1:$1,0)-MATCH($B$1,[2]quests!$1:$1,0)+1,FALSE)</f>
        <v>全ては主のために</v>
      </c>
      <c r="D58" s="84" t="str">
        <f ca="1">VLOOKUP($B58,OFFSET([2]quests!$A$1,0,0,COUNTA([2]quests!$A:$A),MATCH(D$1,[2]quests!$1:$1,0)-MATCH($B$1,[2]quests!$1:$1,0)+1),MATCH(D$1,[2]quests!$1:$1,0)-MATCH($B$1,[2]quests!$1:$1,0)+1,FALSE)</f>
        <v>ドロップイベント8（マルチ専用）</v>
      </c>
      <c r="E58" s="88">
        <v>2</v>
      </c>
      <c r="F58" s="84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【上級】全ては主のために</v>
      </c>
      <c r="G58" s="84" t="str">
        <f ca="1">VLOOKUP($B58&amp;"_"&amp;$E58,OFFSET([2]stages!$A$1,0,0,COUNTA([2]stages!$A:$A),MATCH(G$1,[2]stages!$2:$2,0)-MATCH("temp_stage",[2]stages!$2:$2,0)+1),MATCH(G$1,[2]stages!$2:$2,0)-MATCH("temp_stage",[2]stages!$2:$2,0)+1,FALSE)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8" s="86">
        <v>0</v>
      </c>
      <c r="I58" s="98">
        <v>29</v>
      </c>
      <c r="J58" s="85" t="s">
        <v>197</v>
      </c>
      <c r="K58" s="94" t="str">
        <f>VLOOKUP(I58,[7]stage_hints!$A:$C,3,FALSE)</f>
        <v>「バグ」のメリット</v>
      </c>
      <c r="L58" s="95" t="str">
        <f>VLOOKUP(I58,[7]stage_hints!$A:$D,4,FALSE)</f>
        <v>ユニットの「バグ」を増やすと_x000D_報酬をもらえる確率がアップします</v>
      </c>
      <c r="M58" s="57" t="s">
        <v>210</v>
      </c>
    </row>
    <row r="59" spans="1:13" x14ac:dyDescent="0.15">
      <c r="A59" s="82" t="s">
        <v>200</v>
      </c>
      <c r="B59" s="83">
        <f>floors!$C$2</f>
        <v>30029</v>
      </c>
      <c r="C59" s="84" t="str">
        <f ca="1">VLOOKUP($B59,OFFSET([2]quests!$A$1,0,0,COUNTA([2]quests!$A:$A),MATCH(C$1,[2]quests!$1:$1,0)-MATCH($B$1,[2]quests!$1:$1,0)+1),MATCH(C$1,[2]quests!$1:$1,0)-MATCH($B$1,[2]quests!$1:$1,0)+1,FALSE)</f>
        <v>全ては主のために</v>
      </c>
      <c r="D59" s="84" t="str">
        <f ca="1">VLOOKUP($B59,OFFSET([2]quests!$A$1,0,0,COUNTA([2]quests!$A:$A),MATCH(D$1,[2]quests!$1:$1,0)-MATCH($B$1,[2]quests!$1:$1,0)+1),MATCH(D$1,[2]quests!$1:$1,0)-MATCH($B$1,[2]quests!$1:$1,0)+1,FALSE)</f>
        <v>ドロップイベント8（マルチ専用）</v>
      </c>
      <c r="E59" s="88">
        <v>2</v>
      </c>
      <c r="F59" s="84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【上級】全ては主のために</v>
      </c>
      <c r="G59" s="84" t="str">
        <f ca="1">VLOOKUP($B59&amp;"_"&amp;$E59,OFFSET([2]stages!$A$1,0,0,COUNTA([2]stages!$A:$A),MATCH(G$1,[2]stages!$2:$2,0)-MATCH("temp_stage",[2]stages!$2:$2,0)+1),MATCH(G$1,[2]stages!$2:$2,0)-MATCH("temp_stage",[2]stages!$2:$2,0)+1,FALSE)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9" s="86">
        <v>0</v>
      </c>
      <c r="I59" s="98">
        <v>30</v>
      </c>
      <c r="J59" s="85" t="s">
        <v>197</v>
      </c>
      <c r="K59" s="94" t="str">
        <f>VLOOKUP(I59,[7]stage_hints!$A:$C,3,FALSE)</f>
        <v>「バグ」の増やし方</v>
      </c>
      <c r="L59" s="95" t="str">
        <f>VLOOKUP(I59,[7]stage_hints!$A:$D,4,FALSE)</f>
        <v>同じユニット同士を強化で合成すると_x000D_「バグ」を増やすことができます</v>
      </c>
      <c r="M59" s="57" t="s">
        <v>210</v>
      </c>
    </row>
    <row r="60" spans="1:13" x14ac:dyDescent="0.15">
      <c r="A60" s="82" t="s">
        <v>200</v>
      </c>
      <c r="B60" s="83">
        <f>floors!$C$2</f>
        <v>30029</v>
      </c>
      <c r="C60" s="84" t="str">
        <f ca="1">VLOOKUP($B60,OFFSET([2]quests!$A$1,0,0,COUNTA([2]quests!$A:$A),MATCH(C$1,[2]quests!$1:$1,0)-MATCH($B$1,[2]quests!$1:$1,0)+1),MATCH(C$1,[2]quests!$1:$1,0)-MATCH($B$1,[2]quests!$1:$1,0)+1,FALSE)</f>
        <v>全ては主のために</v>
      </c>
      <c r="D60" s="84" t="str">
        <f ca="1">VLOOKUP($B60,OFFSET([2]quests!$A$1,0,0,COUNTA([2]quests!$A:$A),MATCH(D$1,[2]quests!$1:$1,0)-MATCH($B$1,[2]quests!$1:$1,0)+1),MATCH(D$1,[2]quests!$1:$1,0)-MATCH($B$1,[2]quests!$1:$1,0)+1,FALSE)</f>
        <v>ドロップイベント8（マルチ専用）</v>
      </c>
      <c r="E60" s="88">
        <v>2</v>
      </c>
      <c r="F60" s="84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【上級】全ては主のために</v>
      </c>
      <c r="G60" s="84" t="str">
        <f ca="1">VLOOKUP($B60&amp;"_"&amp;$E60,OFFSET([2]stages!$A$1,0,0,COUNTA([2]stages!$A:$A),MATCH(G$1,[2]stages!$2:$2,0)-MATCH("temp_stage",[2]stages!$2:$2,0)+1),MATCH(G$1,[2]stages!$2:$2,0)-MATCH("temp_stage",[2]stages!$2:$2,0)+1,FALSE)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0" s="86">
        <v>0</v>
      </c>
      <c r="I60" s="98">
        <v>31</v>
      </c>
      <c r="J60" s="85" t="s">
        <v>197</v>
      </c>
      <c r="K60" s="94" t="str">
        <f>VLOOKUP(I60,[7]stage_hints!$A:$C,3,FALSE)</f>
        <v>イベントはお知らせでチェック</v>
      </c>
      <c r="L60" s="95" t="str">
        <f>VLOOKUP(I60,[7]stage_hints!$A:$D,4,FALSE)</f>
        <v>イベント限定ユニットを取り忘れないように_x000D_お知らせをこまめにチェックしましょう</v>
      </c>
      <c r="M60" s="57" t="s">
        <v>210</v>
      </c>
    </row>
    <row r="61" spans="1:13" x14ac:dyDescent="0.15">
      <c r="A61" s="82" t="s">
        <v>200</v>
      </c>
      <c r="B61" s="83">
        <f>floors!$C$2</f>
        <v>30029</v>
      </c>
      <c r="C61" s="84" t="str">
        <f ca="1">VLOOKUP($B61,OFFSET([2]quests!$A$1,0,0,COUNTA([2]quests!$A:$A),MATCH(C$1,[2]quests!$1:$1,0)-MATCH($B$1,[2]quests!$1:$1,0)+1),MATCH(C$1,[2]quests!$1:$1,0)-MATCH($B$1,[2]quests!$1:$1,0)+1,FALSE)</f>
        <v>全ては主のために</v>
      </c>
      <c r="D61" s="84" t="str">
        <f ca="1">VLOOKUP($B61,OFFSET([2]quests!$A$1,0,0,COUNTA([2]quests!$A:$A),MATCH(D$1,[2]quests!$1:$1,0)-MATCH($B$1,[2]quests!$1:$1,0)+1),MATCH(D$1,[2]quests!$1:$1,0)-MATCH($B$1,[2]quests!$1:$1,0)+1,FALSE)</f>
        <v>ドロップイベント8（マルチ専用）</v>
      </c>
      <c r="E61" s="88">
        <v>2</v>
      </c>
      <c r="F61" s="84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【上級】全ては主のために</v>
      </c>
      <c r="G61" s="84" t="str">
        <f ca="1">VLOOKUP($B61&amp;"_"&amp;$E61,OFFSET([2]stages!$A$1,0,0,COUNTA([2]stages!$A:$A),MATCH(G$1,[2]stages!$2:$2,0)-MATCH("temp_stage",[2]stages!$2:$2,0)+1),MATCH(G$1,[2]stages!$2:$2,0)-MATCH("temp_stage",[2]stages!$2:$2,0)+1,FALSE)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1" s="86">
        <v>0</v>
      </c>
      <c r="I61" s="98">
        <v>32</v>
      </c>
      <c r="J61" s="85" t="s">
        <v>197</v>
      </c>
      <c r="K61" s="94" t="str">
        <f>VLOOKUP(I61,[7]stage_hints!$A:$C,3,FALSE)</f>
        <v>敵の連続攻撃には</v>
      </c>
      <c r="L61" s="95" t="str">
        <f>VLOOKUP(I61,[7]stage_hints!$A:$D,4,FALSE)</f>
        <v>カウンタースキルを持つユニットがいれば_x000D_ダメージ回数分の反撃ができます</v>
      </c>
      <c r="M61" s="57" t="s">
        <v>210</v>
      </c>
    </row>
    <row r="62" spans="1:13" x14ac:dyDescent="0.15">
      <c r="A62" s="82" t="s">
        <v>200</v>
      </c>
      <c r="B62" s="83">
        <f>floors!$C$2</f>
        <v>30029</v>
      </c>
      <c r="C62" s="84" t="str">
        <f ca="1">VLOOKUP($B62,OFFSET([2]quests!$A$1,0,0,COUNTA([2]quests!$A:$A),MATCH(C$1,[2]quests!$1:$1,0)-MATCH($B$1,[2]quests!$1:$1,0)+1),MATCH(C$1,[2]quests!$1:$1,0)-MATCH($B$1,[2]quests!$1:$1,0)+1,FALSE)</f>
        <v>全ては主のために</v>
      </c>
      <c r="D62" s="84" t="str">
        <f ca="1">VLOOKUP($B62,OFFSET([2]quests!$A$1,0,0,COUNTA([2]quests!$A:$A),MATCH(D$1,[2]quests!$1:$1,0)-MATCH($B$1,[2]quests!$1:$1,0)+1),MATCH(D$1,[2]quests!$1:$1,0)-MATCH($B$1,[2]quests!$1:$1,0)+1,FALSE)</f>
        <v>ドロップイベント8（マルチ専用）</v>
      </c>
      <c r="E62" s="88">
        <v>2</v>
      </c>
      <c r="F62" s="84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【上級】全ては主のために</v>
      </c>
      <c r="G62" s="84" t="str">
        <f ca="1">VLOOKUP($B62&amp;"_"&amp;$E62,OFFSET([2]stages!$A$1,0,0,COUNTA([2]stages!$A:$A),MATCH(G$1,[2]stages!$2:$2,0)-MATCH("temp_stage",[2]stages!$2:$2,0)+1),MATCH(G$1,[2]stages!$2:$2,0)-MATCH("temp_stage",[2]stages!$2:$2,0)+1,FALSE)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2" s="86">
        <v>0</v>
      </c>
      <c r="I62" s="98">
        <v>33</v>
      </c>
      <c r="J62" s="85" t="s">
        <v>197</v>
      </c>
      <c r="K62" s="94" t="str">
        <f>VLOOKUP(I62,[7]stage_hints!$A:$C,3,FALSE)</f>
        <v>敵のカウンター攻撃には</v>
      </c>
      <c r="L62" s="95" t="str">
        <f>VLOOKUP(I62,[7]stage_hints!$A:$D,4,FALSE)</f>
        <v>カウンターブレイクスキルを持っていれば_x000D_敵のカウンターを解除して攻撃ができます</v>
      </c>
      <c r="M62" s="57" t="s">
        <v>210</v>
      </c>
    </row>
    <row r="63" spans="1:13" x14ac:dyDescent="0.15">
      <c r="A63" s="82" t="s">
        <v>200</v>
      </c>
      <c r="B63" s="83">
        <f>floors!$C$2</f>
        <v>30029</v>
      </c>
      <c r="C63" s="84" t="str">
        <f ca="1">VLOOKUP($B63,OFFSET([2]quests!$A$1,0,0,COUNTA([2]quests!$A:$A),MATCH(C$1,[2]quests!$1:$1,0)-MATCH($B$1,[2]quests!$1:$1,0)+1),MATCH(C$1,[2]quests!$1:$1,0)-MATCH($B$1,[2]quests!$1:$1,0)+1,FALSE)</f>
        <v>全ては主のために</v>
      </c>
      <c r="D63" s="84" t="str">
        <f ca="1">VLOOKUP($B63,OFFSET([2]quests!$A$1,0,0,COUNTA([2]quests!$A:$A),MATCH(D$1,[2]quests!$1:$1,0)-MATCH($B$1,[2]quests!$1:$1,0)+1),MATCH(D$1,[2]quests!$1:$1,0)-MATCH($B$1,[2]quests!$1:$1,0)+1,FALSE)</f>
        <v>ドロップイベント8（マルチ専用）</v>
      </c>
      <c r="E63" s="88">
        <v>2</v>
      </c>
      <c r="F63" s="84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【上級】全ては主のために</v>
      </c>
      <c r="G63" s="84" t="str">
        <f ca="1">VLOOKUP($B63&amp;"_"&amp;$E63,OFFSET([2]stages!$A$1,0,0,COUNTA([2]stages!$A:$A),MATCH(G$1,[2]stages!$2:$2,0)-MATCH("temp_stage",[2]stages!$2:$2,0)+1),MATCH(G$1,[2]stages!$2:$2,0)-MATCH("temp_stage",[2]stages!$2:$2,0)+1,FALSE)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3" s="86">
        <v>0</v>
      </c>
      <c r="I63" s="98">
        <v>34</v>
      </c>
      <c r="J63" s="85" t="s">
        <v>197</v>
      </c>
      <c r="K63" s="94" t="str">
        <f>VLOOKUP(I63,[7]stage_hints!$A:$C,3,FALSE)</f>
        <v>ステータスをスキルで下げられたら</v>
      </c>
      <c r="L63" s="95" t="str">
        <f>VLOOKUP(I63,[7]stage_hints!$A:$D,4,FALSE)</f>
        <v>ステータスダウンのスキルを受けたら_x000D_ステータスアップスキルで上書きしましょう</v>
      </c>
      <c r="M63" s="57" t="s">
        <v>210</v>
      </c>
    </row>
    <row r="64" spans="1:13" x14ac:dyDescent="0.15">
      <c r="A64" s="82" t="s">
        <v>200</v>
      </c>
      <c r="B64" s="83">
        <f>floors!$C$2</f>
        <v>30029</v>
      </c>
      <c r="C64" s="84" t="str">
        <f ca="1">VLOOKUP($B64,OFFSET([2]quests!$A$1,0,0,COUNTA([2]quests!$A:$A),MATCH(C$1,[2]quests!$1:$1,0)-MATCH($B$1,[2]quests!$1:$1,0)+1),MATCH(C$1,[2]quests!$1:$1,0)-MATCH($B$1,[2]quests!$1:$1,0)+1,FALSE)</f>
        <v>全ては主のために</v>
      </c>
      <c r="D64" s="84" t="str">
        <f ca="1">VLOOKUP($B64,OFFSET([2]quests!$A$1,0,0,COUNTA([2]quests!$A:$A),MATCH(D$1,[2]quests!$1:$1,0)-MATCH($B$1,[2]quests!$1:$1,0)+1),MATCH(D$1,[2]quests!$1:$1,0)-MATCH($B$1,[2]quests!$1:$1,0)+1,FALSE)</f>
        <v>ドロップイベント8（マルチ専用）</v>
      </c>
      <c r="E64" s="88">
        <v>2</v>
      </c>
      <c r="F64" s="84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【上級】全ては主のために</v>
      </c>
      <c r="G64" s="84" t="str">
        <f ca="1">VLOOKUP($B64&amp;"_"&amp;$E64,OFFSET([2]stages!$A$1,0,0,COUNTA([2]stages!$A:$A),MATCH(G$1,[2]stages!$2:$2,0)-MATCH("temp_stage",[2]stages!$2:$2,0)+1),MATCH(G$1,[2]stages!$2:$2,0)-MATCH("temp_stage",[2]stages!$2:$2,0)+1,FALSE)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4" s="86">
        <v>0</v>
      </c>
      <c r="I64" s="98">
        <v>35</v>
      </c>
      <c r="J64" s="85" t="s">
        <v>197</v>
      </c>
      <c r="K64" s="94" t="str">
        <f>VLOOKUP(I64,[7]stage_hints!$A:$C,3,FALSE)</f>
        <v>敵のステータスがスキルで上がったら</v>
      </c>
      <c r="L64" s="95" t="str">
        <f>VLOOKUP(I64,[7]stage_hints!$A:$D,4,FALSE)</f>
        <v>敵のステータスがスキルでアップしたときは_x000D_ステータスダウンスキルで上書きしましょう</v>
      </c>
      <c r="M64" s="57" t="s">
        <v>210</v>
      </c>
    </row>
    <row r="65" spans="1:13" x14ac:dyDescent="0.15">
      <c r="A65" s="82" t="s">
        <v>200</v>
      </c>
      <c r="B65" s="83">
        <f>floors!$C$2</f>
        <v>30029</v>
      </c>
      <c r="C65" s="84" t="str">
        <f ca="1">VLOOKUP($B65,OFFSET([2]quests!$A$1,0,0,COUNTA([2]quests!$A:$A),MATCH(C$1,[2]quests!$1:$1,0)-MATCH($B$1,[2]quests!$1:$1,0)+1),MATCH(C$1,[2]quests!$1:$1,0)-MATCH($B$1,[2]quests!$1:$1,0)+1,FALSE)</f>
        <v>全ては主のために</v>
      </c>
      <c r="D65" s="84" t="str">
        <f ca="1">VLOOKUP($B65,OFFSET([2]quests!$A$1,0,0,COUNTA([2]quests!$A:$A),MATCH(D$1,[2]quests!$1:$1,0)-MATCH($B$1,[2]quests!$1:$1,0)+1),MATCH(D$1,[2]quests!$1:$1,0)-MATCH($B$1,[2]quests!$1:$1,0)+1,FALSE)</f>
        <v>ドロップイベント8（マルチ専用）</v>
      </c>
      <c r="E65" s="88">
        <v>2</v>
      </c>
      <c r="F65" s="84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【上級】全ては主のために</v>
      </c>
      <c r="G65" s="84" t="str">
        <f ca="1">VLOOKUP($B65&amp;"_"&amp;$E65,OFFSET([2]stages!$A$1,0,0,COUNTA([2]stages!$A:$A),MATCH(G$1,[2]stages!$2:$2,0)-MATCH("temp_stage",[2]stages!$2:$2,0)+1),MATCH(G$1,[2]stages!$2:$2,0)-MATCH("temp_stage",[2]stages!$2:$2,0)+1,FALSE)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5" s="86">
        <v>0</v>
      </c>
      <c r="I65" s="98">
        <v>36</v>
      </c>
      <c r="J65" s="85" t="s">
        <v>197</v>
      </c>
      <c r="K65" s="94" t="str">
        <f>VLOOKUP(I65,[7]stage_hints!$A:$C,3,FALSE)</f>
        <v>タワーオブザクイーンのボス</v>
      </c>
      <c r="L65" s="95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7" t="s">
        <v>210</v>
      </c>
    </row>
    <row r="66" spans="1:13" x14ac:dyDescent="0.15">
      <c r="A66" s="82" t="s">
        <v>200</v>
      </c>
      <c r="B66" s="83">
        <f>floors!$C$2</f>
        <v>30029</v>
      </c>
      <c r="C66" s="84" t="str">
        <f ca="1">VLOOKUP($B66,OFFSET([2]quests!$A$1,0,0,COUNTA([2]quests!$A:$A),MATCH(C$1,[2]quests!$1:$1,0)-MATCH($B$1,[2]quests!$1:$1,0)+1),MATCH(C$1,[2]quests!$1:$1,0)-MATCH($B$1,[2]quests!$1:$1,0)+1,FALSE)</f>
        <v>全ては主のために</v>
      </c>
      <c r="D66" s="84" t="str">
        <f ca="1">VLOOKUP($B66,OFFSET([2]quests!$A$1,0,0,COUNTA([2]quests!$A:$A),MATCH(D$1,[2]quests!$1:$1,0)-MATCH($B$1,[2]quests!$1:$1,0)+1),MATCH(D$1,[2]quests!$1:$1,0)-MATCH($B$1,[2]quests!$1:$1,0)+1,FALSE)</f>
        <v>ドロップイベント8（マルチ専用）</v>
      </c>
      <c r="E66" s="88">
        <v>2</v>
      </c>
      <c r="F66" s="84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【上級】全ては主のために</v>
      </c>
      <c r="G66" s="84" t="str">
        <f ca="1">VLOOKUP($B66&amp;"_"&amp;$E66,OFFSET([2]stages!$A$1,0,0,COUNTA([2]stages!$A:$A),MATCH(G$1,[2]stages!$2:$2,0)-MATCH("temp_stage",[2]stages!$2:$2,0)+1),MATCH(G$1,[2]stages!$2:$2,0)-MATCH("temp_stage",[2]stages!$2:$2,0)+1,FALSE)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6" s="86">
        <v>0</v>
      </c>
      <c r="I66" s="98">
        <v>37</v>
      </c>
      <c r="J66" s="85" t="s">
        <v>197</v>
      </c>
      <c r="K66" s="94" t="str">
        <f>VLOOKUP(I66,[7]stage_hints!$A:$C,3,FALSE)</f>
        <v>限界突破値の引き継ぎ</v>
      </c>
      <c r="L66" s="95" t="str">
        <f>VLOOKUP(I66,[7]stage_hints!$A:$D,4,FALSE)</f>
        <v>同じユニットを強化で合成すると_x000D_限界突破値を引き継げます（覚醒前後も可）</v>
      </c>
      <c r="M66" s="57" t="s">
        <v>210</v>
      </c>
    </row>
    <row r="67" spans="1:13" x14ac:dyDescent="0.15">
      <c r="A67" s="82" t="s">
        <v>200</v>
      </c>
      <c r="B67" s="83">
        <f>floors!$C$2</f>
        <v>30029</v>
      </c>
      <c r="C67" s="84" t="str">
        <f ca="1">VLOOKUP($B67,OFFSET([2]quests!$A$1,0,0,COUNTA([2]quests!$A:$A),MATCH(C$1,[2]quests!$1:$1,0)-MATCH($B$1,[2]quests!$1:$1,0)+1),MATCH(C$1,[2]quests!$1:$1,0)-MATCH($B$1,[2]quests!$1:$1,0)+1,FALSE)</f>
        <v>全ては主のために</v>
      </c>
      <c r="D67" s="84" t="str">
        <f ca="1">VLOOKUP($B67,OFFSET([2]quests!$A$1,0,0,COUNTA([2]quests!$A:$A),MATCH(D$1,[2]quests!$1:$1,0)-MATCH($B$1,[2]quests!$1:$1,0)+1),MATCH(D$1,[2]quests!$1:$1,0)-MATCH($B$1,[2]quests!$1:$1,0)+1,FALSE)</f>
        <v>ドロップイベント8（マルチ専用）</v>
      </c>
      <c r="E67" s="88">
        <v>2</v>
      </c>
      <c r="F67" s="84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【上級】全ては主のために</v>
      </c>
      <c r="G67" s="84" t="str">
        <f ca="1">VLOOKUP($B67&amp;"_"&amp;$E67,OFFSET([2]stages!$A$1,0,0,COUNTA([2]stages!$A:$A),MATCH(G$1,[2]stages!$2:$2,0)-MATCH("temp_stage",[2]stages!$2:$2,0)+1),MATCH(G$1,[2]stages!$2:$2,0)-MATCH("temp_stage",[2]stages!$2:$2,0)+1,FALSE)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7" s="86">
        <v>0</v>
      </c>
      <c r="I67" s="98">
        <v>39</v>
      </c>
      <c r="J67" s="85" t="s">
        <v>197</v>
      </c>
      <c r="K67" s="94" t="str">
        <f>VLOOKUP(I67,[7]stage_hints!$A:$C,3,FALSE)</f>
        <v>システム適合者を確認</v>
      </c>
      <c r="L67" s="95" t="str">
        <f>VLOOKUP(I67,[7]stage_hints!$A:$D,4,FALSE)</f>
        <v>ALICEが 「アナタ」を呼んでいます</v>
      </c>
      <c r="M67" s="57" t="s">
        <v>210</v>
      </c>
    </row>
    <row r="68" spans="1:13" x14ac:dyDescent="0.15">
      <c r="A68" s="82" t="s">
        <v>200</v>
      </c>
      <c r="B68" s="83">
        <f>floors!$C$2</f>
        <v>30029</v>
      </c>
      <c r="C68" s="84" t="str">
        <f ca="1">VLOOKUP($B68,OFFSET([2]quests!$A$1,0,0,COUNTA([2]quests!$A:$A),MATCH(C$1,[2]quests!$1:$1,0)-MATCH($B$1,[2]quests!$1:$1,0)+1),MATCH(C$1,[2]quests!$1:$1,0)-MATCH($B$1,[2]quests!$1:$1,0)+1,FALSE)</f>
        <v>全ては主のために</v>
      </c>
      <c r="D68" s="84" t="str">
        <f ca="1">VLOOKUP($B68,OFFSET([2]quests!$A$1,0,0,COUNTA([2]quests!$A:$A),MATCH(D$1,[2]quests!$1:$1,0)-MATCH($B$1,[2]quests!$1:$1,0)+1),MATCH(D$1,[2]quests!$1:$1,0)-MATCH($B$1,[2]quests!$1:$1,0)+1,FALSE)</f>
        <v>ドロップイベント8（マルチ専用）</v>
      </c>
      <c r="E68" s="88">
        <v>3</v>
      </c>
      <c r="F68" s="84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【超級】全ては主のために</v>
      </c>
      <c r="G68" s="84" t="str">
        <f ca="1">VLOOKUP($B68&amp;"_"&amp;$E68,OFFSET([2]stages!$A$1,0,0,COUNTA([2]stages!$A:$A),MATCH(G$1,[2]stages!$2:$2,0)-MATCH("temp_stage",[2]stages!$2:$2,0)+1),MATCH(G$1,[2]stages!$2:$2,0)-MATCH("temp_stage",[2]stages!$2:$2,0)+1,FALSE)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8" s="86">
        <v>0</v>
      </c>
      <c r="I68">
        <v>12</v>
      </c>
      <c r="J68" s="85" t="s">
        <v>197</v>
      </c>
      <c r="K68" s="94" t="str">
        <f>VLOOKUP(I68,[7]stage_hints!$A:$C,3,FALSE)</f>
        <v>ユニットのお気に入り登録</v>
      </c>
      <c r="L68" s="95" t="str">
        <f>VLOOKUP(I68,[7]stage_hints!$A:$D,4,FALSE)</f>
        <v>大事なユニットを誤って消さないように_x000D_フォルダから「お気に入り登録」しましょう</v>
      </c>
      <c r="M68" s="57" t="s">
        <v>210</v>
      </c>
    </row>
    <row r="69" spans="1:13" x14ac:dyDescent="0.15">
      <c r="A69" s="82" t="s">
        <v>200</v>
      </c>
      <c r="B69" s="83">
        <f>floors!$C$2</f>
        <v>30029</v>
      </c>
      <c r="C69" s="84" t="str">
        <f ca="1">VLOOKUP($B69,OFFSET([2]quests!$A$1,0,0,COUNTA([2]quests!$A:$A),MATCH(C$1,[2]quests!$1:$1,0)-MATCH($B$1,[2]quests!$1:$1,0)+1),MATCH(C$1,[2]quests!$1:$1,0)-MATCH($B$1,[2]quests!$1:$1,0)+1,FALSE)</f>
        <v>全ては主のために</v>
      </c>
      <c r="D69" s="84" t="str">
        <f ca="1">VLOOKUP($B69,OFFSET([2]quests!$A$1,0,0,COUNTA([2]quests!$A:$A),MATCH(D$1,[2]quests!$1:$1,0)-MATCH($B$1,[2]quests!$1:$1,0)+1),MATCH(D$1,[2]quests!$1:$1,0)-MATCH($B$1,[2]quests!$1:$1,0)+1,FALSE)</f>
        <v>ドロップイベント8（マルチ専用）</v>
      </c>
      <c r="E69" s="88">
        <v>3</v>
      </c>
      <c r="F69" s="84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【超級】全ては主のために</v>
      </c>
      <c r="G69" s="84" t="str">
        <f ca="1">VLOOKUP($B69&amp;"_"&amp;$E69,OFFSET([2]stages!$A$1,0,0,COUNTA([2]stages!$A:$A),MATCH(G$1,[2]stages!$2:$2,0)-MATCH("temp_stage",[2]stages!$2:$2,0)+1),MATCH(G$1,[2]stages!$2:$2,0)-MATCH("temp_stage",[2]stages!$2:$2,0)+1,FALSE)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9" s="86">
        <v>0</v>
      </c>
      <c r="I69">
        <v>17</v>
      </c>
      <c r="J69" s="85" t="s">
        <v>197</v>
      </c>
      <c r="K69" s="94" t="str">
        <f>VLOOKUP(I69,[7]stage_hints!$A:$C,3,FALSE)</f>
        <v>リンクガチャ</v>
      </c>
      <c r="L69" s="95" t="str">
        <f>VLOOKUP(I69,[7]stage_hints!$A:$D,4,FALSE)</f>
        <v>無料のリンクガチャを回して_x000D_経験値素材や売却素材を獲得しましょう</v>
      </c>
      <c r="M69" s="57" t="s">
        <v>210</v>
      </c>
    </row>
    <row r="70" spans="1:13" x14ac:dyDescent="0.15">
      <c r="A70" s="82" t="s">
        <v>200</v>
      </c>
      <c r="B70" s="83">
        <f>floors!$C$2</f>
        <v>30029</v>
      </c>
      <c r="C70" s="84" t="str">
        <f ca="1">VLOOKUP($B70,OFFSET([2]quests!$A$1,0,0,COUNTA([2]quests!$A:$A),MATCH(C$1,[2]quests!$1:$1,0)-MATCH($B$1,[2]quests!$1:$1,0)+1),MATCH(C$1,[2]quests!$1:$1,0)-MATCH($B$1,[2]quests!$1:$1,0)+1,FALSE)</f>
        <v>全ては主のために</v>
      </c>
      <c r="D70" s="84" t="str">
        <f ca="1">VLOOKUP($B70,OFFSET([2]quests!$A$1,0,0,COUNTA([2]quests!$A:$A),MATCH(D$1,[2]quests!$1:$1,0)-MATCH($B$1,[2]quests!$1:$1,0)+1),MATCH(D$1,[2]quests!$1:$1,0)-MATCH($B$1,[2]quests!$1:$1,0)+1,FALSE)</f>
        <v>ドロップイベント8（マルチ専用）</v>
      </c>
      <c r="E70" s="88">
        <v>3</v>
      </c>
      <c r="F70" s="84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【超級】全ては主のために</v>
      </c>
      <c r="G70" s="84" t="str">
        <f ca="1">VLOOKUP($B70&amp;"_"&amp;$E70,OFFSET([2]stages!$A$1,0,0,COUNTA([2]stages!$A:$A),MATCH(G$1,[2]stages!$2:$2,0)-MATCH("temp_stage",[2]stages!$2:$2,0)+1),MATCH(G$1,[2]stages!$2:$2,0)-MATCH("temp_stage",[2]stages!$2:$2,0)+1,FALSE)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0" s="86">
        <v>0</v>
      </c>
      <c r="I70">
        <v>19</v>
      </c>
      <c r="J70" s="85" t="s">
        <v>197</v>
      </c>
      <c r="K70" s="94" t="str">
        <f>VLOOKUP(I70,[7]stage_hints!$A:$C,3,FALSE)</f>
        <v>ソロ専用タワーオブザクイーン</v>
      </c>
      <c r="L70" s="95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7" t="s">
        <v>210</v>
      </c>
    </row>
    <row r="71" spans="1:13" x14ac:dyDescent="0.15">
      <c r="A71" s="82" t="s">
        <v>200</v>
      </c>
      <c r="B71" s="83">
        <f>floors!$C$2</f>
        <v>30029</v>
      </c>
      <c r="C71" s="84" t="str">
        <f ca="1">VLOOKUP($B71,OFFSET([2]quests!$A$1,0,0,COUNTA([2]quests!$A:$A),MATCH(C$1,[2]quests!$1:$1,0)-MATCH($B$1,[2]quests!$1:$1,0)+1),MATCH(C$1,[2]quests!$1:$1,0)-MATCH($B$1,[2]quests!$1:$1,0)+1,FALSE)</f>
        <v>全ては主のために</v>
      </c>
      <c r="D71" s="84" t="str">
        <f ca="1">VLOOKUP($B71,OFFSET([2]quests!$A$1,0,0,COUNTA([2]quests!$A:$A),MATCH(D$1,[2]quests!$1:$1,0)-MATCH($B$1,[2]quests!$1:$1,0)+1),MATCH(D$1,[2]quests!$1:$1,0)-MATCH($B$1,[2]quests!$1:$1,0)+1,FALSE)</f>
        <v>ドロップイベント8（マルチ専用）</v>
      </c>
      <c r="E71" s="88">
        <v>3</v>
      </c>
      <c r="F71" s="84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【超級】全ては主のために</v>
      </c>
      <c r="G71" s="84" t="str">
        <f ca="1">VLOOKUP($B71&amp;"_"&amp;$E71,OFFSET([2]stages!$A$1,0,0,COUNTA([2]stages!$A:$A),MATCH(G$1,[2]stages!$2:$2,0)-MATCH("temp_stage",[2]stages!$2:$2,0)+1),MATCH(G$1,[2]stages!$2:$2,0)-MATCH("temp_stage",[2]stages!$2:$2,0)+1,FALSE)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1" s="86">
        <v>0</v>
      </c>
      <c r="I71">
        <v>21</v>
      </c>
      <c r="J71" s="85" t="s">
        <v>197</v>
      </c>
      <c r="K71" s="94" t="str">
        <f>VLOOKUP(I71,[7]stage_hints!$A:$C,3,FALSE)</f>
        <v>スキルを有効に</v>
      </c>
      <c r="L71" s="95" t="str">
        <f>VLOOKUP(I71,[7]stage_hints!$A:$D,4,FALSE)</f>
        <v>ターン経過でユニットのスキルが使えます_x000D_強力スキルでバトルを有利に進めましょう</v>
      </c>
      <c r="M71" s="57" t="s">
        <v>210</v>
      </c>
    </row>
    <row r="72" spans="1:13" x14ac:dyDescent="0.15">
      <c r="A72" s="82" t="s">
        <v>200</v>
      </c>
      <c r="B72" s="83">
        <f>floors!$C$2</f>
        <v>30029</v>
      </c>
      <c r="C72" s="84" t="str">
        <f ca="1">VLOOKUP($B72,OFFSET([2]quests!$A$1,0,0,COUNTA([2]quests!$A:$A),MATCH(C$1,[2]quests!$1:$1,0)-MATCH($B$1,[2]quests!$1:$1,0)+1),MATCH(C$1,[2]quests!$1:$1,0)-MATCH($B$1,[2]quests!$1:$1,0)+1,FALSE)</f>
        <v>全ては主のために</v>
      </c>
      <c r="D72" s="84" t="str">
        <f ca="1">VLOOKUP($B72,OFFSET([2]quests!$A$1,0,0,COUNTA([2]quests!$A:$A),MATCH(D$1,[2]quests!$1:$1,0)-MATCH($B$1,[2]quests!$1:$1,0)+1),MATCH(D$1,[2]quests!$1:$1,0)-MATCH($B$1,[2]quests!$1:$1,0)+1,FALSE)</f>
        <v>ドロップイベント8（マルチ専用）</v>
      </c>
      <c r="E72" s="88">
        <v>3</v>
      </c>
      <c r="F72" s="84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【超級】全ては主のために</v>
      </c>
      <c r="G72" s="84" t="str">
        <f ca="1">VLOOKUP($B72&amp;"_"&amp;$E72,OFFSET([2]stages!$A$1,0,0,COUNTA([2]stages!$A:$A),MATCH(G$1,[2]stages!$2:$2,0)-MATCH("temp_stage",[2]stages!$2:$2,0)+1),MATCH(G$1,[2]stages!$2:$2,0)-MATCH("temp_stage",[2]stages!$2:$2,0)+1,FALSE)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2" s="86">
        <v>0</v>
      </c>
      <c r="I72">
        <v>27</v>
      </c>
      <c r="J72" s="85" t="s">
        <v>197</v>
      </c>
      <c r="K72" s="94" t="str">
        <f>VLOOKUP(I72,[7]stage_hints!$A:$C,3,FALSE)</f>
        <v>ホーム画面からデッキを編成</v>
      </c>
      <c r="L72" s="95" t="str">
        <f>VLOOKUP(I72,[7]stage_hints!$A:$D,4,FALSE)</f>
        <v>ホーム画面でユニットを長押しすると_x000D_すぐにパーティ編成に移動できます</v>
      </c>
      <c r="M72" s="57" t="s">
        <v>210</v>
      </c>
    </row>
    <row r="73" spans="1:13" x14ac:dyDescent="0.15">
      <c r="A73" s="82" t="s">
        <v>200</v>
      </c>
      <c r="B73" s="83">
        <f>floors!$C$2</f>
        <v>30029</v>
      </c>
      <c r="C73" s="84" t="str">
        <f ca="1">VLOOKUP($B73,OFFSET([2]quests!$A$1,0,0,COUNTA([2]quests!$A:$A),MATCH(C$1,[2]quests!$1:$1,0)-MATCH($B$1,[2]quests!$1:$1,0)+1),MATCH(C$1,[2]quests!$1:$1,0)-MATCH($B$1,[2]quests!$1:$1,0)+1,FALSE)</f>
        <v>全ては主のために</v>
      </c>
      <c r="D73" s="84" t="str">
        <f ca="1">VLOOKUP($B73,OFFSET([2]quests!$A$1,0,0,COUNTA([2]quests!$A:$A),MATCH(D$1,[2]quests!$1:$1,0)-MATCH($B$1,[2]quests!$1:$1,0)+1),MATCH(D$1,[2]quests!$1:$1,0)-MATCH($B$1,[2]quests!$1:$1,0)+1,FALSE)</f>
        <v>ドロップイベント8（マルチ専用）</v>
      </c>
      <c r="E73" s="88">
        <v>3</v>
      </c>
      <c r="F73" s="84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【超級】全ては主のために</v>
      </c>
      <c r="G73" s="84" t="str">
        <f ca="1">VLOOKUP($B73&amp;"_"&amp;$E73,OFFSET([2]stages!$A$1,0,0,COUNTA([2]stages!$A:$A),MATCH(G$1,[2]stages!$2:$2,0)-MATCH("temp_stage",[2]stages!$2:$2,0)+1),MATCH(G$1,[2]stages!$2:$2,0)-MATCH("temp_stage",[2]stages!$2:$2,0)+1,FALSE)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3" s="86">
        <v>0</v>
      </c>
      <c r="I73">
        <v>28</v>
      </c>
      <c r="J73" s="85" t="s">
        <v>197</v>
      </c>
      <c r="K73" s="94" t="str">
        <f>VLOOKUP(I73,[7]stage_hints!$A:$C,3,FALSE)</f>
        <v>ステータス情報は長押しで</v>
      </c>
      <c r="L73" s="95" t="str">
        <f>VLOOKUP(I73,[7]stage_hints!$A:$D,4,FALSE)</f>
        <v>ユニットのアイコンを長押しすると_x000D_ステータス情報を確認することができます</v>
      </c>
      <c r="M73" s="57" t="s">
        <v>210</v>
      </c>
    </row>
    <row r="74" spans="1:13" x14ac:dyDescent="0.15">
      <c r="A74" s="82" t="s">
        <v>200</v>
      </c>
      <c r="B74" s="83">
        <f>floors!$C$2</f>
        <v>30029</v>
      </c>
      <c r="C74" s="84" t="str">
        <f ca="1">VLOOKUP($B74,OFFSET([2]quests!$A$1,0,0,COUNTA([2]quests!$A:$A),MATCH(C$1,[2]quests!$1:$1,0)-MATCH($B$1,[2]quests!$1:$1,0)+1),MATCH(C$1,[2]quests!$1:$1,0)-MATCH($B$1,[2]quests!$1:$1,0)+1,FALSE)</f>
        <v>全ては主のために</v>
      </c>
      <c r="D74" s="84" t="str">
        <f ca="1">VLOOKUP($B74,OFFSET([2]quests!$A$1,0,0,COUNTA([2]quests!$A:$A),MATCH(D$1,[2]quests!$1:$1,0)-MATCH($B$1,[2]quests!$1:$1,0)+1),MATCH(D$1,[2]quests!$1:$1,0)-MATCH($B$1,[2]quests!$1:$1,0)+1,FALSE)</f>
        <v>ドロップイベント8（マルチ専用）</v>
      </c>
      <c r="E74" s="88">
        <v>3</v>
      </c>
      <c r="F74" s="84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【超級】全ては主のために</v>
      </c>
      <c r="G74" s="84" t="str">
        <f ca="1">VLOOKUP($B74&amp;"_"&amp;$E74,OFFSET([2]stages!$A$1,0,0,COUNTA([2]stages!$A:$A),MATCH(G$1,[2]stages!$2:$2,0)-MATCH("temp_stage",[2]stages!$2:$2,0)+1),MATCH(G$1,[2]stages!$2:$2,0)-MATCH("temp_stage",[2]stages!$2:$2,0)+1,FALSE)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4" s="86">
        <v>0</v>
      </c>
      <c r="I74">
        <v>29</v>
      </c>
      <c r="J74" s="85" t="s">
        <v>197</v>
      </c>
      <c r="K74" s="94" t="str">
        <f>VLOOKUP(I74,[7]stage_hints!$A:$C,3,FALSE)</f>
        <v>「バグ」のメリット</v>
      </c>
      <c r="L74" s="95" t="str">
        <f>VLOOKUP(I74,[7]stage_hints!$A:$D,4,FALSE)</f>
        <v>ユニットの「バグ」を増やすと_x000D_報酬をもらえる確率がアップします</v>
      </c>
      <c r="M74" s="57" t="s">
        <v>210</v>
      </c>
    </row>
    <row r="75" spans="1:13" x14ac:dyDescent="0.15">
      <c r="A75" s="82" t="s">
        <v>200</v>
      </c>
      <c r="B75" s="83">
        <f>floors!$C$2</f>
        <v>30029</v>
      </c>
      <c r="C75" s="84" t="str">
        <f ca="1">VLOOKUP($B75,OFFSET([2]quests!$A$1,0,0,COUNTA([2]quests!$A:$A),MATCH(C$1,[2]quests!$1:$1,0)-MATCH($B$1,[2]quests!$1:$1,0)+1),MATCH(C$1,[2]quests!$1:$1,0)-MATCH($B$1,[2]quests!$1:$1,0)+1,FALSE)</f>
        <v>全ては主のために</v>
      </c>
      <c r="D75" s="84" t="str">
        <f ca="1">VLOOKUP($B75,OFFSET([2]quests!$A$1,0,0,COUNTA([2]quests!$A:$A),MATCH(D$1,[2]quests!$1:$1,0)-MATCH($B$1,[2]quests!$1:$1,0)+1),MATCH(D$1,[2]quests!$1:$1,0)-MATCH($B$1,[2]quests!$1:$1,0)+1,FALSE)</f>
        <v>ドロップイベント8（マルチ専用）</v>
      </c>
      <c r="E75" s="88">
        <v>3</v>
      </c>
      <c r="F75" s="84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【超級】全ては主のために</v>
      </c>
      <c r="G75" s="84" t="str">
        <f ca="1">VLOOKUP($B75&amp;"_"&amp;$E75,OFFSET([2]stages!$A$1,0,0,COUNTA([2]stages!$A:$A),MATCH(G$1,[2]stages!$2:$2,0)-MATCH("temp_stage",[2]stages!$2:$2,0)+1),MATCH(G$1,[2]stages!$2:$2,0)-MATCH("temp_stage",[2]stages!$2:$2,0)+1,FALSE)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5" s="86">
        <v>0</v>
      </c>
      <c r="I75">
        <v>30</v>
      </c>
      <c r="J75" s="85" t="s">
        <v>197</v>
      </c>
      <c r="K75" s="94" t="str">
        <f>VLOOKUP(I75,[7]stage_hints!$A:$C,3,FALSE)</f>
        <v>「バグ」の増やし方</v>
      </c>
      <c r="L75" s="95" t="str">
        <f>VLOOKUP(I75,[7]stage_hints!$A:$D,4,FALSE)</f>
        <v>同じユニット同士を強化で合成すると_x000D_「バグ」を増やすことができます</v>
      </c>
      <c r="M75" s="57" t="s">
        <v>210</v>
      </c>
    </row>
    <row r="76" spans="1:13" x14ac:dyDescent="0.15">
      <c r="A76" s="82" t="s">
        <v>200</v>
      </c>
      <c r="B76" s="83">
        <f>floors!$C$2</f>
        <v>30029</v>
      </c>
      <c r="C76" s="84" t="str">
        <f ca="1">VLOOKUP($B76,OFFSET([2]quests!$A$1,0,0,COUNTA([2]quests!$A:$A),MATCH(C$1,[2]quests!$1:$1,0)-MATCH($B$1,[2]quests!$1:$1,0)+1),MATCH(C$1,[2]quests!$1:$1,0)-MATCH($B$1,[2]quests!$1:$1,0)+1,FALSE)</f>
        <v>全ては主のために</v>
      </c>
      <c r="D76" s="84" t="str">
        <f ca="1">VLOOKUP($B76,OFFSET([2]quests!$A$1,0,0,COUNTA([2]quests!$A:$A),MATCH(D$1,[2]quests!$1:$1,0)-MATCH($B$1,[2]quests!$1:$1,0)+1),MATCH(D$1,[2]quests!$1:$1,0)-MATCH($B$1,[2]quests!$1:$1,0)+1,FALSE)</f>
        <v>ドロップイベント8（マルチ専用）</v>
      </c>
      <c r="E76" s="88">
        <v>3</v>
      </c>
      <c r="F76" s="84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【超級】全ては主のために</v>
      </c>
      <c r="G76" s="84" t="str">
        <f ca="1">VLOOKUP($B76&amp;"_"&amp;$E76,OFFSET([2]stages!$A$1,0,0,COUNTA([2]stages!$A:$A),MATCH(G$1,[2]stages!$2:$2,0)-MATCH("temp_stage",[2]stages!$2:$2,0)+1),MATCH(G$1,[2]stages!$2:$2,0)-MATCH("temp_stage",[2]stages!$2:$2,0)+1,FALSE)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6" s="86">
        <v>0</v>
      </c>
      <c r="I76">
        <v>32</v>
      </c>
      <c r="J76" s="85" t="s">
        <v>197</v>
      </c>
      <c r="K76" s="94" t="str">
        <f>VLOOKUP(I76,[7]stage_hints!$A:$C,3,FALSE)</f>
        <v>敵の連続攻撃には</v>
      </c>
      <c r="L76" s="95" t="str">
        <f>VLOOKUP(I76,[7]stage_hints!$A:$D,4,FALSE)</f>
        <v>カウンタースキルを持つユニットがいれば_x000D_ダメージ回数分の反撃ができます</v>
      </c>
      <c r="M76" s="57" t="s">
        <v>210</v>
      </c>
    </row>
    <row r="77" spans="1:13" x14ac:dyDescent="0.15">
      <c r="A77" s="82" t="s">
        <v>200</v>
      </c>
      <c r="B77" s="83">
        <f>floors!$C$2</f>
        <v>30029</v>
      </c>
      <c r="C77" s="84" t="str">
        <f ca="1">VLOOKUP($B77,OFFSET([2]quests!$A$1,0,0,COUNTA([2]quests!$A:$A),MATCH(C$1,[2]quests!$1:$1,0)-MATCH($B$1,[2]quests!$1:$1,0)+1),MATCH(C$1,[2]quests!$1:$1,0)-MATCH($B$1,[2]quests!$1:$1,0)+1,FALSE)</f>
        <v>全ては主のために</v>
      </c>
      <c r="D77" s="84" t="str">
        <f ca="1">VLOOKUP($B77,OFFSET([2]quests!$A$1,0,0,COUNTA([2]quests!$A:$A),MATCH(D$1,[2]quests!$1:$1,0)-MATCH($B$1,[2]quests!$1:$1,0)+1),MATCH(D$1,[2]quests!$1:$1,0)-MATCH($B$1,[2]quests!$1:$1,0)+1,FALSE)</f>
        <v>ドロップイベント8（マルチ専用）</v>
      </c>
      <c r="E77" s="88">
        <v>3</v>
      </c>
      <c r="F77" s="84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【超級】全ては主のために</v>
      </c>
      <c r="G77" s="84" t="str">
        <f ca="1">VLOOKUP($B77&amp;"_"&amp;$E77,OFFSET([2]stages!$A$1,0,0,COUNTA([2]stages!$A:$A),MATCH(G$1,[2]stages!$2:$2,0)-MATCH("temp_stage",[2]stages!$2:$2,0)+1),MATCH(G$1,[2]stages!$2:$2,0)-MATCH("temp_stage",[2]stages!$2:$2,0)+1,FALSE)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7" s="86">
        <v>0</v>
      </c>
      <c r="I77">
        <v>33</v>
      </c>
      <c r="J77" s="85" t="s">
        <v>197</v>
      </c>
      <c r="K77" s="94" t="str">
        <f>VLOOKUP(I77,[7]stage_hints!$A:$C,3,FALSE)</f>
        <v>敵のカウンター攻撃には</v>
      </c>
      <c r="L77" s="95" t="str">
        <f>VLOOKUP(I77,[7]stage_hints!$A:$D,4,FALSE)</f>
        <v>カウンターブレイクスキルを持っていれば_x000D_敵のカウンターを解除して攻撃ができます</v>
      </c>
      <c r="M77" s="57" t="s">
        <v>210</v>
      </c>
    </row>
    <row r="78" spans="1:13" x14ac:dyDescent="0.15">
      <c r="A78" s="82" t="s">
        <v>200</v>
      </c>
      <c r="B78" s="83">
        <f>floors!$C$2</f>
        <v>30029</v>
      </c>
      <c r="C78" s="84" t="str">
        <f ca="1">VLOOKUP($B78,OFFSET([2]quests!$A$1,0,0,COUNTA([2]quests!$A:$A),MATCH(C$1,[2]quests!$1:$1,0)-MATCH($B$1,[2]quests!$1:$1,0)+1),MATCH(C$1,[2]quests!$1:$1,0)-MATCH($B$1,[2]quests!$1:$1,0)+1,FALSE)</f>
        <v>全ては主のために</v>
      </c>
      <c r="D78" s="84" t="str">
        <f ca="1">VLOOKUP($B78,OFFSET([2]quests!$A$1,0,0,COUNTA([2]quests!$A:$A),MATCH(D$1,[2]quests!$1:$1,0)-MATCH($B$1,[2]quests!$1:$1,0)+1),MATCH(D$1,[2]quests!$1:$1,0)-MATCH($B$1,[2]quests!$1:$1,0)+1,FALSE)</f>
        <v>ドロップイベント8（マルチ専用）</v>
      </c>
      <c r="E78" s="88">
        <v>3</v>
      </c>
      <c r="F78" s="84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【超級】全ては主のために</v>
      </c>
      <c r="G78" s="84" t="str">
        <f ca="1">VLOOKUP($B78&amp;"_"&amp;$E78,OFFSET([2]stages!$A$1,0,0,COUNTA([2]stages!$A:$A),MATCH(G$1,[2]stages!$2:$2,0)-MATCH("temp_stage",[2]stages!$2:$2,0)+1),MATCH(G$1,[2]stages!$2:$2,0)-MATCH("temp_stage",[2]stages!$2:$2,0)+1,FALSE)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8" s="86">
        <v>0</v>
      </c>
      <c r="I78">
        <v>34</v>
      </c>
      <c r="J78" s="85" t="s">
        <v>197</v>
      </c>
      <c r="K78" s="94" t="str">
        <f>VLOOKUP(I78,[7]stage_hints!$A:$C,3,FALSE)</f>
        <v>ステータスをスキルで下げられたら</v>
      </c>
      <c r="L78" s="95" t="str">
        <f>VLOOKUP(I78,[7]stage_hints!$A:$D,4,FALSE)</f>
        <v>ステータスダウンのスキルを受けたら_x000D_ステータスアップスキルで上書きしましょう</v>
      </c>
      <c r="M78" s="57" t="s">
        <v>210</v>
      </c>
    </row>
    <row r="79" spans="1:13" x14ac:dyDescent="0.15">
      <c r="A79" s="82" t="s">
        <v>200</v>
      </c>
      <c r="B79" s="83">
        <f>floors!$C$2</f>
        <v>30029</v>
      </c>
      <c r="C79" s="84" t="str">
        <f ca="1">VLOOKUP($B79,OFFSET([2]quests!$A$1,0,0,COUNTA([2]quests!$A:$A),MATCH(C$1,[2]quests!$1:$1,0)-MATCH($B$1,[2]quests!$1:$1,0)+1),MATCH(C$1,[2]quests!$1:$1,0)-MATCH($B$1,[2]quests!$1:$1,0)+1,FALSE)</f>
        <v>全ては主のために</v>
      </c>
      <c r="D79" s="84" t="str">
        <f ca="1">VLOOKUP($B79,OFFSET([2]quests!$A$1,0,0,COUNTA([2]quests!$A:$A),MATCH(D$1,[2]quests!$1:$1,0)-MATCH($B$1,[2]quests!$1:$1,0)+1),MATCH(D$1,[2]quests!$1:$1,0)-MATCH($B$1,[2]quests!$1:$1,0)+1,FALSE)</f>
        <v>ドロップイベント8（マルチ専用）</v>
      </c>
      <c r="E79" s="88">
        <v>3</v>
      </c>
      <c r="F79" s="84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【超級】全ては主のために</v>
      </c>
      <c r="G79" s="84" t="str">
        <f ca="1">VLOOKUP($B79&amp;"_"&amp;$E79,OFFSET([2]stages!$A$1,0,0,COUNTA([2]stages!$A:$A),MATCH(G$1,[2]stages!$2:$2,0)-MATCH("temp_stage",[2]stages!$2:$2,0)+1),MATCH(G$1,[2]stages!$2:$2,0)-MATCH("temp_stage",[2]stages!$2:$2,0)+1,FALSE)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9" s="86">
        <v>0</v>
      </c>
      <c r="I79">
        <v>35</v>
      </c>
      <c r="J79" s="85" t="s">
        <v>197</v>
      </c>
      <c r="K79" s="94" t="str">
        <f>VLOOKUP(I79,[7]stage_hints!$A:$C,3,FALSE)</f>
        <v>敵のステータスがスキルで上がったら</v>
      </c>
      <c r="L79" s="95" t="str">
        <f>VLOOKUP(I79,[7]stage_hints!$A:$D,4,FALSE)</f>
        <v>敵のステータスがスキルでアップしたときは_x000D_ステータスダウンスキルで上書きしましょう</v>
      </c>
      <c r="M79" s="57" t="s">
        <v>210</v>
      </c>
    </row>
    <row r="80" spans="1:13" x14ac:dyDescent="0.15">
      <c r="A80" s="82" t="s">
        <v>200</v>
      </c>
      <c r="B80" s="83">
        <f>floors!$C$2</f>
        <v>30029</v>
      </c>
      <c r="C80" s="84" t="str">
        <f ca="1">VLOOKUP($B80,OFFSET([2]quests!$A$1,0,0,COUNTA([2]quests!$A:$A),MATCH(C$1,[2]quests!$1:$1,0)-MATCH($B$1,[2]quests!$1:$1,0)+1),MATCH(C$1,[2]quests!$1:$1,0)-MATCH($B$1,[2]quests!$1:$1,0)+1,FALSE)</f>
        <v>全ては主のために</v>
      </c>
      <c r="D80" s="84" t="str">
        <f ca="1">VLOOKUP($B80,OFFSET([2]quests!$A$1,0,0,COUNTA([2]quests!$A:$A),MATCH(D$1,[2]quests!$1:$1,0)-MATCH($B$1,[2]quests!$1:$1,0)+1),MATCH(D$1,[2]quests!$1:$1,0)-MATCH($B$1,[2]quests!$1:$1,0)+1,FALSE)</f>
        <v>ドロップイベント8（マルチ専用）</v>
      </c>
      <c r="E80" s="88">
        <v>3</v>
      </c>
      <c r="F80" s="84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【超級】全ては主のために</v>
      </c>
      <c r="G80" s="84" t="str">
        <f ca="1">VLOOKUP($B80&amp;"_"&amp;$E80,OFFSET([2]stages!$A$1,0,0,COUNTA([2]stages!$A:$A),MATCH(G$1,[2]stages!$2:$2,0)-MATCH("temp_stage",[2]stages!$2:$2,0)+1),MATCH(G$1,[2]stages!$2:$2,0)-MATCH("temp_stage",[2]stages!$2:$2,0)+1,FALSE)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80" s="86">
        <v>0</v>
      </c>
      <c r="I80">
        <v>36</v>
      </c>
      <c r="J80" s="85" t="s">
        <v>197</v>
      </c>
      <c r="K80" s="94" t="str">
        <f>VLOOKUP(I80,[7]stage_hints!$A:$C,3,FALSE)</f>
        <v>タワーオブザクイーンのボス</v>
      </c>
      <c r="L80" s="95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7" t="s">
        <v>210</v>
      </c>
    </row>
    <row r="81" spans="1:13" x14ac:dyDescent="0.15">
      <c r="A81" s="82" t="s">
        <v>200</v>
      </c>
      <c r="B81" s="83">
        <f>floors!$C$2</f>
        <v>30029</v>
      </c>
      <c r="C81" s="84" t="str">
        <f ca="1">VLOOKUP($B81,OFFSET([2]quests!$A$1,0,0,COUNTA([2]quests!$A:$A),MATCH(C$1,[2]quests!$1:$1,0)-MATCH($B$1,[2]quests!$1:$1,0)+1),MATCH(C$1,[2]quests!$1:$1,0)-MATCH($B$1,[2]quests!$1:$1,0)+1,FALSE)</f>
        <v>全ては主のために</v>
      </c>
      <c r="D81" s="84" t="str">
        <f ca="1">VLOOKUP($B81,OFFSET([2]quests!$A$1,0,0,COUNTA([2]quests!$A:$A),MATCH(D$1,[2]quests!$1:$1,0)-MATCH($B$1,[2]quests!$1:$1,0)+1),MATCH(D$1,[2]quests!$1:$1,0)-MATCH($B$1,[2]quests!$1:$1,0)+1,FALSE)</f>
        <v>ドロップイベント8（マルチ専用）</v>
      </c>
      <c r="E81" s="88">
        <v>3</v>
      </c>
      <c r="F81" s="84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【超級】全ては主のために</v>
      </c>
      <c r="G81" s="84" t="str">
        <f ca="1">VLOOKUP($B81&amp;"_"&amp;$E81,OFFSET([2]stages!$A$1,0,0,COUNTA([2]stages!$A:$A),MATCH(G$1,[2]stages!$2:$2,0)-MATCH("temp_stage",[2]stages!$2:$2,0)+1),MATCH(G$1,[2]stages!$2:$2,0)-MATCH("temp_stage",[2]stages!$2:$2,0)+1,FALSE)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81" s="86">
        <v>0</v>
      </c>
      <c r="I81">
        <v>37</v>
      </c>
      <c r="J81" s="85" t="s">
        <v>197</v>
      </c>
      <c r="K81" s="94" t="str">
        <f>VLOOKUP(I81,[7]stage_hints!$A:$C,3,FALSE)</f>
        <v>限界突破値の引き継ぎ</v>
      </c>
      <c r="L81" s="95" t="str">
        <f>VLOOKUP(I81,[7]stage_hints!$A:$D,4,FALSE)</f>
        <v>同じユニットを強化で合成すると_x000D_限界突破値を引き継げます（覚醒前後も可）</v>
      </c>
      <c r="M81" s="57" t="s">
        <v>210</v>
      </c>
    </row>
    <row r="82" spans="1:13" x14ac:dyDescent="0.15">
      <c r="A82" s="82" t="s">
        <v>200</v>
      </c>
      <c r="B82" s="83">
        <f>floors!$C$2</f>
        <v>30029</v>
      </c>
      <c r="C82" s="84" t="str">
        <f ca="1">VLOOKUP($B82,OFFSET([2]quests!$A$1,0,0,COUNTA([2]quests!$A:$A),MATCH(C$1,[2]quests!$1:$1,0)-MATCH($B$1,[2]quests!$1:$1,0)+1),MATCH(C$1,[2]quests!$1:$1,0)-MATCH($B$1,[2]quests!$1:$1,0)+1,FALSE)</f>
        <v>全ては主のために</v>
      </c>
      <c r="D82" s="84" t="str">
        <f ca="1">VLOOKUP($B82,OFFSET([2]quests!$A$1,0,0,COUNTA([2]quests!$A:$A),MATCH(D$1,[2]quests!$1:$1,0)-MATCH($B$1,[2]quests!$1:$1,0)+1),MATCH(D$1,[2]quests!$1:$1,0)-MATCH($B$1,[2]quests!$1:$1,0)+1,FALSE)</f>
        <v>ドロップイベント8（マルチ専用）</v>
      </c>
      <c r="E82" s="88">
        <v>3</v>
      </c>
      <c r="F82" s="84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【超級】全ては主のために</v>
      </c>
      <c r="G82" s="84" t="str">
        <f ca="1">VLOOKUP($B82&amp;"_"&amp;$E82,OFFSET([2]stages!$A$1,0,0,COUNTA([2]stages!$A:$A),MATCH(G$1,[2]stages!$2:$2,0)-MATCH("temp_stage",[2]stages!$2:$2,0)+1),MATCH(G$1,[2]stages!$2:$2,0)-MATCH("temp_stage",[2]stages!$2:$2,0)+1,FALSE)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82" s="86">
        <v>0</v>
      </c>
      <c r="I82">
        <v>39</v>
      </c>
      <c r="J82" s="85" t="s">
        <v>197</v>
      </c>
      <c r="K82" s="94" t="str">
        <f>VLOOKUP(I82,[7]stage_hints!$A:$C,3,FALSE)</f>
        <v>システム適合者を確認</v>
      </c>
      <c r="L82" s="95" t="str">
        <f>VLOOKUP(I82,[7]stage_hints!$A:$D,4,FALSE)</f>
        <v>ALICEが 「アナタ」を呼んでいます</v>
      </c>
      <c r="M82" s="57" t="s">
        <v>210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7"/>
  <sheetViews>
    <sheetView showGridLines="0" workbookViewId="0">
      <pane ySplit="1" topLeftCell="A2" activePane="bottomLeft" state="frozen"/>
      <selection pane="bottomLeft" activeCell="H4" sqref="H4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187</v>
      </c>
      <c r="B1" s="73" t="s">
        <v>150</v>
      </c>
      <c r="C1" s="78" t="s">
        <v>189</v>
      </c>
      <c r="D1" s="78" t="s">
        <v>33</v>
      </c>
      <c r="E1" s="73" t="s">
        <v>190</v>
      </c>
      <c r="F1" s="78" t="s">
        <v>18</v>
      </c>
      <c r="G1" s="78" t="s">
        <v>33</v>
      </c>
      <c r="H1" s="73" t="s">
        <v>192</v>
      </c>
      <c r="I1" s="90" t="s">
        <v>193</v>
      </c>
      <c r="J1" s="92" t="s">
        <v>194</v>
      </c>
      <c r="K1" s="80" t="s">
        <v>126</v>
      </c>
      <c r="L1" s="79" t="s">
        <v>186</v>
      </c>
      <c r="M1" s="93" t="s">
        <v>185</v>
      </c>
      <c r="N1" s="81" t="s">
        <v>195</v>
      </c>
    </row>
    <row r="2" spans="1:14" ht="42" x14ac:dyDescent="0.15">
      <c r="A2" s="82" t="s">
        <v>196</v>
      </c>
      <c r="B2" s="83">
        <f>floors!$C$2</f>
        <v>30029</v>
      </c>
      <c r="C2" s="84" t="str">
        <f ca="1">VLOOKUP($B2,OFFSET([2]quests!$A$1,0,0,COUNTA([2]quests!$A:$A),MATCH(C$1,[2]quests!$1:$1,0)-MATCH($B$1,[2]quests!$1:$1,0)+1),MATCH(C$1,[2]quests!$1:$1,0)-MATCH($B$1,[2]quests!$1:$1,0)+1,FALSE)</f>
        <v>全ては主のために</v>
      </c>
      <c r="D2" s="84" t="str">
        <f ca="1">VLOOKUP($B2,OFFSET([2]quests!$A$1,0,0,COUNTA([2]quests!$A:$A),MATCH(D$1,[2]quests!$1:$1,0)-MATCH($B$1,[2]quests!$1:$1,0)+1),MATCH(D$1,[2]quests!$1:$1,0)-MATCH($B$1,[2]quests!$1:$1,0)+1,FALSE)</f>
        <v>ドロップイベント8（マルチ専用）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【中級】全ては主のために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2" s="86">
        <v>1</v>
      </c>
      <c r="I2" s="91">
        <f>ROW()-1</f>
        <v>1</v>
      </c>
      <c r="J2" s="87" t="str">
        <f>B2&amp;TEXT(I2,"00")</f>
        <v>3002901</v>
      </c>
      <c r="K2" s="85" t="s">
        <v>197</v>
      </c>
      <c r="L2" s="88" t="s">
        <v>198</v>
      </c>
      <c r="M2" s="103" t="s">
        <v>277</v>
      </c>
      <c r="N2" s="57" t="s">
        <v>199</v>
      </c>
    </row>
    <row r="3" spans="1:14" ht="42" x14ac:dyDescent="0.15">
      <c r="A3" s="82" t="s">
        <v>196</v>
      </c>
      <c r="B3" s="83">
        <f>floors!$C$2</f>
        <v>30029</v>
      </c>
      <c r="C3" s="84" t="str">
        <f ca="1">VLOOKUP($B3,OFFSET([2]quests!$A$1,0,0,COUNTA([2]quests!$A:$A),MATCH(C$1,[2]quests!$1:$1,0)-MATCH($B$1,[2]quests!$1:$1,0)+1),MATCH(C$1,[2]quests!$1:$1,0)-MATCH($B$1,[2]quests!$1:$1,0)+1,FALSE)</f>
        <v>全ては主のために</v>
      </c>
      <c r="D3" s="84" t="str">
        <f ca="1">VLOOKUP($B3,OFFSET([2]quests!$A$1,0,0,COUNTA([2]quests!$A:$A),MATCH(D$1,[2]quests!$1:$1,0)-MATCH($B$1,[2]quests!$1:$1,0)+1),MATCH(D$1,[2]quests!$1:$1,0)-MATCH($B$1,[2]quests!$1:$1,0)+1,FALSE)</f>
        <v>ドロップイベント8（マルチ専用）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【中級】全ては主のために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3" s="86">
        <v>2</v>
      </c>
      <c r="I3" s="91">
        <f t="shared" ref="I3:I6" si="0">ROW()-1</f>
        <v>2</v>
      </c>
      <c r="J3" s="87" t="str">
        <f t="shared" ref="J3:J6" si="1">B3&amp;TEXT(I3,"00")</f>
        <v>3002902</v>
      </c>
      <c r="K3" s="85" t="s">
        <v>197</v>
      </c>
      <c r="L3" s="88" t="s">
        <v>198</v>
      </c>
      <c r="M3" s="103" t="s">
        <v>278</v>
      </c>
      <c r="N3" s="57" t="s">
        <v>199</v>
      </c>
    </row>
    <row r="4" spans="1:14" ht="42" x14ac:dyDescent="0.15">
      <c r="A4" s="82" t="s">
        <v>196</v>
      </c>
      <c r="B4" s="83">
        <f>floors!$C$2</f>
        <v>30029</v>
      </c>
      <c r="C4" s="84" t="str">
        <f ca="1">VLOOKUP($B4,OFFSET([2]quests!$A$1,0,0,COUNTA([2]quests!$A:$A),MATCH(C$1,[2]quests!$1:$1,0)-MATCH($B$1,[2]quests!$1:$1,0)+1),MATCH(C$1,[2]quests!$1:$1,0)-MATCH($B$1,[2]quests!$1:$1,0)+1,FALSE)</f>
        <v>全ては主のために</v>
      </c>
      <c r="D4" s="84" t="str">
        <f ca="1">VLOOKUP($B4,OFFSET([2]quests!$A$1,0,0,COUNTA([2]quests!$A:$A),MATCH(D$1,[2]quests!$1:$1,0)-MATCH($B$1,[2]quests!$1:$1,0)+1),MATCH(D$1,[2]quests!$1:$1,0)-MATCH($B$1,[2]quests!$1:$1,0)+1,FALSE)</f>
        <v>ドロップイベント8（マルチ専用）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【中級】全ては主のために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4" s="86">
        <v>3</v>
      </c>
      <c r="I4" s="91">
        <f t="shared" si="0"/>
        <v>3</v>
      </c>
      <c r="J4" s="87" t="str">
        <f t="shared" si="1"/>
        <v>3002903</v>
      </c>
      <c r="K4" s="85" t="s">
        <v>197</v>
      </c>
      <c r="L4" s="88" t="s">
        <v>198</v>
      </c>
      <c r="M4" s="103" t="s">
        <v>280</v>
      </c>
      <c r="N4" s="57" t="s">
        <v>199</v>
      </c>
    </row>
    <row r="5" spans="1:14" ht="28" x14ac:dyDescent="0.15">
      <c r="A5" s="82" t="s">
        <v>196</v>
      </c>
      <c r="B5" s="83">
        <f>floors!$C$2</f>
        <v>30029</v>
      </c>
      <c r="C5" s="84" t="str">
        <f ca="1">VLOOKUP($B5,OFFSET([2]quests!$A$1,0,0,COUNTA([2]quests!$A:$A),MATCH(C$1,[2]quests!$1:$1,0)-MATCH($B$1,[2]quests!$1:$1,0)+1),MATCH(C$1,[2]quests!$1:$1,0)-MATCH($B$1,[2]quests!$1:$1,0)+1,FALSE)</f>
        <v>全ては主のために</v>
      </c>
      <c r="D5" s="84" t="str">
        <f ca="1">VLOOKUP($B5,OFFSET([2]quests!$A$1,0,0,COUNTA([2]quests!$A:$A),MATCH(D$1,[2]quests!$1:$1,0)-MATCH($B$1,[2]quests!$1:$1,0)+1),MATCH(D$1,[2]quests!$1:$1,0)-MATCH($B$1,[2]quests!$1:$1,0)+1,FALSE)</f>
        <v>ドロップイベント8（マルチ専用）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【中級】全ては主のために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5" s="86">
        <v>4</v>
      </c>
      <c r="I5" s="91">
        <f t="shared" si="0"/>
        <v>4</v>
      </c>
      <c r="J5" s="87" t="str">
        <f t="shared" si="1"/>
        <v>3002904</v>
      </c>
      <c r="K5" s="85" t="s">
        <v>197</v>
      </c>
      <c r="L5" s="88" t="s">
        <v>198</v>
      </c>
      <c r="M5" s="103" t="s">
        <v>281</v>
      </c>
      <c r="N5" s="57" t="s">
        <v>199</v>
      </c>
    </row>
    <row r="6" spans="1:14" ht="43" thickBot="1" x14ac:dyDescent="0.2">
      <c r="A6" s="112" t="s">
        <v>196</v>
      </c>
      <c r="B6" s="113">
        <f>floors!$C$2</f>
        <v>30029</v>
      </c>
      <c r="C6" s="114" t="str">
        <f ca="1">VLOOKUP($B6,OFFSET([2]quests!$A$1,0,0,COUNTA([2]quests!$A:$A),MATCH(C$1,[2]quests!$1:$1,0)-MATCH($B$1,[2]quests!$1:$1,0)+1),MATCH(C$1,[2]quests!$1:$1,0)-MATCH($B$1,[2]quests!$1:$1,0)+1,FALSE)</f>
        <v>全ては主のために</v>
      </c>
      <c r="D6" s="114" t="str">
        <f ca="1">VLOOKUP($B6,OFFSET([2]quests!$A$1,0,0,COUNTA([2]quests!$A:$A),MATCH(D$1,[2]quests!$1:$1,0)-MATCH($B$1,[2]quests!$1:$1,0)+1),MATCH(D$1,[2]quests!$1:$1,0)-MATCH($B$1,[2]quests!$1:$1,0)+1,FALSE)</f>
        <v>ドロップイベント8（マルチ専用）</v>
      </c>
      <c r="E6" s="115">
        <v>1</v>
      </c>
      <c r="F6" s="114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【中級】全ては主のために</v>
      </c>
      <c r="G6" s="114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6" s="116">
        <v>4</v>
      </c>
      <c r="I6" s="117">
        <f t="shared" si="0"/>
        <v>5</v>
      </c>
      <c r="J6" s="118" t="str">
        <f t="shared" si="1"/>
        <v>3002905</v>
      </c>
      <c r="K6" s="115" t="s">
        <v>197</v>
      </c>
      <c r="L6" s="119" t="s">
        <v>198</v>
      </c>
      <c r="M6" s="120" t="s">
        <v>282</v>
      </c>
      <c r="N6" s="121" t="s">
        <v>199</v>
      </c>
    </row>
    <row r="7" spans="1:14" ht="42" x14ac:dyDescent="0.15">
      <c r="A7" s="104" t="s">
        <v>196</v>
      </c>
      <c r="B7" s="105">
        <f>floors!$C$2</f>
        <v>30029</v>
      </c>
      <c r="C7" s="84" t="str">
        <f ca="1">VLOOKUP($B7,OFFSET([2]quests!$A$1,0,0,COUNTA([2]quests!$A:$A),MATCH(C$1,[2]quests!$1:$1,0)-MATCH($B$1,[2]quests!$1:$1,0)+1),MATCH(C$1,[2]quests!$1:$1,0)-MATCH($B$1,[2]quests!$1:$1,0)+1,FALSE)</f>
        <v>全ては主のために</v>
      </c>
      <c r="D7" s="84" t="str">
        <f ca="1">VLOOKUP($B7,OFFSET([2]quests!$A$1,0,0,COUNTA([2]quests!$A:$A),MATCH(D$1,[2]quests!$1:$1,0)-MATCH($B$1,[2]quests!$1:$1,0)+1),MATCH(D$1,[2]quests!$1:$1,0)-MATCH($B$1,[2]quests!$1:$1,0)+1,FALSE)</f>
        <v>ドロップイベント8（マルチ専用）</v>
      </c>
      <c r="E7" s="106">
        <v>2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【上級】全ては主のために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7" s="86">
        <v>1</v>
      </c>
      <c r="I7" s="107">
        <f>ROW()-1</f>
        <v>6</v>
      </c>
      <c r="J7" s="108" t="str">
        <f>B7&amp;TEXT(I7,"00")</f>
        <v>3002906</v>
      </c>
      <c r="K7" s="106" t="s">
        <v>197</v>
      </c>
      <c r="L7" s="109" t="s">
        <v>198</v>
      </c>
      <c r="M7" s="110" t="s">
        <v>277</v>
      </c>
      <c r="N7" s="111" t="s">
        <v>199</v>
      </c>
    </row>
    <row r="8" spans="1:14" ht="42" x14ac:dyDescent="0.15">
      <c r="A8" s="82" t="s">
        <v>196</v>
      </c>
      <c r="B8" s="83">
        <f>floors!$C$2</f>
        <v>30029</v>
      </c>
      <c r="C8" s="84" t="str">
        <f ca="1">VLOOKUP($B8,OFFSET([2]quests!$A$1,0,0,COUNTA([2]quests!$A:$A),MATCH(C$1,[2]quests!$1:$1,0)-MATCH($B$1,[2]quests!$1:$1,0)+1),MATCH(C$1,[2]quests!$1:$1,0)-MATCH($B$1,[2]quests!$1:$1,0)+1,FALSE)</f>
        <v>全ては主のために</v>
      </c>
      <c r="D8" s="84" t="str">
        <f ca="1">VLOOKUP($B8,OFFSET([2]quests!$A$1,0,0,COUNTA([2]quests!$A:$A),MATCH(D$1,[2]quests!$1:$1,0)-MATCH($B$1,[2]quests!$1:$1,0)+1),MATCH(D$1,[2]quests!$1:$1,0)-MATCH($B$1,[2]quests!$1:$1,0)+1,FALSE)</f>
        <v>ドロップイベント8（マルチ専用）</v>
      </c>
      <c r="E8" s="85">
        <v>2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【上級】全ては主のために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8" s="86">
        <v>2</v>
      </c>
      <c r="I8" s="91">
        <f t="shared" ref="I8:I11" si="2">ROW()-1</f>
        <v>7</v>
      </c>
      <c r="J8" s="87" t="str">
        <f t="shared" ref="J8:J11" si="3">B8&amp;TEXT(I8,"00")</f>
        <v>3002907</v>
      </c>
      <c r="K8" s="85" t="s">
        <v>197</v>
      </c>
      <c r="L8" s="88" t="s">
        <v>198</v>
      </c>
      <c r="M8" s="103" t="s">
        <v>278</v>
      </c>
      <c r="N8" s="57" t="s">
        <v>199</v>
      </c>
    </row>
    <row r="9" spans="1:14" ht="42" x14ac:dyDescent="0.15">
      <c r="A9" s="82" t="s">
        <v>196</v>
      </c>
      <c r="B9" s="83">
        <f>floors!$C$2</f>
        <v>30029</v>
      </c>
      <c r="C9" s="84" t="str">
        <f ca="1">VLOOKUP($B9,OFFSET([2]quests!$A$1,0,0,COUNTA([2]quests!$A:$A),MATCH(C$1,[2]quests!$1:$1,0)-MATCH($B$1,[2]quests!$1:$1,0)+1),MATCH(C$1,[2]quests!$1:$1,0)-MATCH($B$1,[2]quests!$1:$1,0)+1,FALSE)</f>
        <v>全ては主のために</v>
      </c>
      <c r="D9" s="84" t="str">
        <f ca="1">VLOOKUP($B9,OFFSET([2]quests!$A$1,0,0,COUNTA([2]quests!$A:$A),MATCH(D$1,[2]quests!$1:$1,0)-MATCH($B$1,[2]quests!$1:$1,0)+1),MATCH(D$1,[2]quests!$1:$1,0)-MATCH($B$1,[2]quests!$1:$1,0)+1,FALSE)</f>
        <v>ドロップイベント8（マルチ専用）</v>
      </c>
      <c r="E9" s="85">
        <v>2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【上級】全ては主のために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9" s="86">
        <v>3</v>
      </c>
      <c r="I9" s="91">
        <f t="shared" si="2"/>
        <v>8</v>
      </c>
      <c r="J9" s="87" t="str">
        <f t="shared" si="3"/>
        <v>3002908</v>
      </c>
      <c r="K9" s="85" t="s">
        <v>197</v>
      </c>
      <c r="L9" s="88" t="s">
        <v>198</v>
      </c>
      <c r="M9" s="103" t="s">
        <v>280</v>
      </c>
      <c r="N9" s="57" t="s">
        <v>199</v>
      </c>
    </row>
    <row r="10" spans="1:14" ht="28" x14ac:dyDescent="0.15">
      <c r="A10" s="82" t="s">
        <v>196</v>
      </c>
      <c r="B10" s="83">
        <f>floors!$C$2</f>
        <v>30029</v>
      </c>
      <c r="C10" s="84" t="str">
        <f ca="1">VLOOKUP($B10,OFFSET([2]quests!$A$1,0,0,COUNTA([2]quests!$A:$A),MATCH(C$1,[2]quests!$1:$1,0)-MATCH($B$1,[2]quests!$1:$1,0)+1),MATCH(C$1,[2]quests!$1:$1,0)-MATCH($B$1,[2]quests!$1:$1,0)+1,FALSE)</f>
        <v>全ては主のために</v>
      </c>
      <c r="D10" s="84" t="str">
        <f ca="1">VLOOKUP($B10,OFFSET([2]quests!$A$1,0,0,COUNTA([2]quests!$A:$A),MATCH(D$1,[2]quests!$1:$1,0)-MATCH($B$1,[2]quests!$1:$1,0)+1),MATCH(D$1,[2]quests!$1:$1,0)-MATCH($B$1,[2]quests!$1:$1,0)+1,FALSE)</f>
        <v>ドロップイベント8（マルチ専用）</v>
      </c>
      <c r="E10" s="85">
        <v>2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【上級】全ては主のために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0" s="86">
        <v>4</v>
      </c>
      <c r="I10" s="91">
        <f t="shared" si="2"/>
        <v>9</v>
      </c>
      <c r="J10" s="87" t="str">
        <f t="shared" si="3"/>
        <v>3002909</v>
      </c>
      <c r="K10" s="85" t="s">
        <v>197</v>
      </c>
      <c r="L10" s="88" t="s">
        <v>198</v>
      </c>
      <c r="M10" s="103" t="s">
        <v>281</v>
      </c>
      <c r="N10" s="57" t="s">
        <v>199</v>
      </c>
    </row>
    <row r="11" spans="1:14" ht="43" thickBot="1" x14ac:dyDescent="0.2">
      <c r="A11" s="112" t="s">
        <v>196</v>
      </c>
      <c r="B11" s="113">
        <f>floors!$C$2</f>
        <v>30029</v>
      </c>
      <c r="C11" s="114" t="str">
        <f ca="1">VLOOKUP($B11,OFFSET([2]quests!$A$1,0,0,COUNTA([2]quests!$A:$A),MATCH(C$1,[2]quests!$1:$1,0)-MATCH($B$1,[2]quests!$1:$1,0)+1),MATCH(C$1,[2]quests!$1:$1,0)-MATCH($B$1,[2]quests!$1:$1,0)+1,FALSE)</f>
        <v>全ては主のために</v>
      </c>
      <c r="D11" s="114" t="str">
        <f ca="1">VLOOKUP($B11,OFFSET([2]quests!$A$1,0,0,COUNTA([2]quests!$A:$A),MATCH(D$1,[2]quests!$1:$1,0)-MATCH($B$1,[2]quests!$1:$1,0)+1),MATCH(D$1,[2]quests!$1:$1,0)-MATCH($B$1,[2]quests!$1:$1,0)+1,FALSE)</f>
        <v>ドロップイベント8（マルチ専用）</v>
      </c>
      <c r="E11" s="115">
        <v>2</v>
      </c>
      <c r="F11" s="114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【上級】全ては主のために</v>
      </c>
      <c r="G11" s="114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1" s="116">
        <v>4</v>
      </c>
      <c r="I11" s="117">
        <f t="shared" si="2"/>
        <v>10</v>
      </c>
      <c r="J11" s="118" t="str">
        <f t="shared" si="3"/>
        <v>3002910</v>
      </c>
      <c r="K11" s="115" t="s">
        <v>197</v>
      </c>
      <c r="L11" s="119" t="s">
        <v>198</v>
      </c>
      <c r="M11" s="120" t="s">
        <v>282</v>
      </c>
      <c r="N11" s="121" t="s">
        <v>199</v>
      </c>
    </row>
    <row r="12" spans="1:14" ht="42" x14ac:dyDescent="0.15">
      <c r="A12" s="104" t="s">
        <v>196</v>
      </c>
      <c r="B12" s="105">
        <f>floors!$C$2</f>
        <v>30029</v>
      </c>
      <c r="C12" s="84" t="str">
        <f ca="1">VLOOKUP($B12,OFFSET([2]quests!$A$1,0,0,COUNTA([2]quests!$A:$A),MATCH(C$1,[2]quests!$1:$1,0)-MATCH($B$1,[2]quests!$1:$1,0)+1),MATCH(C$1,[2]quests!$1:$1,0)-MATCH($B$1,[2]quests!$1:$1,0)+1,FALSE)</f>
        <v>全ては主のために</v>
      </c>
      <c r="D12" s="84" t="str">
        <f ca="1">VLOOKUP($B12,OFFSET([2]quests!$A$1,0,0,COUNTA([2]quests!$A:$A),MATCH(D$1,[2]quests!$1:$1,0)-MATCH($B$1,[2]quests!$1:$1,0)+1),MATCH(D$1,[2]quests!$1:$1,0)-MATCH($B$1,[2]quests!$1:$1,0)+1,FALSE)</f>
        <v>ドロップイベント8（マルチ専用）</v>
      </c>
      <c r="E12" s="106">
        <v>3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【超級】全ては主のために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2" s="86">
        <v>1</v>
      </c>
      <c r="I12" s="107">
        <f>ROW()-1</f>
        <v>11</v>
      </c>
      <c r="J12" s="108" t="str">
        <f>B12&amp;TEXT(I12,"00")</f>
        <v>3002911</v>
      </c>
      <c r="K12" s="106" t="s">
        <v>197</v>
      </c>
      <c r="L12" s="109" t="s">
        <v>198</v>
      </c>
      <c r="M12" s="110" t="s">
        <v>277</v>
      </c>
      <c r="N12" s="111" t="s">
        <v>199</v>
      </c>
    </row>
    <row r="13" spans="1:14" ht="42" x14ac:dyDescent="0.15">
      <c r="A13" s="82" t="s">
        <v>196</v>
      </c>
      <c r="B13" s="83">
        <f>floors!$C$2</f>
        <v>30029</v>
      </c>
      <c r="C13" s="84" t="str">
        <f ca="1">VLOOKUP($B13,OFFSET([2]quests!$A$1,0,0,COUNTA([2]quests!$A:$A),MATCH(C$1,[2]quests!$1:$1,0)-MATCH($B$1,[2]quests!$1:$1,0)+1),MATCH(C$1,[2]quests!$1:$1,0)-MATCH($B$1,[2]quests!$1:$1,0)+1,FALSE)</f>
        <v>全ては主のために</v>
      </c>
      <c r="D13" s="84" t="str">
        <f ca="1">VLOOKUP($B13,OFFSET([2]quests!$A$1,0,0,COUNTA([2]quests!$A:$A),MATCH(D$1,[2]quests!$1:$1,0)-MATCH($B$1,[2]quests!$1:$1,0)+1),MATCH(D$1,[2]quests!$1:$1,0)-MATCH($B$1,[2]quests!$1:$1,0)+1,FALSE)</f>
        <v>ドロップイベント8（マルチ専用）</v>
      </c>
      <c r="E13" s="85">
        <v>3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【超級】全ては主のために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3" s="86">
        <v>2</v>
      </c>
      <c r="I13" s="91">
        <f t="shared" ref="I13:I17" si="4">ROW()-1</f>
        <v>12</v>
      </c>
      <c r="J13" s="87" t="str">
        <f t="shared" ref="J13:J15" si="5">B13&amp;TEXT(I13,"00")</f>
        <v>3002912</v>
      </c>
      <c r="K13" s="85" t="s">
        <v>197</v>
      </c>
      <c r="L13" s="88" t="s">
        <v>198</v>
      </c>
      <c r="M13" s="103" t="s">
        <v>278</v>
      </c>
      <c r="N13" s="57" t="s">
        <v>199</v>
      </c>
    </row>
    <row r="14" spans="1:14" ht="42" x14ac:dyDescent="0.15">
      <c r="A14" s="82" t="s">
        <v>196</v>
      </c>
      <c r="B14" s="83">
        <f>floors!$C$2</f>
        <v>30029</v>
      </c>
      <c r="C14" s="84" t="str">
        <f ca="1">VLOOKUP($B14,OFFSET([2]quests!$A$1,0,0,COUNTA([2]quests!$A:$A),MATCH(C$1,[2]quests!$1:$1,0)-MATCH($B$1,[2]quests!$1:$1,0)+1),MATCH(C$1,[2]quests!$1:$1,0)-MATCH($B$1,[2]quests!$1:$1,0)+1,FALSE)</f>
        <v>全ては主のために</v>
      </c>
      <c r="D14" s="84" t="str">
        <f ca="1">VLOOKUP($B14,OFFSET([2]quests!$A$1,0,0,COUNTA([2]quests!$A:$A),MATCH(D$1,[2]quests!$1:$1,0)-MATCH($B$1,[2]quests!$1:$1,0)+1),MATCH(D$1,[2]quests!$1:$1,0)-MATCH($B$1,[2]quests!$1:$1,0)+1,FALSE)</f>
        <v>ドロップイベント8（マルチ専用）</v>
      </c>
      <c r="E14" s="85">
        <v>3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【超級】全ては主のために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4" s="86">
        <v>2</v>
      </c>
      <c r="I14" s="91">
        <f t="shared" si="4"/>
        <v>13</v>
      </c>
      <c r="J14" s="87" t="str">
        <f t="shared" si="5"/>
        <v>3002913</v>
      </c>
      <c r="K14" s="85" t="s">
        <v>197</v>
      </c>
      <c r="L14" s="88" t="s">
        <v>198</v>
      </c>
      <c r="M14" s="103" t="s">
        <v>279</v>
      </c>
      <c r="N14" s="57" t="s">
        <v>199</v>
      </c>
    </row>
    <row r="15" spans="1:14" ht="42" x14ac:dyDescent="0.15">
      <c r="A15" s="82" t="s">
        <v>196</v>
      </c>
      <c r="B15" s="83">
        <f>floors!$C$2</f>
        <v>30029</v>
      </c>
      <c r="C15" s="84" t="str">
        <f ca="1">VLOOKUP($B15,OFFSET([2]quests!$A$1,0,0,COUNTA([2]quests!$A:$A),MATCH(C$1,[2]quests!$1:$1,0)-MATCH($B$1,[2]quests!$1:$1,0)+1),MATCH(C$1,[2]quests!$1:$1,0)-MATCH($B$1,[2]quests!$1:$1,0)+1,FALSE)</f>
        <v>全ては主のために</v>
      </c>
      <c r="D15" s="84" t="str">
        <f ca="1">VLOOKUP($B15,OFFSET([2]quests!$A$1,0,0,COUNTA([2]quests!$A:$A),MATCH(D$1,[2]quests!$1:$1,0)-MATCH($B$1,[2]quests!$1:$1,0)+1),MATCH(D$1,[2]quests!$1:$1,0)-MATCH($B$1,[2]quests!$1:$1,0)+1,FALSE)</f>
        <v>ドロップイベント8（マルチ専用）</v>
      </c>
      <c r="E15" s="85">
        <v>3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【超級】全ては主のために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5" s="86">
        <v>3</v>
      </c>
      <c r="I15" s="91">
        <f t="shared" si="4"/>
        <v>14</v>
      </c>
      <c r="J15" s="87" t="str">
        <f t="shared" si="5"/>
        <v>3002914</v>
      </c>
      <c r="K15" s="85" t="s">
        <v>197</v>
      </c>
      <c r="L15" s="88" t="s">
        <v>198</v>
      </c>
      <c r="M15" s="103" t="s">
        <v>280</v>
      </c>
      <c r="N15" s="57" t="s">
        <v>199</v>
      </c>
    </row>
    <row r="16" spans="1:14" ht="28" x14ac:dyDescent="0.15">
      <c r="A16" s="82" t="s">
        <v>196</v>
      </c>
      <c r="B16" s="83">
        <f>floors!$C$2</f>
        <v>30029</v>
      </c>
      <c r="C16" s="84" t="str">
        <f ca="1">VLOOKUP($B16,OFFSET([2]quests!$A$1,0,0,COUNTA([2]quests!$A:$A),MATCH(C$1,[2]quests!$1:$1,0)-MATCH($B$1,[2]quests!$1:$1,0)+1),MATCH(C$1,[2]quests!$1:$1,0)-MATCH($B$1,[2]quests!$1:$1,0)+1,FALSE)</f>
        <v>全ては主のために</v>
      </c>
      <c r="D16" s="84" t="str">
        <f ca="1">VLOOKUP($B16,OFFSET([2]quests!$A$1,0,0,COUNTA([2]quests!$A:$A),MATCH(D$1,[2]quests!$1:$1,0)-MATCH($B$1,[2]quests!$1:$1,0)+1),MATCH(D$1,[2]quests!$1:$1,0)-MATCH($B$1,[2]quests!$1:$1,0)+1,FALSE)</f>
        <v>ドロップイベント8（マルチ専用）</v>
      </c>
      <c r="E16" s="85">
        <v>3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【超級】全ては主のために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6" s="86">
        <v>4</v>
      </c>
      <c r="I16" s="91">
        <f t="shared" si="4"/>
        <v>15</v>
      </c>
      <c r="J16" s="87" t="str">
        <f t="shared" ref="J16:J17" si="6">B16&amp;TEXT(I16,"00")</f>
        <v>3002915</v>
      </c>
      <c r="K16" s="85" t="s">
        <v>197</v>
      </c>
      <c r="L16" s="88" t="s">
        <v>198</v>
      </c>
      <c r="M16" s="103" t="s">
        <v>281</v>
      </c>
      <c r="N16" s="57" t="s">
        <v>199</v>
      </c>
    </row>
    <row r="17" spans="1:14" ht="42" x14ac:dyDescent="0.15">
      <c r="A17" s="82" t="s">
        <v>196</v>
      </c>
      <c r="B17" s="83">
        <f>floors!$C$2</f>
        <v>30029</v>
      </c>
      <c r="C17" s="84" t="str">
        <f ca="1">VLOOKUP($B17,OFFSET([2]quests!$A$1,0,0,COUNTA([2]quests!$A:$A),MATCH(C$1,[2]quests!$1:$1,0)-MATCH($B$1,[2]quests!$1:$1,0)+1),MATCH(C$1,[2]quests!$1:$1,0)-MATCH($B$1,[2]quests!$1:$1,0)+1,FALSE)</f>
        <v>全ては主のために</v>
      </c>
      <c r="D17" s="84" t="str">
        <f ca="1">VLOOKUP($B17,OFFSET([2]quests!$A$1,0,0,COUNTA([2]quests!$A:$A),MATCH(D$1,[2]quests!$1:$1,0)-MATCH($B$1,[2]quests!$1:$1,0)+1),MATCH(D$1,[2]quests!$1:$1,0)-MATCH($B$1,[2]quests!$1:$1,0)+1,FALSE)</f>
        <v>ドロップイベント8（マルチ専用）</v>
      </c>
      <c r="E17" s="85">
        <v>3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【超級】全ては主のために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ドロップイベント8（マルチ専用）</v>
      </c>
      <c r="H17" s="86">
        <v>4</v>
      </c>
      <c r="I17" s="91">
        <f t="shared" si="4"/>
        <v>16</v>
      </c>
      <c r="J17" s="87" t="str">
        <f t="shared" si="6"/>
        <v>3002916</v>
      </c>
      <c r="K17" s="85" t="s">
        <v>197</v>
      </c>
      <c r="L17" s="88" t="s">
        <v>198</v>
      </c>
      <c r="M17" s="103" t="s">
        <v>282</v>
      </c>
      <c r="N17" s="57" t="s">
        <v>199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cp:lastPrinted>2016-03-03T08:02:04Z</cp:lastPrinted>
  <dcterms:created xsi:type="dcterms:W3CDTF">2015-01-30T13:36:44Z</dcterms:created>
  <dcterms:modified xsi:type="dcterms:W3CDTF">2017-03-08T06:12:22Z</dcterms:modified>
</cp:coreProperties>
</file>