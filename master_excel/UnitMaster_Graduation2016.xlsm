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0" yWindow="460" windowWidth="25600" windowHeight="16060" tabRatio="963" activeTab="7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→base値" sheetId="51" r:id="rId6"/>
    <sheet name="ghosts_label" sheetId="56" r:id="rId7"/>
    <sheet name="コスト" sheetId="13" r:id="rId8"/>
    <sheet name="レベル" sheetId="12" r:id="rId9"/>
    <sheet name="経験値" sheetId="10" r:id="rId10"/>
    <sheet name="RC6SV" sheetId="11" r:id="rId11"/>
    <sheet name="ビット" sheetId="15" r:id="rId12"/>
    <sheet name="チェックシート" sheetId="55" r:id="rId13"/>
  </sheets>
  <externalReferences>
    <externalReference r:id="rId14"/>
  </externalReferences>
  <definedNames>
    <definedName name="_xlnm._FilterDatabase" localSheetId="3" hidden="1">crash_skills!$A$1:$J$1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4">#REF!</definedName>
    <definedName name="base_character_id">#REF!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" i="23" l="1"/>
  <c r="BR3" i="23"/>
  <c r="H2" i="23"/>
  <c r="BR2" i="23"/>
  <c r="C3" i="49"/>
  <c r="E3" i="49"/>
  <c r="E2" i="53"/>
  <c r="B4" i="54"/>
  <c r="G3" i="53"/>
  <c r="E3" i="53"/>
  <c r="C4" i="49"/>
  <c r="C5" i="49"/>
  <c r="C6" i="49"/>
  <c r="C7" i="49"/>
  <c r="C8" i="49"/>
  <c r="C9" i="49"/>
  <c r="C10" i="49"/>
  <c r="G11" i="13"/>
  <c r="G10" i="13"/>
  <c r="G9" i="13"/>
  <c r="G8" i="13"/>
  <c r="G5" i="13"/>
  <c r="G4" i="13"/>
  <c r="G3" i="13"/>
  <c r="G2" i="13"/>
  <c r="J2" i="52"/>
  <c r="G2" i="53"/>
  <c r="B2" i="23"/>
  <c r="C2" i="23"/>
  <c r="D2" i="23"/>
  <c r="E2" i="23"/>
  <c r="F2" i="23"/>
  <c r="G2" i="23"/>
  <c r="I2" i="23"/>
  <c r="J2" i="23"/>
  <c r="K2" i="23"/>
  <c r="L2" i="23"/>
  <c r="M2" i="23"/>
  <c r="N2" i="23"/>
  <c r="O2" i="23"/>
  <c r="P2" i="23"/>
  <c r="Q2" i="23"/>
  <c r="R2" i="23"/>
  <c r="S2" i="23"/>
  <c r="T2" i="23"/>
  <c r="U2" i="23"/>
  <c r="V2" i="23"/>
  <c r="W2" i="23"/>
  <c r="X2" i="23"/>
  <c r="Y2" i="23"/>
  <c r="Z2" i="23"/>
  <c r="AA2" i="23"/>
  <c r="AB2" i="23"/>
  <c r="AC2" i="23"/>
  <c r="AD2" i="23"/>
  <c r="AF2" i="23"/>
  <c r="AG2" i="23"/>
  <c r="AH2" i="23"/>
  <c r="AI2" i="23"/>
  <c r="AK2" i="23"/>
  <c r="AL2" i="23"/>
  <c r="AM2" i="23"/>
  <c r="AN2" i="23"/>
  <c r="AQ2" i="23"/>
  <c r="AR2" i="23"/>
  <c r="AS2" i="23"/>
  <c r="AU2" i="23"/>
  <c r="AV2" i="23"/>
  <c r="AW2" i="23"/>
  <c r="AX2" i="23"/>
  <c r="BC2" i="23"/>
  <c r="BD2" i="23"/>
  <c r="BE2" i="23"/>
  <c r="BF2" i="23"/>
  <c r="BK2" i="23"/>
  <c r="BG2" i="23"/>
  <c r="BL2" i="23"/>
  <c r="BH2" i="23"/>
  <c r="BM2" i="23"/>
  <c r="BI2" i="23"/>
  <c r="BN2" i="23"/>
  <c r="BJ2" i="23"/>
  <c r="B3" i="23"/>
  <c r="C3" i="23"/>
  <c r="D3" i="23"/>
  <c r="E3" i="23"/>
  <c r="F3" i="23"/>
  <c r="G3" i="23"/>
  <c r="I3" i="23"/>
  <c r="J3" i="23"/>
  <c r="K3" i="23"/>
  <c r="L3" i="23"/>
  <c r="M3" i="23"/>
  <c r="N3" i="23"/>
  <c r="O3" i="23"/>
  <c r="Q3" i="23"/>
  <c r="R3" i="23"/>
  <c r="S3" i="23"/>
  <c r="T3" i="23"/>
  <c r="U3" i="23"/>
  <c r="V3" i="23"/>
  <c r="W3" i="23"/>
  <c r="X3" i="23"/>
  <c r="Y3" i="23"/>
  <c r="Z3" i="23"/>
  <c r="AA3" i="23"/>
  <c r="AB3" i="23"/>
  <c r="AC3" i="23"/>
  <c r="AD3" i="23"/>
  <c r="AF3" i="23"/>
  <c r="AG3" i="23"/>
  <c r="AH3" i="23"/>
  <c r="AI3" i="23"/>
  <c r="AK3" i="23"/>
  <c r="AL3" i="23"/>
  <c r="AM3" i="23"/>
  <c r="AN3" i="23"/>
  <c r="AQ3" i="23"/>
  <c r="AR3" i="23"/>
  <c r="AS3" i="23"/>
  <c r="AU3" i="23"/>
  <c r="AV3" i="23"/>
  <c r="AW3" i="23"/>
  <c r="AX3" i="23"/>
  <c r="BC3" i="23"/>
  <c r="BD3" i="23"/>
  <c r="BE3" i="23"/>
  <c r="BF3" i="23"/>
  <c r="BM3" i="23"/>
  <c r="BI3" i="23"/>
  <c r="B15" i="55"/>
  <c r="C15" i="55"/>
  <c r="D15" i="55"/>
  <c r="B16" i="55"/>
  <c r="C16" i="55"/>
  <c r="D16" i="55"/>
  <c r="D14" i="55"/>
  <c r="C14" i="55"/>
  <c r="B14" i="55"/>
  <c r="A21" i="55"/>
  <c r="A26" i="55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B3" i="54"/>
  <c r="B2" i="54"/>
  <c r="H2" i="52"/>
  <c r="E2" i="52"/>
  <c r="E8" i="49"/>
  <c r="E7" i="49"/>
  <c r="E6" i="49"/>
  <c r="E5" i="49"/>
  <c r="E9" i="49"/>
  <c r="E10" i="49"/>
  <c r="E4" i="49"/>
  <c r="E2" i="49"/>
</calcChain>
</file>

<file path=xl/sharedStrings.xml><?xml version="1.0" encoding="utf-8"?>
<sst xmlns="http://schemas.openxmlformats.org/spreadsheetml/2006/main" count="714" uniqueCount="279">
  <si>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</si>
  <si>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</si>
  <si>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</si>
  <si>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</si>
  <si>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</si>
  <si>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</si>
  <si>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</si>
  <si>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</si>
  <si>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</si>
  <si>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</si>
  <si>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</si>
  <si>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</si>
  <si>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</si>
  <si>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</si>
  <si>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</si>
  <si>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</si>
  <si>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</si>
  <si>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</si>
  <si>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</si>
  <si>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</si>
  <si>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</si>
  <si>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</si>
  <si>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</si>
  <si>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</si>
  <si>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</si>
  <si>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</si>
  <si>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</si>
  <si>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</si>
  <si>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</si>
  <si>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</si>
  <si>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</si>
  <si>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</si>
  <si>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</si>
  <si>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</si>
  <si>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</si>
  <si>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</si>
  <si>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</si>
  <si>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</si>
  <si>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</si>
  <si>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</si>
  <si>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</si>
  <si>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</si>
  <si>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</si>
  <si>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</si>
  <si>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</si>
  <si>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</si>
  <si>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</si>
  <si>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</si>
  <si>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</si>
  <si>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</si>
  <si>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</si>
  <si>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</si>
  <si>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</si>
  <si>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</si>
  <si>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</si>
  <si>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</si>
  <si>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</si>
  <si>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</si>
  <si>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</si>
  <si>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</si>
  <si>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</si>
  <si>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</si>
  <si>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</si>
  <si>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</si>
  <si>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</si>
  <si>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</si>
  <si>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</si>
  <si>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</si>
  <si>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</si>
  <si>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</si>
  <si>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</si>
  <si>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</si>
  <si>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</si>
  <si>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</si>
  <si>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</si>
  <si>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</si>
  <si>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</si>
  <si>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</si>
  <si>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</si>
  <si>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</si>
  <si>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</si>
  <si>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</si>
  <si>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</si>
  <si>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</si>
  <si>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</si>
  <si>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</si>
  <si>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</si>
  <si>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</si>
  <si>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</si>
  <si>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</si>
  <si>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</si>
  <si>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</si>
  <si>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</si>
  <si>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</si>
  <si>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</si>
  <si>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</si>
  <si>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</si>
  <si>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</si>
  <si>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</si>
  <si>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</si>
  <si>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</si>
  <si>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</si>
  <si>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</si>
  <si>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</si>
  <si>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</si>
  <si>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</si>
  <si>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</si>
  <si>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</si>
  <si>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</si>
  <si>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</si>
  <si>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</si>
  <si>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</si>
  <si>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</si>
  <si>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</si>
  <si>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</si>
  <si>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</si>
  <si>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</si>
  <si>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</si>
  <si>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</si>
  <si>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</si>
  <si>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</si>
  <si>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</si>
  <si>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</si>
  <si>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</si>
  <si>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</si>
  <si>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</si>
  <si>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</si>
  <si>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</si>
  <si>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</si>
  <si>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</si>
  <si>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</si>
  <si>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</si>
  <si>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</si>
  <si>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</si>
  <si>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</si>
  <si>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</si>
  <si>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</si>
  <si>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</si>
  <si>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</si>
  <si>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</si>
  <si>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</si>
  <si>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</si>
  <si>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</si>
  <si>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</si>
  <si>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</si>
  <si>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</si>
  <si>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</si>
  <si>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</si>
  <si>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</si>
  <si>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</si>
  <si>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</si>
  <si>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</si>
  <si>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</si>
  <si>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</si>
  <si>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</si>
  <si>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</si>
  <si>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</si>
  <si>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</si>
  <si>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</si>
  <si>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</si>
  <si>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</si>
  <si>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</si>
  <si>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</si>
  <si>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</si>
  <si>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</si>
  <si>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</si>
  <si>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</si>
  <si>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</si>
  <si>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</si>
  <si>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</si>
  <si>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</si>
  <si>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</si>
  <si>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</si>
  <si>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</si>
  <si>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</si>
  <si>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</si>
  <si>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</si>
  <si>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</si>
  <si>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</si>
  <si>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skip</t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</si>
  <si>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</si>
  <si>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</si>
  <si>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</si>
  <si>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</si>
  <si>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</si>
  <si>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</si>
  <si>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</si>
  <si>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serif_id</t>
    <phoneticPr fontId="22"/>
  </si>
  <si>
    <t>language</t>
    <phoneticPr fontId="22"/>
  </si>
  <si>
    <t>serif</t>
    <phoneticPr fontId="22"/>
  </si>
  <si>
    <t>skill</t>
  </si>
  <si>
    <t>maru</t>
  </si>
  <si>
    <t>ja</t>
    <phoneticPr fontId="22"/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</si>
  <si>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</si>
  <si>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</si>
  <si>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</si>
  <si>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</si>
  <si>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</si>
  <si>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</si>
  <si>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</si>
  <si>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</si>
  <si>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</si>
  <si>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</si>
  <si>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</si>
  <si>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</si>
  <si>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</si>
  <si>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</si>
  <si>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</si>
  <si>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</si>
  <si>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</si>
  <si>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</si>
  <si>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</si>
  <si>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</si>
  <si>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</si>
  <si>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</si>
  <si>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</si>
  <si>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</si>
  <si>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</si>
  <si>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</si>
  <si>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</si>
  <si>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</si>
  <si>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</si>
  <si>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</si>
  <si>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</si>
  <si>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</si>
  <si>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</si>
  <si>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</si>
  <si>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</si>
  <si>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</si>
  <si>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-</t>
    <phoneticPr fontId="9"/>
  </si>
  <si>
    <t>DropWizSS</t>
    <phoneticPr fontId="9"/>
  </si>
  <si>
    <t>DropWizS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</si>
  <si>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</si>
  <si>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</si>
  <si>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</si>
  <si>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</si>
  <si>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</si>
  <si>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</si>
  <si>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</si>
  <si>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</si>
  <si>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</si>
  <si>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</si>
  <si>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old</t>
    <phoneticPr fontId="22"/>
  </si>
  <si>
    <t>old</t>
    <phoneticPr fontId="22"/>
  </si>
  <si>
    <t>g2016</t>
    <phoneticPr fontId="22"/>
  </si>
  <si>
    <t>セメテ アナタノ</t>
    <phoneticPr fontId="22"/>
  </si>
  <si>
    <t>HPを中回復</t>
    <rPh sb="3" eb="6">
      <t>チュウカイフク</t>
    </rPh>
    <phoneticPr fontId="22"/>
  </si>
  <si>
    <t>[effect:heal_ratio, val:1.8, animation:heal03]</t>
    <phoneticPr fontId="22"/>
  </si>
  <si>
    <t>恋するウィルス</t>
    <rPh sb="0" eb="1">
      <t>コイ</t>
    </rPh>
    <phoneticPr fontId="22"/>
  </si>
  <si>
    <t>なし</t>
    <phoneticPr fontId="22"/>
  </si>
  <si>
    <t>効果はないが
ウィルス少女たちのキモチがつまっている！</t>
    <rPh sb="0" eb="2">
      <t>コウカ</t>
    </rPh>
    <rPh sb="11" eb="13">
      <t>ショウジョ</t>
    </rPh>
    <phoneticPr fontId="22"/>
  </si>
  <si>
    <t>HPを威力331で回復</t>
    <rPh sb="3" eb="5">
      <t>イリョク</t>
    </rPh>
    <rPh sb="9" eb="11">
      <t>カイフク</t>
    </rPh>
    <phoneticPr fontId="22"/>
  </si>
  <si>
    <t>[effect:heal_fix, val:331, animation:heal01]</t>
    <phoneticPr fontId="22"/>
  </si>
  <si>
    <t>ダイニ ボタンヲ クダサイ</t>
    <phoneticPr fontId="22"/>
  </si>
  <si>
    <t>kumo</t>
    <phoneticPr fontId="22"/>
  </si>
  <si>
    <t>アナタガ…スキデス</t>
    <phoneticPr fontId="22"/>
  </si>
  <si>
    <t>涙をふいて ベイベ〜</t>
    <rPh sb="0" eb="1">
      <t>ナミダ</t>
    </rPh>
    <phoneticPr fontId="22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</si>
  <si>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</si>
  <si>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</si>
  <si>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</si>
  <si>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</si>
  <si>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</si>
  <si>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</si>
  <si>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</si>
  <si>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</si>
  <si>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</si>
  <si>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</si>
  <si>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</si>
  <si>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</si>
  <si>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</si>
  <si>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</si>
  <si>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</si>
  <si>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</si>
  <si>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</si>
  <si>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</si>
  <si>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</si>
  <si>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</si>
  <si>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sell_ghosts</t>
    <phoneticPr fontId="10"/>
  </si>
  <si>
    <t>sell_ghosts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</si>
</sst>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</fonts>
  <fills count="23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4582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51">
    <xf numFmtId="0" fontId="0" fillId="0" borderId="0" xfId="0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3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14" xfId="0" applyFont="1" applyBorder="1" applyAlignment="1">
      <alignment vertical="center"/>
    </xf>
    <xf numFmtId="0" fontId="16" fillId="0" borderId="13" xfId="0" applyFont="1" applyBorder="1" applyAlignment="1">
      <alignment vertical="center"/>
    </xf>
    <xf numFmtId="0" fontId="16" fillId="0" borderId="14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8" fillId="12" borderId="8" xfId="0" applyFont="1" applyFill="1" applyBorder="1" applyAlignment="1">
      <alignment vertical="center"/>
    </xf>
    <xf numFmtId="0" fontId="16" fillId="12" borderId="4" xfId="0" applyFont="1" applyFill="1" applyBorder="1" applyAlignment="1">
      <alignment vertical="center"/>
    </xf>
    <xf numFmtId="0" fontId="13" fillId="0" borderId="4" xfId="0" applyFont="1" applyBorder="1" applyAlignment="1">
      <alignment horizontal="right" vertical="center" wrapText="1"/>
    </xf>
    <xf numFmtId="0" fontId="16" fillId="0" borderId="0" xfId="0" applyFont="1" applyFill="1" applyAlignment="1">
      <alignment vertical="center"/>
    </xf>
    <xf numFmtId="0" fontId="8" fillId="12" borderId="1" xfId="0" applyFont="1" applyFill="1" applyBorder="1" applyAlignment="1">
      <alignment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0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0" borderId="4" xfId="0" applyFont="1" applyFill="1" applyBorder="1" applyAlignment="1">
      <alignment vertical="center"/>
    </xf>
    <xf numFmtId="0" fontId="13" fillId="13" borderId="4" xfId="0" applyFont="1" applyFill="1" applyBorder="1" applyAlignment="1">
      <alignment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2" borderId="15" xfId="0" applyFont="1" applyFill="1" applyBorder="1" applyAlignment="1">
      <alignment horizontal="center" vertical="center"/>
    </xf>
    <xf numFmtId="0" fontId="8" fillId="12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9" fillId="15" borderId="12" xfId="0" applyFont="1" applyFill="1" applyBorder="1" applyAlignment="1">
      <alignment horizontal="left" vertical="center"/>
    </xf>
    <xf numFmtId="0" fontId="19" fillId="14" borderId="9" xfId="0" applyFont="1" applyFill="1" applyBorder="1" applyAlignment="1">
      <alignment horizontal="left" vertical="center"/>
    </xf>
    <xf numFmtId="0" fontId="19" fillId="14" borderId="10" xfId="0" applyFont="1" applyFill="1" applyBorder="1" applyAlignment="1">
      <alignment horizontal="left" vertical="center"/>
    </xf>
    <xf numFmtId="0" fontId="8" fillId="17" borderId="1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vertical="center"/>
    </xf>
    <xf numFmtId="0" fontId="23" fillId="18" borderId="4" xfId="0" applyFont="1" applyFill="1" applyBorder="1"/>
    <xf numFmtId="0" fontId="0" fillId="18" borderId="4" xfId="0" applyFill="1" applyBorder="1"/>
    <xf numFmtId="0" fontId="0" fillId="0" borderId="4" xfId="0" applyBorder="1"/>
    <xf numFmtId="0" fontId="0" fillId="0" borderId="4" xfId="0" applyFill="1" applyBorder="1"/>
    <xf numFmtId="0" fontId="0" fillId="8" borderId="4" xfId="0" applyFill="1" applyBorder="1"/>
    <xf numFmtId="0" fontId="0" fillId="19" borderId="4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1" xfId="0" applyFont="1" applyFill="1" applyBorder="1" applyAlignment="1">
      <alignment horizontal="center" vertical="center"/>
    </xf>
    <xf numFmtId="0" fontId="13" fillId="8" borderId="11" xfId="0" applyFont="1" applyFill="1" applyBorder="1" applyAlignment="1">
      <alignment horizontal="center" vertical="center"/>
    </xf>
    <xf numFmtId="0" fontId="13" fillId="8" borderId="16" xfId="0" applyFont="1" applyFill="1" applyBorder="1" applyAlignment="1">
      <alignment horizontal="center" vertical="center"/>
    </xf>
    <xf numFmtId="0" fontId="13" fillId="11" borderId="16" xfId="0" applyFont="1" applyFill="1" applyBorder="1" applyAlignment="1">
      <alignment horizontal="center" vertical="center"/>
    </xf>
    <xf numFmtId="0" fontId="13" fillId="7" borderId="16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7" borderId="4" xfId="0" applyFont="1" applyFill="1" applyBorder="1" applyAlignment="1">
      <alignment horizontal="left" vertical="center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0" fillId="20" borderId="4" xfId="0" applyFill="1" applyBorder="1"/>
    <xf numFmtId="0" fontId="28" fillId="0" borderId="0" xfId="0" applyFont="1"/>
    <xf numFmtId="0" fontId="16" fillId="21" borderId="3" xfId="0" applyFont="1" applyFill="1" applyBorder="1" applyAlignment="1">
      <alignment horizontal="center" vertical="center"/>
    </xf>
    <xf numFmtId="0" fontId="8" fillId="21" borderId="14" xfId="0" applyFont="1" applyFill="1" applyBorder="1" applyAlignment="1">
      <alignment horizontal="center" vertical="center"/>
    </xf>
    <xf numFmtId="0" fontId="8" fillId="21" borderId="8" xfId="0" applyFont="1" applyFill="1" applyBorder="1" applyAlignment="1">
      <alignment horizontal="center" vertical="center"/>
    </xf>
    <xf numFmtId="0" fontId="8" fillId="22" borderId="8" xfId="0" applyFont="1" applyFill="1" applyBorder="1" applyAlignment="1">
      <alignment vertical="center"/>
    </xf>
    <xf numFmtId="0" fontId="8" fillId="21" borderId="13" xfId="0" applyFont="1" applyFill="1" applyBorder="1" applyAlignment="1">
      <alignment horizontal="center" vertical="center"/>
    </xf>
    <xf numFmtId="0" fontId="8" fillId="21" borderId="4" xfId="0" applyFont="1" applyFill="1" applyBorder="1" applyAlignment="1">
      <alignment horizontal="center" vertical="center"/>
    </xf>
    <xf numFmtId="0" fontId="8" fillId="22" borderId="4" xfId="0" applyFont="1" applyFill="1" applyBorder="1" applyAlignment="1">
      <alignment vertical="center"/>
    </xf>
    <xf numFmtId="0" fontId="8" fillId="21" borderId="17" xfId="0" applyFont="1" applyFill="1" applyBorder="1" applyAlignment="1">
      <alignment horizontal="center" vertical="center"/>
    </xf>
    <xf numFmtId="0" fontId="8" fillId="21" borderId="18" xfId="0" applyFont="1" applyFill="1" applyBorder="1" applyAlignment="1">
      <alignment horizontal="center" vertical="center"/>
    </xf>
    <xf numFmtId="0" fontId="8" fillId="22" borderId="18" xfId="0" applyFont="1" applyFill="1" applyBorder="1" applyAlignment="1">
      <alignment vertical="center"/>
    </xf>
    <xf numFmtId="0" fontId="16" fillId="22" borderId="4" xfId="0" applyFont="1" applyFill="1" applyBorder="1" applyAlignment="1">
      <alignment vertical="center"/>
    </xf>
    <xf numFmtId="0" fontId="18" fillId="22" borderId="4" xfId="0" applyFont="1" applyFill="1" applyBorder="1" applyAlignment="1">
      <alignment horizontal="center" vertical="center"/>
    </xf>
    <xf numFmtId="0" fontId="17" fillId="22" borderId="4" xfId="0" applyFont="1" applyFill="1" applyBorder="1" applyAlignment="1">
      <alignment horizontal="center" vertical="center" wrapText="1"/>
    </xf>
    <xf numFmtId="0" fontId="8" fillId="22" borderId="1" xfId="0" applyFont="1" applyFill="1" applyBorder="1" applyAlignment="1">
      <alignment vertical="center"/>
    </xf>
    <xf numFmtId="0" fontId="8" fillId="21" borderId="19" xfId="0" applyFont="1" applyFill="1" applyBorder="1" applyAlignment="1">
      <alignment horizontal="center" vertical="center"/>
    </xf>
    <xf numFmtId="0" fontId="8" fillId="21" borderId="10" xfId="0" applyFont="1" applyFill="1" applyBorder="1" applyAlignment="1">
      <alignment horizontal="center" vertical="center"/>
    </xf>
    <xf numFmtId="0" fontId="8" fillId="21" borderId="20" xfId="0" applyFont="1" applyFill="1" applyBorder="1" applyAlignment="1">
      <alignment horizontal="center" vertical="center"/>
    </xf>
    <xf numFmtId="0" fontId="8" fillId="21" borderId="6" xfId="0" applyFont="1" applyFill="1" applyBorder="1" applyAlignment="1">
      <alignment horizontal="center" vertical="center"/>
    </xf>
    <xf numFmtId="0" fontId="8" fillId="21" borderId="21" xfId="0" applyFont="1" applyFill="1" applyBorder="1" applyAlignment="1">
      <alignment horizontal="center" vertical="center"/>
    </xf>
    <xf numFmtId="0" fontId="16" fillId="21" borderId="15" xfId="0" applyFont="1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 wrapText="1"/>
    </xf>
    <xf numFmtId="0" fontId="15" fillId="8" borderId="22" xfId="0" applyFont="1" applyFill="1" applyBorder="1" applyAlignment="1">
      <alignment horizontal="left" vertical="center"/>
    </xf>
    <xf numFmtId="0" fontId="15" fillId="11" borderId="0" xfId="0" applyFont="1" applyFill="1" applyBorder="1" applyAlignment="1">
      <alignment horizontal="left" vertical="center"/>
    </xf>
    <xf numFmtId="0" fontId="15" fillId="7" borderId="22" xfId="0" applyFont="1" applyFill="1" applyBorder="1" applyAlignment="1">
      <alignment horizontal="left" vertical="center"/>
    </xf>
    <xf numFmtId="0" fontId="12" fillId="8" borderId="22" xfId="0" applyFont="1" applyFill="1" applyBorder="1" applyAlignment="1">
      <alignment horizontal="left" vertical="center"/>
    </xf>
    <xf numFmtId="0" fontId="15" fillId="11" borderId="22" xfId="0" applyFont="1" applyFill="1" applyBorder="1" applyAlignment="1">
      <alignment horizontal="left" vertical="center"/>
    </xf>
    <xf numFmtId="0" fontId="12" fillId="9" borderId="23" xfId="0" applyFont="1" applyFill="1" applyBorder="1" applyAlignment="1">
      <alignment horizontal="left" vertical="center"/>
    </xf>
    <xf numFmtId="0" fontId="15" fillId="8" borderId="24" xfId="0" applyFont="1" applyFill="1" applyBorder="1" applyAlignment="1">
      <alignment horizontal="left" vertical="center"/>
    </xf>
    <xf numFmtId="0" fontId="15" fillId="11" borderId="19" xfId="0" applyFont="1" applyFill="1" applyBorder="1" applyAlignment="1">
      <alignment horizontal="left" vertical="center"/>
    </xf>
    <xf numFmtId="0" fontId="15" fillId="7" borderId="10" xfId="0" applyFont="1" applyFill="1" applyBorder="1" applyAlignment="1">
      <alignment horizontal="left" vertical="center"/>
    </xf>
    <xf numFmtId="0" fontId="12" fillId="9" borderId="2" xfId="0" applyFont="1" applyFill="1" applyBorder="1" applyAlignment="1">
      <alignment horizontal="left" vertical="center"/>
    </xf>
    <xf numFmtId="0" fontId="15" fillId="8" borderId="10" xfId="0" applyFont="1" applyFill="1" applyBorder="1" applyAlignment="1">
      <alignment horizontal="left" vertical="center"/>
    </xf>
    <xf numFmtId="0" fontId="15" fillId="8" borderId="25" xfId="0" applyFont="1" applyFill="1" applyBorder="1" applyAlignment="1">
      <alignment horizontal="left" vertical="center"/>
    </xf>
    <xf numFmtId="0" fontId="19" fillId="16" borderId="2" xfId="0" applyFont="1" applyFill="1" applyBorder="1" applyAlignment="1">
      <alignment horizontal="left" vertical="center"/>
    </xf>
    <xf numFmtId="0" fontId="15" fillId="7" borderId="0" xfId="0" applyFont="1" applyFill="1" applyBorder="1" applyAlignment="1">
      <alignment horizontal="left" vertical="center"/>
    </xf>
    <xf numFmtId="0" fontId="15" fillId="7" borderId="19" xfId="0" applyFont="1" applyFill="1" applyBorder="1" applyAlignment="1">
      <alignment horizontal="left" vertical="center"/>
    </xf>
    <xf numFmtId="0" fontId="12" fillId="0" borderId="26" xfId="0" applyFont="1" applyFill="1" applyBorder="1" applyAlignment="1">
      <alignment horizontal="left" vertical="center"/>
    </xf>
    <xf numFmtId="0" fontId="16" fillId="7" borderId="10" xfId="0" applyFont="1" applyFill="1" applyBorder="1" applyAlignment="1">
      <alignment horizontal="left" vertical="center"/>
    </xf>
    <xf numFmtId="0" fontId="12" fillId="9" borderId="10" xfId="0" applyFont="1" applyFill="1" applyBorder="1" applyAlignment="1">
      <alignment horizontal="left" vertical="center"/>
    </xf>
    <xf numFmtId="0" fontId="12" fillId="9" borderId="12" xfId="0" applyFont="1" applyFill="1" applyBorder="1" applyAlignment="1">
      <alignment horizontal="left" vertical="center"/>
    </xf>
    <xf numFmtId="0" fontId="12" fillId="9" borderId="27" xfId="0" applyFont="1" applyFill="1" applyBorder="1" applyAlignment="1">
      <alignment horizontal="left" vertical="center"/>
    </xf>
    <xf numFmtId="0" fontId="19" fillId="14" borderId="26" xfId="0" applyFont="1" applyFill="1" applyBorder="1" applyAlignment="1">
      <alignment horizontal="left" vertical="center"/>
    </xf>
    <xf numFmtId="0" fontId="19" fillId="15" borderId="26" xfId="0" applyFont="1" applyFill="1" applyBorder="1" applyAlignment="1">
      <alignment horizontal="left" vertical="center"/>
    </xf>
    <xf numFmtId="0" fontId="16" fillId="10" borderId="4" xfId="0" applyFont="1" applyFill="1" applyBorder="1" applyAlignment="1">
      <alignment vertical="center"/>
    </xf>
    <xf numFmtId="0" fontId="16" fillId="13" borderId="4" xfId="0" applyFont="1" applyFill="1" applyBorder="1" applyAlignment="1">
      <alignment horizontal="right" vertical="center"/>
    </xf>
    <xf numFmtId="0" fontId="13" fillId="7" borderId="4" xfId="0" applyFont="1" applyFill="1" applyBorder="1" applyAlignment="1">
      <alignment vertical="center"/>
    </xf>
    <xf numFmtId="0" fontId="15" fillId="8" borderId="4" xfId="0" applyFont="1" applyFill="1" applyBorder="1" applyAlignment="1">
      <alignment horizontal="center" vertical="center"/>
    </xf>
    <xf numFmtId="0" fontId="14" fillId="8" borderId="4" xfId="0" applyFont="1" applyFill="1" applyBorder="1" applyAlignment="1">
      <alignment horizontal="center" vertical="center"/>
    </xf>
    <xf numFmtId="0" fontId="13" fillId="8" borderId="4" xfId="0" applyFont="1" applyFill="1" applyBorder="1" applyAlignment="1">
      <alignment horizontal="center" vertical="center"/>
    </xf>
    <xf numFmtId="0" fontId="16" fillId="8" borderId="4" xfId="0" applyFont="1" applyFill="1" applyBorder="1" applyAlignment="1">
      <alignment horizontal="center" vertical="center"/>
    </xf>
    <xf numFmtId="0" fontId="15" fillId="11" borderId="4" xfId="0" applyFont="1" applyFill="1" applyBorder="1" applyAlignment="1">
      <alignment horizontal="center" vertical="center"/>
    </xf>
    <xf numFmtId="0" fontId="14" fillId="11" borderId="4" xfId="0" applyFont="1" applyFill="1" applyBorder="1" applyAlignment="1">
      <alignment horizontal="center" vertical="center"/>
    </xf>
    <xf numFmtId="0" fontId="13" fillId="11" borderId="4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right" vertical="center"/>
    </xf>
    <xf numFmtId="0" fontId="16" fillId="0" borderId="0" xfId="0" applyFont="1" applyFill="1" applyAlignment="1">
      <alignment horizontal="left" vertical="center"/>
    </xf>
    <xf numFmtId="0" fontId="16" fillId="0" borderId="0" xfId="0" applyFont="1" applyFill="1" applyAlignment="1">
      <alignment horizontal="right" vertical="center"/>
    </xf>
    <xf numFmtId="0" fontId="14" fillId="0" borderId="0" xfId="0" applyFont="1" applyFill="1" applyBorder="1" applyAlignment="1">
      <alignment horizontal="left" vertical="center" wrapText="1"/>
    </xf>
    <xf numFmtId="0" fontId="13" fillId="0" borderId="0" xfId="0" applyFont="1" applyFill="1" applyBorder="1" applyAlignment="1">
      <alignment horizontal="right" vertical="center" wrapText="1"/>
    </xf>
    <xf numFmtId="0" fontId="27" fillId="0" borderId="0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center" vertical="center"/>
    </xf>
    <xf numFmtId="0" fontId="26" fillId="0" borderId="4" xfId="0" applyFont="1" applyFill="1" applyBorder="1" applyAlignment="1">
      <alignment horizontal="right" vertical="center" wrapText="1"/>
    </xf>
    <xf numFmtId="0" fontId="26" fillId="0" borderId="4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right" vertical="center" wrapText="1"/>
    </xf>
    <xf numFmtId="0" fontId="0" fillId="0" borderId="0" xfId="0" applyFill="1"/>
    <xf numFmtId="0" fontId="19" fillId="14" borderId="4" xfId="0" applyFont="1" applyFill="1" applyBorder="1" applyAlignment="1">
      <alignment horizontal="left" vertical="center"/>
    </xf>
  </cellXfs>
  <cellStyles count="4582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赤字強調" xfId="4"/>
    <cellStyle name="青字強調" xfId="3"/>
  </cellStyles>
  <dxfs count="29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externalLink" Target="externalLinks/externalLink1.xml"/><Relationship Id="rId15" Type="http://schemas.openxmlformats.org/officeDocument/2006/relationships/theme" Target="theme/theme1.xml"/><Relationship Id="rId16" Type="http://schemas.openxmlformats.org/officeDocument/2006/relationships/styles" Target="styles.xml"/><Relationship Id="rId17" Type="http://schemas.openxmlformats.org/officeDocument/2006/relationships/sharedStrings" Target="sharedStrings.xml"/><Relationship Id="rId18" Type="http://schemas.openxmlformats.org/officeDocument/2006/relationships/calcChain" Target="calcChain.xml"/><Relationship Id="rId1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</row>
        <row r="36">
          <cell r="A36">
            <v>35</v>
          </cell>
          <cell r="B36" t="str">
            <v>ja</v>
          </cell>
          <cell r="C36" t="str">
            <v>F2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W10"/>
  <sheetViews>
    <sheetView workbookViewId="0">
      <selection activeCell="A2" sqref="A2"/>
    </sheetView>
  </sheetViews>
  <sheetFormatPr baseColWidth="12" defaultRowHeight="15" x14ac:dyDescent="0.15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23" x14ac:dyDescent="0.15">
      <c r="A1" s="54" t="s">
        <v>121</v>
      </c>
      <c r="B1" s="54" t="s">
        <v>112</v>
      </c>
      <c r="C1" s="54" t="s">
        <v>113</v>
      </c>
      <c r="D1" s="54" t="s">
        <v>114</v>
      </c>
      <c r="E1" s="54" t="s">
        <v>115</v>
      </c>
      <c r="F1" s="54" t="s">
        <v>116</v>
      </c>
      <c r="G1" s="54" t="s">
        <v>117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</row>
    <row r="2" spans="1:23" x14ac:dyDescent="0.15">
      <c r="A2" s="56" t="s">
        <v>242</v>
      </c>
      <c r="B2" s="56" t="s">
        <v>124</v>
      </c>
      <c r="C2" s="56" t="s">
        <v>244</v>
      </c>
      <c r="D2" s="56" t="s">
        <v>123</v>
      </c>
      <c r="E2" s="55" t="str">
        <f>B2&amp;C2&amp;D2</f>
        <v>units_g2016.tmp</v>
      </c>
      <c r="F2" s="56" t="s">
        <v>120</v>
      </c>
      <c r="G2" s="131" t="s">
        <v>17</v>
      </c>
      <c r="H2" s="132" t="s">
        <v>93</v>
      </c>
      <c r="I2" s="132" t="s">
        <v>1</v>
      </c>
      <c r="J2" s="132" t="s">
        <v>3</v>
      </c>
      <c r="K2" s="132" t="s">
        <v>2</v>
      </c>
      <c r="L2" s="132" t="s">
        <v>95</v>
      </c>
      <c r="M2" s="132" t="s">
        <v>20</v>
      </c>
      <c r="N2" s="132" t="s">
        <v>99</v>
      </c>
      <c r="O2" s="132" t="s">
        <v>97</v>
      </c>
      <c r="P2" s="132" t="s">
        <v>39</v>
      </c>
      <c r="Q2" s="132" t="s">
        <v>54</v>
      </c>
      <c r="R2" s="56" t="s">
        <v>278</v>
      </c>
      <c r="S2" s="56"/>
      <c r="T2" s="56"/>
      <c r="U2" s="56"/>
      <c r="V2" s="56"/>
      <c r="W2" s="56"/>
    </row>
    <row r="3" spans="1:23" x14ac:dyDescent="0.15">
      <c r="A3" s="56" t="s">
        <v>179</v>
      </c>
      <c r="B3" s="56" t="s">
        <v>125</v>
      </c>
      <c r="C3" s="56" t="str">
        <f>C2</f>
        <v>g2016</v>
      </c>
      <c r="D3" s="56" t="s">
        <v>123</v>
      </c>
      <c r="E3" s="55" t="str">
        <f>B3&amp;C3&amp;D3</f>
        <v>awake_materials_g2016.tmp</v>
      </c>
      <c r="F3" s="56" t="s">
        <v>119</v>
      </c>
      <c r="G3" s="133" t="s">
        <v>38</v>
      </c>
      <c r="H3" s="134" t="s">
        <v>36</v>
      </c>
      <c r="I3" s="134" t="s">
        <v>37</v>
      </c>
      <c r="J3" s="58" t="s">
        <v>122</v>
      </c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</row>
    <row r="4" spans="1:23" x14ac:dyDescent="0.15">
      <c r="A4" s="56" t="s">
        <v>243</v>
      </c>
      <c r="B4" s="56" t="s">
        <v>126</v>
      </c>
      <c r="C4" s="56" t="str">
        <f>C3</f>
        <v>g2016</v>
      </c>
      <c r="D4" s="56" t="s">
        <v>127</v>
      </c>
      <c r="E4" s="55" t="str">
        <f t="shared" ref="E4" si="0">B4&amp;C4&amp;D4</f>
        <v>unit_levels_calc_g2016.tmp</v>
      </c>
      <c r="F4" s="56" t="s">
        <v>118</v>
      </c>
      <c r="G4" s="135" t="s">
        <v>17</v>
      </c>
      <c r="H4" s="136" t="s">
        <v>2</v>
      </c>
      <c r="I4" s="137" t="s">
        <v>76</v>
      </c>
      <c r="J4" s="137" t="s">
        <v>77</v>
      </c>
      <c r="K4" s="137" t="s">
        <v>78</v>
      </c>
      <c r="L4" s="137" t="s">
        <v>79</v>
      </c>
      <c r="M4" s="137" t="s">
        <v>84</v>
      </c>
      <c r="N4" s="137" t="s">
        <v>85</v>
      </c>
      <c r="O4" s="137" t="s">
        <v>86</v>
      </c>
      <c r="P4" s="137" t="s">
        <v>87</v>
      </c>
      <c r="Q4" s="137" t="s">
        <v>88</v>
      </c>
      <c r="R4" s="137" t="s">
        <v>91</v>
      </c>
      <c r="S4" s="137" t="s">
        <v>89</v>
      </c>
      <c r="T4" s="137" t="s">
        <v>90</v>
      </c>
      <c r="U4" s="137" t="s">
        <v>80</v>
      </c>
      <c r="V4" s="137" t="s">
        <v>81</v>
      </c>
      <c r="W4" s="137" t="s">
        <v>82</v>
      </c>
    </row>
    <row r="5" spans="1:23" x14ac:dyDescent="0.15">
      <c r="A5" s="56" t="s">
        <v>243</v>
      </c>
      <c r="B5" s="56" t="s">
        <v>138</v>
      </c>
      <c r="C5" s="56" t="str">
        <f t="shared" ref="C5:C10" si="1">C4</f>
        <v>g2016</v>
      </c>
      <c r="D5" s="56" t="s">
        <v>139</v>
      </c>
      <c r="E5" s="55" t="str">
        <f>B5&amp;C5&amp;D5</f>
        <v>unit_skills_data_g2016.tmp</v>
      </c>
      <c r="F5" s="56" t="s">
        <v>140</v>
      </c>
      <c r="G5" s="60" t="s">
        <v>20</v>
      </c>
      <c r="H5" s="60" t="s">
        <v>141</v>
      </c>
      <c r="I5" s="60" t="s">
        <v>2</v>
      </c>
      <c r="J5" s="60" t="s">
        <v>142</v>
      </c>
      <c r="K5" s="60" t="s">
        <v>143</v>
      </c>
      <c r="L5" s="60" t="s">
        <v>4</v>
      </c>
      <c r="M5" s="137"/>
      <c r="N5" s="137"/>
      <c r="O5" s="137"/>
      <c r="P5" s="137"/>
      <c r="Q5" s="137"/>
      <c r="R5" s="137"/>
      <c r="S5" s="137"/>
      <c r="T5" s="137"/>
      <c r="U5" s="137"/>
      <c r="V5" s="137"/>
      <c r="W5" s="137"/>
    </row>
    <row r="6" spans="1:23" x14ac:dyDescent="0.15">
      <c r="A6" s="56" t="s">
        <v>243</v>
      </c>
      <c r="B6" s="56" t="s">
        <v>144</v>
      </c>
      <c r="C6" s="56" t="str">
        <f t="shared" si="1"/>
        <v>g2016</v>
      </c>
      <c r="D6" s="56" t="s">
        <v>123</v>
      </c>
      <c r="E6" s="55" t="str">
        <f>B6&amp;C6&amp;D6</f>
        <v>unit_skills_i18n_g2016.tmp</v>
      </c>
      <c r="F6" s="56" t="s">
        <v>140</v>
      </c>
      <c r="G6" s="60" t="s">
        <v>145</v>
      </c>
      <c r="H6" s="60" t="s">
        <v>129</v>
      </c>
      <c r="I6" s="60" t="s">
        <v>146</v>
      </c>
      <c r="J6" s="60" t="s">
        <v>147</v>
      </c>
      <c r="K6" s="57"/>
      <c r="L6" s="57"/>
      <c r="M6" s="137"/>
      <c r="N6" s="137"/>
      <c r="O6" s="137"/>
      <c r="P6" s="137"/>
      <c r="Q6" s="137"/>
      <c r="R6" s="137"/>
      <c r="S6" s="137"/>
      <c r="T6" s="137"/>
      <c r="U6" s="137"/>
      <c r="V6" s="137"/>
      <c r="W6" s="137"/>
    </row>
    <row r="7" spans="1:23" x14ac:dyDescent="0.15">
      <c r="A7" s="56" t="s">
        <v>243</v>
      </c>
      <c r="B7" s="56" t="s">
        <v>148</v>
      </c>
      <c r="C7" s="56" t="str">
        <f t="shared" si="1"/>
        <v>g2016</v>
      </c>
      <c r="D7" s="56" t="s">
        <v>149</v>
      </c>
      <c r="E7" s="55" t="str">
        <f>B7&amp;C7&amp;D7</f>
        <v>crash_skills_data_g2016.tmp</v>
      </c>
      <c r="F7" s="56" t="s">
        <v>150</v>
      </c>
      <c r="G7" s="60" t="s">
        <v>151</v>
      </c>
      <c r="H7" s="60" t="s">
        <v>143</v>
      </c>
      <c r="I7" s="60" t="s">
        <v>4</v>
      </c>
      <c r="J7" s="57"/>
      <c r="K7" s="57"/>
      <c r="L7" s="57"/>
      <c r="M7" s="137"/>
      <c r="N7" s="137"/>
      <c r="O7" s="137"/>
      <c r="P7" s="137"/>
      <c r="Q7" s="137"/>
      <c r="R7" s="137"/>
      <c r="S7" s="137"/>
      <c r="T7" s="137"/>
      <c r="U7" s="137"/>
      <c r="V7" s="137"/>
      <c r="W7" s="137"/>
    </row>
    <row r="8" spans="1:23" x14ac:dyDescent="0.15">
      <c r="A8" s="56" t="s">
        <v>243</v>
      </c>
      <c r="B8" s="56" t="s">
        <v>152</v>
      </c>
      <c r="C8" s="56" t="str">
        <f t="shared" si="1"/>
        <v>g2016</v>
      </c>
      <c r="D8" s="56" t="s">
        <v>153</v>
      </c>
      <c r="E8" s="55" t="str">
        <f t="shared" ref="E8" si="2">B8&amp;C8&amp;D8</f>
        <v>crash_skills_i18n_g2016.tmp</v>
      </c>
      <c r="F8" s="56" t="s">
        <v>150</v>
      </c>
      <c r="G8" s="60" t="s">
        <v>154</v>
      </c>
      <c r="H8" s="60" t="s">
        <v>155</v>
      </c>
      <c r="I8" s="60" t="s">
        <v>156</v>
      </c>
      <c r="J8" s="60" t="s">
        <v>157</v>
      </c>
      <c r="K8" s="61"/>
      <c r="L8" s="61"/>
      <c r="M8" s="137"/>
      <c r="N8" s="137"/>
      <c r="O8" s="137"/>
      <c r="P8" s="137"/>
      <c r="Q8" s="137"/>
      <c r="R8" s="137"/>
      <c r="S8" s="137"/>
      <c r="T8" s="137"/>
      <c r="U8" s="137"/>
      <c r="V8" s="137"/>
      <c r="W8" s="137"/>
    </row>
    <row r="9" spans="1:23" x14ac:dyDescent="0.15">
      <c r="A9" s="56" t="s">
        <v>243</v>
      </c>
      <c r="B9" s="57" t="s">
        <v>130</v>
      </c>
      <c r="C9" s="56" t="str">
        <f t="shared" si="1"/>
        <v>g2016</v>
      </c>
      <c r="D9" s="56" t="s">
        <v>153</v>
      </c>
      <c r="E9" s="55" t="str">
        <f t="shared" ref="E9:E10" si="3">B9&amp;C9&amp;D9</f>
        <v>unit_serifs_data_g2016.tmp</v>
      </c>
      <c r="F9" s="57" t="s">
        <v>132</v>
      </c>
      <c r="G9" s="60" t="s">
        <v>133</v>
      </c>
      <c r="H9" s="60" t="s">
        <v>134</v>
      </c>
      <c r="I9" s="60" t="s">
        <v>128</v>
      </c>
      <c r="J9" s="59" t="s">
        <v>186</v>
      </c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</row>
    <row r="10" spans="1:23" x14ac:dyDescent="0.15">
      <c r="A10" s="56" t="s">
        <v>243</v>
      </c>
      <c r="B10" s="57" t="s">
        <v>131</v>
      </c>
      <c r="C10" s="56" t="str">
        <f t="shared" si="1"/>
        <v>g2016</v>
      </c>
      <c r="D10" s="56" t="s">
        <v>153</v>
      </c>
      <c r="E10" s="55" t="str">
        <f t="shared" si="3"/>
        <v>unit_serifs_i18n_g2016.tmp</v>
      </c>
      <c r="F10" s="57" t="s">
        <v>132</v>
      </c>
      <c r="G10" s="60" t="s">
        <v>135</v>
      </c>
      <c r="H10" s="60" t="s">
        <v>136</v>
      </c>
      <c r="I10" s="60" t="s">
        <v>137</v>
      </c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</row>
  </sheetData>
  <phoneticPr fontId="22"/>
  <dataValidations count="1">
    <dataValidation type="list" allowBlank="1" showInputMessage="1" showErrorMessage="1" sqref="A2:A10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3"/>
  <sheetViews>
    <sheetView showGridLines="0" zoomScale="75" zoomScaleNormal="75" zoomScalePageLayoutView="75" workbookViewId="0">
      <pane xSplit="9" ySplit="1" topLeftCell="BL2" activePane="bottomRight" state="frozen"/>
      <selection pane="topRight" activeCell="J1" sqref="J1"/>
      <selection pane="bottomLeft" activeCell="A3" sqref="A3"/>
      <selection pane="bottomRight" activeCell="C3" sqref="C3"/>
    </sheetView>
  </sheetViews>
  <sheetFormatPr baseColWidth="12" defaultColWidth="8.83203125" defaultRowHeight="21" customHeight="1" outlineLevelCol="1" x14ac:dyDescent="0.15"/>
  <cols>
    <col min="1" max="1" width="12.83203125" style="139" customWidth="1"/>
    <col min="2" max="2" width="21.5" style="139" bestFit="1" customWidth="1"/>
    <col min="3" max="3" width="23.6640625" style="139" customWidth="1" outlineLevel="1"/>
    <col min="4" max="4" width="8.6640625" style="139" customWidth="1" outlineLevel="1"/>
    <col min="5" max="5" width="8" style="139" customWidth="1" outlineLevel="1"/>
    <col min="6" max="6" width="7.1640625" style="139" customWidth="1" outlineLevel="1"/>
    <col min="7" max="7" width="9.6640625" style="139" bestFit="1" customWidth="1"/>
    <col min="8" max="8" width="13.6640625" style="139" bestFit="1" customWidth="1"/>
    <col min="9" max="9" width="10.5" style="139" bestFit="1" customWidth="1" collapsed="1"/>
    <col min="10" max="10" width="10.6640625" style="139" hidden="1" customWidth="1" outlineLevel="1"/>
    <col min="11" max="13" width="13.6640625" style="139" hidden="1" customWidth="1" outlineLevel="1"/>
    <col min="14" max="14" width="10" style="139" bestFit="1" customWidth="1"/>
    <col min="15" max="15" width="13.5" style="139" bestFit="1" customWidth="1"/>
    <col min="16" max="16" width="13.5" style="139" customWidth="1"/>
    <col min="17" max="17" width="18.83203125" style="139" bestFit="1" customWidth="1"/>
    <col min="18" max="18" width="14.1640625" style="139" customWidth="1" collapsed="1"/>
    <col min="19" max="19" width="12.33203125" style="139" hidden="1" customWidth="1" outlineLevel="1"/>
    <col min="20" max="22" width="13.6640625" style="139" hidden="1" customWidth="1" outlineLevel="1"/>
    <col min="23" max="23" width="22.83203125" style="139" bestFit="1" customWidth="1"/>
    <col min="24" max="24" width="14.1640625" style="139" customWidth="1" collapsed="1"/>
    <col min="25" max="25" width="22" style="139" hidden="1" customWidth="1" outlineLevel="1"/>
    <col min="26" max="26" width="14.1640625" style="139" hidden="1" customWidth="1" outlineLevel="1"/>
    <col min="27" max="27" width="12.33203125" style="139" hidden="1" customWidth="1" outlineLevel="1"/>
    <col min="28" max="30" width="13.6640625" style="139" hidden="1" customWidth="1" outlineLevel="1"/>
    <col min="31" max="31" width="20.1640625" style="139" bestFit="1" customWidth="1"/>
    <col min="32" max="32" width="18.83203125" style="139" bestFit="1" customWidth="1"/>
    <col min="33" max="34" width="18.83203125" style="139" customWidth="1"/>
    <col min="35" max="35" width="15.1640625" style="139" customWidth="1"/>
    <col min="36" max="36" width="13.1640625" style="139" customWidth="1"/>
    <col min="37" max="37" width="15.33203125" style="139" bestFit="1" customWidth="1"/>
    <col min="38" max="38" width="13.33203125" style="139" bestFit="1" customWidth="1"/>
    <col min="39" max="39" width="15.33203125" style="26" bestFit="1" customWidth="1"/>
    <col min="40" max="40" width="14" style="26" bestFit="1" customWidth="1"/>
    <col min="41" max="41" width="16" style="26" bestFit="1" customWidth="1"/>
    <col min="42" max="42" width="14.33203125" style="140" bestFit="1" customWidth="1"/>
    <col min="43" max="43" width="20.83203125" style="139" customWidth="1"/>
    <col min="44" max="44" width="80.6640625" style="139" customWidth="1" outlineLevel="1"/>
    <col min="45" max="45" width="6.83203125" style="139" customWidth="1"/>
    <col min="46" max="46" width="15.6640625" style="139" bestFit="1" customWidth="1"/>
    <col min="47" max="47" width="43.6640625" style="139" customWidth="1"/>
    <col min="48" max="48" width="11.5" style="139" bestFit="1" customWidth="1" outlineLevel="1"/>
    <col min="49" max="49" width="6.83203125" style="139" customWidth="1"/>
    <col min="50" max="50" width="11.33203125" style="139" bestFit="1" customWidth="1"/>
    <col min="51" max="54" width="8.33203125" style="139" customWidth="1"/>
    <col min="55" max="56" width="12" style="139" bestFit="1" customWidth="1"/>
    <col min="57" max="57" width="14.33203125" style="139" customWidth="1" outlineLevel="1"/>
    <col min="58" max="58" width="16.1640625" style="139" customWidth="1" outlineLevel="1"/>
    <col min="59" max="66" width="11.83203125" style="139" customWidth="1"/>
    <col min="67" max="67" width="12.83203125" style="139" bestFit="1" customWidth="1"/>
    <col min="68" max="68" width="12.6640625" style="139" bestFit="1" customWidth="1"/>
    <col min="69" max="69" width="13.5" style="139" bestFit="1" customWidth="1"/>
    <col min="70" max="16384" width="8.83203125" style="139"/>
  </cols>
  <sheetData>
    <row r="1" spans="1:70" s="5" customFormat="1" ht="21" customHeight="1" x14ac:dyDescent="0.15">
      <c r="A1" s="106" t="s">
        <v>104</v>
      </c>
      <c r="B1" s="107" t="s">
        <v>41</v>
      </c>
      <c r="C1" s="108" t="s">
        <v>27</v>
      </c>
      <c r="D1" s="108" t="s">
        <v>30</v>
      </c>
      <c r="E1" s="108" t="s">
        <v>28</v>
      </c>
      <c r="F1" s="108" t="s">
        <v>29</v>
      </c>
      <c r="G1" s="106" t="s">
        <v>1</v>
      </c>
      <c r="H1" s="109" t="s">
        <v>19</v>
      </c>
      <c r="I1" s="110" t="s">
        <v>0</v>
      </c>
      <c r="J1" s="111" t="s">
        <v>46</v>
      </c>
      <c r="K1" s="111" t="s">
        <v>45</v>
      </c>
      <c r="L1" s="111" t="s">
        <v>47</v>
      </c>
      <c r="M1" s="111" t="s">
        <v>48</v>
      </c>
      <c r="N1" s="106" t="s">
        <v>3</v>
      </c>
      <c r="O1" s="112" t="s">
        <v>2</v>
      </c>
      <c r="P1" s="106" t="s">
        <v>94</v>
      </c>
      <c r="Q1" s="113" t="s">
        <v>18</v>
      </c>
      <c r="R1" s="114" t="s">
        <v>49</v>
      </c>
      <c r="S1" s="115" t="s">
        <v>23</v>
      </c>
      <c r="T1" s="115" t="s">
        <v>24</v>
      </c>
      <c r="U1" s="115" t="s">
        <v>26</v>
      </c>
      <c r="V1" s="115" t="s">
        <v>25</v>
      </c>
      <c r="W1" s="110" t="s">
        <v>32</v>
      </c>
      <c r="X1" s="108" t="s">
        <v>50</v>
      </c>
      <c r="Y1" s="110" t="s">
        <v>33</v>
      </c>
      <c r="Z1" s="108" t="s">
        <v>50</v>
      </c>
      <c r="AA1" s="111" t="s">
        <v>23</v>
      </c>
      <c r="AB1" s="111" t="s">
        <v>24</v>
      </c>
      <c r="AC1" s="111" t="s">
        <v>26</v>
      </c>
      <c r="AD1" s="111" t="s">
        <v>25</v>
      </c>
      <c r="AE1" s="116" t="s">
        <v>96</v>
      </c>
      <c r="AF1" s="114" t="s">
        <v>42</v>
      </c>
      <c r="AG1" s="117" t="s">
        <v>55</v>
      </c>
      <c r="AH1" s="114" t="s">
        <v>42</v>
      </c>
      <c r="AI1" s="117" t="s">
        <v>43</v>
      </c>
      <c r="AJ1" s="51" t="s">
        <v>64</v>
      </c>
      <c r="AK1" s="114" t="s">
        <v>21</v>
      </c>
      <c r="AL1" s="49" t="s">
        <v>65</v>
      </c>
      <c r="AM1" s="118" t="s">
        <v>63</v>
      </c>
      <c r="AN1" s="118" t="s">
        <v>66</v>
      </c>
      <c r="AO1" s="119" t="s">
        <v>31</v>
      </c>
      <c r="AP1" s="116" t="s">
        <v>20</v>
      </c>
      <c r="AQ1" s="120" t="s">
        <v>109</v>
      </c>
      <c r="AR1" s="120" t="s">
        <v>103</v>
      </c>
      <c r="AS1" s="114" t="s">
        <v>100</v>
      </c>
      <c r="AT1" s="116" t="s">
        <v>98</v>
      </c>
      <c r="AU1" s="114" t="s">
        <v>106</v>
      </c>
      <c r="AV1" s="120" t="s">
        <v>103</v>
      </c>
      <c r="AW1" s="114" t="s">
        <v>100</v>
      </c>
      <c r="AX1" s="108" t="s">
        <v>4</v>
      </c>
      <c r="AY1" s="121" t="s">
        <v>51</v>
      </c>
      <c r="AZ1" s="121" t="s">
        <v>52</v>
      </c>
      <c r="BA1" s="121" t="s">
        <v>110</v>
      </c>
      <c r="BB1" s="121" t="s">
        <v>53</v>
      </c>
      <c r="BC1" s="122" t="s">
        <v>22</v>
      </c>
      <c r="BD1" s="123" t="s">
        <v>34</v>
      </c>
      <c r="BE1" s="124" t="s">
        <v>5</v>
      </c>
      <c r="BF1" s="125" t="s">
        <v>6</v>
      </c>
      <c r="BG1" s="126" t="s">
        <v>67</v>
      </c>
      <c r="BH1" s="126" t="s">
        <v>68</v>
      </c>
      <c r="BI1" s="126" t="s">
        <v>69</v>
      </c>
      <c r="BJ1" s="126" t="s">
        <v>70</v>
      </c>
      <c r="BK1" s="127" t="s">
        <v>71</v>
      </c>
      <c r="BL1" s="127" t="s">
        <v>92</v>
      </c>
      <c r="BM1" s="127" t="s">
        <v>72</v>
      </c>
      <c r="BN1" s="127" t="s">
        <v>73</v>
      </c>
      <c r="BO1" s="50" t="s">
        <v>74</v>
      </c>
      <c r="BP1" s="51" t="s">
        <v>75</v>
      </c>
      <c r="BQ1" s="150" t="s">
        <v>83</v>
      </c>
      <c r="BR1" s="3" t="s">
        <v>277</v>
      </c>
    </row>
    <row r="2" spans="1:70" s="5" customFormat="1" ht="26" customHeight="1" x14ac:dyDescent="0.15">
      <c r="A2" s="3">
        <v>794</v>
      </c>
      <c r="B2" s="2" t="str">
        <f ca="1">VLOOKUP($A2,OFFSET([1]characters!$A$1,0,0,COUNTA([1]characters!$A:$A),MATCH(B$1,[1]characters!$1:$1,0)-MATCH($A$1,[1]characters!$1:$1,0)+1),MATCH(B$1,[1]characters!$1:$1,0)-MATCH($A$1,[1]characters!$1:$1,0)+1,FALSE)</f>
        <v>卒業のウィルス ハッピー</v>
      </c>
      <c r="C2" s="2" t="str">
        <f ca="1">VLOOKUP($A2,OFFSET([1]characters!$A$1,0,0,COUNTA([1]characters!$A:$A),MATCH(C$1,[1]characters!$1:$1,0)-MATCH($A$1,[1]characters!$1:$1,0)+1),MATCH(C$1,[1]characters!$1:$1,0)-MATCH($A$1,[1]characters!$1:$1,0)+1,FALSE)</f>
        <v>イベント:卒業</v>
      </c>
      <c r="D2" s="2" t="str">
        <f ca="1">VLOOKUP($A2,OFFSET([1]characters!$A$1,0,0,COUNTA([1]characters!$A:$A),MATCH(D$1,[1]characters!$1:$1,0)-MATCH($A$1,[1]characters!$1:$1,0)+1),MATCH(D$1,[1]characters!$1:$1,0)-MATCH($A$1,[1]characters!$1:$1,0)+1,FALSE)</f>
        <v>ウィルス</v>
      </c>
      <c r="E2" s="2" t="str">
        <f ca="1">VLOOKUP($A2,OFFSET([1]characters!$A$1,0,0,COUNTA([1]characters!$A:$A),MATCH(E$1,[1]characters!$1:$1,0)-MATCH($A$1,[1]characters!$1:$1,0)+1),MATCH(E$1,[1]characters!$1:$1,0)-MATCH($A$1,[1]characters!$1:$1,0)+1,FALSE)</f>
        <v>かわいい</v>
      </c>
      <c r="F2" s="2" t="str">
        <f ca="1">VLOOKUP($A2,OFFSET([1]characters!$A$1,0,0,COUNTA([1]characters!$A:$A),MATCH(F$1,[1]characters!$1:$1,0)-MATCH($A$1,[1]characters!$1:$1,0)+1),MATCH(F$1,[1]characters!$1:$1,0)-MATCH($A$1,[1]characters!$1:$1,0)+1,FALSE)</f>
        <v>女性</v>
      </c>
      <c r="G2" s="2">
        <f ca="1">VLOOKUP($A2,OFFSET([1]characters!$A$1,0,0,COUNTA([1]characters!$A:$A),MATCH(G$1,[1]characters!$1:$1,0)-MATCH($A$1,[1]characters!$1:$1,0)+1),MATCH(G$1,[1]characters!$1:$1,0)-MATCH($A$1,[1]characters!$1:$1,0)+1,FALSE)</f>
        <v>3</v>
      </c>
      <c r="H2" s="2" t="str">
        <f ca="1">VLOOKUP($A2,OFFSET([1]characters!$A$1,0,0,COUNTA([1]characters!$A:$A),MATCH(H$1,[1]characters!$1:$1,0)-MATCH($A$1,[1]characters!$1:$1,0)+1),MATCH(H$1,[1]characters!$1:$1,0)-MATCH($A$1,[1]characters!$1:$1,0)+1,FALSE)</f>
        <v>DropWizW</v>
      </c>
      <c r="I2" s="2" t="str">
        <f ca="1">VLOOKUP($A2,OFFSET([1]characters!$A$1,0,0,COUNTA([1]characters!$A:$A),MATCH(I$1,[1]characters!$1:$1,0)-MATCH($A$1,[1]characters!$1:$1,0)+1),MATCH(I$1,[1]characters!$1:$1,0)-MATCH($A$1,[1]characters!$1:$1,0)+1,FALSE)</f>
        <v>green</v>
      </c>
      <c r="J2" s="4">
        <f ca="1">VLOOKUP(I2,[1]属性!$A:$E,2,FALSE)</f>
        <v>1.02</v>
      </c>
      <c r="K2" s="4">
        <f ca="1">VLOOKUP(I2,[1]属性!$A:$E,3,FALSE)</f>
        <v>0.98</v>
      </c>
      <c r="L2" s="4">
        <f ca="1">VLOOKUP(I2,[1]属性!$A:$E,4,FALSE)</f>
        <v>1</v>
      </c>
      <c r="M2" s="4">
        <f ca="1">VLOOKUP(I2,[1]属性!$A:$E,5,FALSE)</f>
        <v>1</v>
      </c>
      <c r="N2" s="4">
        <f ca="1">INDEX(コスト!$A$1:$I$20,MATCH(H2,コスト!$A$1:$A$20,FALSE),MATCH(G2,コスト!$A$1:$I$1,FALSE))</f>
        <v>7</v>
      </c>
      <c r="O2" s="4">
        <f ca="1">INDEX(レベル!$A$1:$I$21,MATCH(H2,レベル!$A$1:$A$21,FALSE),MATCH(G2,レベル!$A$1:$I$1,FALSE))</f>
        <v>40</v>
      </c>
      <c r="P2" s="4">
        <f t="shared" ref="P2" ca="1" si="0">G2*15</f>
        <v>45</v>
      </c>
      <c r="Q2" s="2" t="str">
        <f ca="1">VLOOKUP($A2,OFFSET([1]characters!$A$1,0,0,COUNTA([1]characters!$A:$A),MATCH(Q$1,[1]characters!$1:$1,0)-MATCH($A$1,[1]characters!$1:$1,0)+1),MATCH(Q$1,[1]characters!$1:$1,0)-MATCH($A$1,[1]characters!$1:$1,0)+1,FALSE)</f>
        <v>heal</v>
      </c>
      <c r="R2" s="2" t="str">
        <f ca="1">VLOOKUP(Q2,[1]character_type_i18n!$A:$H,3,FALSE)</f>
        <v>回復タイプ</v>
      </c>
      <c r="S2" s="4">
        <f ca="1">VLOOKUP(Q2,[1]character_type_i18n!$A:$H,4,FALSE)</f>
        <v>0.8</v>
      </c>
      <c r="T2" s="4">
        <f ca="1">VLOOKUP(Q2,[1]character_type_i18n!$A:$H,5,FALSE)</f>
        <v>0.78</v>
      </c>
      <c r="U2" s="4">
        <f ca="1">VLOOKUP(Q2,[1]character_type_i18n!$A:$H,6,FALSE)</f>
        <v>1</v>
      </c>
      <c r="V2" s="4">
        <f ca="1">VLOOKUP(Q2,[1]character_type_i18n!$A:$H,7,FALSE)</f>
        <v>1.42</v>
      </c>
      <c r="W2" s="2" t="str">
        <f ca="1">VLOOKUP($A2,OFFSET([1]characters!$A$1,0,0,COUNTA([1]characters!$A:$A),MATCH(W$1,[1]characters!$1:$1,0)-MATCH($A$1,[1]characters!$1:$1,0)+1),MATCH(W$1,[1]characters!$1:$1,0)-MATCH($A$1,[1]characters!$1:$1,0)+1,FALSE)</f>
        <v>unknown</v>
      </c>
      <c r="X2" s="2" t="str">
        <f ca="1">VLOOKUP(W2,[1]character_tribe_i18n!$A:$H,3,FALSE)</f>
        <v>Unknown</v>
      </c>
      <c r="Y2" s="2" t="str">
        <f ca="1">VLOOKUP($A2,OFFSET([1]characters!$A$1,0,0,COUNTA([1]characters!$A:$A),MATCH(Y$1,[1]characters!$1:$1,0)-MATCH($A$1,[1]characters!$1:$1,0)+1),MATCH(Y$1,[1]characters!$1:$1,0)-MATCH($A$1,[1]characters!$1:$1,0)+1,FALSE)</f>
        <v>none</v>
      </c>
      <c r="Z2" s="2" t="str">
        <f ca="1">VLOOKUP(Y2,[1]character_tribe_i18n!$A:$H,3,FALSE)</f>
        <v>種族なし</v>
      </c>
      <c r="AA2" s="4">
        <f ca="1">VLOOKUP(W2,[1]character_tribe_i18n!$A:$H,4,FALSE)</f>
        <v>1</v>
      </c>
      <c r="AB2" s="4">
        <f ca="1">VLOOKUP(W2,[1]character_tribe_i18n!$A:$H,5,FALSE)</f>
        <v>1</v>
      </c>
      <c r="AC2" s="4">
        <f ca="1">VLOOKUP(W2,[1]character_tribe_i18n!$A:$H,6,FALSE)</f>
        <v>1</v>
      </c>
      <c r="AD2" s="4">
        <f ca="1">VLOOKUP(W2,[1]character_tribe_i18n!$A:$H,7,FALSE)</f>
        <v>1</v>
      </c>
      <c r="AE2" s="21" t="s">
        <v>178</v>
      </c>
      <c r="AF2" s="2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/>
      </c>
      <c r="AG2" s="2">
        <f ca="1">IF(ISNA(MATCH(A2,AE:AE,0)),A2,INDIRECT(ADDRESS(MATCH(A2,AE:AE,0),COLUMN())))</f>
        <v>794</v>
      </c>
      <c r="AH2" s="2" t="str">
        <f ca="1">VLOOKUP($AG2,OFFSET([1]characters!$A$1,0,0,COUNTA([1]characters!$A:$A),MATCH(AH$1,[1]characters!$1:$1,0)-MATCH($A$1,[1]characters!$1:$1,0)+1),MATCH(AH$1,[1]characters!$1:$1,0)-MATCH($A$1,[1]characters!$1:$1,0)+1,FALSE)</f>
        <v>卒業のウィルス ハッピー</v>
      </c>
      <c r="AI2" s="4" t="str">
        <f>IF(AE2="NULL","NULL",VLOOKUP(G2,ビット!$A$2:$B$7,2))</f>
        <v>NULL</v>
      </c>
      <c r="AJ2" s="36">
        <v>2</v>
      </c>
      <c r="AK2" s="2" t="str">
        <f t="shared" ref="AK2:AK3" si="1">IF(AJ2=1,"早熟",IF(AJ2=2,"普通",IF(AJ2=3,"晩成","")))</f>
        <v>普通</v>
      </c>
      <c r="AL2" s="4" t="str">
        <f ca="1">INDEX(経験値!$A$1:$I$20,MATCH(H2,経験値!$A$1:$A$20,FALSE),MATCH(G2,経験値!$A$1:$I$1,FALSE))</f>
        <v>required_exp_150</v>
      </c>
      <c r="AM2" s="128">
        <f ca="1">VLOOKUP(G2,経験値!$A$27:$B$31,2)</f>
        <v>1500</v>
      </c>
      <c r="AN2" s="128">
        <f ca="1">VLOOKUP(G2,ビット!$G$2:$H$7,2)</f>
        <v>300</v>
      </c>
      <c r="AO2" s="36"/>
      <c r="AP2" s="37">
        <v>794</v>
      </c>
      <c r="AQ2" s="2" t="str">
        <f ca="1">VLOOKUP($AP2,OFFSET(unit_skills!$A$1,0,0,COUNTA(unit_skills!$A:$A),MATCH(AQ$1,unit_skills!$1:$1,0)-MATCH($AP$1,unit_skills!$1:$1,0)+1),MATCH(AQ$1,unit_skills!$1:$1,0)-MATCH($AP$1,unit_skills!$1:$1,0)+1,FALSE)</f>
        <v>セメテ アナタノ</v>
      </c>
      <c r="AR2" s="2" t="str">
        <f ca="1">VLOOKUP($AP2,OFFSET(unit_skills!$A$1,0,0,COUNTA(unit_skills!$A:$A),MATCH(AR$1,unit_skills!$1:$1,0)-MATCH($AP$1,unit_skills!$1:$1,0)+1),MATCH(AR$1,unit_skills!$1:$1,0)-MATCH($AP$1,unit_skills!$1:$1,0)+1,FALSE)</f>
        <v>HPを中回復</v>
      </c>
      <c r="AS2" s="2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25">
        <v>794</v>
      </c>
      <c r="AU2" s="2" t="str">
        <f ca="1">VLOOKUP($AT2,OFFSET(crash_skills!$A$1,0,0,COUNTA(crash_skills!$A:$A),MATCH(AU$1,crash_skills!$1:$1,0)-MATCH($AT$1,crash_skills!$1:$1,0)+1),MATCH(AU$1,crash_skills!$1:$1,0)-MATCH($AT$1,crash_skills!$1:$1,0)+1,FALSE)</f>
        <v>恋するウィルス</v>
      </c>
      <c r="AV2" s="2" t="str">
        <f ca="1">VLOOKUP($AT2,OFFSET(crash_skills!$A$1,0,0,COUNTA(crash_skills!$A:$A),MATCH(AV$1,crash_skills!$1:$1,0)-MATCH($AT$1,crash_skills!$1:$1,0)+1),MATCH(AV$1,crash_skills!$1:$1,0)-MATCH($AT$1,crash_skills!$1:$1,0)+1,FALSE)</f>
        <v>HPを威力331で回復</v>
      </c>
      <c r="AW2" s="2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4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129">
        <v>1</v>
      </c>
      <c r="AZ2" s="129">
        <v>1</v>
      </c>
      <c r="BA2" s="129">
        <v>0</v>
      </c>
      <c r="BB2" s="129">
        <v>1</v>
      </c>
      <c r="BC2" s="4">
        <f ca="1">INDEX('RC6SV'!$A$1:$G$20,MATCH(H2,'RC6SV'!$A$1:$A$20,FALSE),MATCH(G2,'RC6SV'!$A$1:$G$1,FALSE))</f>
        <v>4800</v>
      </c>
      <c r="BD2" s="4">
        <f t="shared" ref="BD2:BD3" ca="1" si="2">ROUND(BC2*IF(AJ2=1,0.95,IF(AJ2=2,1,IF(AJ2,1.05,0))),0)</f>
        <v>4800</v>
      </c>
      <c r="BE2" s="4">
        <f ca="1">ROUND(IFERROR(INDIRECT(ADDRESS(MATCH($A2,$AE:$AE,0),MATCH($BC$1,$1:$1,0))),0),0)</f>
        <v>0</v>
      </c>
      <c r="BF2" s="4">
        <f ca="1">ROUND(IFERROR(INDIRECT(ADDRESS(MATCH($A2,$AE:$AE,0),10)),INDIRECT(ADDRESS(MATCH($A2,$A:$A,0),10))),0)</f>
        <v>1</v>
      </c>
      <c r="BG2" s="130">
        <f ca="1">IF($BE2&lt;=0,ROUND(BK2*0.5,0), ROUND($BE2*S2*AA2*J2*AY2*0.8*[1]ステータス!$B$2,0))</f>
        <v>979</v>
      </c>
      <c r="BH2" s="130">
        <f ca="1">IF($BE2&lt;=0,ROUND(BL2*0.5,0), ROUND($BE2*T2*AB2*K2*AZ2*0.8*[1]ステータス!$C$2,0))</f>
        <v>551</v>
      </c>
      <c r="BI2" s="130">
        <f ca="1">IF($BE2&lt;=0,ROUND(BM2*0.5,0), ROUND($BE2*U2*AC2*L2*BA2*0.8*[1]ステータス!$D$2,0))</f>
        <v>0</v>
      </c>
      <c r="BJ2" s="130">
        <f ca="1">IF($BE2&lt;=0,ROUND(BN2*0.5,0), ROUND($BE2*V2*AD2*M2*BB2*0.8*[1]ステータス!$E$2,0))</f>
        <v>852</v>
      </c>
      <c r="BK2" s="4">
        <f ca="1">ROUND(BD2*S2*AA2*J2*AY2*[1]ステータス!$B$2,0)</f>
        <v>1958</v>
      </c>
      <c r="BL2" s="4">
        <f ca="1">ROUND(BD2*T2*AB2*K2*AZ2*[1]ステータス!$C$2,0)</f>
        <v>1101</v>
      </c>
      <c r="BM2" s="4">
        <f ca="1">ROUND(BD2*U2*AC2*L2*BA2*[1]ステータス!$D$2,0)</f>
        <v>0</v>
      </c>
      <c r="BN2" s="4">
        <f ca="1">ROUND(BD2*V2*AD2*M2*BB2*[1]ステータス!$E$2,0)</f>
        <v>1704</v>
      </c>
      <c r="BO2" s="3">
        <v>0</v>
      </c>
      <c r="BP2" s="3">
        <v>1</v>
      </c>
      <c r="BQ2" s="3" t="s">
        <v>44</v>
      </c>
      <c r="BR2" s="3">
        <f ca="1">VLOOKUP(H2,ghosts_label!$A$2:$B$19,2,FALSE)</f>
        <v>1</v>
      </c>
    </row>
    <row r="3" spans="1:70" s="5" customFormat="1" ht="26" customHeight="1" x14ac:dyDescent="0.15">
      <c r="A3" s="3">
        <v>795</v>
      </c>
      <c r="B3" s="2" t="str">
        <f ca="1">VLOOKUP($A3,OFFSET([1]characters!$A$1,0,0,COUNTA([1]characters!$A:$A),MATCH(B$1,[1]characters!$1:$1,0)-MATCH($A$1,[1]characters!$1:$1,0)+1),MATCH(B$1,[1]characters!$1:$1,0)-MATCH($A$1,[1]characters!$1:$1,0)+1,FALSE)</f>
        <v>桜花の果実</v>
      </c>
      <c r="C3" s="2" t="str">
        <f ca="1">VLOOKUP($A3,OFFSET([1]characters!$A$1,0,0,COUNTA([1]characters!$A:$A),MATCH(C$1,[1]characters!$1:$1,0)-MATCH($A$1,[1]characters!$1:$1,0)+1),MATCH(C$1,[1]characters!$1:$1,0)-MATCH($A$1,[1]characters!$1:$1,0)+1,FALSE)</f>
        <v>イベント:卒業</v>
      </c>
      <c r="D3" s="2" t="str">
        <f ca="1">VLOOKUP($A3,OFFSET([1]characters!$A$1,0,0,COUNTA([1]characters!$A:$A),MATCH(D$1,[1]characters!$1:$1,0)-MATCH($A$1,[1]characters!$1:$1,0)+1),MATCH(D$1,[1]characters!$1:$1,0)-MATCH($A$1,[1]characters!$1:$1,0)+1,FALSE)</f>
        <v>アリス</v>
      </c>
      <c r="E3" s="2" t="str">
        <f ca="1">VLOOKUP($A3,OFFSET([1]characters!$A$1,0,0,COUNTA([1]characters!$A:$A),MATCH(E$1,[1]characters!$1:$1,0)-MATCH($A$1,[1]characters!$1:$1,0)+1),MATCH(E$1,[1]characters!$1:$1,0)-MATCH($A$1,[1]characters!$1:$1,0)+1,FALSE)</f>
        <v>世界観</v>
      </c>
      <c r="F3" s="2" t="str">
        <f ca="1">VLOOKUP($A3,OFFSET([1]characters!$A$1,0,0,COUNTA([1]characters!$A:$A),MATCH(F$1,[1]characters!$1:$1,0)-MATCH($A$1,[1]characters!$1:$1,0)+1),MATCH(F$1,[1]characters!$1:$1,0)-MATCH($A$1,[1]characters!$1:$1,0)+1,FALSE)</f>
        <v>不明</v>
      </c>
      <c r="G3" s="2">
        <f ca="1">VLOOKUP($A3,OFFSET([1]characters!$A$1,0,0,COUNTA([1]characters!$A:$A),MATCH(G$1,[1]characters!$1:$1,0)-MATCH($A$1,[1]characters!$1:$1,0)+1),MATCH(G$1,[1]characters!$1:$1,0)-MATCH($A$1,[1]characters!$1:$1,0)+1,FALSE)</f>
        <v>3</v>
      </c>
      <c r="H3" s="2" t="str">
        <f ca="1">VLOOKUP($A3,OFFSET([1]characters!$A$1,0,0,COUNTA([1]characters!$A:$A),MATCH(H$1,[1]characters!$1:$1,0)-MATCH($A$1,[1]characters!$1:$1,0)+1),MATCH(H$1,[1]characters!$1:$1,0)-MATCH($A$1,[1]characters!$1:$1,0)+1,FALSE)</f>
        <v>Material</v>
      </c>
      <c r="I3" s="2" t="str">
        <f ca="1">VLOOKUP($A3,OFFSET([1]characters!$A$1,0,0,COUNTA([1]characters!$A:$A),MATCH(I$1,[1]characters!$1:$1,0)-MATCH($A$1,[1]characters!$1:$1,0)+1),MATCH(I$1,[1]characters!$1:$1,0)-MATCH($A$1,[1]characters!$1:$1,0)+1,FALSE)</f>
        <v>blue</v>
      </c>
      <c r="J3" s="4">
        <f ca="1">VLOOKUP(I3,[1]属性!$A:$E,2,FALSE)</f>
        <v>1</v>
      </c>
      <c r="K3" s="4">
        <f ca="1">VLOOKUP(I3,[1]属性!$A:$E,3,FALSE)</f>
        <v>0.98</v>
      </c>
      <c r="L3" s="4">
        <f ca="1">VLOOKUP(I3,[1]属性!$A:$E,4,FALSE)</f>
        <v>1</v>
      </c>
      <c r="M3" s="4">
        <f ca="1">VLOOKUP(I3,[1]属性!$A:$E,5,FALSE)</f>
        <v>1.02</v>
      </c>
      <c r="N3" s="4">
        <f ca="1">INDEX(コスト!$A$1:$I$20,MATCH(H3,コスト!$A$1:$A$20,FALSE),MATCH(G3,コスト!$A$1:$I$1,FALSE))</f>
        <v>99</v>
      </c>
      <c r="O3" s="4">
        <f ca="1">INDEX(レベル!$A$1:$I$21,MATCH(H3,レベル!$A$1:$A$21,FALSE),MATCH(G3,レベル!$A$1:$I$1,FALSE))</f>
        <v>1</v>
      </c>
      <c r="P3" s="138">
        <v>1</v>
      </c>
      <c r="Q3" s="2" t="str">
        <f ca="1">VLOOKUP($A3,OFFSET([1]characters!$A$1,0,0,COUNTA([1]characters!$A:$A),MATCH(Q$1,[1]characters!$1:$1,0)-MATCH($A$1,[1]characters!$1:$1,0)+1),MATCH(Q$1,[1]characters!$1:$1,0)-MATCH($A$1,[1]characters!$1:$1,0)+1,FALSE)</f>
        <v>skilllevel</v>
      </c>
      <c r="R3" s="2" t="str">
        <f ca="1">VLOOKUP(Q3,[1]character_type_i18n!$A:$H,3,FALSE)</f>
        <v>スキルレベル素材</v>
      </c>
      <c r="S3" s="4">
        <f ca="1">VLOOKUP(Q3,[1]character_type_i18n!$A:$H,4,FALSE)</f>
        <v>0.1</v>
      </c>
      <c r="T3" s="4">
        <f ca="1">VLOOKUP(Q3,[1]character_type_i18n!$A:$H,5,FALSE)</f>
        <v>0.05</v>
      </c>
      <c r="U3" s="4">
        <f ca="1">VLOOKUP(Q3,[1]character_type_i18n!$A:$H,6,FALSE)</f>
        <v>1</v>
      </c>
      <c r="V3" s="4">
        <f ca="1">VLOOKUP(Q3,[1]character_type_i18n!$A:$H,7,FALSE)</f>
        <v>0.05</v>
      </c>
      <c r="W3" s="2" t="str">
        <f ca="1">VLOOKUP($A3,OFFSET([1]characters!$A$1,0,0,COUNTA([1]characters!$A:$A),MATCH(W$1,[1]characters!$1:$1,0)-MATCH($A$1,[1]characters!$1:$1,0)+1),MATCH(W$1,[1]characters!$1:$1,0)-MATCH($A$1,[1]characters!$1:$1,0)+1,FALSE)</f>
        <v>unknown</v>
      </c>
      <c r="X3" s="2" t="str">
        <f ca="1">VLOOKUP(W3,[1]character_tribe_i18n!$A:$H,3,FALSE)</f>
        <v>Unknown</v>
      </c>
      <c r="Y3" s="2" t="str">
        <f ca="1">VLOOKUP($A3,OFFSET([1]characters!$A$1,0,0,COUNTA([1]characters!$A:$A),MATCH(Y$1,[1]characters!$1:$1,0)-MATCH($A$1,[1]characters!$1:$1,0)+1),MATCH(Y$1,[1]characters!$1:$1,0)-MATCH($A$1,[1]characters!$1:$1,0)+1,FALSE)</f>
        <v>none</v>
      </c>
      <c r="Z3" s="2" t="str">
        <f ca="1">VLOOKUP(Y3,[1]character_tribe_i18n!$A:$H,3,FALSE)</f>
        <v>種族なし</v>
      </c>
      <c r="AA3" s="4">
        <f ca="1">VLOOKUP(W3,[1]character_tribe_i18n!$A:$H,4,FALSE)</f>
        <v>1</v>
      </c>
      <c r="AB3" s="4">
        <f ca="1">VLOOKUP(W3,[1]character_tribe_i18n!$A:$H,5,FALSE)</f>
        <v>1</v>
      </c>
      <c r="AC3" s="4">
        <f ca="1">VLOOKUP(W3,[1]character_tribe_i18n!$A:$H,6,FALSE)</f>
        <v>1</v>
      </c>
      <c r="AD3" s="4">
        <f ca="1">VLOOKUP(W3,[1]character_tribe_i18n!$A:$H,7,FALSE)</f>
        <v>1</v>
      </c>
      <c r="AE3" s="21" t="s">
        <v>178</v>
      </c>
      <c r="AF3" s="2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2">
        <f ca="1">IF(ISNA(MATCH(A3,AE:AE,0)),A3,INDIRECT(ADDRESS(MATCH(A3,AE:AE,0),COLUMN())))</f>
        <v>795</v>
      </c>
      <c r="AH3" s="2" t="str">
        <f ca="1">VLOOKUP($AG3,OFFSET([1]characters!$A$1,0,0,COUNTA([1]characters!$A:$A),MATCH(AH$1,[1]characters!$1:$1,0)-MATCH($A$1,[1]characters!$1:$1,0)+1),MATCH(AH$1,[1]characters!$1:$1,0)-MATCH($A$1,[1]characters!$1:$1,0)+1,FALSE)</f>
        <v>桜花の果実</v>
      </c>
      <c r="AI3" s="4" t="str">
        <f>IF(AE3="NULL","NULL",VLOOKUP(G3,ビット!$A$2:$B$7,2))</f>
        <v>NULL</v>
      </c>
      <c r="AJ3" s="36">
        <v>2</v>
      </c>
      <c r="AK3" s="2" t="str">
        <f t="shared" si="1"/>
        <v>普通</v>
      </c>
      <c r="AL3" s="4" t="str">
        <f ca="1">INDEX(経験値!$A$1:$I$20,MATCH(H3,経験値!$A$1:$A$20,FALSE),MATCH(G3,経験値!$A$1:$I$1,FALSE))</f>
        <v>NULL</v>
      </c>
      <c r="AM3" s="128">
        <f ca="1">VLOOKUP(G3,経験値!$A$27:$B$31,2)</f>
        <v>1500</v>
      </c>
      <c r="AN3" s="128">
        <f ca="1">VLOOKUP(G3,ビット!$G$2:$H$7,2)</f>
        <v>300</v>
      </c>
      <c r="AO3" s="36"/>
      <c r="AP3" s="37">
        <v>990013</v>
      </c>
      <c r="AQ3" s="2" t="e">
        <f ca="1">VLOOKUP($AP3,OFFSET(unit_skills!$A$1,0,0,COUNTA(unit_skills!$A:$A),MATCH(AQ$1,unit_skills!$1:$1,0)-MATCH($AP$1,unit_skills!$1:$1,0)+1),MATCH(AQ$1,unit_skills!$1:$1,0)-MATCH($AP$1,unit_skills!$1:$1,0)+1,FALSE)</f>
        <v>#N/A</v>
      </c>
      <c r="AR3" s="2" t="e">
        <f ca="1">VLOOKUP($AP3,OFFSET(unit_skills!$A$1,0,0,COUNTA(unit_skills!$A:$A),MATCH(AR$1,unit_skills!$1:$1,0)-MATCH($AP$1,unit_skills!$1:$1,0)+1),MATCH(AR$1,unit_skills!$1:$1,0)-MATCH($AP$1,unit_skills!$1:$1,0)+1,FALSE)</f>
        <v>#N/A</v>
      </c>
      <c r="AS3" s="2" t="e">
        <f ca="1">VLOOKUP($AP3,OFFSET(unit_skills!$A$1,0,0,COUNTA(unit_skills!$A:$A),MATCH(AS$1,unit_skills!$1:$1,0)-MATCH($AP$1,unit_skills!$1:$1,0)+1),MATCH(AS$1,unit_skills!$1:$1,0)-MATCH($AP$1,unit_skills!$1:$1,0)+1,FALSE)</f>
        <v>#N/A</v>
      </c>
      <c r="AT3" s="25">
        <v>795</v>
      </c>
      <c r="AU3" s="2" t="str">
        <f ca="1">VLOOKUP($AT3,OFFSET(crash_skills!$A$1,0,0,COUNTA(crash_skills!$A:$A),MATCH(AU$1,crash_skills!$1:$1,0)-MATCH($AT$1,crash_skills!$1:$1,0)+1),MATCH(AU$1,crash_skills!$1:$1,0)-MATCH($AT$1,crash_skills!$1:$1,0)+1,FALSE)</f>
        <v>なし</v>
      </c>
      <c r="AV3" s="2" t="str">
        <f ca="1">VLOOKUP($AT3,OFFSET(crash_skills!$A$1,0,0,COUNTA(crash_skills!$A:$A),MATCH(AV$1,crash_skills!$1:$1,0)-MATCH($AT$1,crash_skills!$1:$1,0)+1),MATCH(AV$1,crash_skills!$1:$1,0)-MATCH($AT$1,crash_skills!$1:$1,0)+1,FALSE)</f>
        <v>効果はないが_x000D_ウィルス少女たちのキモチがつまっている！</v>
      </c>
      <c r="AW3" s="2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4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129">
        <v>1</v>
      </c>
      <c r="AZ3" s="129">
        <v>1</v>
      </c>
      <c r="BA3" s="129">
        <v>0</v>
      </c>
      <c r="BB3" s="129">
        <v>1</v>
      </c>
      <c r="BC3" s="4">
        <f ca="1">INDEX('RC6SV'!$A$1:$G$20,MATCH(H3,'RC6SV'!$A$1:$A$20,FALSE),MATCH(G3,'RC6SV'!$A$1:$G$1,FALSE))</f>
        <v>1000</v>
      </c>
      <c r="BD3" s="4">
        <f t="shared" ca="1" si="2"/>
        <v>1000</v>
      </c>
      <c r="BE3" s="4">
        <f ca="1">ROUND(IFERROR(INDIRECT(ADDRESS(MATCH($A3,$AE:$AE,0),MATCH($BC$1,$1:$1,0))),0),0)</f>
        <v>0</v>
      </c>
      <c r="BF3" s="4">
        <f ca="1">ROUND(IFERROR(INDIRECT(ADDRESS(MATCH($A3,$AE:$AE,0),10)),INDIRECT(ADDRESS(MATCH($A3,$A:$A,0),10))),0)</f>
        <v>1</v>
      </c>
      <c r="BG3" s="61">
        <v>331</v>
      </c>
      <c r="BH3" s="61">
        <v>331</v>
      </c>
      <c r="BI3" s="130">
        <f ca="1">IF($BE3&lt;=0,ROUND(BM3*0.5,0), ROUND($BE3*U3*AC3*L3*BA3*0.8*[1]ステータス!$D$2,0))</f>
        <v>0</v>
      </c>
      <c r="BJ3" s="61">
        <v>331</v>
      </c>
      <c r="BK3" s="61">
        <v>331</v>
      </c>
      <c r="BL3" s="61">
        <v>331</v>
      </c>
      <c r="BM3" s="4">
        <f ca="1">ROUND(BD3*U3*AC3*L3*BA3*[1]ステータス!$D$2,0)</f>
        <v>0</v>
      </c>
      <c r="BN3" s="61">
        <v>331</v>
      </c>
      <c r="BO3" s="3">
        <v>0</v>
      </c>
      <c r="BP3" s="3">
        <v>1</v>
      </c>
      <c r="BQ3" s="3" t="s">
        <v>44</v>
      </c>
      <c r="BR3" s="3">
        <f ca="1">VLOOKUP(H3,ghosts_label!$A$2:$B$19,2,FALSE)</f>
        <v>0</v>
      </c>
    </row>
  </sheetData>
  <autoFilter ref="A1:BQ1"/>
  <phoneticPr fontId="10"/>
  <conditionalFormatting sqref="BO1">
    <cfRule type="cellIs" dxfId="28" priority="120" stopIfTrue="1" operator="equal">
      <formula>1</formula>
    </cfRule>
  </conditionalFormatting>
  <conditionalFormatting sqref="BQ1">
    <cfRule type="cellIs" dxfId="27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2"/>
  <sheetViews>
    <sheetView showGridLines="0" zoomScale="75" zoomScaleNormal="75" zoomScalePageLayoutView="75" workbookViewId="0">
      <pane xSplit="4" ySplit="1" topLeftCell="G2" activePane="bottomRight" state="frozen"/>
      <selection pane="topRight" activeCell="D1" sqref="D1"/>
      <selection pane="bottomLeft" activeCell="A2" sqref="A2"/>
      <selection pane="bottomRight" activeCell="K4" sqref="K4"/>
    </sheetView>
  </sheetViews>
  <sheetFormatPr baseColWidth="12" defaultColWidth="13" defaultRowHeight="21" customHeight="1" outlineLevelCol="1" x14ac:dyDescent="0.15"/>
  <cols>
    <col min="1" max="1" width="16.1640625" style="74" bestFit="1" customWidth="1"/>
    <col min="2" max="2" width="13" style="74" bestFit="1" customWidth="1"/>
    <col min="3" max="3" width="21.83203125" style="74" customWidth="1"/>
    <col min="4" max="4" width="41.83203125" style="74" customWidth="1"/>
    <col min="5" max="5" width="9" style="74" customWidth="1"/>
    <col min="6" max="6" width="7.83203125" style="74" bestFit="1" customWidth="1"/>
    <col min="7" max="7" width="8.1640625" style="74" bestFit="1" customWidth="1"/>
    <col min="8" max="8" width="13.6640625" style="74" bestFit="1" customWidth="1"/>
    <col min="9" max="10" width="51.6640625" style="74" customWidth="1"/>
    <col min="11" max="11" width="10.83203125" style="74" customWidth="1" outlineLevel="1"/>
    <col min="12" max="17" width="9.5" style="73" customWidth="1" outlineLevel="1"/>
    <col min="18" max="18" width="20.33203125" style="74" customWidth="1" outlineLevel="1"/>
    <col min="19" max="19" width="10.33203125" style="74" bestFit="1" customWidth="1"/>
    <col min="20" max="16384" width="13" style="74"/>
  </cols>
  <sheetData>
    <row r="1" spans="1:19" s="73" customFormat="1" ht="21" customHeight="1" x14ac:dyDescent="0.15">
      <c r="A1" s="62" t="s">
        <v>20</v>
      </c>
      <c r="B1" s="63" t="s">
        <v>129</v>
      </c>
      <c r="C1" s="64" t="s">
        <v>40</v>
      </c>
      <c r="D1" s="65" t="s">
        <v>158</v>
      </c>
      <c r="E1" s="65" t="s">
        <v>159</v>
      </c>
      <c r="F1" s="62" t="s">
        <v>141</v>
      </c>
      <c r="G1" s="66" t="s">
        <v>2</v>
      </c>
      <c r="H1" s="66" t="s">
        <v>160</v>
      </c>
      <c r="I1" s="66" t="s">
        <v>161</v>
      </c>
      <c r="J1" s="67" t="s">
        <v>180</v>
      </c>
      <c r="K1" s="66" t="s">
        <v>4</v>
      </c>
      <c r="L1" s="68" t="s">
        <v>162</v>
      </c>
      <c r="M1" s="69" t="s">
        <v>163</v>
      </c>
      <c r="N1" s="69" t="s">
        <v>164</v>
      </c>
      <c r="O1" s="69" t="s">
        <v>165</v>
      </c>
      <c r="P1" s="69" t="s">
        <v>166</v>
      </c>
      <c r="Q1" s="70" t="s">
        <v>167</v>
      </c>
      <c r="R1" s="71" t="s">
        <v>168</v>
      </c>
      <c r="S1" s="72" t="s">
        <v>169</v>
      </c>
    </row>
    <row r="2" spans="1:19" ht="21" customHeight="1" x14ac:dyDescent="0.15">
      <c r="A2" s="3">
        <v>794</v>
      </c>
      <c r="B2" s="146" t="s">
        <v>181</v>
      </c>
      <c r="C2" s="77" t="s">
        <v>245</v>
      </c>
      <c r="D2" s="77" t="s">
        <v>246</v>
      </c>
      <c r="E2" s="147">
        <f t="shared" ref="E2" si="0">LEN(D2)</f>
        <v>6</v>
      </c>
      <c r="F2" s="61">
        <v>18</v>
      </c>
      <c r="G2" s="61">
        <v>5</v>
      </c>
      <c r="H2" s="79">
        <f>2001</f>
        <v>2001</v>
      </c>
      <c r="I2" s="79" t="s">
        <v>247</v>
      </c>
      <c r="J2" s="2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卒業のウィルス ハッピー</v>
      </c>
      <c r="K2" s="148">
        <v>3</v>
      </c>
      <c r="L2" s="80"/>
      <c r="M2" s="81"/>
      <c r="N2" s="81"/>
      <c r="O2" s="81"/>
      <c r="P2" s="81"/>
      <c r="Q2" s="81"/>
      <c r="R2" s="77"/>
      <c r="S2" s="82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3:E1048576">
    <cfRule type="cellIs" dxfId="26" priority="8" operator="greaterThan">
      <formula>41</formula>
    </cfRule>
  </conditionalFormatting>
  <conditionalFormatting sqref="E2">
    <cfRule type="cellIs" dxfId="25" priority="2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3"/>
  <sheetViews>
    <sheetView showGridLines="0" zoomScale="75" zoomScaleNormal="75" zoomScalePageLayoutView="75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H2" sqref="H2"/>
    </sheetView>
  </sheetViews>
  <sheetFormatPr baseColWidth="12" defaultColWidth="13" defaultRowHeight="21" customHeight="1" x14ac:dyDescent="0.15"/>
  <cols>
    <col min="1" max="2" width="12.1640625" style="74" customWidth="1"/>
    <col min="3" max="3" width="48.83203125" style="75" customWidth="1"/>
    <col min="4" max="4" width="23.83203125" style="75" customWidth="1"/>
    <col min="5" max="5" width="10.5" style="75" customWidth="1"/>
    <col min="6" max="7" width="59.1640625" style="75" customWidth="1"/>
    <col min="8" max="8" width="6.83203125" style="74" bestFit="1" customWidth="1"/>
    <col min="9" max="9" width="20.33203125" style="74" customWidth="1"/>
    <col min="10" max="10" width="5" style="74" bestFit="1" customWidth="1"/>
    <col min="11" max="16384" width="13" style="74"/>
  </cols>
  <sheetData>
    <row r="1" spans="1:19" ht="21" customHeight="1" x14ac:dyDescent="0.15">
      <c r="A1" s="62" t="s">
        <v>177</v>
      </c>
      <c r="B1" s="63" t="s">
        <v>176</v>
      </c>
      <c r="C1" s="64" t="s">
        <v>175</v>
      </c>
      <c r="D1" s="65" t="s">
        <v>174</v>
      </c>
      <c r="E1" s="65" t="s">
        <v>173</v>
      </c>
      <c r="F1" s="66" t="s">
        <v>172</v>
      </c>
      <c r="G1" s="67" t="s">
        <v>180</v>
      </c>
      <c r="H1" s="66" t="s">
        <v>171</v>
      </c>
      <c r="I1" s="67" t="s">
        <v>170</v>
      </c>
      <c r="J1" s="71" t="s">
        <v>169</v>
      </c>
    </row>
    <row r="2" spans="1:19" ht="21" customHeight="1" x14ac:dyDescent="0.15">
      <c r="A2" s="3">
        <v>794</v>
      </c>
      <c r="B2" s="146" t="s">
        <v>182</v>
      </c>
      <c r="C2" s="77" t="s">
        <v>248</v>
      </c>
      <c r="D2" s="77" t="s">
        <v>251</v>
      </c>
      <c r="E2" s="78">
        <f t="shared" ref="E2" si="0">LEN(D2)</f>
        <v>11</v>
      </c>
      <c r="F2" s="61" t="s">
        <v>252</v>
      </c>
      <c r="G2" s="2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卒業のウィルス ハッピー</v>
      </c>
      <c r="H2" s="79">
        <v>3</v>
      </c>
      <c r="I2" s="79"/>
      <c r="J2" s="79"/>
      <c r="K2" s="142"/>
      <c r="L2" s="143"/>
      <c r="M2" s="144"/>
      <c r="N2" s="144"/>
      <c r="O2" s="144"/>
      <c r="P2" s="144"/>
      <c r="Q2" s="144"/>
      <c r="R2" s="141"/>
      <c r="S2" s="145"/>
    </row>
    <row r="3" spans="1:19" ht="21" customHeight="1" x14ac:dyDescent="0.15">
      <c r="A3" s="3">
        <v>795</v>
      </c>
      <c r="B3" s="146" t="s">
        <v>182</v>
      </c>
      <c r="C3" s="77" t="s">
        <v>249</v>
      </c>
      <c r="D3" s="77" t="s">
        <v>250</v>
      </c>
      <c r="E3" s="147">
        <f t="shared" ref="E3" si="1">LEN(D3)</f>
        <v>27</v>
      </c>
      <c r="F3" s="61"/>
      <c r="G3" s="2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桜花の果実</v>
      </c>
      <c r="H3" s="79">
        <v>3</v>
      </c>
      <c r="I3" s="79"/>
      <c r="J3" s="79"/>
      <c r="K3" s="142"/>
      <c r="L3" s="143"/>
      <c r="M3" s="144"/>
      <c r="N3" s="144"/>
      <c r="O3" s="144"/>
      <c r="P3" s="144"/>
      <c r="Q3" s="144"/>
      <c r="R3" s="141"/>
      <c r="S3" s="145"/>
    </row>
  </sheetData>
  <sheetProtection selectLockedCells="1" selectUnlockedCells="1"/>
  <autoFilter ref="A1:J1"/>
  <phoneticPr fontId="22"/>
  <conditionalFormatting sqref="E3">
    <cfRule type="cellIs" dxfId="24" priority="2" operator="greaterThan">
      <formula>41</formula>
    </cfRule>
  </conditionalFormatting>
  <conditionalFormatting sqref="E2">
    <cfRule type="cellIs" dxfId="23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G4"/>
  <sheetViews>
    <sheetView workbookViewId="0">
      <selection activeCell="D22" activeCellId="1" sqref="B7 D22"/>
    </sheetView>
  </sheetViews>
  <sheetFormatPr baseColWidth="12" defaultRowHeight="15" x14ac:dyDescent="0.15"/>
  <cols>
    <col min="1" max="6" width="12.83203125" style="149"/>
    <col min="7" max="7" width="22" style="149" bestFit="1" customWidth="1"/>
    <col min="8" max="16384" width="12.83203125" style="149"/>
  </cols>
  <sheetData>
    <row r="1" spans="1:7" customFormat="1" x14ac:dyDescent="0.15">
      <c r="A1" s="59" t="s">
        <v>183</v>
      </c>
      <c r="B1" s="83" t="s">
        <v>184</v>
      </c>
      <c r="C1" s="59" t="s">
        <v>185</v>
      </c>
      <c r="D1" s="58" t="s">
        <v>187</v>
      </c>
      <c r="E1" s="58" t="s">
        <v>188</v>
      </c>
      <c r="F1" s="59" t="s">
        <v>186</v>
      </c>
      <c r="G1" s="58" t="s">
        <v>189</v>
      </c>
    </row>
    <row r="2" spans="1:7" customFormat="1" x14ac:dyDescent="0.15">
      <c r="A2" s="56">
        <v>794</v>
      </c>
      <c r="B2" s="83" t="str">
        <f>VLOOKUP(A2,[1]characters!$A:$C,3,FALSE)</f>
        <v>卒業のウィルス ハッピー</v>
      </c>
      <c r="C2" s="56" t="s">
        <v>190</v>
      </c>
      <c r="D2" s="57">
        <v>7940</v>
      </c>
      <c r="E2" s="56" t="s">
        <v>192</v>
      </c>
      <c r="F2" s="56" t="s">
        <v>254</v>
      </c>
      <c r="G2" s="56" t="s">
        <v>253</v>
      </c>
    </row>
    <row r="3" spans="1:7" customFormat="1" x14ac:dyDescent="0.15">
      <c r="A3" s="56">
        <v>794</v>
      </c>
      <c r="B3" s="83" t="str">
        <f>VLOOKUP(A3,[1]characters!$A:$C,3,FALSE)</f>
        <v>卒業のウィルス ハッピー</v>
      </c>
      <c r="C3" s="56" t="s">
        <v>193</v>
      </c>
      <c r="D3" s="57">
        <v>7941</v>
      </c>
      <c r="E3" s="56" t="s">
        <v>192</v>
      </c>
      <c r="F3" s="56" t="s">
        <v>254</v>
      </c>
      <c r="G3" s="56" t="s">
        <v>255</v>
      </c>
    </row>
    <row r="4" spans="1:7" customFormat="1" x14ac:dyDescent="0.15">
      <c r="A4" s="56">
        <v>795</v>
      </c>
      <c r="B4" s="83" t="str">
        <f>VLOOKUP(A4,[1]characters!$A:$C,3,FALSE)</f>
        <v>桜花の果実</v>
      </c>
      <c r="C4" s="56" t="s">
        <v>193</v>
      </c>
      <c r="D4" s="57">
        <v>7951</v>
      </c>
      <c r="E4" s="56" t="s">
        <v>192</v>
      </c>
      <c r="F4" s="56" t="s">
        <v>191</v>
      </c>
      <c r="G4" s="56" t="s">
        <v>256</v>
      </c>
    </row>
  </sheetData>
  <phoneticPr fontId="22"/>
  <dataValidations count="2">
    <dataValidation type="list" allowBlank="1" showInputMessage="1" showErrorMessage="1" sqref="F2:F4">
      <formula1>"maru,giza,kumo"</formula1>
    </dataValidation>
    <dataValidation type="list" allowBlank="1" showInputMessage="1" showErrorMessage="1" sqref="C2:C4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B19"/>
  <sheetViews>
    <sheetView workbookViewId="0">
      <selection activeCell="B19" sqref="B19"/>
    </sheetView>
  </sheetViews>
  <sheetFormatPr baseColWidth="12" defaultRowHeight="15" x14ac:dyDescent="0.15"/>
  <sheetData>
    <row r="1" spans="1:2" x14ac:dyDescent="0.15">
      <c r="A1" t="s">
        <v>257</v>
      </c>
      <c r="B1" t="s">
        <v>258</v>
      </c>
    </row>
    <row r="2" spans="1:2" x14ac:dyDescent="0.15">
      <c r="A2" t="s">
        <v>259</v>
      </c>
      <c r="B2">
        <v>1</v>
      </c>
    </row>
    <row r="3" spans="1:2" x14ac:dyDescent="0.15">
      <c r="A3" t="s">
        <v>260</v>
      </c>
      <c r="B3">
        <v>1</v>
      </c>
    </row>
    <row r="4" spans="1:2" x14ac:dyDescent="0.15">
      <c r="A4" t="s">
        <v>261</v>
      </c>
      <c r="B4">
        <v>1</v>
      </c>
    </row>
    <row r="5" spans="1:2" x14ac:dyDescent="0.15">
      <c r="A5" t="s">
        <v>262</v>
      </c>
      <c r="B5">
        <v>1</v>
      </c>
    </row>
    <row r="6" spans="1:2" x14ac:dyDescent="0.15">
      <c r="A6" t="s">
        <v>263</v>
      </c>
      <c r="B6">
        <v>1</v>
      </c>
    </row>
    <row r="7" spans="1:2" x14ac:dyDescent="0.15">
      <c r="A7" t="s">
        <v>264</v>
      </c>
      <c r="B7">
        <v>1</v>
      </c>
    </row>
    <row r="8" spans="1:2" x14ac:dyDescent="0.15">
      <c r="A8" t="s">
        <v>265</v>
      </c>
      <c r="B8">
        <v>1</v>
      </c>
    </row>
    <row r="9" spans="1:2" x14ac:dyDescent="0.15">
      <c r="A9" t="s">
        <v>266</v>
      </c>
      <c r="B9">
        <v>1</v>
      </c>
    </row>
    <row r="10" spans="1:2" x14ac:dyDescent="0.15">
      <c r="A10" t="s">
        <v>267</v>
      </c>
      <c r="B10">
        <v>1</v>
      </c>
    </row>
    <row r="11" spans="1:2" x14ac:dyDescent="0.15">
      <c r="A11" t="s">
        <v>268</v>
      </c>
      <c r="B11">
        <v>1</v>
      </c>
    </row>
    <row r="12" spans="1:2" x14ac:dyDescent="0.15">
      <c r="A12" t="s">
        <v>269</v>
      </c>
      <c r="B12">
        <v>1</v>
      </c>
    </row>
    <row r="13" spans="1:2" x14ac:dyDescent="0.15">
      <c r="A13" t="s">
        <v>270</v>
      </c>
      <c r="B13">
        <v>0</v>
      </c>
    </row>
    <row r="14" spans="1:2" x14ac:dyDescent="0.15">
      <c r="A14" t="s">
        <v>271</v>
      </c>
      <c r="B14">
        <v>500</v>
      </c>
    </row>
    <row r="15" spans="1:2" x14ac:dyDescent="0.15">
      <c r="A15" t="s">
        <v>272</v>
      </c>
      <c r="B15">
        <v>600</v>
      </c>
    </row>
    <row r="16" spans="1:2" x14ac:dyDescent="0.15">
      <c r="A16" t="s">
        <v>273</v>
      </c>
      <c r="B16">
        <v>700</v>
      </c>
    </row>
    <row r="17" spans="1:2" x14ac:dyDescent="0.15">
      <c r="A17" t="s">
        <v>274</v>
      </c>
      <c r="B17">
        <v>5500</v>
      </c>
    </row>
    <row r="18" spans="1:2" x14ac:dyDescent="0.15">
      <c r="A18" t="s">
        <v>275</v>
      </c>
      <c r="B18">
        <v>6000</v>
      </c>
    </row>
    <row r="19" spans="1:2" x14ac:dyDescent="0.15">
      <c r="A19" t="s">
        <v>276</v>
      </c>
      <c r="B19">
        <v>30000</v>
      </c>
    </row>
  </sheetData>
  <phoneticPr fontId="2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0"/>
  <sheetViews>
    <sheetView showGridLines="0" tabSelected="1" workbookViewId="0">
      <selection activeCell="J20" sqref="J20"/>
    </sheetView>
  </sheetViews>
  <sheetFormatPr baseColWidth="12" defaultColWidth="13" defaultRowHeight="21" customHeight="1" x14ac:dyDescent="0.15"/>
  <cols>
    <col min="1" max="1" width="13" style="1"/>
    <col min="2" max="16384" width="13" style="8"/>
  </cols>
  <sheetData>
    <row r="1" spans="1:9" s="1" customFormat="1" ht="21" customHeight="1" x14ac:dyDescent="0.15">
      <c r="A1" s="15" t="s">
        <v>228</v>
      </c>
      <c r="B1" s="17">
        <v>1</v>
      </c>
      <c r="C1" s="17">
        <v>2</v>
      </c>
      <c r="D1" s="17">
        <v>3</v>
      </c>
      <c r="E1" s="17">
        <v>4</v>
      </c>
      <c r="F1" s="17">
        <v>5</v>
      </c>
      <c r="G1" s="17">
        <v>6</v>
      </c>
      <c r="H1" s="17">
        <v>7</v>
      </c>
      <c r="I1" s="17">
        <v>8</v>
      </c>
    </row>
    <row r="2" spans="1:9" s="1" customFormat="1" ht="21" customHeight="1" x14ac:dyDescent="0.15">
      <c r="A2" s="85" t="s">
        <v>222</v>
      </c>
      <c r="B2" s="86"/>
      <c r="C2" s="87"/>
      <c r="D2" s="88" t="s">
        <v>229</v>
      </c>
      <c r="E2" s="88">
        <v>30</v>
      </c>
      <c r="F2" s="88">
        <v>40</v>
      </c>
      <c r="G2" s="88">
        <f>15+F2</f>
        <v>55</v>
      </c>
      <c r="H2" s="87"/>
      <c r="I2" s="87"/>
    </row>
    <row r="3" spans="1:9" s="1" customFormat="1" ht="21" customHeight="1" x14ac:dyDescent="0.15">
      <c r="A3" s="85" t="s">
        <v>230</v>
      </c>
      <c r="B3" s="89"/>
      <c r="C3" s="90"/>
      <c r="D3" s="91" t="s">
        <v>105</v>
      </c>
      <c r="E3" s="91">
        <v>25</v>
      </c>
      <c r="F3" s="91">
        <v>35</v>
      </c>
      <c r="G3" s="88">
        <f t="shared" ref="G3:G5" si="0">15+F3</f>
        <v>50</v>
      </c>
      <c r="H3" s="90"/>
      <c r="I3" s="90"/>
    </row>
    <row r="4" spans="1:9" s="1" customFormat="1" ht="21" customHeight="1" x14ac:dyDescent="0.15">
      <c r="A4" s="85" t="s">
        <v>231</v>
      </c>
      <c r="B4" s="92"/>
      <c r="C4" s="93"/>
      <c r="D4" s="94">
        <v>10</v>
      </c>
      <c r="E4" s="94">
        <v>20</v>
      </c>
      <c r="F4" s="94">
        <v>30</v>
      </c>
      <c r="G4" s="94">
        <f t="shared" si="0"/>
        <v>45</v>
      </c>
      <c r="H4" s="93"/>
      <c r="I4" s="93"/>
    </row>
    <row r="5" spans="1:9" s="1" customFormat="1" ht="21" customHeight="1" x14ac:dyDescent="0.15">
      <c r="A5" s="104" t="s">
        <v>226</v>
      </c>
      <c r="B5" s="99"/>
      <c r="C5" s="100"/>
      <c r="D5" s="13">
        <v>9</v>
      </c>
      <c r="E5" s="13">
        <v>18</v>
      </c>
      <c r="F5" s="13">
        <v>28</v>
      </c>
      <c r="G5" s="23">
        <f t="shared" si="0"/>
        <v>43</v>
      </c>
      <c r="H5" s="100"/>
      <c r="I5" s="100"/>
    </row>
    <row r="6" spans="1:9" s="1" customFormat="1" ht="21" customHeight="1" x14ac:dyDescent="0.15">
      <c r="A6" s="104" t="s">
        <v>227</v>
      </c>
      <c r="B6" s="99"/>
      <c r="C6" s="100"/>
      <c r="D6" s="13">
        <v>7</v>
      </c>
      <c r="E6" s="13">
        <v>16</v>
      </c>
      <c r="F6" s="38" t="s">
        <v>11</v>
      </c>
      <c r="G6" s="38" t="s">
        <v>11</v>
      </c>
      <c r="H6" s="100"/>
      <c r="I6" s="100"/>
    </row>
    <row r="7" spans="1:9" ht="21" customHeight="1" x14ac:dyDescent="0.15">
      <c r="A7" s="43" t="s">
        <v>201</v>
      </c>
      <c r="B7" s="27" t="s">
        <v>11</v>
      </c>
      <c r="C7" s="27" t="s">
        <v>11</v>
      </c>
      <c r="D7" s="23" t="s">
        <v>105</v>
      </c>
      <c r="E7" s="23" t="s">
        <v>105</v>
      </c>
      <c r="F7" s="23" t="s">
        <v>105</v>
      </c>
      <c r="G7" s="23" t="s">
        <v>105</v>
      </c>
      <c r="H7" s="23" t="s">
        <v>105</v>
      </c>
      <c r="I7" s="23" t="s">
        <v>105</v>
      </c>
    </row>
    <row r="8" spans="1:9" ht="21" customHeight="1" x14ac:dyDescent="0.15">
      <c r="A8" s="44" t="s">
        <v>232</v>
      </c>
      <c r="B8" s="27" t="s">
        <v>11</v>
      </c>
      <c r="C8" s="27" t="s">
        <v>11</v>
      </c>
      <c r="D8" s="23" t="s">
        <v>105</v>
      </c>
      <c r="E8" s="23">
        <v>30</v>
      </c>
      <c r="F8" s="23">
        <v>40</v>
      </c>
      <c r="G8" s="23">
        <f>15+F8</f>
        <v>55</v>
      </c>
      <c r="H8" s="23" t="s">
        <v>105</v>
      </c>
      <c r="I8" s="23" t="s">
        <v>105</v>
      </c>
    </row>
    <row r="9" spans="1:9" s="26" customFormat="1" ht="21" customHeight="1" x14ac:dyDescent="0.15">
      <c r="A9" s="45" t="s">
        <v>233</v>
      </c>
      <c r="B9" s="13" t="s">
        <v>11</v>
      </c>
      <c r="C9" s="13" t="s">
        <v>11</v>
      </c>
      <c r="D9" s="53" t="s">
        <v>105</v>
      </c>
      <c r="E9" s="53">
        <v>25</v>
      </c>
      <c r="F9" s="53">
        <v>35</v>
      </c>
      <c r="G9" s="23">
        <f t="shared" ref="G9:G11" si="1">15+F9</f>
        <v>50</v>
      </c>
      <c r="H9" s="53" t="s">
        <v>105</v>
      </c>
      <c r="I9" s="53" t="s">
        <v>105</v>
      </c>
    </row>
    <row r="10" spans="1:9" ht="21" customHeight="1" x14ac:dyDescent="0.15">
      <c r="A10" s="45" t="s">
        <v>9</v>
      </c>
      <c r="B10" s="38" t="s">
        <v>11</v>
      </c>
      <c r="C10" s="38" t="s">
        <v>11</v>
      </c>
      <c r="D10" s="13">
        <v>10</v>
      </c>
      <c r="E10" s="13">
        <v>20</v>
      </c>
      <c r="F10" s="13">
        <v>30</v>
      </c>
      <c r="G10" s="23">
        <f t="shared" si="1"/>
        <v>45</v>
      </c>
      <c r="H10" s="38" t="s">
        <v>11</v>
      </c>
      <c r="I10" s="38" t="s">
        <v>11</v>
      </c>
    </row>
    <row r="11" spans="1:9" ht="21" customHeight="1" x14ac:dyDescent="0.15">
      <c r="A11" s="45" t="s">
        <v>234</v>
      </c>
      <c r="B11" s="38" t="s">
        <v>11</v>
      </c>
      <c r="C11" s="38" t="s">
        <v>11</v>
      </c>
      <c r="D11" s="13">
        <v>9</v>
      </c>
      <c r="E11" s="13">
        <v>18</v>
      </c>
      <c r="F11" s="13">
        <v>28</v>
      </c>
      <c r="G11" s="23">
        <f t="shared" si="1"/>
        <v>43</v>
      </c>
      <c r="H11" s="38" t="s">
        <v>11</v>
      </c>
      <c r="I11" s="38" t="s">
        <v>11</v>
      </c>
    </row>
    <row r="12" spans="1:9" ht="21" customHeight="1" x14ac:dyDescent="0.15">
      <c r="A12" s="45" t="s">
        <v>235</v>
      </c>
      <c r="B12" s="38" t="s">
        <v>11</v>
      </c>
      <c r="C12" s="38" t="s">
        <v>11</v>
      </c>
      <c r="D12" s="13">
        <v>7</v>
      </c>
      <c r="E12" s="13">
        <v>16</v>
      </c>
      <c r="F12" s="38" t="s">
        <v>11</v>
      </c>
      <c r="G12" s="38" t="s">
        <v>11</v>
      </c>
      <c r="H12" s="38" t="s">
        <v>11</v>
      </c>
      <c r="I12" s="38" t="s">
        <v>11</v>
      </c>
    </row>
    <row r="13" spans="1:9" ht="21" customHeight="1" x14ac:dyDescent="0.15">
      <c r="A13" s="52" t="s">
        <v>236</v>
      </c>
      <c r="B13" s="38" t="s">
        <v>11</v>
      </c>
      <c r="C13" s="38" t="s">
        <v>11</v>
      </c>
      <c r="D13" s="13">
        <v>8</v>
      </c>
      <c r="E13" s="13">
        <v>17</v>
      </c>
      <c r="F13" s="13">
        <v>26</v>
      </c>
      <c r="G13" s="38" t="s">
        <v>11</v>
      </c>
      <c r="H13" s="38" t="s">
        <v>11</v>
      </c>
      <c r="I13" s="38" t="s">
        <v>11</v>
      </c>
    </row>
    <row r="14" spans="1:9" ht="21" customHeight="1" x14ac:dyDescent="0.15">
      <c r="A14" s="45" t="s">
        <v>237</v>
      </c>
      <c r="B14" s="38" t="s">
        <v>11</v>
      </c>
      <c r="C14" s="38" t="s">
        <v>11</v>
      </c>
      <c r="D14" s="13">
        <v>8</v>
      </c>
      <c r="E14" s="13">
        <v>17</v>
      </c>
      <c r="F14" s="13">
        <v>26</v>
      </c>
      <c r="G14" s="38" t="s">
        <v>11</v>
      </c>
      <c r="H14" s="38" t="s">
        <v>11</v>
      </c>
      <c r="I14" s="38" t="s">
        <v>11</v>
      </c>
    </row>
    <row r="15" spans="1:9" ht="21" customHeight="1" x14ac:dyDescent="0.15">
      <c r="A15" s="45" t="s">
        <v>238</v>
      </c>
      <c r="B15" s="38" t="s">
        <v>11</v>
      </c>
      <c r="C15" s="38" t="s">
        <v>11</v>
      </c>
      <c r="D15" s="13">
        <v>6</v>
      </c>
      <c r="E15" s="13">
        <v>14</v>
      </c>
      <c r="F15" s="38" t="s">
        <v>11</v>
      </c>
      <c r="G15" s="38" t="s">
        <v>11</v>
      </c>
      <c r="H15" s="38" t="s">
        <v>11</v>
      </c>
      <c r="I15" s="38" t="s">
        <v>11</v>
      </c>
    </row>
    <row r="16" spans="1:9" ht="21" customHeight="1" x14ac:dyDescent="0.15">
      <c r="A16" s="45" t="s">
        <v>239</v>
      </c>
      <c r="B16" s="38" t="s">
        <v>11</v>
      </c>
      <c r="C16" s="13">
        <v>4</v>
      </c>
      <c r="D16" s="13">
        <v>6</v>
      </c>
      <c r="E16" s="13">
        <v>14</v>
      </c>
      <c r="F16" s="38" t="s">
        <v>11</v>
      </c>
      <c r="G16" s="38" t="s">
        <v>11</v>
      </c>
      <c r="H16" s="38" t="s">
        <v>11</v>
      </c>
      <c r="I16" s="38" t="s">
        <v>11</v>
      </c>
    </row>
    <row r="17" spans="1:9" ht="21" customHeight="1" x14ac:dyDescent="0.15">
      <c r="A17" s="45" t="s">
        <v>8</v>
      </c>
      <c r="B17" s="13">
        <v>2</v>
      </c>
      <c r="C17" s="13">
        <v>4</v>
      </c>
      <c r="D17" s="13">
        <v>6</v>
      </c>
      <c r="E17" s="38" t="s">
        <v>11</v>
      </c>
      <c r="F17" s="38" t="s">
        <v>11</v>
      </c>
      <c r="G17" s="38" t="s">
        <v>11</v>
      </c>
      <c r="H17" s="38" t="s">
        <v>11</v>
      </c>
      <c r="I17" s="38" t="s">
        <v>11</v>
      </c>
    </row>
    <row r="18" spans="1:9" ht="21" customHeight="1" x14ac:dyDescent="0.15">
      <c r="A18" s="46" t="s">
        <v>7</v>
      </c>
      <c r="B18" s="16">
        <v>1</v>
      </c>
      <c r="C18" s="16">
        <v>2</v>
      </c>
      <c r="D18" s="39" t="s">
        <v>11</v>
      </c>
      <c r="E18" s="39" t="s">
        <v>11</v>
      </c>
      <c r="F18" s="39" t="s">
        <v>11</v>
      </c>
      <c r="G18" s="39" t="s">
        <v>11</v>
      </c>
      <c r="H18" s="39" t="s">
        <v>11</v>
      </c>
      <c r="I18" s="39" t="s">
        <v>11</v>
      </c>
    </row>
    <row r="19" spans="1:9" ht="21" customHeight="1" x14ac:dyDescent="0.15">
      <c r="A19" s="47" t="s">
        <v>240</v>
      </c>
      <c r="B19" s="11">
        <v>1</v>
      </c>
      <c r="C19" s="11">
        <v>1</v>
      </c>
      <c r="D19" s="39" t="s">
        <v>11</v>
      </c>
      <c r="E19" s="39" t="s">
        <v>11</v>
      </c>
      <c r="F19" s="39" t="s">
        <v>11</v>
      </c>
      <c r="G19" s="39" t="s">
        <v>11</v>
      </c>
      <c r="H19" s="39" t="s">
        <v>11</v>
      </c>
      <c r="I19" s="39" t="s">
        <v>11</v>
      </c>
    </row>
    <row r="20" spans="1:9" ht="21" customHeight="1" x14ac:dyDescent="0.15">
      <c r="A20" s="22" t="s">
        <v>241</v>
      </c>
      <c r="B20" s="21">
        <v>99</v>
      </c>
      <c r="C20" s="21">
        <v>99</v>
      </c>
      <c r="D20" s="21">
        <v>99</v>
      </c>
      <c r="E20" s="21">
        <v>99</v>
      </c>
      <c r="F20" s="21">
        <v>99</v>
      </c>
      <c r="G20" s="21">
        <v>99</v>
      </c>
      <c r="H20" s="21">
        <v>99</v>
      </c>
      <c r="I20" s="21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0"/>
  <sheetViews>
    <sheetView showGridLines="0" workbookViewId="0">
      <selection activeCell="A2" sqref="A2:A20"/>
    </sheetView>
  </sheetViews>
  <sheetFormatPr baseColWidth="12" defaultColWidth="13" defaultRowHeight="21" customHeight="1" x14ac:dyDescent="0.15"/>
  <cols>
    <col min="1" max="1" width="13" style="1"/>
    <col min="2" max="16384" width="13" style="8"/>
  </cols>
  <sheetData>
    <row r="1" spans="1:9" ht="21" customHeight="1" x14ac:dyDescent="0.15">
      <c r="A1" s="17" t="s">
        <v>10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</row>
    <row r="2" spans="1:9" s="1" customFormat="1" ht="21" customHeight="1" x14ac:dyDescent="0.15">
      <c r="A2" s="85" t="s">
        <v>222</v>
      </c>
      <c r="B2" s="101"/>
      <c r="C2" s="87"/>
      <c r="D2" s="95" t="s">
        <v>105</v>
      </c>
      <c r="E2" s="95">
        <v>60</v>
      </c>
      <c r="F2" s="95">
        <v>80</v>
      </c>
      <c r="G2" s="95">
        <v>99</v>
      </c>
      <c r="H2" s="87"/>
      <c r="I2" s="87"/>
    </row>
    <row r="3" spans="1:9" s="1" customFormat="1" ht="21" customHeight="1" x14ac:dyDescent="0.15">
      <c r="A3" s="85" t="s">
        <v>230</v>
      </c>
      <c r="B3" s="102"/>
      <c r="C3" s="90"/>
      <c r="D3" s="95" t="s">
        <v>105</v>
      </c>
      <c r="E3" s="95">
        <v>60</v>
      </c>
      <c r="F3" s="95">
        <v>80</v>
      </c>
      <c r="G3" s="95">
        <v>99</v>
      </c>
      <c r="H3" s="90"/>
      <c r="I3" s="90"/>
    </row>
    <row r="4" spans="1:9" s="1" customFormat="1" ht="21" customHeight="1" x14ac:dyDescent="0.15">
      <c r="A4" s="85" t="s">
        <v>231</v>
      </c>
      <c r="B4" s="103"/>
      <c r="C4" s="93"/>
      <c r="D4" s="95">
        <v>40</v>
      </c>
      <c r="E4" s="95">
        <v>60</v>
      </c>
      <c r="F4" s="95">
        <v>80</v>
      </c>
      <c r="G4" s="95">
        <v>99</v>
      </c>
      <c r="H4" s="93"/>
      <c r="I4" s="93"/>
    </row>
    <row r="5" spans="1:9" s="1" customFormat="1" ht="21" customHeight="1" x14ac:dyDescent="0.15">
      <c r="A5" s="104" t="s">
        <v>226</v>
      </c>
      <c r="B5" s="99"/>
      <c r="C5" s="100"/>
      <c r="D5" s="95">
        <v>40</v>
      </c>
      <c r="E5" s="95">
        <v>60</v>
      </c>
      <c r="F5" s="95">
        <v>80</v>
      </c>
      <c r="G5" s="95">
        <v>99</v>
      </c>
      <c r="H5" s="100"/>
      <c r="I5" s="100"/>
    </row>
    <row r="6" spans="1:9" s="1" customFormat="1" ht="21" customHeight="1" x14ac:dyDescent="0.15">
      <c r="A6" s="104" t="s">
        <v>227</v>
      </c>
      <c r="B6" s="99"/>
      <c r="C6" s="100"/>
      <c r="D6" s="95">
        <v>40</v>
      </c>
      <c r="E6" s="95">
        <v>60</v>
      </c>
      <c r="F6" s="95" t="s">
        <v>105</v>
      </c>
      <c r="G6" s="95" t="s">
        <v>105</v>
      </c>
      <c r="H6" s="100"/>
      <c r="I6" s="100"/>
    </row>
    <row r="7" spans="1:9" ht="21" customHeight="1" x14ac:dyDescent="0.15">
      <c r="A7" s="43" t="s">
        <v>201</v>
      </c>
      <c r="B7" s="24" t="s">
        <v>105</v>
      </c>
      <c r="C7" s="24" t="s">
        <v>105</v>
      </c>
      <c r="D7" s="24" t="s">
        <v>105</v>
      </c>
      <c r="E7" s="24" t="s">
        <v>105</v>
      </c>
      <c r="F7" s="24" t="s">
        <v>105</v>
      </c>
      <c r="G7" s="24" t="s">
        <v>105</v>
      </c>
      <c r="H7" s="24" t="s">
        <v>105</v>
      </c>
      <c r="I7" s="24" t="s">
        <v>105</v>
      </c>
    </row>
    <row r="8" spans="1:9" ht="21" customHeight="1" x14ac:dyDescent="0.15">
      <c r="A8" s="44" t="s">
        <v>232</v>
      </c>
      <c r="B8" s="24" t="s">
        <v>105</v>
      </c>
      <c r="C8" s="24" t="s">
        <v>105</v>
      </c>
      <c r="D8" s="24" t="s">
        <v>105</v>
      </c>
      <c r="E8" s="24">
        <v>60</v>
      </c>
      <c r="F8" s="24">
        <v>80</v>
      </c>
      <c r="G8" s="24">
        <v>99</v>
      </c>
      <c r="H8" s="24" t="s">
        <v>105</v>
      </c>
      <c r="I8" s="24" t="s">
        <v>105</v>
      </c>
    </row>
    <row r="9" spans="1:9" s="26" customFormat="1" ht="21" customHeight="1" x14ac:dyDescent="0.15">
      <c r="A9" s="45" t="s">
        <v>233</v>
      </c>
      <c r="B9" s="36" t="s">
        <v>105</v>
      </c>
      <c r="C9" s="36" t="s">
        <v>105</v>
      </c>
      <c r="D9" s="36" t="s">
        <v>105</v>
      </c>
      <c r="E9" s="36">
        <v>60</v>
      </c>
      <c r="F9" s="36">
        <v>80</v>
      </c>
      <c r="G9" s="36">
        <v>99</v>
      </c>
      <c r="H9" s="36" t="s">
        <v>105</v>
      </c>
      <c r="I9" s="36" t="s">
        <v>105</v>
      </c>
    </row>
    <row r="10" spans="1:9" ht="21" customHeight="1" x14ac:dyDescent="0.15">
      <c r="A10" s="45" t="s">
        <v>9</v>
      </c>
      <c r="B10" s="40" t="s">
        <v>105</v>
      </c>
      <c r="C10" s="40" t="s">
        <v>105</v>
      </c>
      <c r="D10" s="21">
        <v>40</v>
      </c>
      <c r="E10" s="21">
        <v>60</v>
      </c>
      <c r="F10" s="21">
        <v>80</v>
      </c>
      <c r="G10" s="24">
        <v>99</v>
      </c>
      <c r="H10" s="40" t="s">
        <v>105</v>
      </c>
      <c r="I10" s="40" t="s">
        <v>105</v>
      </c>
    </row>
    <row r="11" spans="1:9" ht="21" customHeight="1" x14ac:dyDescent="0.15">
      <c r="A11" s="45" t="s">
        <v>234</v>
      </c>
      <c r="B11" s="40" t="s">
        <v>105</v>
      </c>
      <c r="C11" s="40" t="s">
        <v>105</v>
      </c>
      <c r="D11" s="21">
        <v>40</v>
      </c>
      <c r="E11" s="21">
        <v>60</v>
      </c>
      <c r="F11" s="21">
        <v>80</v>
      </c>
      <c r="G11" s="36">
        <v>99</v>
      </c>
      <c r="H11" s="40" t="s">
        <v>105</v>
      </c>
      <c r="I11" s="40" t="s">
        <v>105</v>
      </c>
    </row>
    <row r="12" spans="1:9" ht="21" customHeight="1" x14ac:dyDescent="0.15">
      <c r="A12" s="45" t="s">
        <v>235</v>
      </c>
      <c r="B12" s="40" t="s">
        <v>105</v>
      </c>
      <c r="C12" s="40" t="s">
        <v>105</v>
      </c>
      <c r="D12" s="21">
        <v>40</v>
      </c>
      <c r="E12" s="21">
        <v>60</v>
      </c>
      <c r="F12" s="40" t="s">
        <v>105</v>
      </c>
      <c r="G12" s="40" t="s">
        <v>105</v>
      </c>
      <c r="H12" s="40" t="s">
        <v>105</v>
      </c>
      <c r="I12" s="40" t="s">
        <v>105</v>
      </c>
    </row>
    <row r="13" spans="1:9" ht="21" customHeight="1" x14ac:dyDescent="0.15">
      <c r="A13" s="52" t="s">
        <v>236</v>
      </c>
      <c r="B13" s="40" t="s">
        <v>105</v>
      </c>
      <c r="C13" s="40" t="s">
        <v>105</v>
      </c>
      <c r="D13" s="21">
        <v>40</v>
      </c>
      <c r="E13" s="21">
        <v>60</v>
      </c>
      <c r="F13" s="21">
        <v>80</v>
      </c>
      <c r="G13" s="40" t="s">
        <v>105</v>
      </c>
      <c r="H13" s="40" t="s">
        <v>105</v>
      </c>
      <c r="I13" s="40" t="s">
        <v>105</v>
      </c>
    </row>
    <row r="14" spans="1:9" ht="21" customHeight="1" x14ac:dyDescent="0.15">
      <c r="A14" s="45" t="s">
        <v>237</v>
      </c>
      <c r="B14" s="40" t="s">
        <v>105</v>
      </c>
      <c r="C14" s="40" t="s">
        <v>105</v>
      </c>
      <c r="D14" s="21">
        <v>40</v>
      </c>
      <c r="E14" s="21">
        <v>60</v>
      </c>
      <c r="F14" s="21">
        <v>80</v>
      </c>
      <c r="G14" s="40" t="s">
        <v>105</v>
      </c>
      <c r="H14" s="40" t="s">
        <v>105</v>
      </c>
      <c r="I14" s="40" t="s">
        <v>105</v>
      </c>
    </row>
    <row r="15" spans="1:9" ht="21" customHeight="1" x14ac:dyDescent="0.15">
      <c r="A15" s="45" t="s">
        <v>238</v>
      </c>
      <c r="B15" s="40" t="s">
        <v>105</v>
      </c>
      <c r="C15" s="21">
        <v>30</v>
      </c>
      <c r="D15" s="21">
        <v>40</v>
      </c>
      <c r="E15" s="21">
        <v>60</v>
      </c>
      <c r="F15" s="40" t="s">
        <v>105</v>
      </c>
      <c r="G15" s="40" t="s">
        <v>105</v>
      </c>
      <c r="H15" s="40" t="s">
        <v>105</v>
      </c>
      <c r="I15" s="40" t="s">
        <v>105</v>
      </c>
    </row>
    <row r="16" spans="1:9" ht="21" customHeight="1" x14ac:dyDescent="0.15">
      <c r="A16" s="45" t="s">
        <v>239</v>
      </c>
      <c r="B16" s="40" t="s">
        <v>105</v>
      </c>
      <c r="C16" s="21">
        <v>30</v>
      </c>
      <c r="D16" s="21">
        <v>40</v>
      </c>
      <c r="E16" s="21">
        <v>60</v>
      </c>
      <c r="F16" s="40" t="s">
        <v>105</v>
      </c>
      <c r="G16" s="40" t="s">
        <v>105</v>
      </c>
      <c r="H16" s="40" t="s">
        <v>105</v>
      </c>
      <c r="I16" s="40" t="s">
        <v>105</v>
      </c>
    </row>
    <row r="17" spans="1:9" ht="21" customHeight="1" x14ac:dyDescent="0.15">
      <c r="A17" s="45" t="s">
        <v>8</v>
      </c>
      <c r="B17" s="21">
        <v>15</v>
      </c>
      <c r="C17" s="21">
        <v>30</v>
      </c>
      <c r="D17" s="21">
        <v>40</v>
      </c>
      <c r="E17" s="40" t="s">
        <v>105</v>
      </c>
      <c r="F17" s="40" t="s">
        <v>105</v>
      </c>
      <c r="G17" s="40" t="s">
        <v>105</v>
      </c>
      <c r="H17" s="40" t="s">
        <v>105</v>
      </c>
      <c r="I17" s="40" t="s">
        <v>105</v>
      </c>
    </row>
    <row r="18" spans="1:9" ht="21" customHeight="1" x14ac:dyDescent="0.15">
      <c r="A18" s="46" t="s">
        <v>7</v>
      </c>
      <c r="B18" s="21">
        <v>15</v>
      </c>
      <c r="C18" s="21">
        <v>30</v>
      </c>
      <c r="D18" s="21">
        <v>40</v>
      </c>
      <c r="E18" s="40" t="s">
        <v>210</v>
      </c>
      <c r="F18" s="40" t="s">
        <v>210</v>
      </c>
      <c r="G18" s="40" t="s">
        <v>210</v>
      </c>
      <c r="H18" s="40" t="s">
        <v>210</v>
      </c>
      <c r="I18" s="40" t="s">
        <v>210</v>
      </c>
    </row>
    <row r="19" spans="1:9" ht="21" customHeight="1" x14ac:dyDescent="0.15">
      <c r="A19" s="47" t="s">
        <v>240</v>
      </c>
      <c r="B19" s="21">
        <v>10</v>
      </c>
      <c r="C19" s="21">
        <v>20</v>
      </c>
      <c r="D19" s="40" t="s">
        <v>210</v>
      </c>
      <c r="E19" s="40" t="s">
        <v>210</v>
      </c>
      <c r="F19" s="40" t="s">
        <v>210</v>
      </c>
      <c r="G19" s="40" t="s">
        <v>210</v>
      </c>
      <c r="H19" s="40" t="s">
        <v>210</v>
      </c>
      <c r="I19" s="40" t="s">
        <v>210</v>
      </c>
    </row>
    <row r="20" spans="1:9" ht="21" customHeight="1" x14ac:dyDescent="0.15">
      <c r="A20" s="22" t="s">
        <v>241</v>
      </c>
      <c r="B20" s="21">
        <v>1</v>
      </c>
      <c r="C20" s="21">
        <v>1</v>
      </c>
      <c r="D20" s="21">
        <v>1</v>
      </c>
      <c r="E20" s="21">
        <v>1</v>
      </c>
      <c r="F20" s="21">
        <v>1</v>
      </c>
      <c r="G20" s="21">
        <v>1</v>
      </c>
      <c r="H20" s="21">
        <v>1</v>
      </c>
      <c r="I20" s="21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1"/>
  <sheetViews>
    <sheetView showGridLines="0" workbookViewId="0">
      <selection activeCell="A2" sqref="A2:A20"/>
    </sheetView>
  </sheetViews>
  <sheetFormatPr baseColWidth="12" defaultColWidth="13" defaultRowHeight="21" customHeight="1" x14ac:dyDescent="0.15"/>
  <cols>
    <col min="1" max="16384" width="13" style="8"/>
  </cols>
  <sheetData>
    <row r="1" spans="1:11" ht="21" customHeight="1" x14ac:dyDescent="0.15">
      <c r="A1" s="28" t="s">
        <v>10</v>
      </c>
      <c r="B1" s="29">
        <v>1</v>
      </c>
      <c r="C1" s="29">
        <v>2</v>
      </c>
      <c r="D1" s="29">
        <v>3</v>
      </c>
      <c r="E1" s="29">
        <v>4</v>
      </c>
      <c r="F1" s="29">
        <v>5</v>
      </c>
      <c r="G1" s="29">
        <v>6</v>
      </c>
      <c r="H1" s="29">
        <v>7</v>
      </c>
      <c r="I1" s="29">
        <v>8</v>
      </c>
    </row>
    <row r="2" spans="1:11" s="1" customFormat="1" ht="21" customHeight="1" x14ac:dyDescent="0.15">
      <c r="A2" s="85" t="s">
        <v>222</v>
      </c>
      <c r="B2" s="86"/>
      <c r="C2" s="87"/>
      <c r="D2" s="95" t="s">
        <v>105</v>
      </c>
      <c r="E2" s="96" t="s">
        <v>56</v>
      </c>
      <c r="F2" s="96" t="s">
        <v>56</v>
      </c>
      <c r="G2" s="96" t="s">
        <v>214</v>
      </c>
      <c r="H2" s="87"/>
      <c r="I2" s="87"/>
    </row>
    <row r="3" spans="1:11" s="1" customFormat="1" ht="21" customHeight="1" x14ac:dyDescent="0.15">
      <c r="A3" s="85" t="s">
        <v>230</v>
      </c>
      <c r="B3" s="89"/>
      <c r="C3" s="90"/>
      <c r="D3" s="96" t="s">
        <v>56</v>
      </c>
      <c r="E3" s="96" t="s">
        <v>56</v>
      </c>
      <c r="F3" s="96" t="s">
        <v>56</v>
      </c>
      <c r="G3" s="96" t="s">
        <v>224</v>
      </c>
      <c r="H3" s="90"/>
      <c r="I3" s="90"/>
    </row>
    <row r="4" spans="1:11" s="1" customFormat="1" ht="21" customHeight="1" x14ac:dyDescent="0.15">
      <c r="A4" s="85" t="s">
        <v>231</v>
      </c>
      <c r="B4" s="92"/>
      <c r="C4" s="93"/>
      <c r="D4" s="97" t="s">
        <v>56</v>
      </c>
      <c r="E4" s="97" t="s">
        <v>56</v>
      </c>
      <c r="F4" s="97" t="s">
        <v>56</v>
      </c>
      <c r="G4" s="96" t="s">
        <v>224</v>
      </c>
      <c r="H4" s="93"/>
      <c r="I4" s="93"/>
    </row>
    <row r="5" spans="1:11" s="1" customFormat="1" ht="21" customHeight="1" x14ac:dyDescent="0.15">
      <c r="A5" s="104" t="s">
        <v>226</v>
      </c>
      <c r="B5" s="99"/>
      <c r="C5" s="100"/>
      <c r="D5" s="97" t="s">
        <v>56</v>
      </c>
      <c r="E5" s="97" t="s">
        <v>56</v>
      </c>
      <c r="F5" s="97" t="s">
        <v>56</v>
      </c>
      <c r="G5" s="96" t="s">
        <v>214</v>
      </c>
      <c r="H5" s="100"/>
      <c r="I5" s="100"/>
    </row>
    <row r="6" spans="1:11" s="1" customFormat="1" ht="21" customHeight="1" x14ac:dyDescent="0.15">
      <c r="A6" s="104" t="s">
        <v>227</v>
      </c>
      <c r="B6" s="99"/>
      <c r="C6" s="100"/>
      <c r="D6" s="105" t="s">
        <v>57</v>
      </c>
      <c r="E6" s="105" t="s">
        <v>57</v>
      </c>
      <c r="F6" s="95" t="s">
        <v>105</v>
      </c>
      <c r="G6" s="95" t="s">
        <v>105</v>
      </c>
      <c r="H6" s="100"/>
      <c r="I6" s="100"/>
    </row>
    <row r="7" spans="1:11" ht="21" customHeight="1" x14ac:dyDescent="0.15">
      <c r="A7" s="43" t="s">
        <v>201</v>
      </c>
      <c r="B7" s="24" t="s">
        <v>105</v>
      </c>
      <c r="C7" s="24" t="s">
        <v>105</v>
      </c>
      <c r="D7" s="24" t="s">
        <v>105</v>
      </c>
      <c r="E7" s="24" t="s">
        <v>105</v>
      </c>
      <c r="F7" s="24" t="s">
        <v>105</v>
      </c>
      <c r="G7" s="24" t="s">
        <v>105</v>
      </c>
      <c r="H7" s="24" t="s">
        <v>105</v>
      </c>
      <c r="I7" s="24" t="s">
        <v>105</v>
      </c>
    </row>
    <row r="8" spans="1:11" ht="21" customHeight="1" x14ac:dyDescent="0.15">
      <c r="A8" s="44" t="s">
        <v>232</v>
      </c>
      <c r="B8" s="24" t="s">
        <v>105</v>
      </c>
      <c r="C8" s="24" t="s">
        <v>105</v>
      </c>
      <c r="D8" s="24" t="s">
        <v>211</v>
      </c>
      <c r="E8" s="31" t="s">
        <v>111</v>
      </c>
      <c r="F8" s="31" t="s">
        <v>111</v>
      </c>
      <c r="G8" s="31" t="s">
        <v>212</v>
      </c>
      <c r="H8" s="24" t="s">
        <v>211</v>
      </c>
      <c r="I8" s="24" t="s">
        <v>105</v>
      </c>
    </row>
    <row r="9" spans="1:11" s="26" customFormat="1" ht="21" customHeight="1" x14ac:dyDescent="0.15">
      <c r="A9" s="45" t="s">
        <v>233</v>
      </c>
      <c r="B9" s="36" t="s">
        <v>105</v>
      </c>
      <c r="C9" s="36" t="s">
        <v>105</v>
      </c>
      <c r="D9" s="36" t="s">
        <v>105</v>
      </c>
      <c r="E9" s="31" t="s">
        <v>56</v>
      </c>
      <c r="F9" s="31" t="s">
        <v>56</v>
      </c>
      <c r="G9" s="31" t="s">
        <v>111</v>
      </c>
      <c r="H9" s="36" t="s">
        <v>213</v>
      </c>
      <c r="I9" s="36" t="s">
        <v>213</v>
      </c>
    </row>
    <row r="10" spans="1:11" ht="21" customHeight="1" x14ac:dyDescent="0.15">
      <c r="A10" s="45" t="s">
        <v>9</v>
      </c>
      <c r="B10" s="40" t="s">
        <v>105</v>
      </c>
      <c r="C10" s="40" t="s">
        <v>105</v>
      </c>
      <c r="D10" s="31" t="s">
        <v>56</v>
      </c>
      <c r="E10" s="31" t="s">
        <v>56</v>
      </c>
      <c r="F10" s="31" t="s">
        <v>56</v>
      </c>
      <c r="G10" s="31" t="s">
        <v>214</v>
      </c>
      <c r="H10" s="40" t="s">
        <v>213</v>
      </c>
      <c r="I10" s="40" t="s">
        <v>213</v>
      </c>
      <c r="K10" s="12" t="s">
        <v>12</v>
      </c>
    </row>
    <row r="11" spans="1:11" ht="21" customHeight="1" x14ac:dyDescent="0.15">
      <c r="A11" s="45" t="s">
        <v>234</v>
      </c>
      <c r="B11" s="40" t="s">
        <v>105</v>
      </c>
      <c r="C11" s="40" t="s">
        <v>105</v>
      </c>
      <c r="D11" s="32" t="s">
        <v>56</v>
      </c>
      <c r="E11" s="32" t="s">
        <v>56</v>
      </c>
      <c r="F11" s="32" t="s">
        <v>56</v>
      </c>
      <c r="G11" s="31" t="s">
        <v>214</v>
      </c>
      <c r="H11" s="40" t="s">
        <v>213</v>
      </c>
      <c r="I11" s="40" t="s">
        <v>213</v>
      </c>
      <c r="K11" s="14" t="s">
        <v>13</v>
      </c>
    </row>
    <row r="12" spans="1:11" ht="21" customHeight="1" x14ac:dyDescent="0.15">
      <c r="A12" s="45" t="s">
        <v>235</v>
      </c>
      <c r="B12" s="40" t="s">
        <v>105</v>
      </c>
      <c r="C12" s="40" t="s">
        <v>105</v>
      </c>
      <c r="D12" s="33" t="s">
        <v>57</v>
      </c>
      <c r="E12" s="33" t="s">
        <v>57</v>
      </c>
      <c r="F12" s="40" t="s">
        <v>105</v>
      </c>
      <c r="G12" s="40" t="s">
        <v>105</v>
      </c>
      <c r="H12" s="40" t="s">
        <v>105</v>
      </c>
      <c r="I12" s="40" t="s">
        <v>105</v>
      </c>
      <c r="K12" s="41" t="s">
        <v>35</v>
      </c>
    </row>
    <row r="13" spans="1:11" ht="21" customHeight="1" x14ac:dyDescent="0.15">
      <c r="A13" s="52" t="s">
        <v>236</v>
      </c>
      <c r="B13" s="40" t="s">
        <v>105</v>
      </c>
      <c r="C13" s="40" t="s">
        <v>105</v>
      </c>
      <c r="D13" s="34" t="s">
        <v>56</v>
      </c>
      <c r="E13" s="34" t="s">
        <v>56</v>
      </c>
      <c r="F13" s="34" t="s">
        <v>56</v>
      </c>
      <c r="G13" s="40" t="s">
        <v>105</v>
      </c>
      <c r="H13" s="40" t="s">
        <v>105</v>
      </c>
      <c r="I13" s="40" t="s">
        <v>105</v>
      </c>
      <c r="K13" s="42"/>
    </row>
    <row r="14" spans="1:11" ht="21" customHeight="1" x14ac:dyDescent="0.15">
      <c r="A14" s="45" t="s">
        <v>237</v>
      </c>
      <c r="B14" s="40" t="s">
        <v>105</v>
      </c>
      <c r="C14" s="40" t="s">
        <v>105</v>
      </c>
      <c r="D14" s="34" t="s">
        <v>56</v>
      </c>
      <c r="E14" s="34" t="s">
        <v>56</v>
      </c>
      <c r="F14" s="34" t="s">
        <v>56</v>
      </c>
      <c r="G14" s="40" t="s">
        <v>105</v>
      </c>
      <c r="H14" s="40" t="s">
        <v>105</v>
      </c>
      <c r="I14" s="40" t="s">
        <v>105</v>
      </c>
    </row>
    <row r="15" spans="1:11" ht="21" customHeight="1" x14ac:dyDescent="0.15">
      <c r="A15" s="45" t="s">
        <v>238</v>
      </c>
      <c r="B15" s="40" t="s">
        <v>105</v>
      </c>
      <c r="C15" s="40" t="s">
        <v>105</v>
      </c>
      <c r="D15" s="34" t="s">
        <v>57</v>
      </c>
      <c r="E15" s="34" t="s">
        <v>57</v>
      </c>
      <c r="F15" s="40" t="s">
        <v>105</v>
      </c>
      <c r="G15" s="40" t="s">
        <v>105</v>
      </c>
      <c r="H15" s="40" t="s">
        <v>105</v>
      </c>
      <c r="I15" s="40" t="s">
        <v>105</v>
      </c>
    </row>
    <row r="16" spans="1:11" ht="21" customHeight="1" x14ac:dyDescent="0.15">
      <c r="A16" s="45" t="s">
        <v>239</v>
      </c>
      <c r="B16" s="40" t="s">
        <v>105</v>
      </c>
      <c r="C16" s="34" t="s">
        <v>57</v>
      </c>
      <c r="D16" s="34" t="s">
        <v>57</v>
      </c>
      <c r="E16" s="34" t="s">
        <v>57</v>
      </c>
      <c r="F16" s="40" t="s">
        <v>105</v>
      </c>
      <c r="G16" s="40" t="s">
        <v>105</v>
      </c>
      <c r="H16" s="40" t="s">
        <v>105</v>
      </c>
      <c r="I16" s="40" t="s">
        <v>105</v>
      </c>
    </row>
    <row r="17" spans="1:9" ht="21" customHeight="1" x14ac:dyDescent="0.15">
      <c r="A17" s="45" t="s">
        <v>8</v>
      </c>
      <c r="B17" s="35" t="s">
        <v>58</v>
      </c>
      <c r="C17" s="35" t="s">
        <v>58</v>
      </c>
      <c r="D17" s="35" t="s">
        <v>58</v>
      </c>
      <c r="E17" s="40" t="s">
        <v>105</v>
      </c>
      <c r="F17" s="40" t="s">
        <v>105</v>
      </c>
      <c r="G17" s="40" t="s">
        <v>105</v>
      </c>
      <c r="H17" s="40" t="s">
        <v>105</v>
      </c>
      <c r="I17" s="40" t="s">
        <v>105</v>
      </c>
    </row>
    <row r="18" spans="1:9" ht="21" customHeight="1" x14ac:dyDescent="0.15">
      <c r="A18" s="46" t="s">
        <v>7</v>
      </c>
      <c r="B18" s="30" t="s">
        <v>59</v>
      </c>
      <c r="C18" s="30" t="s">
        <v>59</v>
      </c>
      <c r="D18" s="40" t="s">
        <v>105</v>
      </c>
      <c r="E18" s="40" t="s">
        <v>105</v>
      </c>
      <c r="F18" s="40" t="s">
        <v>105</v>
      </c>
      <c r="G18" s="40" t="s">
        <v>105</v>
      </c>
      <c r="H18" s="40" t="s">
        <v>105</v>
      </c>
      <c r="I18" s="40" t="s">
        <v>105</v>
      </c>
    </row>
    <row r="19" spans="1:9" ht="21" customHeight="1" x14ac:dyDescent="0.15">
      <c r="A19" s="47" t="s">
        <v>240</v>
      </c>
      <c r="B19" s="32" t="s">
        <v>60</v>
      </c>
      <c r="C19" s="32" t="s">
        <v>60</v>
      </c>
      <c r="D19" s="40" t="s">
        <v>105</v>
      </c>
      <c r="E19" s="40" t="s">
        <v>105</v>
      </c>
      <c r="F19" s="40" t="s">
        <v>105</v>
      </c>
      <c r="G19" s="40" t="s">
        <v>105</v>
      </c>
      <c r="H19" s="40" t="s">
        <v>105</v>
      </c>
      <c r="I19" s="40" t="s">
        <v>105</v>
      </c>
    </row>
    <row r="20" spans="1:9" ht="21" customHeight="1" x14ac:dyDescent="0.15">
      <c r="A20" s="22" t="s">
        <v>241</v>
      </c>
      <c r="B20" s="48" t="s">
        <v>44</v>
      </c>
      <c r="C20" s="48" t="s">
        <v>44</v>
      </c>
      <c r="D20" s="48" t="s">
        <v>44</v>
      </c>
      <c r="E20" s="48" t="s">
        <v>44</v>
      </c>
      <c r="F20" s="48" t="s">
        <v>44</v>
      </c>
      <c r="G20" s="48" t="s">
        <v>44</v>
      </c>
      <c r="H20" s="48" t="s">
        <v>44</v>
      </c>
      <c r="I20" s="48" t="s">
        <v>44</v>
      </c>
    </row>
    <row r="25" spans="1:9" ht="21" customHeight="1" x14ac:dyDescent="0.15">
      <c r="A25" s="8" t="s">
        <v>14</v>
      </c>
    </row>
    <row r="26" spans="1:9" ht="21" customHeight="1" x14ac:dyDescent="0.15">
      <c r="A26" s="6" t="s">
        <v>61</v>
      </c>
      <c r="B26" s="6" t="s">
        <v>62</v>
      </c>
    </row>
    <row r="27" spans="1:9" ht="21" customHeight="1" x14ac:dyDescent="0.15">
      <c r="A27" s="9">
        <v>1</v>
      </c>
      <c r="B27" s="9">
        <v>200</v>
      </c>
    </row>
    <row r="28" spans="1:9" ht="21" customHeight="1" x14ac:dyDescent="0.15">
      <c r="A28" s="9">
        <v>2</v>
      </c>
      <c r="B28" s="9">
        <v>600</v>
      </c>
    </row>
    <row r="29" spans="1:9" ht="21" customHeight="1" x14ac:dyDescent="0.15">
      <c r="A29" s="9">
        <v>3</v>
      </c>
      <c r="B29" s="9">
        <v>1500</v>
      </c>
    </row>
    <row r="30" spans="1:9" ht="21" customHeight="1" x14ac:dyDescent="0.15">
      <c r="A30" s="9">
        <v>4</v>
      </c>
      <c r="B30" s="9">
        <v>3400</v>
      </c>
    </row>
    <row r="31" spans="1:9" ht="21" customHeight="1" x14ac:dyDescent="0.15">
      <c r="A31" s="9">
        <v>5</v>
      </c>
      <c r="B31" s="9">
        <v>6400</v>
      </c>
    </row>
  </sheetData>
  <sheetProtection selectLockedCells="1" selectUnlockedCells="1"/>
  <phoneticPr fontId="9"/>
  <conditionalFormatting sqref="A34:I65540 J1:IV1 J10:J13 L10:IV13 J14:IV65540 J7:IV7">
    <cfRule type="cellIs" dxfId="22" priority="27" stopIfTrue="1" operator="equal">
      <formula>1</formula>
    </cfRule>
  </conditionalFormatting>
  <conditionalFormatting sqref="A24:B25 A32:B33 C24:I33">
    <cfRule type="cellIs" dxfId="21" priority="26" stopIfTrue="1" operator="equal">
      <formula>1</formula>
    </cfRule>
  </conditionalFormatting>
  <conditionalFormatting sqref="K10:K13">
    <cfRule type="cellIs" dxfId="20" priority="22" stopIfTrue="1" operator="equal">
      <formula>1</formula>
    </cfRule>
  </conditionalFormatting>
  <conditionalFormatting sqref="J8:IV8">
    <cfRule type="cellIs" dxfId="19" priority="21" stopIfTrue="1" operator="equal">
      <formula>1</formula>
    </cfRule>
  </conditionalFormatting>
  <conditionalFormatting sqref="J9:IV9">
    <cfRule type="cellIs" dxfId="18" priority="20" stopIfTrue="1" operator="equal">
      <formula>1</formula>
    </cfRule>
  </conditionalFormatting>
  <conditionalFormatting sqref="G19:I19">
    <cfRule type="cellIs" dxfId="17" priority="12" stopIfTrue="1" operator="equal">
      <formula>1</formula>
    </cfRule>
  </conditionalFormatting>
  <conditionalFormatting sqref="D18:G18 F15:G17 H15:I18">
    <cfRule type="cellIs" dxfId="16" priority="11" stopIfTrue="1" operator="equal">
      <formula>1</formula>
    </cfRule>
  </conditionalFormatting>
  <conditionalFormatting sqref="F17:G17">
    <cfRule type="cellIs" dxfId="15" priority="10" stopIfTrue="1" operator="equal">
      <formula>1</formula>
    </cfRule>
  </conditionalFormatting>
  <conditionalFormatting sqref="A20">
    <cfRule type="cellIs" dxfId="14" priority="9" stopIfTrue="1" operator="equal">
      <formula>1</formula>
    </cfRule>
  </conditionalFormatting>
  <conditionalFormatting sqref="G12:I14 H10:I11">
    <cfRule type="cellIs" dxfId="13" priority="8" stopIfTrue="1" operator="equal">
      <formula>1</formula>
    </cfRule>
  </conditionalFormatting>
  <conditionalFormatting sqref="B10:C15">
    <cfRule type="cellIs" dxfId="12" priority="7" stopIfTrue="1" operator="equal">
      <formula>1</formula>
    </cfRule>
  </conditionalFormatting>
  <conditionalFormatting sqref="B16">
    <cfRule type="cellIs" dxfId="11" priority="6" stopIfTrue="1" operator="equal">
      <formula>1</formula>
    </cfRule>
  </conditionalFormatting>
  <conditionalFormatting sqref="E17">
    <cfRule type="cellIs" dxfId="10" priority="5" stopIfTrue="1" operator="equal">
      <formula>1</formula>
    </cfRule>
  </conditionalFormatting>
  <conditionalFormatting sqref="F12">
    <cfRule type="cellIs" dxfId="9" priority="4" stopIfTrue="1" operator="equal">
      <formula>1</formula>
    </cfRule>
  </conditionalFormatting>
  <conditionalFormatting sqref="J2:IV6">
    <cfRule type="cellIs" dxfId="8" priority="3" stopIfTrue="1" operator="equal">
      <formula>1</formula>
    </cfRule>
  </conditionalFormatting>
  <conditionalFormatting sqref="G6">
    <cfRule type="cellIs" dxfId="7" priority="2" stopIfTrue="1" operator="equal">
      <formula>1</formula>
    </cfRule>
  </conditionalFormatting>
  <conditionalFormatting sqref="F6">
    <cfRule type="cellIs" dxfId="6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0"/>
  <sheetViews>
    <sheetView showGridLines="0" workbookViewId="0">
      <selection activeCell="H8" sqref="H8"/>
    </sheetView>
  </sheetViews>
  <sheetFormatPr baseColWidth="12" defaultColWidth="13" defaultRowHeight="21" customHeight="1" x14ac:dyDescent="0.15"/>
  <cols>
    <col min="1" max="1" width="13" style="1"/>
    <col min="2" max="16384" width="13" style="8"/>
  </cols>
  <sheetData>
    <row r="1" spans="1:9" s="1" customFormat="1" ht="21" customHeight="1" x14ac:dyDescent="0.15">
      <c r="A1" s="17" t="s">
        <v>10</v>
      </c>
      <c r="B1" s="17">
        <v>1</v>
      </c>
      <c r="C1" s="17">
        <v>2</v>
      </c>
      <c r="D1" s="17">
        <v>3</v>
      </c>
      <c r="E1" s="17">
        <v>4</v>
      </c>
      <c r="F1" s="17">
        <v>5</v>
      </c>
      <c r="G1" s="17">
        <v>6</v>
      </c>
      <c r="H1" s="17">
        <v>7</v>
      </c>
      <c r="I1" s="17">
        <v>8</v>
      </c>
    </row>
    <row r="2" spans="1:9" s="1" customFormat="1" ht="21" customHeight="1" x14ac:dyDescent="0.15">
      <c r="A2" s="85" t="s">
        <v>222</v>
      </c>
      <c r="B2" s="86"/>
      <c r="C2" s="87"/>
      <c r="D2" s="98" t="s">
        <v>11</v>
      </c>
      <c r="E2" s="98">
        <v>8000</v>
      </c>
      <c r="F2" s="98">
        <v>10000</v>
      </c>
      <c r="G2" s="98">
        <v>14000</v>
      </c>
      <c r="H2" s="87"/>
      <c r="I2" s="87"/>
    </row>
    <row r="3" spans="1:9" s="1" customFormat="1" ht="21" customHeight="1" x14ac:dyDescent="0.15">
      <c r="A3" s="85" t="s">
        <v>223</v>
      </c>
      <c r="B3" s="89"/>
      <c r="C3" s="90"/>
      <c r="D3" s="98" t="s">
        <v>11</v>
      </c>
      <c r="E3" s="98">
        <v>7500</v>
      </c>
      <c r="F3" s="98">
        <v>9500</v>
      </c>
      <c r="G3" s="98">
        <v>13000</v>
      </c>
      <c r="H3" s="90"/>
      <c r="I3" s="90"/>
    </row>
    <row r="4" spans="1:9" s="1" customFormat="1" ht="21" customHeight="1" x14ac:dyDescent="0.15">
      <c r="A4" s="85" t="s">
        <v>225</v>
      </c>
      <c r="B4" s="92"/>
      <c r="C4" s="93"/>
      <c r="D4" s="98">
        <v>5000</v>
      </c>
      <c r="E4" s="98">
        <v>7000</v>
      </c>
      <c r="F4" s="98">
        <v>9000</v>
      </c>
      <c r="G4" s="98">
        <v>12000</v>
      </c>
      <c r="H4" s="93"/>
      <c r="I4" s="93"/>
    </row>
    <row r="5" spans="1:9" s="1" customFormat="1" ht="21" customHeight="1" x14ac:dyDescent="0.15">
      <c r="A5" s="104" t="s">
        <v>226</v>
      </c>
      <c r="B5" s="99"/>
      <c r="C5" s="100"/>
      <c r="D5" s="98">
        <v>4900</v>
      </c>
      <c r="E5" s="98">
        <v>6700</v>
      </c>
      <c r="F5" s="98">
        <v>8500</v>
      </c>
      <c r="G5" s="98">
        <v>11000</v>
      </c>
      <c r="H5" s="100"/>
      <c r="I5" s="100"/>
    </row>
    <row r="6" spans="1:9" s="1" customFormat="1" ht="21" customHeight="1" x14ac:dyDescent="0.15">
      <c r="A6" s="104" t="s">
        <v>227</v>
      </c>
      <c r="B6" s="99"/>
      <c r="C6" s="100"/>
      <c r="D6" s="98">
        <v>4800</v>
      </c>
      <c r="E6" s="98">
        <v>6600</v>
      </c>
      <c r="F6" s="98" t="s">
        <v>11</v>
      </c>
      <c r="G6" s="98" t="s">
        <v>11</v>
      </c>
      <c r="H6" s="100"/>
      <c r="I6" s="100"/>
    </row>
    <row r="7" spans="1:9" ht="21" customHeight="1" x14ac:dyDescent="0.15">
      <c r="A7" s="43" t="s">
        <v>201</v>
      </c>
      <c r="B7" s="27" t="s">
        <v>11</v>
      </c>
      <c r="C7" s="27" t="s">
        <v>11</v>
      </c>
      <c r="D7" s="27" t="s">
        <v>11</v>
      </c>
      <c r="E7" s="27" t="s">
        <v>11</v>
      </c>
      <c r="F7" s="27" t="s">
        <v>11</v>
      </c>
      <c r="G7" s="27" t="s">
        <v>11</v>
      </c>
      <c r="H7" s="27" t="s">
        <v>11</v>
      </c>
      <c r="I7" s="27" t="s">
        <v>11</v>
      </c>
    </row>
    <row r="8" spans="1:9" ht="21" customHeight="1" x14ac:dyDescent="0.15">
      <c r="A8" s="44" t="s">
        <v>202</v>
      </c>
      <c r="B8" s="27" t="s">
        <v>11</v>
      </c>
      <c r="C8" s="27" t="s">
        <v>11</v>
      </c>
      <c r="D8" s="27" t="s">
        <v>11</v>
      </c>
      <c r="E8" s="27">
        <v>8000</v>
      </c>
      <c r="F8" s="13">
        <v>10000</v>
      </c>
      <c r="G8" s="27">
        <v>14000</v>
      </c>
      <c r="H8" s="27" t="s">
        <v>11</v>
      </c>
      <c r="I8" s="27" t="s">
        <v>11</v>
      </c>
    </row>
    <row r="9" spans="1:9" s="26" customFormat="1" ht="21" customHeight="1" x14ac:dyDescent="0.15">
      <c r="A9" s="45" t="s">
        <v>203</v>
      </c>
      <c r="B9" s="13" t="s">
        <v>11</v>
      </c>
      <c r="C9" s="13" t="s">
        <v>11</v>
      </c>
      <c r="D9" s="13" t="s">
        <v>11</v>
      </c>
      <c r="E9" s="13">
        <v>7500</v>
      </c>
      <c r="F9" s="13">
        <v>9500</v>
      </c>
      <c r="G9" s="27">
        <v>13000</v>
      </c>
      <c r="H9" s="13" t="s">
        <v>11</v>
      </c>
      <c r="I9" s="13" t="s">
        <v>11</v>
      </c>
    </row>
    <row r="10" spans="1:9" ht="21" customHeight="1" x14ac:dyDescent="0.15">
      <c r="A10" s="45" t="s">
        <v>9</v>
      </c>
      <c r="B10" s="38" t="s">
        <v>11</v>
      </c>
      <c r="C10" s="38" t="s">
        <v>11</v>
      </c>
      <c r="D10" s="13">
        <v>5000</v>
      </c>
      <c r="E10" s="13">
        <v>7000</v>
      </c>
      <c r="F10" s="13">
        <v>9000</v>
      </c>
      <c r="G10" s="27">
        <v>12000</v>
      </c>
      <c r="H10" s="38" t="s">
        <v>11</v>
      </c>
      <c r="I10" s="38" t="s">
        <v>11</v>
      </c>
    </row>
    <row r="11" spans="1:9" ht="21" customHeight="1" x14ac:dyDescent="0.15">
      <c r="A11" s="45" t="s">
        <v>204</v>
      </c>
      <c r="B11" s="38" t="s">
        <v>11</v>
      </c>
      <c r="C11" s="38" t="s">
        <v>11</v>
      </c>
      <c r="D11" s="13">
        <v>4900</v>
      </c>
      <c r="E11" s="13">
        <v>6700</v>
      </c>
      <c r="F11" s="13">
        <v>8500</v>
      </c>
      <c r="G11" s="27">
        <v>11000</v>
      </c>
      <c r="H11" s="38" t="s">
        <v>11</v>
      </c>
      <c r="I11" s="38" t="s">
        <v>11</v>
      </c>
    </row>
    <row r="12" spans="1:9" ht="21" customHeight="1" x14ac:dyDescent="0.15">
      <c r="A12" s="45" t="s">
        <v>102</v>
      </c>
      <c r="B12" s="38" t="s">
        <v>11</v>
      </c>
      <c r="C12" s="38" t="s">
        <v>11</v>
      </c>
      <c r="D12" s="13">
        <v>4800</v>
      </c>
      <c r="E12" s="13">
        <v>6600</v>
      </c>
      <c r="F12" s="38" t="s">
        <v>11</v>
      </c>
      <c r="G12" s="38" t="s">
        <v>11</v>
      </c>
      <c r="H12" s="38" t="s">
        <v>11</v>
      </c>
      <c r="I12" s="38" t="s">
        <v>11</v>
      </c>
    </row>
    <row r="13" spans="1:9" ht="21" customHeight="1" x14ac:dyDescent="0.15">
      <c r="A13" s="45" t="s">
        <v>205</v>
      </c>
      <c r="B13" s="38" t="s">
        <v>11</v>
      </c>
      <c r="C13" s="38" t="s">
        <v>11</v>
      </c>
      <c r="D13" s="38" t="s">
        <v>11</v>
      </c>
      <c r="E13" s="13">
        <v>6300</v>
      </c>
      <c r="F13" s="38" t="s">
        <v>11</v>
      </c>
      <c r="G13" s="38" t="s">
        <v>11</v>
      </c>
      <c r="H13" s="38" t="s">
        <v>11</v>
      </c>
      <c r="I13" s="38" t="s">
        <v>11</v>
      </c>
    </row>
    <row r="14" spans="1:9" ht="21" customHeight="1" x14ac:dyDescent="0.15">
      <c r="A14" s="45" t="s">
        <v>206</v>
      </c>
      <c r="B14" s="38" t="s">
        <v>11</v>
      </c>
      <c r="C14" s="38" t="s">
        <v>11</v>
      </c>
      <c r="D14" s="13">
        <v>4600</v>
      </c>
      <c r="E14" s="13">
        <v>5800</v>
      </c>
      <c r="F14" s="13">
        <v>7600</v>
      </c>
      <c r="G14" s="38" t="s">
        <v>11</v>
      </c>
      <c r="H14" s="38" t="s">
        <v>11</v>
      </c>
      <c r="I14" s="38" t="s">
        <v>11</v>
      </c>
    </row>
    <row r="15" spans="1:9" ht="21" customHeight="1" x14ac:dyDescent="0.15">
      <c r="A15" s="45" t="s">
        <v>101</v>
      </c>
      <c r="B15" s="38" t="s">
        <v>11</v>
      </c>
      <c r="C15" s="38" t="s">
        <v>11</v>
      </c>
      <c r="D15" s="13">
        <v>4400</v>
      </c>
      <c r="E15" s="13">
        <v>5600</v>
      </c>
      <c r="F15" s="38" t="s">
        <v>11</v>
      </c>
      <c r="G15" s="38" t="s">
        <v>11</v>
      </c>
      <c r="H15" s="38" t="s">
        <v>11</v>
      </c>
      <c r="I15" s="38" t="s">
        <v>11</v>
      </c>
    </row>
    <row r="16" spans="1:9" ht="21" customHeight="1" x14ac:dyDescent="0.15">
      <c r="A16" s="45" t="s">
        <v>207</v>
      </c>
      <c r="B16" s="38" t="s">
        <v>11</v>
      </c>
      <c r="C16" s="13">
        <v>3000</v>
      </c>
      <c r="D16" s="13">
        <v>4200</v>
      </c>
      <c r="E16" s="13">
        <v>5400</v>
      </c>
      <c r="F16" s="38" t="s">
        <v>11</v>
      </c>
      <c r="G16" s="38" t="s">
        <v>11</v>
      </c>
      <c r="H16" s="38" t="s">
        <v>11</v>
      </c>
      <c r="I16" s="38" t="s">
        <v>11</v>
      </c>
    </row>
    <row r="17" spans="1:9" ht="21" customHeight="1" x14ac:dyDescent="0.15">
      <c r="A17" s="45" t="s">
        <v>8</v>
      </c>
      <c r="B17" s="13">
        <v>2000</v>
      </c>
      <c r="C17" s="13">
        <v>2800</v>
      </c>
      <c r="D17" s="13">
        <v>4000</v>
      </c>
      <c r="E17" s="38" t="s">
        <v>11</v>
      </c>
      <c r="F17" s="38" t="s">
        <v>11</v>
      </c>
      <c r="G17" s="38" t="s">
        <v>11</v>
      </c>
      <c r="H17" s="38" t="s">
        <v>11</v>
      </c>
      <c r="I17" s="38" t="s">
        <v>11</v>
      </c>
    </row>
    <row r="18" spans="1:9" ht="21" customHeight="1" x14ac:dyDescent="0.15">
      <c r="A18" s="46" t="s">
        <v>7</v>
      </c>
      <c r="B18" s="13">
        <v>1750</v>
      </c>
      <c r="C18" s="13">
        <v>2550</v>
      </c>
      <c r="D18" s="38" t="s">
        <v>11</v>
      </c>
      <c r="E18" s="38" t="s">
        <v>11</v>
      </c>
      <c r="F18" s="38" t="s">
        <v>11</v>
      </c>
      <c r="G18" s="38" t="s">
        <v>11</v>
      </c>
      <c r="H18" s="38" t="s">
        <v>11</v>
      </c>
      <c r="I18" s="38" t="s">
        <v>11</v>
      </c>
    </row>
    <row r="19" spans="1:9" ht="21" customHeight="1" x14ac:dyDescent="0.15">
      <c r="A19" s="46" t="s">
        <v>208</v>
      </c>
      <c r="B19" s="13">
        <v>1500</v>
      </c>
      <c r="C19" s="13">
        <v>2300</v>
      </c>
      <c r="D19" s="38" t="s">
        <v>11</v>
      </c>
      <c r="E19" s="38" t="s">
        <v>11</v>
      </c>
      <c r="F19" s="38" t="s">
        <v>11</v>
      </c>
      <c r="G19" s="38" t="s">
        <v>11</v>
      </c>
      <c r="H19" s="38" t="s">
        <v>11</v>
      </c>
      <c r="I19" s="38" t="s">
        <v>11</v>
      </c>
    </row>
    <row r="20" spans="1:9" ht="21" customHeight="1" x14ac:dyDescent="0.15">
      <c r="A20" s="22" t="s">
        <v>209</v>
      </c>
      <c r="B20" s="21">
        <v>1000</v>
      </c>
      <c r="C20" s="21">
        <v>1000</v>
      </c>
      <c r="D20" s="21">
        <v>1000</v>
      </c>
      <c r="E20" s="21">
        <v>1000</v>
      </c>
      <c r="F20" s="21">
        <v>1000</v>
      </c>
      <c r="G20" s="21">
        <v>1000</v>
      </c>
      <c r="H20" s="21">
        <v>1000</v>
      </c>
      <c r="I20" s="21">
        <v>1000</v>
      </c>
    </row>
  </sheetData>
  <sheetProtection selectLockedCells="1" selectUnlockedCells="1"/>
  <phoneticPr fontId="9"/>
  <conditionalFormatting sqref="L22:R65541 J1:IU1 L7:R19 S7:IU1048576 J7:K1048576">
    <cfRule type="cellIs" dxfId="5" priority="7" stopIfTrue="1" operator="equal">
      <formula>1</formula>
    </cfRule>
  </conditionalFormatting>
  <conditionalFormatting sqref="A21:I65541">
    <cfRule type="cellIs" dxfId="4" priority="8" stopIfTrue="1" operator="equal">
      <formula>1</formula>
    </cfRule>
  </conditionalFormatting>
  <conditionalFormatting sqref="A20:I20">
    <cfRule type="cellIs" dxfId="3" priority="5" stopIfTrue="1" operator="equal">
      <formula>1</formula>
    </cfRule>
  </conditionalFormatting>
  <conditionalFormatting sqref="J2:IV4">
    <cfRule type="cellIs" dxfId="2" priority="4" stopIfTrue="1" operator="equal">
      <formula>1</formula>
    </cfRule>
  </conditionalFormatting>
  <conditionalFormatting sqref="J5:IV6">
    <cfRule type="cellIs" dxfId="1" priority="3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8"/>
  </cols>
  <sheetData>
    <row r="1" spans="1:8" ht="21" customHeight="1" x14ac:dyDescent="0.15">
      <c r="A1" s="8" t="s">
        <v>107</v>
      </c>
      <c r="G1" s="8" t="s">
        <v>108</v>
      </c>
    </row>
    <row r="2" spans="1:8" ht="21" customHeight="1" x14ac:dyDescent="0.15">
      <c r="A2" s="6" t="s">
        <v>15</v>
      </c>
      <c r="B2" s="6" t="s">
        <v>16</v>
      </c>
      <c r="G2" s="6" t="s">
        <v>15</v>
      </c>
      <c r="H2" s="6" t="s">
        <v>16</v>
      </c>
    </row>
    <row r="3" spans="1:8" ht="21" customHeight="1" x14ac:dyDescent="0.15">
      <c r="A3" s="9">
        <v>1</v>
      </c>
      <c r="B3" s="18">
        <v>5000</v>
      </c>
      <c r="G3" s="9">
        <v>1</v>
      </c>
      <c r="H3" s="9">
        <v>75</v>
      </c>
    </row>
    <row r="4" spans="1:8" ht="21" customHeight="1" x14ac:dyDescent="0.15">
      <c r="A4" s="9">
        <v>2</v>
      </c>
      <c r="B4" s="10">
        <v>10000</v>
      </c>
      <c r="G4" s="9">
        <v>2</v>
      </c>
      <c r="H4" s="9">
        <v>150</v>
      </c>
    </row>
    <row r="5" spans="1:8" ht="21" customHeight="1" x14ac:dyDescent="0.15">
      <c r="A5" s="9">
        <v>3</v>
      </c>
      <c r="B5" s="10">
        <v>20000</v>
      </c>
      <c r="G5" s="9">
        <v>3</v>
      </c>
      <c r="H5" s="9">
        <v>300</v>
      </c>
    </row>
    <row r="6" spans="1:8" ht="21" customHeight="1" x14ac:dyDescent="0.15">
      <c r="A6" s="9">
        <v>4</v>
      </c>
      <c r="B6" s="10">
        <v>50000</v>
      </c>
      <c r="G6" s="9">
        <v>4</v>
      </c>
      <c r="H6" s="9">
        <v>600</v>
      </c>
    </row>
    <row r="7" spans="1:8" ht="21" customHeight="1" x14ac:dyDescent="0.15">
      <c r="A7" s="9">
        <v>5</v>
      </c>
      <c r="B7" s="10">
        <v>200000</v>
      </c>
      <c r="G7" s="9">
        <v>5</v>
      </c>
      <c r="H7" s="9">
        <v>900</v>
      </c>
    </row>
    <row r="8" spans="1:8" ht="21" customHeight="1" x14ac:dyDescent="0.15">
      <c r="A8" s="9">
        <v>6</v>
      </c>
      <c r="B8" s="19">
        <v>0</v>
      </c>
      <c r="G8" s="9">
        <v>6</v>
      </c>
      <c r="H8" s="20">
        <v>1200</v>
      </c>
    </row>
    <row r="9" spans="1:8" ht="21" customHeight="1" x14ac:dyDescent="0.15">
      <c r="A9" s="9">
        <v>7</v>
      </c>
      <c r="B9" s="19"/>
      <c r="G9" s="9">
        <v>7</v>
      </c>
      <c r="H9" s="19"/>
    </row>
    <row r="10" spans="1:8" ht="21" customHeight="1" x14ac:dyDescent="0.15">
      <c r="A10" s="9">
        <v>8</v>
      </c>
      <c r="B10" s="19"/>
      <c r="G10" s="9">
        <v>8</v>
      </c>
      <c r="H10" s="19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194</v>
      </c>
      <c r="B2" s="5">
        <v>591</v>
      </c>
    </row>
    <row r="3" spans="1:4" x14ac:dyDescent="0.15">
      <c r="A3" t="s">
        <v>195</v>
      </c>
      <c r="B3" s="76">
        <v>592</v>
      </c>
    </row>
    <row r="4" spans="1:4" x14ac:dyDescent="0.15">
      <c r="A4" t="s">
        <v>196</v>
      </c>
      <c r="B4" s="76">
        <v>593</v>
      </c>
    </row>
    <row r="7" spans="1:4" x14ac:dyDescent="0.15">
      <c r="A7" t="s">
        <v>197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215</v>
      </c>
    </row>
    <row r="13" spans="1:4" x14ac:dyDescent="0.15">
      <c r="B13" t="s">
        <v>219</v>
      </c>
      <c r="C13" t="s">
        <v>220</v>
      </c>
      <c r="D13" t="s">
        <v>221</v>
      </c>
    </row>
    <row r="14" spans="1:4" x14ac:dyDescent="0.15">
      <c r="A14" t="s">
        <v>217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218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216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198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199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200</v>
      </c>
    </row>
    <row r="49" spans="1:1" x14ac:dyDescent="0.15">
      <c r="A49" t="str">
        <f>IFERROR(VLOOKUP($B$3,#REF!,2),"なし")</f>
        <v>なし</v>
      </c>
    </row>
    <row r="50" spans="1:1" x14ac:dyDescent="0.15">
      <c r="A50" t="str">
        <f>IFERROR(VLOOKUP($B$3,#REF!,2),"なし")</f>
        <v>なし</v>
      </c>
    </row>
    <row r="51" spans="1:1" x14ac:dyDescent="0.15">
      <c r="A51" t="str">
        <f>IFERROR(VLOOKUP($B$3,#REF!,2),"なし")</f>
        <v>なし</v>
      </c>
    </row>
    <row r="52" spans="1:1" x14ac:dyDescent="0.15">
      <c r="A52" t="str">
        <f>IFERROR(VLOOKUP($B$3,#REF!,2),"なし")</f>
        <v>なし</v>
      </c>
    </row>
    <row r="53" spans="1:1" x14ac:dyDescent="0.15">
      <c r="A53" t="str">
        <f>IFERROR(VLOOKUP($B$3,#REF!,2),"なし")</f>
        <v>なし</v>
      </c>
    </row>
    <row r="55" spans="1:1" x14ac:dyDescent="0.15">
      <c r="A55" s="84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output</vt:lpstr>
      <vt:lpstr>units</vt:lpstr>
      <vt:lpstr>unit_skills</vt:lpstr>
      <vt:lpstr>crash_skills</vt:lpstr>
      <vt:lpstr>unit_serifs</vt:lpstr>
      <vt:lpstr>→base値</vt:lpstr>
      <vt:lpstr>ghosts_label</vt:lpstr>
      <vt:lpstr>コスト</vt:lpstr>
      <vt:lpstr>レベル</vt:lpstr>
      <vt:lpstr>経験値</vt:lpstr>
      <vt:lpstr>RC6SV</vt:lpstr>
      <vt:lpstr>ビット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2017-06-06T08:41:59Z</dcterms:modified>
</cp:coreProperties>
</file>