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4"/>
  </bookViews>
  <sheets>
    <sheet name="確率の考え方" sheetId="110" r:id="rId1"/>
    <sheet name="Sheet1" sheetId="107" r:id="rId2"/>
    <sheet name="output" sheetId="103" r:id="rId3"/>
    <sheet name="input_422010" sheetId="157" r:id="rId4"/>
    <sheet name="input_422011" sheetId="160" r:id="rId5"/>
    <sheet name="tables_422010" sheetId="158" r:id="rId6"/>
    <sheet name="tables_422011" sheetId="161" r:id="rId7"/>
    <sheet name="input_422100" sheetId="153" r:id="rId8"/>
    <sheet name="tables_422100" sheetId="154" r:id="rId9"/>
    <sheet name="tables_settle_422100" sheetId="159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tables_422010!$A$1:$V$294</definedName>
    <definedName name="_xlnm._FilterDatabase" localSheetId="6" hidden="1">tables_422011!$A$1:$V$294</definedName>
    <definedName name="_xlnm._FilterDatabase" localSheetId="8" hidden="1">tables_422100!$A$1:$V$294</definedName>
    <definedName name="_xlnm._FilterDatabase" localSheetId="9" hidden="1">tables_settle_422100!$A$1:$V$1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60" l="1"/>
  <c r="A2" i="160"/>
  <c r="O3" i="161"/>
  <c r="O5" i="161"/>
  <c r="O7" i="161"/>
  <c r="O9" i="161"/>
  <c r="O2" i="161"/>
  <c r="O4" i="161"/>
  <c r="O6" i="161"/>
  <c r="O8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G20" i="160"/>
  <c r="H20" i="160"/>
  <c r="O52" i="161"/>
  <c r="O54" i="161"/>
  <c r="O55" i="161"/>
  <c r="O57" i="161"/>
  <c r="O58" i="161"/>
  <c r="O60" i="161"/>
  <c r="O61" i="161"/>
  <c r="O63" i="161"/>
  <c r="O64" i="161"/>
  <c r="O66" i="161"/>
  <c r="O67" i="161"/>
  <c r="O69" i="161"/>
  <c r="O70" i="161"/>
  <c r="O72" i="161"/>
  <c r="O73" i="161"/>
  <c r="O75" i="161"/>
  <c r="O76" i="161"/>
  <c r="O78" i="161"/>
  <c r="O79" i="161"/>
  <c r="O81" i="161"/>
  <c r="O82" i="161"/>
  <c r="O84" i="161"/>
  <c r="O85" i="161"/>
  <c r="O87" i="161"/>
  <c r="O88" i="161"/>
  <c r="O90" i="161"/>
  <c r="O91" i="161"/>
  <c r="O93" i="161"/>
  <c r="O94" i="161"/>
  <c r="O96" i="161"/>
  <c r="O97" i="161"/>
  <c r="O99" i="161"/>
  <c r="O100" i="161"/>
  <c r="O102" i="161"/>
  <c r="O103" i="161"/>
  <c r="O105" i="161"/>
  <c r="O106" i="161"/>
  <c r="O108" i="161"/>
  <c r="O109" i="161"/>
  <c r="O111" i="161"/>
  <c r="O112" i="161"/>
  <c r="O113" i="161"/>
  <c r="O114" i="161"/>
  <c r="O115" i="161"/>
  <c r="O117" i="161"/>
  <c r="O118" i="161"/>
  <c r="O120" i="161"/>
  <c r="O121" i="161"/>
  <c r="O123" i="161"/>
  <c r="O124" i="161"/>
  <c r="O126" i="161"/>
  <c r="O127" i="161"/>
  <c r="O129" i="161"/>
  <c r="O130" i="161"/>
  <c r="O132" i="161"/>
  <c r="O133" i="161"/>
  <c r="O135" i="161"/>
  <c r="O136" i="161"/>
  <c r="O138" i="161"/>
  <c r="O139" i="161"/>
  <c r="O140" i="161"/>
  <c r="O141" i="161"/>
  <c r="O142" i="161"/>
  <c r="O143" i="161"/>
  <c r="O144" i="161"/>
  <c r="O145" i="161"/>
  <c r="O146" i="161"/>
  <c r="O147" i="161"/>
  <c r="O149" i="161"/>
  <c r="O150" i="161"/>
  <c r="O151" i="161"/>
  <c r="O152" i="161"/>
  <c r="O153" i="161"/>
  <c r="O154" i="161"/>
  <c r="O156" i="161"/>
  <c r="O157" i="161"/>
  <c r="O158" i="161"/>
  <c r="O159" i="161"/>
  <c r="O161" i="161"/>
  <c r="O162" i="161"/>
  <c r="O164" i="161"/>
  <c r="O165" i="161"/>
  <c r="O166" i="161"/>
  <c r="O167" i="161"/>
  <c r="O169" i="161"/>
  <c r="O170" i="161"/>
  <c r="O171" i="161"/>
  <c r="O172" i="161"/>
  <c r="O174" i="161"/>
  <c r="O175" i="161"/>
  <c r="O176" i="161"/>
  <c r="O177" i="161"/>
  <c r="O178" i="161"/>
  <c r="O179" i="161"/>
  <c r="O181" i="161"/>
  <c r="O182" i="161"/>
  <c r="O184" i="161"/>
  <c r="O185" i="161"/>
  <c r="O186" i="161"/>
  <c r="O187" i="161"/>
  <c r="O189" i="161"/>
  <c r="O190" i="161"/>
  <c r="O191" i="161"/>
  <c r="O192" i="161"/>
  <c r="O193" i="161"/>
  <c r="O194" i="161"/>
  <c r="O196" i="161"/>
  <c r="O197" i="161"/>
  <c r="O198" i="161"/>
  <c r="O199" i="161"/>
  <c r="O201" i="161"/>
  <c r="O202" i="161"/>
  <c r="O203" i="161"/>
  <c r="O204" i="161"/>
  <c r="O206" i="161"/>
  <c r="O207" i="161"/>
  <c r="O208" i="161"/>
  <c r="O209" i="161"/>
  <c r="O210" i="161"/>
  <c r="O211" i="161"/>
  <c r="O213" i="161"/>
  <c r="O214" i="161"/>
  <c r="O215" i="161"/>
  <c r="O216" i="161"/>
  <c r="O217" i="161"/>
  <c r="O218" i="161"/>
  <c r="O220" i="161"/>
  <c r="O221" i="161"/>
  <c r="O223" i="161"/>
  <c r="O224" i="161"/>
  <c r="O225" i="161"/>
  <c r="O226" i="161"/>
  <c r="O228" i="161"/>
  <c r="O229" i="161"/>
  <c r="O231" i="161"/>
  <c r="O232" i="161"/>
  <c r="O233" i="161"/>
  <c r="O234" i="161"/>
  <c r="O236" i="161"/>
  <c r="O237" i="161"/>
  <c r="O238" i="161"/>
  <c r="O239" i="161"/>
  <c r="O240" i="161"/>
  <c r="O241" i="161"/>
  <c r="O243" i="161"/>
  <c r="O244" i="161"/>
  <c r="O246" i="161"/>
  <c r="O247" i="161"/>
  <c r="O249" i="161"/>
  <c r="O250" i="161"/>
  <c r="O252" i="161"/>
  <c r="O253" i="161"/>
  <c r="O254" i="161"/>
  <c r="O255" i="161"/>
  <c r="O256" i="161"/>
  <c r="O257" i="161"/>
  <c r="O258" i="161"/>
  <c r="O259" i="161"/>
  <c r="O260" i="161"/>
  <c r="O261" i="161"/>
  <c r="O262" i="161"/>
  <c r="O263" i="161"/>
  <c r="O264" i="161"/>
  <c r="O265" i="161"/>
  <c r="O266" i="161"/>
  <c r="O267" i="161"/>
  <c r="O269" i="161"/>
  <c r="O270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F41" i="160"/>
  <c r="G41" i="160"/>
  <c r="B20" i="157"/>
  <c r="A2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F41" i="157"/>
  <c r="G41" i="157"/>
  <c r="I315" i="154"/>
  <c r="D315" i="154"/>
  <c r="J315" i="154"/>
  <c r="E315" i="154"/>
  <c r="F315" i="154"/>
  <c r="C315" i="154"/>
  <c r="H315" i="154"/>
  <c r="K315" i="154"/>
  <c r="L315" i="154"/>
  <c r="M315" i="154"/>
  <c r="N315" i="154"/>
  <c r="A2" i="153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15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6" i="154"/>
  <c r="O317" i="154"/>
  <c r="O318" i="154"/>
  <c r="O319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I315" i="161"/>
  <c r="D315" i="161"/>
  <c r="J315" i="161"/>
  <c r="E315" i="161"/>
  <c r="F315" i="161"/>
  <c r="C315" i="161"/>
  <c r="H315" i="161"/>
  <c r="K315" i="161"/>
  <c r="L315" i="161"/>
  <c r="M315" i="161"/>
  <c r="N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E6" i="160"/>
  <c r="E19" i="160"/>
  <c r="B19" i="160"/>
  <c r="E24" i="160"/>
  <c r="B24" i="160"/>
  <c r="B17" i="160"/>
  <c r="G17" i="160"/>
  <c r="E17" i="160"/>
  <c r="H17" i="160"/>
  <c r="E18" i="160"/>
  <c r="B18" i="160"/>
  <c r="G18" i="160"/>
  <c r="H18" i="160"/>
  <c r="G24" i="160"/>
  <c r="H24" i="160"/>
  <c r="E25" i="160"/>
  <c r="B25" i="160"/>
  <c r="G25" i="160"/>
  <c r="H25" i="160"/>
  <c r="E26" i="160"/>
  <c r="B26" i="160"/>
  <c r="G26" i="160"/>
  <c r="H26" i="160"/>
  <c r="G19" i="160"/>
  <c r="H19" i="160"/>
  <c r="E20" i="160"/>
  <c r="E21" i="160"/>
  <c r="E27" i="160"/>
  <c r="B27" i="160"/>
  <c r="G27" i="160"/>
  <c r="H27" i="160"/>
  <c r="E28" i="160"/>
  <c r="B28" i="160"/>
  <c r="G28" i="160"/>
  <c r="H28" i="160"/>
  <c r="E22" i="160"/>
  <c r="E23" i="160"/>
  <c r="B23" i="160"/>
  <c r="B22" i="160"/>
  <c r="G22" i="160"/>
  <c r="H22" i="160"/>
  <c r="G23" i="160"/>
  <c r="H23" i="160"/>
  <c r="H316" i="161"/>
  <c r="K316" i="161"/>
  <c r="L316" i="161"/>
  <c r="M316" i="161"/>
  <c r="N316" i="161"/>
  <c r="H317" i="161"/>
  <c r="K317" i="161"/>
  <c r="L317" i="161"/>
  <c r="M317" i="161"/>
  <c r="N317" i="161"/>
  <c r="H318" i="161"/>
  <c r="K318" i="161"/>
  <c r="L318" i="161"/>
  <c r="M318" i="161"/>
  <c r="N318" i="161"/>
  <c r="H319" i="161"/>
  <c r="K319" i="161"/>
  <c r="L319" i="161"/>
  <c r="M319" i="161"/>
  <c r="N319" i="161"/>
  <c r="A315" i="161"/>
  <c r="A316" i="161"/>
  <c r="A317" i="161"/>
  <c r="A318" i="161"/>
  <c r="A319" i="161"/>
  <c r="I315" i="158"/>
  <c r="D315" i="158"/>
  <c r="J315" i="158"/>
  <c r="E315" i="158"/>
  <c r="F315" i="158"/>
  <c r="C315" i="158"/>
  <c r="H315" i="158"/>
  <c r="K315" i="158"/>
  <c r="L315" i="158"/>
  <c r="M315" i="158"/>
  <c r="N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E6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23" i="157"/>
  <c r="B23" i="157"/>
  <c r="E28" i="157"/>
  <c r="B28" i="157"/>
  <c r="B21" i="157"/>
  <c r="G21" i="157"/>
  <c r="E21" i="157"/>
  <c r="H21" i="157"/>
  <c r="E27" i="157"/>
  <c r="B27" i="157"/>
  <c r="G27" i="157"/>
  <c r="H27" i="157"/>
  <c r="G28" i="157"/>
  <c r="H28" i="157"/>
  <c r="E22" i="157"/>
  <c r="B22" i="157"/>
  <c r="G22" i="157"/>
  <c r="H22" i="157"/>
  <c r="G23" i="157"/>
  <c r="H23" i="157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I310" i="154"/>
  <c r="D310" i="154"/>
  <c r="J310" i="154"/>
  <c r="E310" i="154"/>
  <c r="F310" i="154"/>
  <c r="C310" i="154"/>
  <c r="H310" i="154"/>
  <c r="K310" i="154"/>
  <c r="L310" i="154"/>
  <c r="M310" i="154"/>
  <c r="N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I310" i="161"/>
  <c r="D310" i="161"/>
  <c r="J310" i="161"/>
  <c r="E310" i="161"/>
  <c r="F310" i="161"/>
  <c r="C310" i="161"/>
  <c r="H310" i="161"/>
  <c r="K310" i="161"/>
  <c r="L310" i="161"/>
  <c r="M310" i="161"/>
  <c r="N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2" i="161"/>
  <c r="D2" i="161"/>
  <c r="J2" i="161"/>
  <c r="E2" i="161"/>
  <c r="C2" i="161"/>
  <c r="I3" i="161"/>
  <c r="D3" i="161"/>
  <c r="J3" i="161"/>
  <c r="E3" i="161"/>
  <c r="C3" i="161"/>
  <c r="I4" i="161"/>
  <c r="D4" i="161"/>
  <c r="J4" i="161"/>
  <c r="E4" i="161"/>
  <c r="C4" i="161"/>
  <c r="I5" i="161"/>
  <c r="D5" i="161"/>
  <c r="J5" i="161"/>
  <c r="E5" i="161"/>
  <c r="C5" i="161"/>
  <c r="I6" i="161"/>
  <c r="D6" i="161"/>
  <c r="J6" i="161"/>
  <c r="E6" i="161"/>
  <c r="C6" i="161"/>
  <c r="I7" i="161"/>
  <c r="D7" i="161"/>
  <c r="J7" i="161"/>
  <c r="E7" i="161"/>
  <c r="C7" i="161"/>
  <c r="I8" i="161"/>
  <c r="D8" i="161"/>
  <c r="J8" i="161"/>
  <c r="E8" i="161"/>
  <c r="C8" i="161"/>
  <c r="I9" i="161"/>
  <c r="D9" i="161"/>
  <c r="J9" i="161"/>
  <c r="E9" i="161"/>
  <c r="C9" i="161"/>
  <c r="I10" i="161"/>
  <c r="D10" i="161"/>
  <c r="J10" i="161"/>
  <c r="E10" i="161"/>
  <c r="C10" i="161"/>
  <c r="I11" i="161"/>
  <c r="D11" i="161"/>
  <c r="J11" i="161"/>
  <c r="E11" i="161"/>
  <c r="C11" i="161"/>
  <c r="I12" i="161"/>
  <c r="D12" i="161"/>
  <c r="J12" i="161"/>
  <c r="E12" i="161"/>
  <c r="C12" i="161"/>
  <c r="I13" i="161"/>
  <c r="D13" i="161"/>
  <c r="J13" i="161"/>
  <c r="E13" i="161"/>
  <c r="C13" i="161"/>
  <c r="I14" i="161"/>
  <c r="D14" i="161"/>
  <c r="J14" i="161"/>
  <c r="E14" i="161"/>
  <c r="C14" i="161"/>
  <c r="I15" i="161"/>
  <c r="D15" i="161"/>
  <c r="J15" i="161"/>
  <c r="E15" i="161"/>
  <c r="C15" i="161"/>
  <c r="I16" i="161"/>
  <c r="D16" i="161"/>
  <c r="J16" i="161"/>
  <c r="E16" i="161"/>
  <c r="C16" i="161"/>
  <c r="I17" i="161"/>
  <c r="D17" i="161"/>
  <c r="J17" i="161"/>
  <c r="E17" i="161"/>
  <c r="C17" i="161"/>
  <c r="I18" i="161"/>
  <c r="D18" i="161"/>
  <c r="J18" i="161"/>
  <c r="E18" i="161"/>
  <c r="C18" i="161"/>
  <c r="I19" i="161"/>
  <c r="D19" i="161"/>
  <c r="J19" i="161"/>
  <c r="E19" i="161"/>
  <c r="C19" i="161"/>
  <c r="I20" i="161"/>
  <c r="D20" i="161"/>
  <c r="J20" i="161"/>
  <c r="E20" i="161"/>
  <c r="C20" i="161"/>
  <c r="I21" i="161"/>
  <c r="D21" i="161"/>
  <c r="J21" i="161"/>
  <c r="E21" i="161"/>
  <c r="C21" i="161"/>
  <c r="I22" i="161"/>
  <c r="D22" i="161"/>
  <c r="J22" i="161"/>
  <c r="E22" i="161"/>
  <c r="C22" i="161"/>
  <c r="I23" i="161"/>
  <c r="D23" i="161"/>
  <c r="J23" i="161"/>
  <c r="E23" i="161"/>
  <c r="C23" i="161"/>
  <c r="I24" i="161"/>
  <c r="D24" i="161"/>
  <c r="J24" i="161"/>
  <c r="E24" i="161"/>
  <c r="C24" i="161"/>
  <c r="I25" i="161"/>
  <c r="D25" i="161"/>
  <c r="J25" i="161"/>
  <c r="E25" i="161"/>
  <c r="C25" i="161"/>
  <c r="I26" i="161"/>
  <c r="D26" i="161"/>
  <c r="J26" i="161"/>
  <c r="E26" i="161"/>
  <c r="C26" i="161"/>
  <c r="I27" i="161"/>
  <c r="D27" i="161"/>
  <c r="J27" i="161"/>
  <c r="E27" i="161"/>
  <c r="C27" i="161"/>
  <c r="I28" i="161"/>
  <c r="D28" i="161"/>
  <c r="J28" i="161"/>
  <c r="E28" i="161"/>
  <c r="C28" i="161"/>
  <c r="I29" i="161"/>
  <c r="D29" i="161"/>
  <c r="J29" i="161"/>
  <c r="E29" i="161"/>
  <c r="C29" i="161"/>
  <c r="I30" i="161"/>
  <c r="D30" i="161"/>
  <c r="J30" i="161"/>
  <c r="E30" i="161"/>
  <c r="C30" i="161"/>
  <c r="I31" i="161"/>
  <c r="D31" i="161"/>
  <c r="J31" i="161"/>
  <c r="E31" i="161"/>
  <c r="C31" i="161"/>
  <c r="I32" i="161"/>
  <c r="D32" i="161"/>
  <c r="J32" i="161"/>
  <c r="E32" i="161"/>
  <c r="C32" i="161"/>
  <c r="I33" i="161"/>
  <c r="D33" i="161"/>
  <c r="J33" i="161"/>
  <c r="E33" i="161"/>
  <c r="C33" i="161"/>
  <c r="I34" i="161"/>
  <c r="D34" i="161"/>
  <c r="J34" i="161"/>
  <c r="E34" i="161"/>
  <c r="C34" i="161"/>
  <c r="I35" i="161"/>
  <c r="D35" i="161"/>
  <c r="J35" i="161"/>
  <c r="E35" i="161"/>
  <c r="C35" i="161"/>
  <c r="I36" i="161"/>
  <c r="D36" i="161"/>
  <c r="J36" i="161"/>
  <c r="E36" i="161"/>
  <c r="C36" i="161"/>
  <c r="I37" i="161"/>
  <c r="D37" i="161"/>
  <c r="J37" i="161"/>
  <c r="E37" i="161"/>
  <c r="C37" i="161"/>
  <c r="I38" i="161"/>
  <c r="D38" i="161"/>
  <c r="J38" i="161"/>
  <c r="E38" i="161"/>
  <c r="C38" i="161"/>
  <c r="I39" i="161"/>
  <c r="D39" i="161"/>
  <c r="J39" i="161"/>
  <c r="E39" i="161"/>
  <c r="C39" i="161"/>
  <c r="I40" i="161"/>
  <c r="D40" i="161"/>
  <c r="J40" i="161"/>
  <c r="E40" i="161"/>
  <c r="C40" i="161"/>
  <c r="I41" i="161"/>
  <c r="D41" i="161"/>
  <c r="J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D215" i="161"/>
  <c r="J215" i="161"/>
  <c r="E215" i="161"/>
  <c r="C215" i="161"/>
  <c r="I216" i="161"/>
  <c r="D216" i="161"/>
  <c r="J216" i="161"/>
  <c r="E216" i="161"/>
  <c r="C216" i="161"/>
  <c r="I217" i="161"/>
  <c r="D217" i="161"/>
  <c r="J217" i="161"/>
  <c r="E217" i="161"/>
  <c r="C217" i="161"/>
  <c r="I218" i="161"/>
  <c r="D218" i="161"/>
  <c r="J218" i="161"/>
  <c r="E218" i="161"/>
  <c r="C218" i="161"/>
  <c r="I219" i="161"/>
  <c r="D219" i="161"/>
  <c r="J219" i="161"/>
  <c r="E219" i="161"/>
  <c r="C219" i="161"/>
  <c r="I220" i="161"/>
  <c r="D220" i="161"/>
  <c r="J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H311" i="161"/>
  <c r="K311" i="161"/>
  <c r="L311" i="161"/>
  <c r="M311" i="161"/>
  <c r="N311" i="161"/>
  <c r="H312" i="161"/>
  <c r="K312" i="161"/>
  <c r="L312" i="161"/>
  <c r="M312" i="161"/>
  <c r="N312" i="161"/>
  <c r="H313" i="161"/>
  <c r="K313" i="161"/>
  <c r="L313" i="161"/>
  <c r="M313" i="161"/>
  <c r="N313" i="161"/>
  <c r="H314" i="161"/>
  <c r="K314" i="161"/>
  <c r="L314" i="161"/>
  <c r="M314" i="161"/>
  <c r="N314" i="161"/>
  <c r="A310" i="161"/>
  <c r="A311" i="161"/>
  <c r="A312" i="161"/>
  <c r="A313" i="161"/>
  <c r="A314" i="161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F310" i="158"/>
  <c r="H310" i="158"/>
  <c r="K310" i="158"/>
  <c r="L310" i="158"/>
  <c r="M310" i="158"/>
  <c r="N310" i="158"/>
  <c r="F311" i="158"/>
  <c r="F312" i="158"/>
  <c r="F313" i="158"/>
  <c r="F314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61"/>
  <c r="F305" i="161"/>
  <c r="H305" i="161"/>
  <c r="K305" i="161"/>
  <c r="L305" i="161"/>
  <c r="M305" i="161"/>
  <c r="N305" i="161"/>
  <c r="F306" i="161"/>
  <c r="F307" i="161"/>
  <c r="F308" i="161"/>
  <c r="F309" i="161"/>
  <c r="A306" i="161"/>
  <c r="H306" i="161"/>
  <c r="K306" i="161"/>
  <c r="L306" i="161"/>
  <c r="M306" i="161"/>
  <c r="N306" i="161"/>
  <c r="A307" i="161"/>
  <c r="H307" i="161"/>
  <c r="K307" i="161"/>
  <c r="L307" i="161"/>
  <c r="M307" i="161"/>
  <c r="N307" i="161"/>
  <c r="A308" i="161"/>
  <c r="H308" i="161"/>
  <c r="K308" i="161"/>
  <c r="L308" i="161"/>
  <c r="M308" i="161"/>
  <c r="N308" i="161"/>
  <c r="A309" i="161"/>
  <c r="H309" i="161"/>
  <c r="K309" i="161"/>
  <c r="L309" i="161"/>
  <c r="M309" i="161"/>
  <c r="N309" i="161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C4" i="103"/>
  <c r="E4" i="103"/>
  <c r="B30" i="153"/>
  <c r="B30" i="160"/>
  <c r="B30" i="157"/>
  <c r="B46" i="160"/>
  <c r="B45" i="160"/>
  <c r="B43" i="160"/>
  <c r="B42" i="160"/>
  <c r="B41" i="160"/>
  <c r="F40" i="160"/>
  <c r="B40" i="160"/>
  <c r="E31" i="160"/>
  <c r="E30" i="160"/>
  <c r="F304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G40" i="160"/>
  <c r="B5" i="160"/>
  <c r="B10" i="160"/>
  <c r="B6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B21" i="160"/>
  <c r="G21" i="160"/>
  <c r="H21" i="160"/>
  <c r="O53" i="161"/>
  <c r="O56" i="161"/>
  <c r="O59" i="161"/>
  <c r="O62" i="161"/>
  <c r="O65" i="161"/>
  <c r="O68" i="161"/>
  <c r="O71" i="161"/>
  <c r="O74" i="161"/>
  <c r="O77" i="161"/>
  <c r="O80" i="161"/>
  <c r="O83" i="161"/>
  <c r="O86" i="161"/>
  <c r="O89" i="161"/>
  <c r="O92" i="161"/>
  <c r="O95" i="161"/>
  <c r="O98" i="161"/>
  <c r="O101" i="161"/>
  <c r="O104" i="161"/>
  <c r="O107" i="161"/>
  <c r="O110" i="161"/>
  <c r="O116" i="161"/>
  <c r="O119" i="161"/>
  <c r="O122" i="161"/>
  <c r="O125" i="161"/>
  <c r="O128" i="161"/>
  <c r="O131" i="161"/>
  <c r="O134" i="161"/>
  <c r="O137" i="161"/>
  <c r="O148" i="161"/>
  <c r="O155" i="161"/>
  <c r="O160" i="161"/>
  <c r="O163" i="161"/>
  <c r="O168" i="161"/>
  <c r="O173" i="161"/>
  <c r="O180" i="161"/>
  <c r="O183" i="161"/>
  <c r="O188" i="161"/>
  <c r="O195" i="161"/>
  <c r="O200" i="161"/>
  <c r="O205" i="161"/>
  <c r="O212" i="161"/>
  <c r="O219" i="161"/>
  <c r="O222" i="161"/>
  <c r="O227" i="161"/>
  <c r="O230" i="161"/>
  <c r="O235" i="161"/>
  <c r="O242" i="161"/>
  <c r="O245" i="161"/>
  <c r="O248" i="161"/>
  <c r="O251" i="161"/>
  <c r="O268" i="161"/>
  <c r="O271" i="161"/>
  <c r="P138" i="161"/>
  <c r="P139" i="161"/>
  <c r="P140" i="161"/>
  <c r="P141" i="161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P310" i="161"/>
  <c r="P311" i="161"/>
  <c r="P312" i="161"/>
  <c r="P313" i="161"/>
  <c r="P314" i="161"/>
  <c r="P315" i="161"/>
  <c r="P316" i="161"/>
  <c r="P317" i="161"/>
  <c r="P318" i="161"/>
  <c r="P319" i="161"/>
  <c r="F48" i="160"/>
  <c r="F47" i="160"/>
  <c r="F46" i="160"/>
  <c r="F45" i="160"/>
  <c r="B44" i="160"/>
  <c r="B47" i="160"/>
  <c r="C40" i="160"/>
  <c r="C41" i="160"/>
  <c r="C42" i="160"/>
  <c r="C43" i="160"/>
  <c r="C44" i="160"/>
  <c r="C45" i="160"/>
  <c r="C46" i="160"/>
  <c r="C47" i="160"/>
  <c r="B32" i="160"/>
  <c r="D32" i="160"/>
  <c r="I21" i="160"/>
  <c r="J21" i="160"/>
  <c r="F21" i="160"/>
  <c r="D21" i="160"/>
  <c r="F42" i="160"/>
  <c r="G42" i="160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<sst xmlns="http://schemas.openxmlformats.org/spreadsheetml/2006/main" count="646" uniqueCount="253">
  <si>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</si>
  <si>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</si>
  <si>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</si>
  <si>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</si>
  <si>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</si>
  <si>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</si>
  <si>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</si>
  <si>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</si>
  <si>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</si>
  <si>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</si>
  <si>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</si>
  <si>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</si>
  <si>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</si>
  <si>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</si>
  <si>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</si>
  <si>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</si>
  <si>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</si>
  <si>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</si>
  <si>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</si>
  <si>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</si>
  <si>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</si>
  <si>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</si>
  <si>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</si>
  <si>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</si>
  <si>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</si>
  <si>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</si>
  <si>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</si>
  <si>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</si>
  <si>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</si>
  <si>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</si>
  <si>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</si>
  <si>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</si>
  <si>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</si>
  <si>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</si>
  <si>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</si>
  <si>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</si>
  <si>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</si>
  <si>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</si>
  <si>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</si>
  <si>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</si>
  <si>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</si>
  <si>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</si>
  <si>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</si>
  <si>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</si>
  <si>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</si>
  <si>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</si>
  <si>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</si>
  <si>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</si>
  <si>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</si>
  <si>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</si>
  <si>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</si>
  <si>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</si>
  <si>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</si>
  <si>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</si>
  <si>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</si>
  <si>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</si>
  <si>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</si>
  <si>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</si>
  <si>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</si>
  <si>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</si>
  <si>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</si>
  <si>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</si>
  <si>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</si>
  <si>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</si>
  <si>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</si>
  <si>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</si>
  <si>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</si>
  <si>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</si>
  <si>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</si>
  <si>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</si>
  <si>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</si>
  <si>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</si>
  <si>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</si>
  <si>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</si>
  <si>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</si>
  <si>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</si>
  <si>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</si>
  <si>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</si>
  <si>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</si>
  <si>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</si>
  <si>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</si>
  <si>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</si>
  <si>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</si>
  <si>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</si>
  <si>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</si>
  <si>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</si>
  <si>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</si>
  <si>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</si>
  <si>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</si>
  <si>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</si>
  <si>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</si>
  <si>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</si>
  <si>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</si>
  <si>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</si>
  <si>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</si>
  <si>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</si>
  <si>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</si>
  <si>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</si>
  <si>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</si>
  <si>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</si>
  <si>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</si>
  <si>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</si>
  <si>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</si>
  <si>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</si>
  <si>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</si>
  <si>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</si>
  <si>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</si>
  <si>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</si>
  <si>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</si>
  <si>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</si>
  <si>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</si>
  <si>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</si>
  <si>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</si>
  <si>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</si>
  <si>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</si>
  <si>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</si>
  <si>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</si>
  <si>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</si>
  <si>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</si>
  <si>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</si>
  <si>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</si>
  <si>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</si>
  <si>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</si>
  <si>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</si>
  <si>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</si>
  <si>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</si>
  <si>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</si>
  <si>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</si>
  <si>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</si>
  <si>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</si>
  <si>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</si>
  <si>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</si>
  <si>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</si>
  <si>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</si>
  <si>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</si>
  <si>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</si>
  <si>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</si>
  <si>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</si>
  <si>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</si>
  <si>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</si>
  <si>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</si>
  <si>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</si>
  <si>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</si>
  <si>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</si>
  <si>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</si>
  <si>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</si>
  <si>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</si>
  <si>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</si>
  <si>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</si>
  <si>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</si>
  <si>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</si>
  <si>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</si>
  <si>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</si>
  <si>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</si>
  <si>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</si>
  <si>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</si>
  <si>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</si>
  <si>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</si>
  <si>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</si>
  <si>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</si>
  <si>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</si>
  <si>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</si>
  <si>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</si>
  <si>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</si>
  <si>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</si>
  <si>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</si>
  <si>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</si>
  <si>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</si>
  <si>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</si>
  <si>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</si>
  <si>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</si>
  <si>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</si>
  <si>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</si>
  <si>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</si>
  <si>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</si>
  <si>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</si>
  <si>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</si>
  <si>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</si>
  <si>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</si>
  <si>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</si>
  <si>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</si>
  <si>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</si>
  <si>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</si>
  <si>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</si>
  <si>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</si>
  <si>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</si>
  <si>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</si>
  <si>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</si>
  <si>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</si>
  <si>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</si>
  <si>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</si>
  <si>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</si>
  <si>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</si>
  <si>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</si>
  <si>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</si>
  <si>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</si>
  <si>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</si>
  <si>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</si>
  <si>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</si>
  <si>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</si>
  <si>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</si>
  <si>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</si>
  <si>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</si>
  <si>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</si>
  <si>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</si>
  <si>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</si>
  <si>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</si>
  <si>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</si>
  <si>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</si>
  <si>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</si>
  <si>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</si>
  <si>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</si>
  <si>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</si>
  <si>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</si>
  <si>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</si>
  <si>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</si>
  <si>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</si>
  <si>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</si>
  <si>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</si>
  <si>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</si>
  <si>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</si>
  <si>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</si>
  <si>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</si>
  <si>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</si>
  <si>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</si>
  <si>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</si>
  <si>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</si>
  <si>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</si>
  <si>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</si>
  <si>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</si>
  <si>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</si>
  <si>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</si>
  <si>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</si>
  <si>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</si>
  <si>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</si>
  <si>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</si>
  <si>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</si>
  <si>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</si>
  <si>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</si>
  <si>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</si>
  <si>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</si>
  <si>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</si>
  <si>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</si>
  <si>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</si>
  <si>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</si>
  <si>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</si>
  <si>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</si>
  <si>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</si>
  <si>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</si>
  <si>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gacha_select_tables_</t>
    <phoneticPr fontId="22"/>
  </si>
  <si>
    <t>tables_422100</t>
  </si>
  <si>
    <t>tables_422010</t>
  </si>
  <si>
    <t>tables_422011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</si>
</sst>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3" fillId="0" borderId="1" xfId="2978" applyFont="1" applyBorder="1"/>
    <xf numFmtId="180" fontId="0" fillId="4" borderId="1" xfId="0" applyNumberForma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1185</v>
          </cell>
          <cell r="B1161" t="str">
            <v>ja</v>
          </cell>
          <cell r="C1161" t="str">
            <v>兆銀河団の星観者 ハーシェル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yellow</v>
          </cell>
          <cell r="I1161">
            <v>6</v>
          </cell>
          <cell r="J1161" t="str">
            <v>PremiumSSS</v>
          </cell>
          <cell r="K1161" t="str">
            <v>heal</v>
          </cell>
          <cell r="L1161" t="str">
            <v>回復タイプ</v>
          </cell>
          <cell r="M1161" t="str">
            <v>academia</v>
          </cell>
        </row>
        <row r="1162">
          <cell r="A1162">
            <v>1186</v>
          </cell>
          <cell r="B1162" t="str">
            <v>ja</v>
          </cell>
          <cell r="C1162" t="str">
            <v>超覚醒ユークリッド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blue</v>
          </cell>
          <cell r="I1162">
            <v>6</v>
          </cell>
          <cell r="J1162" t="str">
            <v>PremiumSSS</v>
          </cell>
          <cell r="K1162" t="str">
            <v>balance</v>
          </cell>
          <cell r="L1162" t="str">
            <v>バランスタイプ</v>
          </cell>
          <cell r="M1162" t="str">
            <v>academia</v>
          </cell>
        </row>
        <row r="1163">
          <cell r="A1163">
            <v>1187</v>
          </cell>
          <cell r="B1163" t="str">
            <v>ja</v>
          </cell>
          <cell r="C1163" t="str">
            <v>超覚醒ファラデー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balance</v>
          </cell>
          <cell r="L1163" t="str">
            <v>バランスタイプ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" sqref="F2:F1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422100</v>
      </c>
      <c r="D2" s="19" t="s">
        <v>45</v>
      </c>
      <c r="E2" s="17" t="str">
        <f t="shared" ref="E2" si="1">B2&amp;C2&amp;D2</f>
        <v>gacha_select_tables_422100.tmp</v>
      </c>
      <c r="F2" s="99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422010</v>
      </c>
      <c r="D3" s="19" t="s">
        <v>45</v>
      </c>
      <c r="E3" s="17" t="str">
        <f t="shared" ref="E3:E10" si="3">B3&amp;C3&amp;D3</f>
        <v>gacha_select_tables_422010.tmp</v>
      </c>
      <c r="F3" s="99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7" t="s">
        <v>249</v>
      </c>
      <c r="C4" s="50" t="str">
        <f>RIGHT(F4,6)</f>
        <v>422011</v>
      </c>
      <c r="D4" s="19" t="s">
        <v>45</v>
      </c>
      <c r="E4" s="17" t="str">
        <f>B4&amp;C4&amp;D4</f>
        <v>gacha_select_tables_422011.tmp</v>
      </c>
      <c r="F4" s="99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VLOOKUP(L3,tables_422010!B:C,2,FALSE)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VLOOKUP(L4,tables_422010!B:C,2,FALSE)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9.2592592592592596E-4</v>
      </c>
      <c r="F5">
        <f>(COUNTIF(tables_422010!C:C,input_422010!A28)+COUNTIF(tables_422010!C:C,input_422010!A29))</f>
        <v>54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1.0555555555555556E-2</v>
      </c>
      <c r="F6">
        <f>(COUNTIF(tables_422010!C:C,input_422010!A25)+COUNTIF(tables_422010!C:C,input_422010!A18)+COUNTIF(tables_422010!C:C,input_422010!A20)+COUNTIF(tables_422010!C:C,input_422010!A22))</f>
        <v>90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0.20444444444444446</v>
      </c>
      <c r="C17" s="85">
        <f t="shared" ref="C17:C31" si="2">SUMIF(Q:Q,A17,N:N)</f>
        <v>0</v>
      </c>
      <c r="D17" s="74">
        <f t="shared" ref="D17:D32" si="3">B17-C17</f>
        <v>0.20444444444444446</v>
      </c>
      <c r="E17">
        <f>COUNTIF(tables_422010!C:C,input_422010!A17)-COUNTIF(Q:Q,A17)</f>
        <v>20</v>
      </c>
      <c r="F17" s="43">
        <f>IFERROR(B17/E17,0)</f>
        <v>1.0222222222222223E-2</v>
      </c>
      <c r="G17">
        <f t="shared" ref="G17:G31" si="4">A$36*B17</f>
        <v>1104000</v>
      </c>
      <c r="H17">
        <f t="shared" ref="H17:H31" si="5">IFERROR(ROUND(G17/E17,5),0)</f>
        <v>55200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6.6666666666666541E-3</v>
      </c>
      <c r="C18" s="85">
        <f t="shared" si="2"/>
        <v>0</v>
      </c>
      <c r="D18" s="74">
        <f t="shared" si="3"/>
        <v>6.6666666666666541E-3</v>
      </c>
      <c r="E18">
        <f>COUNTIF(tables_422010!C:C,input_422010!A18)-COUNTIF(Q:Q,A18)</f>
        <v>20</v>
      </c>
      <c r="F18" s="43">
        <f>IFERROR(B18/E18,0)</f>
        <v>3.3333333333333273E-4</v>
      </c>
      <c r="G18">
        <f t="shared" si="4"/>
        <v>35999.999999999935</v>
      </c>
      <c r="H18">
        <f t="shared" si="5"/>
        <v>1800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0.27444444444444444</v>
      </c>
      <c r="C19" s="85">
        <f t="shared" si="2"/>
        <v>0</v>
      </c>
      <c r="D19" s="74">
        <f t="shared" si="3"/>
        <v>0.27444444444444444</v>
      </c>
      <c r="E19">
        <f>COUNTIF(tables_422010!C:C,input_422010!A19)-COUNTIF(Q:Q,A19)</f>
        <v>52</v>
      </c>
      <c r="F19" s="43">
        <f t="shared" ref="F19:F31" si="8">IFERROR(B19/E19,0)</f>
        <v>5.2777777777777779E-3</v>
      </c>
      <c r="G19">
        <f t="shared" si="4"/>
        <v>1482000</v>
      </c>
      <c r="H19">
        <f t="shared" si="5"/>
        <v>28500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0.25931481481481483</v>
      </c>
      <c r="C20" s="85">
        <f t="shared" si="2"/>
        <v>0</v>
      </c>
      <c r="D20" s="74">
        <f t="shared" si="3"/>
        <v>0.25931481481481483</v>
      </c>
      <c r="E20">
        <f>COUNTIF(tables_422010!C:C,input_422010!A20)-COUNTIF(Q:Q,A20)</f>
        <v>52</v>
      </c>
      <c r="F20" s="43">
        <f t="shared" si="8"/>
        <v>4.9868233618233625E-3</v>
      </c>
      <c r="G20">
        <f t="shared" si="4"/>
        <v>1400300</v>
      </c>
      <c r="H20">
        <f t="shared" si="5"/>
        <v>26928.846150000001</v>
      </c>
      <c r="I20">
        <f t="shared" si="6"/>
        <v>0.84615000000121654</v>
      </c>
      <c r="J20">
        <f t="shared" si="7"/>
        <v>1.181823553741727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1.5129629629629632E-2</v>
      </c>
      <c r="C21" s="85">
        <f t="shared" si="2"/>
        <v>0</v>
      </c>
      <c r="D21" s="74">
        <f t="shared" si="3"/>
        <v>1.5129629629629632E-2</v>
      </c>
      <c r="E21">
        <f>COUNTIF(tables_422010!C:C,input_422010!A21)-COUNTIF(Q:Q,A21)</f>
        <v>52</v>
      </c>
      <c r="F21" s="43">
        <f t="shared" si="8"/>
        <v>2.9095441595441599E-4</v>
      </c>
      <c r="G21">
        <f t="shared" si="4"/>
        <v>81700.000000000015</v>
      </c>
      <c r="H21">
        <f t="shared" si="5"/>
        <v>1571.1538499999999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5">
        <f t="shared" si="2"/>
        <v>0</v>
      </c>
      <c r="D22" s="74">
        <f t="shared" si="3"/>
        <v>0.1403888888888889</v>
      </c>
      <c r="E22">
        <f>COUNTIF(tables_422010!C:C,input_422010!A22)-COUNTIF(Q:Q,A22)</f>
        <v>14</v>
      </c>
      <c r="F22" s="43">
        <f t="shared" si="8"/>
        <v>1.0027777777777778E-2</v>
      </c>
      <c r="G22">
        <f t="shared" si="4"/>
        <v>758100</v>
      </c>
      <c r="H22">
        <f t="shared" si="5"/>
        <v>54150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5">
        <f t="shared" si="2"/>
        <v>0</v>
      </c>
      <c r="D23" s="74">
        <f t="shared" si="3"/>
        <v>7.3888888888888893E-3</v>
      </c>
      <c r="E23">
        <f>COUNTIF(tables_422010!C:C,input_422010!A23)-COUNTIF(Q:Q,A23)</f>
        <v>14</v>
      </c>
      <c r="F23" s="43">
        <f t="shared" si="8"/>
        <v>5.2777777777777784E-4</v>
      </c>
      <c r="G23">
        <f t="shared" si="4"/>
        <v>39900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2.1111111111111112E-2</v>
      </c>
      <c r="C24" s="85">
        <f t="shared" si="2"/>
        <v>0</v>
      </c>
      <c r="D24" s="74">
        <f t="shared" si="3"/>
        <v>2.1111111111111112E-2</v>
      </c>
      <c r="E24">
        <f>COUNTIF(tables_422010!C:C,input_422010!A24)-COUNTIF(Q:Q,A24)</f>
        <v>4</v>
      </c>
      <c r="F24" s="43">
        <f t="shared" si="8"/>
        <v>5.2777777777777779E-3</v>
      </c>
      <c r="G24">
        <f t="shared" si="4"/>
        <v>114000</v>
      </c>
      <c r="H24">
        <f t="shared" si="5"/>
        <v>28500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1.9E-2</v>
      </c>
      <c r="C25" s="85">
        <f t="shared" si="2"/>
        <v>0</v>
      </c>
      <c r="D25" s="74">
        <f t="shared" si="3"/>
        <v>1.9E-2</v>
      </c>
      <c r="E25">
        <f>COUNTIF(tables_422010!C:C,input_422010!A25)-COUNTIF(Q:Q,A25)</f>
        <v>4</v>
      </c>
      <c r="F25" s="43">
        <f t="shared" si="8"/>
        <v>4.7499999999999999E-3</v>
      </c>
      <c r="G25">
        <f t="shared" si="4"/>
        <v>102600</v>
      </c>
      <c r="H25">
        <f t="shared" si="5"/>
        <v>25650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2"/>
        <v>0</v>
      </c>
      <c r="D26" s="74">
        <f t="shared" si="3"/>
        <v>2.1111111111111113E-3</v>
      </c>
      <c r="E26">
        <f>COUNTIF(tables_422010!C:C,input_422010!A26)-COUNTIF(Q:Q,A26)</f>
        <v>4</v>
      </c>
      <c r="F26" s="43">
        <f t="shared" si="8"/>
        <v>5.2777777777777784E-4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2.462962962962963E-2</v>
      </c>
      <c r="C27" s="85">
        <f t="shared" si="2"/>
        <v>0</v>
      </c>
      <c r="D27" s="74">
        <f t="shared" si="3"/>
        <v>2.462962962962963E-2</v>
      </c>
      <c r="E27">
        <f>COUNTIF(tables_422010!C:C,input_422010!A27)-COUNTIF(Q:Q,A27)</f>
        <v>28</v>
      </c>
      <c r="F27" s="43">
        <f>IFERROR(B27/E27,0)</f>
        <v>8.7962962962962962E-4</v>
      </c>
      <c r="G27">
        <f t="shared" si="4"/>
        <v>133000</v>
      </c>
      <c r="H27">
        <f t="shared" si="5"/>
        <v>4750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1.2962962962962965E-3</v>
      </c>
      <c r="C28" s="85">
        <f t="shared" si="2"/>
        <v>0</v>
      </c>
      <c r="D28" s="74">
        <f t="shared" si="3"/>
        <v>1.2962962962962965E-3</v>
      </c>
      <c r="E28">
        <f>COUNTIF(tables_422010!C:C,input_422010!A28)-COUNTIF(Q:Q,A28)</f>
        <v>28</v>
      </c>
      <c r="F28" s="43">
        <f t="shared" si="8"/>
        <v>4.6296296296296301E-5</v>
      </c>
      <c r="G28">
        <f t="shared" si="4"/>
        <v>7000.0000000000009</v>
      </c>
      <c r="H28">
        <f t="shared" si="5"/>
        <v>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2.4074074074074074E-2</v>
      </c>
      <c r="C29" s="85">
        <f t="shared" si="2"/>
        <v>0</v>
      </c>
      <c r="D29" s="74">
        <f t="shared" si="3"/>
        <v>2.4074074074074074E-2</v>
      </c>
      <c r="E29">
        <f>COUNTIF(tables_422010!C:C,input_422010!A29)-COUNTIF(Q:Q,A29)</f>
        <v>26</v>
      </c>
      <c r="F29" s="43">
        <f t="shared" si="8"/>
        <v>9.2592592592592596E-4</v>
      </c>
      <c r="G29">
        <f t="shared" si="4"/>
        <v>130000</v>
      </c>
      <c r="H29">
        <f t="shared" si="5"/>
        <v>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COUNTIF(tables_422010!C:C,input_422010!A30)-COUNTIF(Q:Q,A30)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COUNTIF(tables_422010!C:C,input_422010!A31)-COUNTIF(Q:Q,A31)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1.2314814814814834E-2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SUMIF(tables_422010!C:C,input_422010!A40,tables_422010!O:O)</f>
        <v>1482000</v>
      </c>
      <c r="C40" s="54">
        <f t="shared" ref="C40:C46" ca="1" si="9">B40/B$47</f>
        <v>0.47744845360824723</v>
      </c>
      <c r="E40">
        <v>3</v>
      </c>
      <c r="F40">
        <f ca="1">SUMIF(tables_422010!J:J,input_422010!E40,tables_422010!O:O)</f>
        <v>2700000</v>
      </c>
      <c r="G40">
        <f ca="1">F40/A36</f>
        <v>0.5</v>
      </c>
    </row>
    <row r="41" spans="1:7" x14ac:dyDescent="0.15">
      <c r="A41" s="33" t="s">
        <v>104</v>
      </c>
      <c r="B41">
        <f ca="1">SUMIF(tables_422010!C:C,input_422010!A41,tables_422010!O:O)</f>
        <v>1400299.9998000015</v>
      </c>
      <c r="C41" s="54">
        <f t="shared" ca="1" si="9"/>
        <v>0.4511275772551549</v>
      </c>
      <c r="E41">
        <v>4</v>
      </c>
      <c r="F41">
        <f ca="1">SUMIF(tables_422010!J:J,input_422010!E41,tables_422010!O:O)</f>
        <v>2429999.9998000022</v>
      </c>
      <c r="G41">
        <f ca="1">F41/A36</f>
        <v>0.44999999996296336</v>
      </c>
    </row>
    <row r="42" spans="1:7" x14ac:dyDescent="0.15">
      <c r="A42" s="33" t="s">
        <v>106</v>
      </c>
      <c r="B42">
        <f ca="1">SUMIF(tables_422010!C:C,input_422010!A42,tables_422010!O:O)</f>
        <v>133000</v>
      </c>
      <c r="C42" s="54">
        <f t="shared" ca="1" si="9"/>
        <v>4.2847938144329877E-2</v>
      </c>
      <c r="E42">
        <v>5</v>
      </c>
      <c r="F42">
        <f ca="1">SUMIF(tables_422010!J:J,input_422010!E42,tables_422010!O:O)</f>
        <v>270000.00020000007</v>
      </c>
      <c r="G42">
        <f ca="1">F42/A36</f>
        <v>5.000000003703705E-2</v>
      </c>
    </row>
    <row r="43" spans="1:7" x14ac:dyDescent="0.15">
      <c r="A43" s="33" t="s">
        <v>109</v>
      </c>
      <c r="B43">
        <f>SUMIF(tables_422010!C:C,input_422010!A43,tables_422010!O:O)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SUMIF(tables_422010!C:C,input_422010!A44,tables_422010!O:O)</f>
        <v>81700.000200000068</v>
      </c>
      <c r="C44" s="54">
        <f t="shared" ca="1" si="9"/>
        <v>2.6320876353092795E-2</v>
      </c>
      <c r="E44" t="s">
        <v>54</v>
      </c>
      <c r="F44" s="55"/>
    </row>
    <row r="45" spans="1:7" x14ac:dyDescent="0.15">
      <c r="A45" s="33" t="s">
        <v>107</v>
      </c>
      <c r="B45">
        <f ca="1">SUMIF(tables_422010!C:C,input_422010!A45,tables_422010!O:O)</f>
        <v>7000</v>
      </c>
      <c r="C45" s="54">
        <f t="shared" ca="1" si="9"/>
        <v>2.2551546391752567E-3</v>
      </c>
      <c r="E45" t="s">
        <v>204</v>
      </c>
      <c r="F45" s="55">
        <f ca="1">SUMIF(tables_422010!I:I,input_422010!E45,tables_422010!P:P)</f>
        <v>0.21111111111111105</v>
      </c>
    </row>
    <row r="46" spans="1:7" x14ac:dyDescent="0.15">
      <c r="A46" s="33" t="s">
        <v>108</v>
      </c>
      <c r="B46">
        <f>SUMIF(tables_422010!C:C,input_422010!A46,tables_422010!O:O)</f>
        <v>0</v>
      </c>
      <c r="C46" s="54">
        <f t="shared" ca="1" si="9"/>
        <v>0</v>
      </c>
      <c r="E46" t="s">
        <v>205</v>
      </c>
      <c r="F46" s="55">
        <f ca="1">SUMIF(tables_422010!I:I,input_422010!E46,tables_422010!P:P)</f>
        <v>0.21111111111111105</v>
      </c>
    </row>
    <row r="47" spans="1:7" x14ac:dyDescent="0.15">
      <c r="A47" s="39" t="s">
        <v>59</v>
      </c>
      <c r="B47">
        <f ca="1">SUM(B40:B46)</f>
        <v>3104000.0000000014</v>
      </c>
      <c r="C47" s="55">
        <f ca="1">SUM(C40:C46)</f>
        <v>1</v>
      </c>
      <c r="E47" t="s">
        <v>206</v>
      </c>
      <c r="F47" s="55">
        <f ca="1">SUMIF(tables_422010!I:I,input_422010!E47,tables_422010!P:P)</f>
        <v>0.5277777777777779</v>
      </c>
    </row>
    <row r="48" spans="1:7" x14ac:dyDescent="0.15">
      <c r="E48" t="s">
        <v>207</v>
      </c>
      <c r="F48" s="55">
        <f ca="1">SUMIF(tables_422010!I:I,input_422010!E48,tables_422010!P:P)</f>
        <v>4.7222222222222263E-2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tabSelected="1" workbookViewId="0">
      <selection activeCell="F35" sqref="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422011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VLOOKUP(L3,tables_422011!B:C,2,FALSE)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VLOOKUP(L4,tables_422011!B:C,2,FALSE)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5.5555555555555556E-4</v>
      </c>
      <c r="F5">
        <f>(COUNTIF(tables_422011!C:C,input_422011!A28)+COUNTIF(tables_422011!C:C,input_422011!A29))</f>
        <v>54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VLOOKUP(L5,tables_422011!B:C,2,FALSE)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1.0777777777777777E-2</v>
      </c>
      <c r="F6">
        <f>(COUNTIF(tables_422011!C:C,input_422011!A25)+COUNTIF(tables_422011!C:C,input_422011!A18)+COUNTIF(tables_422011!C:C,input_422011!A20)+COUNTIF(tables_422011!C:C,input_422011!A22))</f>
        <v>90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VLOOKUP(L6,tables_422011!B:C,2,FALSE)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VLOOKUP(L7,tables_422011!B:C,2,FALSE)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VLOOKUP(L8,tables_422011!B:C,2,FALSE)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VLOOKUP(L9,tables_422011!B:C,2,FALSE)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VLOOKUP(L10,tables_422011!B:C,2,FALSE)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0.03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VLOOKUP(L11,tables_422011!B:C,2,FALSE)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VLOOKUP(L12,tables_422011!B:C,2,FALSE)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VLOOKUP(L13,tables_422011!B:C,2,FALSE)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VLOOKUP(L14,tables_422011!B:C,2,FALSE)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VLOOKUP(L15,tables_422011!B:C,2,FALSE)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VLOOKUP(L16,tables_422011!B:C,2,FALSE)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0.19822222222222224</v>
      </c>
      <c r="C17" s="85">
        <f t="shared" ref="C17:C31" si="2">SUMIF(Q:Q,A17,N:N)</f>
        <v>0</v>
      </c>
      <c r="D17" s="74">
        <f t="shared" ref="D17:D32" si="3">B17-C17</f>
        <v>0.19822222222222224</v>
      </c>
      <c r="E17">
        <f>COUNTIF(tables_422011!C:C,input_422011!A17)-COUNTIF(Q:Q,A17)</f>
        <v>20</v>
      </c>
      <c r="F17" s="43">
        <f>IFERROR(B17/E17,0)</f>
        <v>9.9111111111111119E-3</v>
      </c>
      <c r="G17">
        <f t="shared" ref="G17:G31" si="4">A$36*B17</f>
        <v>1070400.0000000002</v>
      </c>
      <c r="H17">
        <f t="shared" ref="H17:H31" si="5">IFERROR(ROUND(G17/E17,5),0)</f>
        <v>53520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VLOOKUP(L17,tables_422011!B:C,2,FALSE)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1.7333333333333284E-2</v>
      </c>
      <c r="C18" s="85">
        <f t="shared" si="2"/>
        <v>0</v>
      </c>
      <c r="D18" s="74">
        <f t="shared" si="3"/>
        <v>1.7333333333333284E-2</v>
      </c>
      <c r="E18">
        <f>COUNTIF(tables_422011!C:C,input_422011!A18)-COUNTIF(Q:Q,A18)</f>
        <v>20</v>
      </c>
      <c r="F18" s="43">
        <f>IFERROR(B18/E18,0)</f>
        <v>8.6666666666666424E-4</v>
      </c>
      <c r="G18">
        <f t="shared" si="4"/>
        <v>93599.999999999738</v>
      </c>
      <c r="H18">
        <f t="shared" si="5"/>
        <v>4680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VLOOKUP(L18,tables_422011!B:C,2,FALSE)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0.28022222222222221</v>
      </c>
      <c r="C19" s="85">
        <f t="shared" si="2"/>
        <v>0</v>
      </c>
      <c r="D19" s="74">
        <f t="shared" si="3"/>
        <v>0.28022222222222221</v>
      </c>
      <c r="E19">
        <f>COUNTIF(tables_422011!C:C,input_422011!A19)-COUNTIF(Q:Q,A19)</f>
        <v>52</v>
      </c>
      <c r="F19" s="43">
        <f t="shared" ref="F19:F31" si="8">IFERROR(B19/E19,0)</f>
        <v>5.3888888888888884E-3</v>
      </c>
      <c r="G19">
        <f t="shared" si="4"/>
        <v>1513200</v>
      </c>
      <c r="H19">
        <f t="shared" si="5"/>
        <v>29100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VLOOKUP(L19,tables_422011!B:C,2,FALSE)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E$6*E20*B$6+E34</f>
        <v>0.25514444444444445</v>
      </c>
      <c r="C20" s="85">
        <f t="shared" si="2"/>
        <v>0</v>
      </c>
      <c r="D20" s="74">
        <f t="shared" si="3"/>
        <v>0.25514444444444445</v>
      </c>
      <c r="E20">
        <f>COUNTIF(tables_422011!C:C,input_422011!A20)-COUNTIF(Q:Q,A20)</f>
        <v>52</v>
      </c>
      <c r="F20" s="43">
        <f t="shared" si="8"/>
        <v>4.9066239316239314E-3</v>
      </c>
      <c r="G20">
        <f t="shared" si="4"/>
        <v>1377780</v>
      </c>
      <c r="H20">
        <f t="shared" si="5"/>
        <v>26495.769230000002</v>
      </c>
      <c r="I20">
        <f t="shared" si="6"/>
        <v>0.7692300000016985</v>
      </c>
      <c r="J20">
        <f t="shared" si="7"/>
        <v>1.3000012999984296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VLOOKUP(L20,tables_422011!B:C,2,FALSE)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E$6*E21*B$7-E34</f>
        <v>2.5077777777777751E-2</v>
      </c>
      <c r="C21" s="85">
        <f t="shared" si="2"/>
        <v>0</v>
      </c>
      <c r="D21" s="74">
        <f t="shared" si="3"/>
        <v>2.5077777777777751E-2</v>
      </c>
      <c r="E21">
        <f>COUNTIF(tables_422011!C:C,input_422011!A21)-COUNTIF(Q:Q,A21)</f>
        <v>52</v>
      </c>
      <c r="F21" s="43">
        <f t="shared" si="8"/>
        <v>4.8226495726495674E-4</v>
      </c>
      <c r="G21">
        <f t="shared" si="4"/>
        <v>135419.99999999985</v>
      </c>
      <c r="H21">
        <f t="shared" si="5"/>
        <v>2604.2307700000001</v>
      </c>
      <c r="I21">
        <f t="shared" si="6"/>
        <v>0.23077000000012049</v>
      </c>
      <c r="J21">
        <f t="shared" si="7"/>
        <v>4.333318888934774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0.14334444444444444</v>
      </c>
      <c r="C22" s="85">
        <f t="shared" si="2"/>
        <v>0</v>
      </c>
      <c r="D22" s="74">
        <f t="shared" si="3"/>
        <v>0.14334444444444444</v>
      </c>
      <c r="E22">
        <f>COUNTIF(tables_422011!C:C,input_422011!A22)-COUNTIF(Q:Q,A22)</f>
        <v>14</v>
      </c>
      <c r="F22" s="43">
        <f t="shared" si="8"/>
        <v>1.0238888888888889E-2</v>
      </c>
      <c r="G22">
        <f t="shared" si="4"/>
        <v>774060</v>
      </c>
      <c r="H22">
        <f t="shared" si="5"/>
        <v>55290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7.5444444444444439E-3</v>
      </c>
      <c r="C23" s="85">
        <f t="shared" si="2"/>
        <v>0</v>
      </c>
      <c r="D23" s="74">
        <f t="shared" si="3"/>
        <v>7.5444444444444439E-3</v>
      </c>
      <c r="E23">
        <f>COUNTIF(tables_422011!C:C,input_422011!A23)-COUNTIF(Q:Q,A23)</f>
        <v>14</v>
      </c>
      <c r="F23" s="43">
        <f t="shared" si="8"/>
        <v>5.3888888888888888E-4</v>
      </c>
      <c r="G23">
        <f t="shared" si="4"/>
        <v>40740</v>
      </c>
      <c r="H23">
        <f t="shared" si="5"/>
        <v>2910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2.1555555555555553E-2</v>
      </c>
      <c r="C24" s="85">
        <f t="shared" si="2"/>
        <v>0</v>
      </c>
      <c r="D24" s="74">
        <f t="shared" si="3"/>
        <v>2.1555555555555553E-2</v>
      </c>
      <c r="E24">
        <f>COUNTIF(tables_422011!C:C,input_422011!A24)-COUNTIF(Q:Q,A24)</f>
        <v>4</v>
      </c>
      <c r="F24" s="43">
        <f t="shared" si="8"/>
        <v>5.3888888888888884E-3</v>
      </c>
      <c r="G24">
        <f t="shared" si="4"/>
        <v>116399.99999999999</v>
      </c>
      <c r="H24">
        <f t="shared" si="5"/>
        <v>29100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1.9399999999999997E-2</v>
      </c>
      <c r="C25" s="85">
        <f t="shared" si="2"/>
        <v>0</v>
      </c>
      <c r="D25" s="74">
        <f t="shared" si="3"/>
        <v>1.9399999999999997E-2</v>
      </c>
      <c r="E25">
        <f>COUNTIF(tables_422011!C:C,input_422011!A25)-COUNTIF(Q:Q,A25)</f>
        <v>4</v>
      </c>
      <c r="F25" s="43">
        <f t="shared" si="8"/>
        <v>4.8499999999999993E-3</v>
      </c>
      <c r="G25">
        <f t="shared" si="4"/>
        <v>104759.99999999999</v>
      </c>
      <c r="H25">
        <f t="shared" si="5"/>
        <v>26190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2.1555555555555555E-3</v>
      </c>
      <c r="C26" s="85">
        <f t="shared" si="2"/>
        <v>0</v>
      </c>
      <c r="D26" s="74">
        <f t="shared" si="3"/>
        <v>2.1555555555555555E-3</v>
      </c>
      <c r="E26">
        <f>COUNTIF(tables_422011!C:C,input_422011!A26)-COUNTIF(Q:Q,A26)</f>
        <v>4</v>
      </c>
      <c r="F26" s="43">
        <f t="shared" si="8"/>
        <v>5.3888888888888888E-4</v>
      </c>
      <c r="G26">
        <f t="shared" si="4"/>
        <v>11640</v>
      </c>
      <c r="H26">
        <f t="shared" si="5"/>
        <v>2910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1.4777777777777777E-2</v>
      </c>
      <c r="C27" s="85">
        <f t="shared" si="2"/>
        <v>0</v>
      </c>
      <c r="D27" s="74">
        <f t="shared" si="3"/>
        <v>1.4777777777777777E-2</v>
      </c>
      <c r="E27">
        <f>COUNTIF(tables_422011!C:C,input_422011!A27)-COUNTIF(Q:Q,A27)</f>
        <v>28</v>
      </c>
      <c r="F27" s="43">
        <f>IFERROR(B27/E27,0)</f>
        <v>5.2777777777777773E-4</v>
      </c>
      <c r="G27">
        <f t="shared" si="4"/>
        <v>79800</v>
      </c>
      <c r="H27">
        <f t="shared" si="5"/>
        <v>2850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7.7777777777777784E-4</v>
      </c>
      <c r="C28" s="85">
        <f t="shared" si="2"/>
        <v>0</v>
      </c>
      <c r="D28" s="74">
        <f t="shared" si="3"/>
        <v>7.7777777777777784E-4</v>
      </c>
      <c r="E28">
        <f>COUNTIF(tables_422011!C:C,input_422011!A28)-COUNTIF(Q:Q,A28)</f>
        <v>28</v>
      </c>
      <c r="F28" s="43">
        <f t="shared" si="8"/>
        <v>2.7777777777777779E-5</v>
      </c>
      <c r="G28">
        <f t="shared" si="4"/>
        <v>4200</v>
      </c>
      <c r="H28">
        <f t="shared" si="5"/>
        <v>150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1.4444444444444444E-2</v>
      </c>
      <c r="C29" s="85">
        <f t="shared" si="2"/>
        <v>0</v>
      </c>
      <c r="D29" s="74">
        <f t="shared" si="3"/>
        <v>1.4444444444444444E-2</v>
      </c>
      <c r="E29">
        <f>COUNTIF(tables_422011!C:C,input_422011!A29)-COUNTIF(Q:Q,A29)</f>
        <v>26</v>
      </c>
      <c r="F29" s="43">
        <f t="shared" si="8"/>
        <v>5.5555555555555556E-4</v>
      </c>
      <c r="G29">
        <f t="shared" si="4"/>
        <v>78000</v>
      </c>
      <c r="H29">
        <f t="shared" si="5"/>
        <v>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COUNTIF(tables_422011!C:C,input_422011!A30)-COUNTIF(Q:Q,A30)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COUNTIF(tables_422011!C:C,input_422011!A31)-COUNTIF(Q:Q,A31)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2.9444444444444717E-3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SUMIF(tables_422011!C:C,input_422011!A40,tables_422011!O:O)</f>
        <v>1513200</v>
      </c>
      <c r="C40" s="54">
        <f t="shared" ref="C40:C46" ca="1" si="9">B40/B$47</f>
        <v>0.48649691358024716</v>
      </c>
      <c r="E40">
        <v>3</v>
      </c>
      <c r="F40">
        <f ca="1">SUMIF(tables_422011!J:J,input_422011!E40,tables_422011!O:O)</f>
        <v>2700000</v>
      </c>
      <c r="G40">
        <f ca="1">F40/A36</f>
        <v>0.5</v>
      </c>
    </row>
    <row r="41" spans="1:7" x14ac:dyDescent="0.15">
      <c r="A41" s="33" t="s">
        <v>104</v>
      </c>
      <c r="B41">
        <f ca="1">SUMIF(tables_422011!C:C,input_422011!A41,tables_422011!O:O)</f>
        <v>1377779.999959999</v>
      </c>
      <c r="C41" s="54">
        <f t="shared" ca="1" si="9"/>
        <v>0.44295910492541141</v>
      </c>
      <c r="E41">
        <v>4</v>
      </c>
      <c r="F41">
        <f ca="1">SUMIF(tables_422011!J:J,input_422011!E41,tables_422011!O:O)</f>
        <v>2429999.9999599988</v>
      </c>
      <c r="G41">
        <f ca="1">F41/A36</f>
        <v>0.44999999999259238</v>
      </c>
    </row>
    <row r="42" spans="1:7" x14ac:dyDescent="0.15">
      <c r="A42" s="33" t="s">
        <v>106</v>
      </c>
      <c r="B42">
        <f ca="1">SUMIF(tables_422011!C:C,input_422011!A42,tables_422011!O:O)</f>
        <v>79800</v>
      </c>
      <c r="C42" s="54">
        <f t="shared" ca="1" si="9"/>
        <v>2.5655864197530874E-2</v>
      </c>
      <c r="E42">
        <v>5</v>
      </c>
      <c r="F42">
        <f ca="1">SUMIF(tables_422011!J:J,input_422011!E42,tables_422011!O:O)</f>
        <v>270000.00003999984</v>
      </c>
      <c r="G42">
        <f ca="1">F42/A36</f>
        <v>5.0000000007407376E-2</v>
      </c>
    </row>
    <row r="43" spans="1:7" x14ac:dyDescent="0.15">
      <c r="A43" s="33" t="s">
        <v>109</v>
      </c>
      <c r="B43">
        <f>SUMIF(tables_422011!C:C,input_422011!A43,tables_422011!O:O)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SUMIF(tables_422011!C:C,input_422011!A44,tables_422011!O:O)</f>
        <v>135420.0000399999</v>
      </c>
      <c r="C44" s="54">
        <f t="shared" ca="1" si="9"/>
        <v>4.3537808654835378E-2</v>
      </c>
      <c r="E44" t="s">
        <v>54</v>
      </c>
      <c r="F44" s="55"/>
    </row>
    <row r="45" spans="1:7" x14ac:dyDescent="0.15">
      <c r="A45" s="33" t="s">
        <v>107</v>
      </c>
      <c r="B45">
        <f ca="1">SUMIF(tables_422011!C:C,input_422011!A45,tables_422011!O:O)</f>
        <v>4200</v>
      </c>
      <c r="C45" s="54">
        <f t="shared" ca="1" si="9"/>
        <v>1.3503086419753092E-3</v>
      </c>
      <c r="E45" t="s">
        <v>204</v>
      </c>
      <c r="F45" s="55">
        <f ca="1">SUMIF(tables_422011!I:I,input_422011!E45,tables_422011!P:P)</f>
        <v>0.21555555555555553</v>
      </c>
    </row>
    <row r="46" spans="1:7" x14ac:dyDescent="0.15">
      <c r="A46" s="33" t="s">
        <v>108</v>
      </c>
      <c r="B46">
        <f>SUMIF(tables_422011!C:C,input_422011!A46,tables_422011!O:O)</f>
        <v>0</v>
      </c>
      <c r="C46" s="54">
        <f t="shared" ca="1" si="9"/>
        <v>0</v>
      </c>
      <c r="E46" t="s">
        <v>205</v>
      </c>
      <c r="F46" s="55">
        <f ca="1">SUMIF(tables_422011!I:I,input_422011!E46,tables_422011!P:P)</f>
        <v>0.21555555555555558</v>
      </c>
    </row>
    <row r="47" spans="1:7" x14ac:dyDescent="0.15">
      <c r="A47" s="39" t="s">
        <v>59</v>
      </c>
      <c r="B47">
        <f ca="1">SUM(B40:B46)</f>
        <v>3110399.9999999986</v>
      </c>
      <c r="C47" s="55">
        <f ca="1">SUM(C40:C46)</f>
        <v>1.0000000000000002</v>
      </c>
      <c r="E47" t="s">
        <v>206</v>
      </c>
      <c r="F47" s="55">
        <f ca="1">SUMIF(tables_422011!I:I,input_422011!E47,tables_422011!P:P)</f>
        <v>0.53888888888888886</v>
      </c>
    </row>
    <row r="48" spans="1:7" x14ac:dyDescent="0.15">
      <c r="E48" t="s">
        <v>207</v>
      </c>
      <c r="F48" s="55">
        <f ca="1">SUMIF(tables_422011!I:I,input_422011!E48,tables_422011!P:P)</f>
        <v>2.8333333333333339E-2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B315" sqref="B315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input_422010!A$2</f>
        <v>422010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IFERROR(VLOOKUP(B2,input_422010!L:R,7,FALSE),VLOOKUP(tables_422010!C2,input_422010!A:H,8,FALSE))</f>
        <v>55200</v>
      </c>
      <c r="P2" s="46">
        <f t="shared" ref="P2:P65" ca="1" si="1">O2/SUM(O:O)</f>
        <v>1.0222222222222223E-2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input_422010!A$2</f>
        <v>422010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IFERROR(VLOOKUP(B3,input_422010!L:R,7,FALSE),VLOOKUP(tables_422010!C3,input_422010!A:H,8,FALSE))</f>
        <v>1800</v>
      </c>
      <c r="P3" s="46">
        <f t="shared" ca="1" si="1"/>
        <v>3.3333333333333332E-4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input_422010!A$2</f>
        <v>422010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IFERROR(VLOOKUP(B4,input_422010!L:R,7,FALSE),VLOOKUP(tables_422010!C4,input_422010!A:H,8,FALSE))</f>
        <v>55200</v>
      </c>
      <c r="P4" s="46">
        <f t="shared" ca="1" si="1"/>
        <v>1.0222222222222223E-2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input_422010!A$2</f>
        <v>422010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IFERROR(VLOOKUP(B5,input_422010!L:R,7,FALSE),VLOOKUP(tables_422010!C5,input_422010!A:H,8,FALSE))</f>
        <v>1800</v>
      </c>
      <c r="P5" s="46">
        <f t="shared" ca="1" si="1"/>
        <v>3.3333333333333332E-4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input_422010!A$2</f>
        <v>422010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IFERROR(VLOOKUP(B6,input_422010!L:R,7,FALSE),VLOOKUP(tables_422010!C6,input_422010!A:H,8,FALSE))</f>
        <v>55200</v>
      </c>
      <c r="P6" s="46">
        <f t="shared" ca="1" si="1"/>
        <v>1.0222222222222223E-2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input_422010!A$2</f>
        <v>422010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IFERROR(VLOOKUP(B7,input_422010!L:R,7,FALSE),VLOOKUP(tables_422010!C7,input_422010!A:H,8,FALSE))</f>
        <v>1800</v>
      </c>
      <c r="P7" s="46">
        <f t="shared" ca="1" si="1"/>
        <v>3.3333333333333332E-4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input_422010!A$2</f>
        <v>422010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IFERROR(VLOOKUP(B8,input_422010!L:R,7,FALSE),VLOOKUP(tables_422010!C8,input_422010!A:H,8,FALSE))</f>
        <v>55200</v>
      </c>
      <c r="P8" s="46">
        <f t="shared" ca="1" si="1"/>
        <v>1.0222222222222223E-2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input_422010!A$2</f>
        <v>422010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IFERROR(VLOOKUP(B9,input_422010!L:R,7,FALSE),VLOOKUP(tables_422010!C9,input_422010!A:H,8,FALSE))</f>
        <v>1800</v>
      </c>
      <c r="P9" s="46">
        <f t="shared" ca="1" si="1"/>
        <v>3.3333333333333332E-4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input_422010!A$2</f>
        <v>422010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IFERROR(VLOOKUP(B10,input_422010!L:R,7,FALSE),VLOOKUP(tables_422010!C10,input_422010!A:H,8,FALSE))</f>
        <v>55200</v>
      </c>
      <c r="P10" s="46">
        <f t="shared" ca="1" si="1"/>
        <v>1.0222222222222223E-2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input_422010!A$2</f>
        <v>422010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IFERROR(VLOOKUP(B11,input_422010!L:R,7,FALSE),VLOOKUP(tables_422010!C11,input_422010!A:H,8,FALSE))</f>
        <v>1800</v>
      </c>
      <c r="P11" s="46">
        <f t="shared" ca="1" si="1"/>
        <v>3.3333333333333332E-4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input_422010!A$2</f>
        <v>422010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IFERROR(VLOOKUP(B12,input_422010!L:R,7,FALSE),VLOOKUP(tables_422010!C12,input_422010!A:H,8,FALSE))</f>
        <v>55200</v>
      </c>
      <c r="P12" s="46">
        <f t="shared" ca="1" si="1"/>
        <v>1.0222222222222223E-2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input_422010!A$2</f>
        <v>422010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IFERROR(VLOOKUP(B13,input_422010!L:R,7,FALSE),VLOOKUP(tables_422010!C13,input_422010!A:H,8,FALSE))</f>
        <v>1800</v>
      </c>
      <c r="P13" s="46">
        <f t="shared" ca="1" si="1"/>
        <v>3.3333333333333332E-4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input_422010!A$2</f>
        <v>422010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IFERROR(VLOOKUP(B14,input_422010!L:R,7,FALSE),VLOOKUP(tables_422010!C14,input_422010!A:H,8,FALSE))</f>
        <v>55200</v>
      </c>
      <c r="P14" s="46">
        <f t="shared" ca="1" si="1"/>
        <v>1.0222222222222223E-2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input_422010!A$2</f>
        <v>422010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IFERROR(VLOOKUP(B15,input_422010!L:R,7,FALSE),VLOOKUP(tables_422010!C15,input_422010!A:H,8,FALSE))</f>
        <v>1800</v>
      </c>
      <c r="P15" s="46">
        <f t="shared" ca="1" si="1"/>
        <v>3.3333333333333332E-4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input_422010!A$2</f>
        <v>422010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IFERROR(VLOOKUP(B16,input_422010!L:R,7,FALSE),VLOOKUP(tables_422010!C16,input_422010!A:H,8,FALSE))</f>
        <v>55200</v>
      </c>
      <c r="P16" s="46">
        <f t="shared" ca="1" si="1"/>
        <v>1.0222222222222223E-2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input_422010!A$2</f>
        <v>422010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IFERROR(VLOOKUP(B17,input_422010!L:R,7,FALSE),VLOOKUP(tables_422010!C17,input_422010!A:H,8,FALSE))</f>
        <v>1800</v>
      </c>
      <c r="P17" s="46">
        <f t="shared" ca="1" si="1"/>
        <v>3.3333333333333332E-4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input_422010!A$2</f>
        <v>422010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IFERROR(VLOOKUP(B18,input_422010!L:R,7,FALSE),VLOOKUP(tables_422010!C18,input_422010!A:H,8,FALSE))</f>
        <v>55200</v>
      </c>
      <c r="P18" s="46">
        <f t="shared" ca="1" si="1"/>
        <v>1.0222222222222223E-2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input_422010!A$2</f>
        <v>422010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IFERROR(VLOOKUP(B19,input_422010!L:R,7,FALSE),VLOOKUP(tables_422010!C19,input_422010!A:H,8,FALSE))</f>
        <v>1800</v>
      </c>
      <c r="P19" s="46">
        <f t="shared" ca="1" si="1"/>
        <v>3.3333333333333332E-4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input_422010!A$2</f>
        <v>422010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IFERROR(VLOOKUP(B20,input_422010!L:R,7,FALSE),VLOOKUP(tables_422010!C20,input_422010!A:H,8,FALSE))</f>
        <v>55200</v>
      </c>
      <c r="P20" s="46">
        <f t="shared" ca="1" si="1"/>
        <v>1.0222222222222223E-2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input_422010!A$2</f>
        <v>422010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IFERROR(VLOOKUP(B21,input_422010!L:R,7,FALSE),VLOOKUP(tables_422010!C21,input_422010!A:H,8,FALSE))</f>
        <v>1800</v>
      </c>
      <c r="P21" s="46">
        <f t="shared" ca="1" si="1"/>
        <v>3.3333333333333332E-4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input_422010!A$2</f>
        <v>422010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IFERROR(VLOOKUP(B22,input_422010!L:R,7,FALSE),VLOOKUP(tables_422010!C22,input_422010!A:H,8,FALSE))</f>
        <v>55200</v>
      </c>
      <c r="P22" s="46">
        <f t="shared" ca="1" si="1"/>
        <v>1.0222222222222223E-2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input_422010!A$2</f>
        <v>422010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IFERROR(VLOOKUP(B23,input_422010!L:R,7,FALSE),VLOOKUP(tables_422010!C23,input_422010!A:H,8,FALSE))</f>
        <v>1800</v>
      </c>
      <c r="P23" s="46">
        <f t="shared" ca="1" si="1"/>
        <v>3.3333333333333332E-4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input_422010!A$2</f>
        <v>422010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IFERROR(VLOOKUP(B24,input_422010!L:R,7,FALSE),VLOOKUP(tables_422010!C24,input_422010!A:H,8,FALSE))</f>
        <v>55200</v>
      </c>
      <c r="P24" s="46">
        <f t="shared" ca="1" si="1"/>
        <v>1.0222222222222223E-2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input_422010!A$2</f>
        <v>422010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IFERROR(VLOOKUP(B25,input_422010!L:R,7,FALSE),VLOOKUP(tables_422010!C25,input_422010!A:H,8,FALSE))</f>
        <v>1800</v>
      </c>
      <c r="P25" s="46">
        <f t="shared" ca="1" si="1"/>
        <v>3.3333333333333332E-4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input_422010!A$2</f>
        <v>422010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IFERROR(VLOOKUP(B26,input_422010!L:R,7,FALSE),VLOOKUP(tables_422010!C26,input_422010!A:H,8,FALSE))</f>
        <v>55200</v>
      </c>
      <c r="P26" s="46">
        <f t="shared" ca="1" si="1"/>
        <v>1.0222222222222223E-2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input_422010!A$2</f>
        <v>422010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IFERROR(VLOOKUP(B27,input_422010!L:R,7,FALSE),VLOOKUP(tables_422010!C27,input_422010!A:H,8,FALSE))</f>
        <v>1800</v>
      </c>
      <c r="P27" s="46">
        <f t="shared" ca="1" si="1"/>
        <v>3.3333333333333332E-4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input_422010!A$2</f>
        <v>422010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IFERROR(VLOOKUP(B28,input_422010!L:R,7,FALSE),VLOOKUP(tables_422010!C28,input_422010!A:H,8,FALSE))</f>
        <v>55200</v>
      </c>
      <c r="P28" s="46">
        <f t="shared" ca="1" si="1"/>
        <v>1.0222222222222223E-2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input_422010!A$2</f>
        <v>422010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IFERROR(VLOOKUP(B29,input_422010!L:R,7,FALSE),VLOOKUP(tables_422010!C29,input_422010!A:H,8,FALSE))</f>
        <v>1800</v>
      </c>
      <c r="P29" s="46">
        <f t="shared" ca="1" si="1"/>
        <v>3.3333333333333332E-4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input_422010!A$2</f>
        <v>422010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IFERROR(VLOOKUP(B30,input_422010!L:R,7,FALSE),VLOOKUP(tables_422010!C30,input_422010!A:H,8,FALSE))</f>
        <v>55200</v>
      </c>
      <c r="P30" s="46">
        <f t="shared" ca="1" si="1"/>
        <v>1.0222222222222223E-2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input_422010!A$2</f>
        <v>422010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IFERROR(VLOOKUP(B31,input_422010!L:R,7,FALSE),VLOOKUP(tables_422010!C31,input_422010!A:H,8,FALSE))</f>
        <v>1800</v>
      </c>
      <c r="P31" s="46">
        <f t="shared" ca="1" si="1"/>
        <v>3.3333333333333332E-4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input_422010!A$2</f>
        <v>422010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IFERROR(VLOOKUP(B32,input_422010!L:R,7,FALSE),VLOOKUP(tables_422010!C32,input_422010!A:H,8,FALSE))</f>
        <v>55200</v>
      </c>
      <c r="P32" s="46">
        <f t="shared" ca="1" si="1"/>
        <v>1.0222222222222223E-2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input_422010!A$2</f>
        <v>422010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IFERROR(VLOOKUP(B33,input_422010!L:R,7,FALSE),VLOOKUP(tables_422010!C33,input_422010!A:H,8,FALSE))</f>
        <v>1800</v>
      </c>
      <c r="P33" s="46">
        <f t="shared" ca="1" si="1"/>
        <v>3.3333333333333332E-4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input_422010!A$2</f>
        <v>422010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IFERROR(VLOOKUP(B34,input_422010!L:R,7,FALSE),VLOOKUP(tables_422010!C34,input_422010!A:H,8,FALSE))</f>
        <v>55200</v>
      </c>
      <c r="P34" s="46">
        <f t="shared" ca="1" si="1"/>
        <v>1.0222222222222223E-2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input_422010!A$2</f>
        <v>422010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IFERROR(VLOOKUP(B35,input_422010!L:R,7,FALSE),VLOOKUP(tables_422010!C35,input_422010!A:H,8,FALSE))</f>
        <v>1800</v>
      </c>
      <c r="P35" s="46">
        <f t="shared" ca="1" si="1"/>
        <v>3.3333333333333332E-4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input_422010!A$2</f>
        <v>422010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IFERROR(VLOOKUP(B36,input_422010!L:R,7,FALSE),VLOOKUP(tables_422010!C36,input_422010!A:H,8,FALSE))</f>
        <v>55200</v>
      </c>
      <c r="P36" s="46">
        <f t="shared" ca="1" si="1"/>
        <v>1.0222222222222223E-2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input_422010!A$2</f>
        <v>422010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IFERROR(VLOOKUP(B37,input_422010!L:R,7,FALSE),VLOOKUP(tables_422010!C37,input_422010!A:H,8,FALSE))</f>
        <v>1800</v>
      </c>
      <c r="P37" s="46">
        <f t="shared" ca="1" si="1"/>
        <v>3.3333333333333332E-4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input_422010!A$2</f>
        <v>422010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IFERROR(VLOOKUP(B38,input_422010!L:R,7,FALSE),VLOOKUP(tables_422010!C38,input_422010!A:H,8,FALSE))</f>
        <v>55200</v>
      </c>
      <c r="P38" s="46">
        <f t="shared" ca="1" si="1"/>
        <v>1.0222222222222223E-2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input_422010!A$2</f>
        <v>422010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IFERROR(VLOOKUP(B39,input_422010!L:R,7,FALSE),VLOOKUP(tables_422010!C39,input_422010!A:H,8,FALSE))</f>
        <v>1800</v>
      </c>
      <c r="P39" s="46">
        <f t="shared" ca="1" si="1"/>
        <v>3.3333333333333332E-4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input_422010!A$2</f>
        <v>422010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IFERROR(VLOOKUP(B40,input_422010!L:R,7,FALSE),VLOOKUP(tables_422010!C40,input_422010!A:H,8,FALSE))</f>
        <v>55200</v>
      </c>
      <c r="P40" s="46">
        <f t="shared" ca="1" si="1"/>
        <v>1.0222222222222223E-2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input_422010!A$2</f>
        <v>422010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IFERROR(VLOOKUP(B41,input_422010!L:R,7,FALSE),VLOOKUP(tables_422010!C41,input_422010!A:H,8,FALSE))</f>
        <v>1800</v>
      </c>
      <c r="P41" s="46">
        <f t="shared" ca="1" si="1"/>
        <v>3.3333333333333332E-4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input_422010!A$2</f>
        <v>422010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IFERROR(VLOOKUP(B42,input_422010!L:R,7,FALSE),VLOOKUP(tables_422010!C42,input_422010!A:H,8,FALSE))</f>
        <v>28500</v>
      </c>
      <c r="P42" s="46">
        <f t="shared" ca="1" si="1"/>
        <v>5.2777777777777779E-3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input_422010!A$2</f>
        <v>422010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IFERROR(VLOOKUP(B43,input_422010!L:R,7,FALSE),VLOOKUP(tables_422010!C43,input_422010!A:H,8,FALSE))</f>
        <v>25650</v>
      </c>
      <c r="P43" s="46">
        <f t="shared" ca="1" si="1"/>
        <v>4.7499999999999999E-3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input_422010!A$2</f>
        <v>422010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IFERROR(VLOOKUP(B44,input_422010!L:R,7,FALSE),VLOOKUP(tables_422010!C44,input_422010!A:H,8,FALSE))</f>
        <v>2850</v>
      </c>
      <c r="P44" s="46">
        <f t="shared" ca="1" si="1"/>
        <v>5.2777777777777773E-4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input_422010!A$2</f>
        <v>422010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IFERROR(VLOOKUP(B45,input_422010!L:R,7,FALSE),VLOOKUP(tables_422010!C45,input_422010!A:H,8,FALSE))</f>
        <v>28500</v>
      </c>
      <c r="P45" s="46">
        <f t="shared" ca="1" si="1"/>
        <v>5.2777777777777779E-3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input_422010!A$2</f>
        <v>422010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IFERROR(VLOOKUP(B46,input_422010!L:R,7,FALSE),VLOOKUP(tables_422010!C46,input_422010!A:H,8,FALSE))</f>
        <v>25650</v>
      </c>
      <c r="P46" s="46">
        <f t="shared" ca="1" si="1"/>
        <v>4.7499999999999999E-3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input_422010!A$2</f>
        <v>422010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IFERROR(VLOOKUP(B47,input_422010!L:R,7,FALSE),VLOOKUP(tables_422010!C47,input_422010!A:H,8,FALSE))</f>
        <v>2850</v>
      </c>
      <c r="P47" s="46">
        <f t="shared" ca="1" si="1"/>
        <v>5.2777777777777773E-4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input_422010!A$2</f>
        <v>422010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IFERROR(VLOOKUP(B48,input_422010!L:R,7,FALSE),VLOOKUP(tables_422010!C48,input_422010!A:H,8,FALSE))</f>
        <v>28500</v>
      </c>
      <c r="P48" s="46">
        <f t="shared" ca="1" si="1"/>
        <v>5.2777777777777779E-3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input_422010!A$2</f>
        <v>422010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IFERROR(VLOOKUP(B49,input_422010!L:R,7,FALSE),VLOOKUP(tables_422010!C49,input_422010!A:H,8,FALSE))</f>
        <v>25650</v>
      </c>
      <c r="P49" s="46">
        <f t="shared" ca="1" si="1"/>
        <v>4.7499999999999999E-3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input_422010!A$2</f>
        <v>422010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IFERROR(VLOOKUP(B50,input_422010!L:R,7,FALSE),VLOOKUP(tables_422010!C50,input_422010!A:H,8,FALSE))</f>
        <v>2850</v>
      </c>
      <c r="P50" s="46">
        <f t="shared" ca="1" si="1"/>
        <v>5.2777777777777773E-4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input_422010!A$2</f>
        <v>422010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IFERROR(VLOOKUP(B51,input_422010!L:R,7,FALSE),VLOOKUP(tables_422010!C51,input_422010!A:H,8,FALSE))</f>
        <v>28500</v>
      </c>
      <c r="P51" s="46">
        <f t="shared" ca="1" si="1"/>
        <v>5.2777777777777779E-3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input_422010!A$2</f>
        <v>422010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IFERROR(VLOOKUP(B52,input_422010!L:R,7,FALSE),VLOOKUP(tables_422010!C52,input_422010!A:H,8,FALSE))</f>
        <v>26928.846150000001</v>
      </c>
      <c r="P52" s="46">
        <f t="shared" ca="1" si="1"/>
        <v>4.9868233611111111E-3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input_422010!A$2</f>
        <v>422010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IFERROR(VLOOKUP(B53,input_422010!L:R,7,FALSE),VLOOKUP(tables_422010!C53,input_422010!A:H,8,FALSE))</f>
        <v>1571.1538499999999</v>
      </c>
      <c r="P53" s="46">
        <f t="shared" ca="1" si="1"/>
        <v>2.9095441666666667E-4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input_422010!A$2</f>
        <v>422010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IFERROR(VLOOKUP(B54,input_422010!L:R,7,FALSE),VLOOKUP(tables_422010!C54,input_422010!A:H,8,FALSE))</f>
        <v>28500</v>
      </c>
      <c r="P54" s="46">
        <f t="shared" ca="1" si="1"/>
        <v>5.2777777777777779E-3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input_422010!A$2</f>
        <v>422010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IFERROR(VLOOKUP(B55,input_422010!L:R,7,FALSE),VLOOKUP(tables_422010!C55,input_422010!A:H,8,FALSE))</f>
        <v>26928.846150000001</v>
      </c>
      <c r="P55" s="46">
        <f t="shared" ca="1" si="1"/>
        <v>4.9868233611111111E-3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input_422010!A$2</f>
        <v>422010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IFERROR(VLOOKUP(B56,input_422010!L:R,7,FALSE),VLOOKUP(tables_422010!C56,input_422010!A:H,8,FALSE))</f>
        <v>1571.1538499999999</v>
      </c>
      <c r="P56" s="46">
        <f t="shared" ca="1" si="1"/>
        <v>2.9095441666666667E-4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input_422010!A$2</f>
        <v>422010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IFERROR(VLOOKUP(B57,input_422010!L:R,7,FALSE),VLOOKUP(tables_422010!C57,input_422010!A:H,8,FALSE))</f>
        <v>28500</v>
      </c>
      <c r="P57" s="46">
        <f t="shared" ca="1" si="1"/>
        <v>5.2777777777777779E-3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input_422010!A$2</f>
        <v>422010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IFERROR(VLOOKUP(B58,input_422010!L:R,7,FALSE),VLOOKUP(tables_422010!C58,input_422010!A:H,8,FALSE))</f>
        <v>26928.846150000001</v>
      </c>
      <c r="P58" s="46">
        <f t="shared" ca="1" si="1"/>
        <v>4.9868233611111111E-3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input_422010!A$2</f>
        <v>422010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IFERROR(VLOOKUP(B59,input_422010!L:R,7,FALSE),VLOOKUP(tables_422010!C59,input_422010!A:H,8,FALSE))</f>
        <v>1571.1538499999999</v>
      </c>
      <c r="P59" s="46">
        <f t="shared" ca="1" si="1"/>
        <v>2.9095441666666667E-4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input_422010!A$2</f>
        <v>422010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IFERROR(VLOOKUP(B60,input_422010!L:R,7,FALSE),VLOOKUP(tables_422010!C60,input_422010!A:H,8,FALSE))</f>
        <v>28500</v>
      </c>
      <c r="P60" s="46">
        <f t="shared" ca="1" si="1"/>
        <v>5.2777777777777779E-3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input_422010!A$2</f>
        <v>422010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IFERROR(VLOOKUP(B61,input_422010!L:R,7,FALSE),VLOOKUP(tables_422010!C61,input_422010!A:H,8,FALSE))</f>
        <v>26928.846150000001</v>
      </c>
      <c r="P61" s="46">
        <f t="shared" ca="1" si="1"/>
        <v>4.9868233611111111E-3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input_422010!A$2</f>
        <v>422010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IFERROR(VLOOKUP(B62,input_422010!L:R,7,FALSE),VLOOKUP(tables_422010!C62,input_422010!A:H,8,FALSE))</f>
        <v>1571.1538499999999</v>
      </c>
      <c r="P62" s="46">
        <f t="shared" ca="1" si="1"/>
        <v>2.9095441666666667E-4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input_422010!A$2</f>
        <v>422010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IFERROR(VLOOKUP(B63,input_422010!L:R,7,FALSE),VLOOKUP(tables_422010!C63,input_422010!A:H,8,FALSE))</f>
        <v>28500</v>
      </c>
      <c r="P63" s="46">
        <f t="shared" ca="1" si="1"/>
        <v>5.2777777777777779E-3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input_422010!A$2</f>
        <v>422010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IFERROR(VLOOKUP(B64,input_422010!L:R,7,FALSE),VLOOKUP(tables_422010!C64,input_422010!A:H,8,FALSE))</f>
        <v>26928.846150000001</v>
      </c>
      <c r="P64" s="46">
        <f t="shared" ca="1" si="1"/>
        <v>4.9868233611111111E-3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input_422010!A$2</f>
        <v>422010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IFERROR(VLOOKUP(B65,input_422010!L:R,7,FALSE),VLOOKUP(tables_422010!C65,input_422010!A:H,8,FALSE))</f>
        <v>1571.1538499999999</v>
      </c>
      <c r="P65" s="46">
        <f t="shared" ca="1" si="1"/>
        <v>2.9095441666666667E-4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input_422010!A$2</f>
        <v>422010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IFERROR(VLOOKUP(B66,input_422010!L:R,7,FALSE),VLOOKUP(tables_422010!C66,input_422010!A:H,8,FALSE))</f>
        <v>28500</v>
      </c>
      <c r="P66" s="46">
        <f t="shared" ref="P66:P129" ca="1" si="4">O66/SUM(O:O)</f>
        <v>5.2777777777777779E-3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input_422010!A$2</f>
        <v>422010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IFERROR(VLOOKUP(B67,input_422010!L:R,7,FALSE),VLOOKUP(tables_422010!C67,input_422010!A:H,8,FALSE))</f>
        <v>26928.846150000001</v>
      </c>
      <c r="P67" s="46">
        <f t="shared" ca="1" si="4"/>
        <v>4.9868233611111111E-3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input_422010!A$2</f>
        <v>422010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IFERROR(VLOOKUP(B68,input_422010!L:R,7,FALSE),VLOOKUP(tables_422010!C68,input_422010!A:H,8,FALSE))</f>
        <v>1571.1538499999999</v>
      </c>
      <c r="P68" s="46">
        <f t="shared" ca="1" si="4"/>
        <v>2.9095441666666667E-4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input_422010!A$2</f>
        <v>422010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IFERROR(VLOOKUP(B69,input_422010!L:R,7,FALSE),VLOOKUP(tables_422010!C69,input_422010!A:H,8,FALSE))</f>
        <v>28500</v>
      </c>
      <c r="P69" s="46">
        <f t="shared" ca="1" si="4"/>
        <v>5.2777777777777779E-3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input_422010!A$2</f>
        <v>422010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IFERROR(VLOOKUP(B70,input_422010!L:R,7,FALSE),VLOOKUP(tables_422010!C70,input_422010!A:H,8,FALSE))</f>
        <v>26928.846150000001</v>
      </c>
      <c r="P70" s="46">
        <f t="shared" ca="1" si="4"/>
        <v>4.9868233611111111E-3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input_422010!A$2</f>
        <v>422010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IFERROR(VLOOKUP(B71,input_422010!L:R,7,FALSE),VLOOKUP(tables_422010!C71,input_422010!A:H,8,FALSE))</f>
        <v>1571.1538499999999</v>
      </c>
      <c r="P71" s="46">
        <f t="shared" ca="1" si="4"/>
        <v>2.9095441666666667E-4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input_422010!A$2</f>
        <v>422010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IFERROR(VLOOKUP(B72,input_422010!L:R,7,FALSE),VLOOKUP(tables_422010!C72,input_422010!A:H,8,FALSE))</f>
        <v>28500</v>
      </c>
      <c r="P72" s="46">
        <f t="shared" ca="1" si="4"/>
        <v>5.2777777777777779E-3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input_422010!A$2</f>
        <v>422010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IFERROR(VLOOKUP(B73,input_422010!L:R,7,FALSE),VLOOKUP(tables_422010!C73,input_422010!A:H,8,FALSE))</f>
        <v>26928.846150000001</v>
      </c>
      <c r="P73" s="46">
        <f t="shared" ca="1" si="4"/>
        <v>4.9868233611111111E-3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input_422010!A$2</f>
        <v>422010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IFERROR(VLOOKUP(B74,input_422010!L:R,7,FALSE),VLOOKUP(tables_422010!C74,input_422010!A:H,8,FALSE))</f>
        <v>1571.1538499999999</v>
      </c>
      <c r="P74" s="46">
        <f t="shared" ca="1" si="4"/>
        <v>2.9095441666666667E-4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input_422010!A$2</f>
        <v>422010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IFERROR(VLOOKUP(B75,input_422010!L:R,7,FALSE),VLOOKUP(tables_422010!C75,input_422010!A:H,8,FALSE))</f>
        <v>28500</v>
      </c>
      <c r="P75" s="46">
        <f t="shared" ca="1" si="4"/>
        <v>5.2777777777777779E-3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input_422010!A$2</f>
        <v>422010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IFERROR(VLOOKUP(B76,input_422010!L:R,7,FALSE),VLOOKUP(tables_422010!C76,input_422010!A:H,8,FALSE))</f>
        <v>26928.846150000001</v>
      </c>
      <c r="P76" s="46">
        <f t="shared" ca="1" si="4"/>
        <v>4.9868233611111111E-3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input_422010!A$2</f>
        <v>422010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IFERROR(VLOOKUP(B77,input_422010!L:R,7,FALSE),VLOOKUP(tables_422010!C77,input_422010!A:H,8,FALSE))</f>
        <v>1571.1538499999999</v>
      </c>
      <c r="P77" s="46">
        <f t="shared" ca="1" si="4"/>
        <v>2.9095441666666667E-4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input_422010!A$2</f>
        <v>422010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IFERROR(VLOOKUP(B78,input_422010!L:R,7,FALSE),VLOOKUP(tables_422010!C78,input_422010!A:H,8,FALSE))</f>
        <v>28500</v>
      </c>
      <c r="P78" s="46">
        <f t="shared" ca="1" si="4"/>
        <v>5.2777777777777779E-3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input_422010!A$2</f>
        <v>422010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IFERROR(VLOOKUP(B79,input_422010!L:R,7,FALSE),VLOOKUP(tables_422010!C79,input_422010!A:H,8,FALSE))</f>
        <v>26928.846150000001</v>
      </c>
      <c r="P79" s="46">
        <f t="shared" ca="1" si="4"/>
        <v>4.9868233611111111E-3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input_422010!A$2</f>
        <v>422010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IFERROR(VLOOKUP(B80,input_422010!L:R,7,FALSE),VLOOKUP(tables_422010!C80,input_422010!A:H,8,FALSE))</f>
        <v>1571.1538499999999</v>
      </c>
      <c r="P80" s="46">
        <f t="shared" ca="1" si="4"/>
        <v>2.9095441666666667E-4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input_422010!A$2</f>
        <v>422010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IFERROR(VLOOKUP(B81,input_422010!L:R,7,FALSE),VLOOKUP(tables_422010!C81,input_422010!A:H,8,FALSE))</f>
        <v>28500</v>
      </c>
      <c r="P81" s="46">
        <f t="shared" ca="1" si="4"/>
        <v>5.2777777777777779E-3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input_422010!A$2</f>
        <v>422010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IFERROR(VLOOKUP(B82,input_422010!L:R,7,FALSE),VLOOKUP(tables_422010!C82,input_422010!A:H,8,FALSE))</f>
        <v>26928.846150000001</v>
      </c>
      <c r="P82" s="46">
        <f t="shared" ca="1" si="4"/>
        <v>4.9868233611111111E-3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input_422010!A$2</f>
        <v>422010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IFERROR(VLOOKUP(B83,input_422010!L:R,7,FALSE),VLOOKUP(tables_422010!C83,input_422010!A:H,8,FALSE))</f>
        <v>1571.1538499999999</v>
      </c>
      <c r="P83" s="46">
        <f t="shared" ca="1" si="4"/>
        <v>2.9095441666666667E-4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input_422010!A$2</f>
        <v>422010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IFERROR(VLOOKUP(B84,input_422010!L:R,7,FALSE),VLOOKUP(tables_422010!C84,input_422010!A:H,8,FALSE))</f>
        <v>28500</v>
      </c>
      <c r="P84" s="46">
        <f t="shared" ca="1" si="4"/>
        <v>5.2777777777777779E-3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input_422010!A$2</f>
        <v>422010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IFERROR(VLOOKUP(B85,input_422010!L:R,7,FALSE),VLOOKUP(tables_422010!C85,input_422010!A:H,8,FALSE))</f>
        <v>26928.846150000001</v>
      </c>
      <c r="P85" s="46">
        <f t="shared" ca="1" si="4"/>
        <v>4.9868233611111111E-3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input_422010!A$2</f>
        <v>422010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IFERROR(VLOOKUP(B86,input_422010!L:R,7,FALSE),VLOOKUP(tables_422010!C86,input_422010!A:H,8,FALSE))</f>
        <v>1571.1538499999999</v>
      </c>
      <c r="P86" s="46">
        <f t="shared" ca="1" si="4"/>
        <v>2.9095441666666667E-4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input_422010!A$2</f>
        <v>422010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IFERROR(VLOOKUP(B87,input_422010!L:R,7,FALSE),VLOOKUP(tables_422010!C87,input_422010!A:H,8,FALSE))</f>
        <v>28500</v>
      </c>
      <c r="P87" s="46">
        <f t="shared" ca="1" si="4"/>
        <v>5.2777777777777779E-3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input_422010!A$2</f>
        <v>422010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IFERROR(VLOOKUP(B88,input_422010!L:R,7,FALSE),VLOOKUP(tables_422010!C88,input_422010!A:H,8,FALSE))</f>
        <v>26928.846150000001</v>
      </c>
      <c r="P88" s="46">
        <f t="shared" ca="1" si="4"/>
        <v>4.9868233611111111E-3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input_422010!A$2</f>
        <v>422010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IFERROR(VLOOKUP(B89,input_422010!L:R,7,FALSE),VLOOKUP(tables_422010!C89,input_422010!A:H,8,FALSE))</f>
        <v>1571.1538499999999</v>
      </c>
      <c r="P89" s="46">
        <f t="shared" ca="1" si="4"/>
        <v>2.9095441666666667E-4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input_422010!A$2</f>
        <v>422010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IFERROR(VLOOKUP(B90,input_422010!L:R,7,FALSE),VLOOKUP(tables_422010!C90,input_422010!A:H,8,FALSE))</f>
        <v>28500</v>
      </c>
      <c r="P90" s="46">
        <f t="shared" ca="1" si="4"/>
        <v>5.2777777777777779E-3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input_422010!A$2</f>
        <v>422010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IFERROR(VLOOKUP(B91,input_422010!L:R,7,FALSE),VLOOKUP(tables_422010!C91,input_422010!A:H,8,FALSE))</f>
        <v>26928.846150000001</v>
      </c>
      <c r="P91" s="46">
        <f t="shared" ca="1" si="4"/>
        <v>4.9868233611111111E-3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input_422010!A$2</f>
        <v>422010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IFERROR(VLOOKUP(B92,input_422010!L:R,7,FALSE),VLOOKUP(tables_422010!C92,input_422010!A:H,8,FALSE))</f>
        <v>1571.1538499999999</v>
      </c>
      <c r="P92" s="46">
        <f t="shared" ca="1" si="4"/>
        <v>2.9095441666666667E-4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input_422010!A$2</f>
        <v>422010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IFERROR(VLOOKUP(B93,input_422010!L:R,7,FALSE),VLOOKUP(tables_422010!C93,input_422010!A:H,8,FALSE))</f>
        <v>28500</v>
      </c>
      <c r="P93" s="46">
        <f t="shared" ca="1" si="4"/>
        <v>5.2777777777777779E-3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input_422010!A$2</f>
        <v>422010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IFERROR(VLOOKUP(B94,input_422010!L:R,7,FALSE),VLOOKUP(tables_422010!C94,input_422010!A:H,8,FALSE))</f>
        <v>26928.846150000001</v>
      </c>
      <c r="P94" s="46">
        <f t="shared" ca="1" si="4"/>
        <v>4.9868233611111111E-3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input_422010!A$2</f>
        <v>422010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IFERROR(VLOOKUP(B95,input_422010!L:R,7,FALSE),VLOOKUP(tables_422010!C95,input_422010!A:H,8,FALSE))</f>
        <v>1571.1538499999999</v>
      </c>
      <c r="P95" s="46">
        <f t="shared" ca="1" si="4"/>
        <v>2.9095441666666667E-4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input_422010!A$2</f>
        <v>422010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IFERROR(VLOOKUP(B96,input_422010!L:R,7,FALSE),VLOOKUP(tables_422010!C96,input_422010!A:H,8,FALSE))</f>
        <v>28500</v>
      </c>
      <c r="P96" s="46">
        <f t="shared" ca="1" si="4"/>
        <v>5.2777777777777779E-3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input_422010!A$2</f>
        <v>422010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IFERROR(VLOOKUP(B97,input_422010!L:R,7,FALSE),VLOOKUP(tables_422010!C97,input_422010!A:H,8,FALSE))</f>
        <v>26928.846150000001</v>
      </c>
      <c r="P97" s="46">
        <f t="shared" ca="1" si="4"/>
        <v>4.9868233611111111E-3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input_422010!A$2</f>
        <v>422010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IFERROR(VLOOKUP(B98,input_422010!L:R,7,FALSE),VLOOKUP(tables_422010!C98,input_422010!A:H,8,FALSE))</f>
        <v>1571.1538499999999</v>
      </c>
      <c r="P98" s="46">
        <f t="shared" ca="1" si="4"/>
        <v>2.9095441666666667E-4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input_422010!A$2</f>
        <v>422010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IFERROR(VLOOKUP(B99,input_422010!L:R,7,FALSE),VLOOKUP(tables_422010!C99,input_422010!A:H,8,FALSE))</f>
        <v>28500</v>
      </c>
      <c r="P99" s="46">
        <f t="shared" ca="1" si="4"/>
        <v>5.2777777777777779E-3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input_422010!A$2</f>
        <v>422010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IFERROR(VLOOKUP(B100,input_422010!L:R,7,FALSE),VLOOKUP(tables_422010!C100,input_422010!A:H,8,FALSE))</f>
        <v>26928.846150000001</v>
      </c>
      <c r="P100" s="46">
        <f t="shared" ca="1" si="4"/>
        <v>4.9868233611111111E-3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input_422010!A$2</f>
        <v>422010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IFERROR(VLOOKUP(B101,input_422010!L:R,7,FALSE),VLOOKUP(tables_422010!C101,input_422010!A:H,8,FALSE))</f>
        <v>1571.1538499999999</v>
      </c>
      <c r="P101" s="46">
        <f t="shared" ca="1" si="4"/>
        <v>2.9095441666666667E-4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input_422010!A$2</f>
        <v>422010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IFERROR(VLOOKUP(B102,input_422010!L:R,7,FALSE),VLOOKUP(tables_422010!C102,input_422010!A:H,8,FALSE))</f>
        <v>28500</v>
      </c>
      <c r="P102" s="46">
        <f t="shared" ca="1" si="4"/>
        <v>5.2777777777777779E-3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input_422010!A$2</f>
        <v>422010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IFERROR(VLOOKUP(B103,input_422010!L:R,7,FALSE),VLOOKUP(tables_422010!C103,input_422010!A:H,8,FALSE))</f>
        <v>26928.846150000001</v>
      </c>
      <c r="P103" s="46">
        <f t="shared" ca="1" si="4"/>
        <v>4.9868233611111111E-3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input_422010!A$2</f>
        <v>422010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IFERROR(VLOOKUP(B104,input_422010!L:R,7,FALSE),VLOOKUP(tables_422010!C104,input_422010!A:H,8,FALSE))</f>
        <v>1571.1538499999999</v>
      </c>
      <c r="P104" s="46">
        <f t="shared" ca="1" si="4"/>
        <v>2.9095441666666667E-4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input_422010!A$2</f>
        <v>422010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IFERROR(VLOOKUP(B105,input_422010!L:R,7,FALSE),VLOOKUP(tables_422010!C105,input_422010!A:H,8,FALSE))</f>
        <v>28500</v>
      </c>
      <c r="P105" s="46">
        <f t="shared" ca="1" si="4"/>
        <v>5.2777777777777779E-3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input_422010!A$2</f>
        <v>422010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IFERROR(VLOOKUP(B106,input_422010!L:R,7,FALSE),VLOOKUP(tables_422010!C106,input_422010!A:H,8,FALSE))</f>
        <v>26928.846150000001</v>
      </c>
      <c r="P106" s="46">
        <f t="shared" ca="1" si="4"/>
        <v>4.9868233611111111E-3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input_422010!A$2</f>
        <v>422010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IFERROR(VLOOKUP(B107,input_422010!L:R,7,FALSE),VLOOKUP(tables_422010!C107,input_422010!A:H,8,FALSE))</f>
        <v>1571.1538499999999</v>
      </c>
      <c r="P107" s="46">
        <f t="shared" ca="1" si="4"/>
        <v>2.9095441666666667E-4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input_422010!A$2</f>
        <v>422010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IFERROR(VLOOKUP(B108,input_422010!L:R,7,FALSE),VLOOKUP(tables_422010!C108,input_422010!A:H,8,FALSE))</f>
        <v>28500</v>
      </c>
      <c r="P108" s="46">
        <f t="shared" ca="1" si="4"/>
        <v>5.2777777777777779E-3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input_422010!A$2</f>
        <v>422010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IFERROR(VLOOKUP(B109,input_422010!L:R,7,FALSE),VLOOKUP(tables_422010!C109,input_422010!A:H,8,FALSE))</f>
        <v>26928.846150000001</v>
      </c>
      <c r="P109" s="46">
        <f t="shared" ca="1" si="4"/>
        <v>4.9868233611111111E-3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input_422010!A$2</f>
        <v>422010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IFERROR(VLOOKUP(B110,input_422010!L:R,7,FALSE),VLOOKUP(tables_422010!C110,input_422010!A:H,8,FALSE))</f>
        <v>1571.1538499999999</v>
      </c>
      <c r="P110" s="46">
        <f t="shared" ca="1" si="4"/>
        <v>2.9095441666666667E-4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input_422010!A$2</f>
        <v>422010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IFERROR(VLOOKUP(B111,input_422010!L:R,7,FALSE),VLOOKUP(tables_422010!C111,input_422010!A:H,8,FALSE))</f>
        <v>28500</v>
      </c>
      <c r="P111" s="46">
        <f t="shared" ca="1" si="4"/>
        <v>5.2777777777777779E-3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input_422010!A$2</f>
        <v>422010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IFERROR(VLOOKUP(B112,input_422010!L:R,7,FALSE),VLOOKUP(tables_422010!C112,input_422010!A:H,8,FALSE))</f>
        <v>25650</v>
      </c>
      <c r="P112" s="46">
        <f t="shared" ca="1" si="4"/>
        <v>4.7499999999999999E-3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input_422010!A$2</f>
        <v>422010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IFERROR(VLOOKUP(B113,input_422010!L:R,7,FALSE),VLOOKUP(tables_422010!C113,input_422010!A:H,8,FALSE))</f>
        <v>2850</v>
      </c>
      <c r="P113" s="46">
        <f t="shared" ca="1" si="4"/>
        <v>5.2777777777777773E-4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input_422010!A$2</f>
        <v>422010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IFERROR(VLOOKUP(B114,input_422010!L:R,7,FALSE),VLOOKUP(tables_422010!C114,input_422010!A:H,8,FALSE))</f>
        <v>28500</v>
      </c>
      <c r="P114" s="46">
        <f t="shared" ca="1" si="4"/>
        <v>5.2777777777777779E-3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input_422010!A$2</f>
        <v>422010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IFERROR(VLOOKUP(B115,input_422010!L:R,7,FALSE),VLOOKUP(tables_422010!C115,input_422010!A:H,8,FALSE))</f>
        <v>26928.846150000001</v>
      </c>
      <c r="P115" s="46">
        <f t="shared" ca="1" si="4"/>
        <v>4.9868233611111111E-3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input_422010!A$2</f>
        <v>422010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IFERROR(VLOOKUP(B116,input_422010!L:R,7,FALSE),VLOOKUP(tables_422010!C116,input_422010!A:H,8,FALSE))</f>
        <v>1571.1538499999999</v>
      </c>
      <c r="P116" s="46">
        <f t="shared" ca="1" si="4"/>
        <v>2.9095441666666667E-4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input_422010!A$2</f>
        <v>422010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IFERROR(VLOOKUP(B117,input_422010!L:R,7,FALSE),VLOOKUP(tables_422010!C117,input_422010!A:H,8,FALSE))</f>
        <v>28500</v>
      </c>
      <c r="P117" s="46">
        <f t="shared" ca="1" si="4"/>
        <v>5.2777777777777779E-3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input_422010!A$2</f>
        <v>422010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IFERROR(VLOOKUP(B118,input_422010!L:R,7,FALSE),VLOOKUP(tables_422010!C118,input_422010!A:H,8,FALSE))</f>
        <v>26928.846150000001</v>
      </c>
      <c r="P118" s="46">
        <f t="shared" ca="1" si="4"/>
        <v>4.9868233611111111E-3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input_422010!A$2</f>
        <v>422010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IFERROR(VLOOKUP(B119,input_422010!L:R,7,FALSE),VLOOKUP(tables_422010!C119,input_422010!A:H,8,FALSE))</f>
        <v>1571.1538499999999</v>
      </c>
      <c r="P119" s="46">
        <f t="shared" ca="1" si="4"/>
        <v>2.9095441666666667E-4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input_422010!A$2</f>
        <v>422010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IFERROR(VLOOKUP(B120,input_422010!L:R,7,FALSE),VLOOKUP(tables_422010!C120,input_422010!A:H,8,FALSE))</f>
        <v>28500</v>
      </c>
      <c r="P120" s="46">
        <f t="shared" ca="1" si="4"/>
        <v>5.2777777777777779E-3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input_422010!A$2</f>
        <v>422010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IFERROR(VLOOKUP(B121,input_422010!L:R,7,FALSE),VLOOKUP(tables_422010!C121,input_422010!A:H,8,FALSE))</f>
        <v>26928.846150000001</v>
      </c>
      <c r="P121" s="46">
        <f t="shared" ca="1" si="4"/>
        <v>4.9868233611111111E-3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input_422010!A$2</f>
        <v>422010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IFERROR(VLOOKUP(B122,input_422010!L:R,7,FALSE),VLOOKUP(tables_422010!C122,input_422010!A:H,8,FALSE))</f>
        <v>1571.1538499999999</v>
      </c>
      <c r="P122" s="46">
        <f t="shared" ca="1" si="4"/>
        <v>2.9095441666666667E-4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input_422010!A$2</f>
        <v>422010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IFERROR(VLOOKUP(B123,input_422010!L:R,7,FALSE),VLOOKUP(tables_422010!C123,input_422010!A:H,8,FALSE))</f>
        <v>28500</v>
      </c>
      <c r="P123" s="46">
        <f t="shared" ca="1" si="4"/>
        <v>5.2777777777777779E-3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input_422010!A$2</f>
        <v>422010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IFERROR(VLOOKUP(B124,input_422010!L:R,7,FALSE),VLOOKUP(tables_422010!C124,input_422010!A:H,8,FALSE))</f>
        <v>26928.846150000001</v>
      </c>
      <c r="P124" s="46">
        <f t="shared" ca="1" si="4"/>
        <v>4.9868233611111111E-3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input_422010!A$2</f>
        <v>422010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IFERROR(VLOOKUP(B125,input_422010!L:R,7,FALSE),VLOOKUP(tables_422010!C125,input_422010!A:H,8,FALSE))</f>
        <v>1571.1538499999999</v>
      </c>
      <c r="P125" s="46">
        <f t="shared" ca="1" si="4"/>
        <v>2.9095441666666667E-4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input_422010!A$2</f>
        <v>422010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IFERROR(VLOOKUP(B126,input_422010!L:R,7,FALSE),VLOOKUP(tables_422010!C126,input_422010!A:H,8,FALSE))</f>
        <v>28500</v>
      </c>
      <c r="P126" s="46">
        <f t="shared" ca="1" si="4"/>
        <v>5.2777777777777779E-3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input_422010!A$2</f>
        <v>422010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IFERROR(VLOOKUP(B127,input_422010!L:R,7,FALSE),VLOOKUP(tables_422010!C127,input_422010!A:H,8,FALSE))</f>
        <v>26928.846150000001</v>
      </c>
      <c r="P127" s="46">
        <f t="shared" ca="1" si="4"/>
        <v>4.9868233611111111E-3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input_422010!A$2</f>
        <v>422010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IFERROR(VLOOKUP(B128,input_422010!L:R,7,FALSE),VLOOKUP(tables_422010!C128,input_422010!A:H,8,FALSE))</f>
        <v>1571.1538499999999</v>
      </c>
      <c r="P128" s="46">
        <f t="shared" ca="1" si="4"/>
        <v>2.9095441666666667E-4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input_422010!A$2</f>
        <v>422010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IFERROR(VLOOKUP(B129,input_422010!L:R,7,FALSE),VLOOKUP(tables_422010!C129,input_422010!A:H,8,FALSE))</f>
        <v>28500</v>
      </c>
      <c r="P129" s="46">
        <f t="shared" ca="1" si="4"/>
        <v>5.2777777777777779E-3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input_422010!A$2</f>
        <v>422010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IFERROR(VLOOKUP(B130,input_422010!L:R,7,FALSE),VLOOKUP(tables_422010!C130,input_422010!A:H,8,FALSE))</f>
        <v>26928.846150000001</v>
      </c>
      <c r="P130" s="46">
        <f t="shared" ref="P130:P193" ca="1" si="7">O130/SUM(O:O)</f>
        <v>4.9868233611111111E-3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input_422010!A$2</f>
        <v>422010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IFERROR(VLOOKUP(B131,input_422010!L:R,7,FALSE),VLOOKUP(tables_422010!C131,input_422010!A:H,8,FALSE))</f>
        <v>1571.1538499999999</v>
      </c>
      <c r="P131" s="46">
        <f t="shared" ca="1" si="7"/>
        <v>2.9095441666666667E-4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input_422010!A$2</f>
        <v>422010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IFERROR(VLOOKUP(B132,input_422010!L:R,7,FALSE),VLOOKUP(tables_422010!C132,input_422010!A:H,8,FALSE))</f>
        <v>28500</v>
      </c>
      <c r="P132" s="46">
        <f t="shared" ca="1" si="7"/>
        <v>5.2777777777777779E-3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input_422010!A$2</f>
        <v>422010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IFERROR(VLOOKUP(B133,input_422010!L:R,7,FALSE),VLOOKUP(tables_422010!C133,input_422010!A:H,8,FALSE))</f>
        <v>26928.846150000001</v>
      </c>
      <c r="P133" s="46">
        <f t="shared" ca="1" si="7"/>
        <v>4.9868233611111111E-3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input_422010!A$2</f>
        <v>422010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IFERROR(VLOOKUP(B134,input_422010!L:R,7,FALSE),VLOOKUP(tables_422010!C134,input_422010!A:H,8,FALSE))</f>
        <v>1571.1538499999999</v>
      </c>
      <c r="P134" s="46">
        <f t="shared" ca="1" si="7"/>
        <v>2.9095441666666667E-4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input_422010!A$2</f>
        <v>422010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IFERROR(VLOOKUP(B135,input_422010!L:R,7,FALSE),VLOOKUP(tables_422010!C135,input_422010!A:H,8,FALSE))</f>
        <v>28500</v>
      </c>
      <c r="P135" s="46">
        <f t="shared" ca="1" si="7"/>
        <v>5.2777777777777779E-3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input_422010!A$2</f>
        <v>422010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IFERROR(VLOOKUP(B136,input_422010!L:R,7,FALSE),VLOOKUP(tables_422010!C136,input_422010!A:H,8,FALSE))</f>
        <v>26928.846150000001</v>
      </c>
      <c r="P136" s="46">
        <f t="shared" ca="1" si="7"/>
        <v>4.9868233611111111E-3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input_422010!A$2</f>
        <v>422010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IFERROR(VLOOKUP(B137,input_422010!L:R,7,FALSE),VLOOKUP(tables_422010!C137,input_422010!A:H,8,FALSE))</f>
        <v>1571.1538499999999</v>
      </c>
      <c r="P137" s="46">
        <f t="shared" ca="1" si="7"/>
        <v>2.9095441666666667E-4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input_422010!A$2</f>
        <v>422010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IFERROR(VLOOKUP(B138,input_422010!L:R,7,FALSE),VLOOKUP(tables_422010!C138,input_422010!A:H,8,FALSE))</f>
        <v>4750</v>
      </c>
      <c r="P138" s="46">
        <f t="shared" ca="1" si="7"/>
        <v>8.7962962962962962E-4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input_422010!A$2</f>
        <v>422010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IFERROR(VLOOKUP(B139,input_422010!L:R,7,FALSE),VLOOKUP(tables_422010!C139,input_422010!A:H,8,FALSE))</f>
        <v>250</v>
      </c>
      <c r="P139" s="46">
        <f t="shared" ca="1" si="7"/>
        <v>4.6296296296296294E-5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input_422010!A$2</f>
        <v>422010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IFERROR(VLOOKUP(B140,input_422010!L:R,7,FALSE),VLOOKUP(tables_422010!C140,input_422010!A:H,8,FALSE))</f>
        <v>4750</v>
      </c>
      <c r="P140" s="46">
        <f t="shared" ca="1" si="7"/>
        <v>8.7962962962962962E-4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input_422010!A$2</f>
        <v>422010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IFERROR(VLOOKUP(B141,input_422010!L:R,7,FALSE),VLOOKUP(tables_422010!C141,input_422010!A:H,8,FALSE))</f>
        <v>250</v>
      </c>
      <c r="P141" s="46">
        <f t="shared" ca="1" si="7"/>
        <v>4.6296296296296294E-5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input_422010!A$2</f>
        <v>422010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IFERROR(VLOOKUP(B142,input_422010!L:R,7,FALSE),VLOOKUP(tables_422010!C142,input_422010!A:H,8,FALSE))</f>
        <v>4750</v>
      </c>
      <c r="P142" s="46">
        <f t="shared" ca="1" si="7"/>
        <v>8.7962962962962962E-4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input_422010!A$2</f>
        <v>422010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IFERROR(VLOOKUP(B143,input_422010!L:R,7,FALSE),VLOOKUP(tables_422010!C143,input_422010!A:H,8,FALSE))</f>
        <v>250</v>
      </c>
      <c r="P143" s="46">
        <f t="shared" ca="1" si="7"/>
        <v>4.6296296296296294E-5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input_422010!A$2</f>
        <v>422010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IFERROR(VLOOKUP(B144,input_422010!L:R,7,FALSE),VLOOKUP(tables_422010!C144,input_422010!A:H,8,FALSE))</f>
        <v>4750</v>
      </c>
      <c r="P144" s="46">
        <f t="shared" ca="1" si="7"/>
        <v>8.7962962962962962E-4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input_422010!A$2</f>
        <v>422010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IFERROR(VLOOKUP(B145,input_422010!L:R,7,FALSE),VLOOKUP(tables_422010!C145,input_422010!A:H,8,FALSE))</f>
        <v>250</v>
      </c>
      <c r="P145" s="46">
        <f t="shared" ca="1" si="7"/>
        <v>4.6296296296296294E-5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input_422010!A$2</f>
        <v>422010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IFERROR(VLOOKUP(B146,input_422010!L:R,7,FALSE),VLOOKUP(tables_422010!C146,input_422010!A:H,8,FALSE))</f>
        <v>28500</v>
      </c>
      <c r="P146" s="46">
        <f t="shared" ca="1" si="7"/>
        <v>5.2777777777777779E-3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input_422010!A$2</f>
        <v>422010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IFERROR(VLOOKUP(B147,input_422010!L:R,7,FALSE),VLOOKUP(tables_422010!C147,input_422010!A:H,8,FALSE))</f>
        <v>26928.846150000001</v>
      </c>
      <c r="P147" s="46">
        <f t="shared" ca="1" si="7"/>
        <v>4.9868233611111111E-3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input_422010!A$2</f>
        <v>422010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IFERROR(VLOOKUP(B148,input_422010!L:R,7,FALSE),VLOOKUP(tables_422010!C148,input_422010!A:H,8,FALSE))</f>
        <v>1571.1538499999999</v>
      </c>
      <c r="P148" s="46">
        <f t="shared" ca="1" si="7"/>
        <v>2.9095441666666667E-4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input_422010!A$2</f>
        <v>422010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IFERROR(VLOOKUP(B149,input_422010!L:R,7,FALSE),VLOOKUP(tables_422010!C149,input_422010!A:H,8,FALSE))</f>
        <v>4750</v>
      </c>
      <c r="P149" s="46">
        <f t="shared" ca="1" si="7"/>
        <v>8.7962962962962962E-4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input_422010!A$2</f>
        <v>422010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IFERROR(VLOOKUP(B150,input_422010!L:R,7,FALSE),VLOOKUP(tables_422010!C150,input_422010!A:H,8,FALSE))</f>
        <v>250</v>
      </c>
      <c r="P150" s="46">
        <f t="shared" ca="1" si="7"/>
        <v>4.6296296296296294E-5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input_422010!A$2</f>
        <v>422010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IFERROR(VLOOKUP(B151,input_422010!L:R,7,FALSE),VLOOKUP(tables_422010!C151,input_422010!A:H,8,FALSE))</f>
        <v>4750</v>
      </c>
      <c r="P151" s="46">
        <f t="shared" ca="1" si="7"/>
        <v>8.7962962962962962E-4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input_422010!A$2</f>
        <v>422010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IFERROR(VLOOKUP(B152,input_422010!L:R,7,FALSE),VLOOKUP(tables_422010!C152,input_422010!A:H,8,FALSE))</f>
        <v>250</v>
      </c>
      <c r="P152" s="46">
        <f t="shared" ca="1" si="7"/>
        <v>4.6296296296296294E-5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input_422010!A$2</f>
        <v>422010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IFERROR(VLOOKUP(B153,input_422010!L:R,7,FALSE),VLOOKUP(tables_422010!C153,input_422010!A:H,8,FALSE))</f>
        <v>28500</v>
      </c>
      <c r="P153" s="46">
        <f t="shared" ca="1" si="7"/>
        <v>5.2777777777777779E-3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input_422010!A$2</f>
        <v>422010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IFERROR(VLOOKUP(B154,input_422010!L:R,7,FALSE),VLOOKUP(tables_422010!C154,input_422010!A:H,8,FALSE))</f>
        <v>26928.846150000001</v>
      </c>
      <c r="P154" s="46">
        <f t="shared" ca="1" si="7"/>
        <v>4.9868233611111111E-3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input_422010!A$2</f>
        <v>422010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IFERROR(VLOOKUP(B155,input_422010!L:R,7,FALSE),VLOOKUP(tables_422010!C155,input_422010!A:H,8,FALSE))</f>
        <v>1571.1538499999999</v>
      </c>
      <c r="P155" s="46">
        <f t="shared" ca="1" si="7"/>
        <v>2.9095441666666667E-4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input_422010!A$2</f>
        <v>422010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IFERROR(VLOOKUP(B156,input_422010!L:R,7,FALSE),VLOOKUP(tables_422010!C156,input_422010!A:H,8,FALSE))</f>
        <v>4750</v>
      </c>
      <c r="P156" s="46">
        <f t="shared" ca="1" si="7"/>
        <v>8.7962962962962962E-4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input_422010!A$2</f>
        <v>422010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IFERROR(VLOOKUP(B157,input_422010!L:R,7,FALSE),VLOOKUP(tables_422010!C157,input_422010!A:H,8,FALSE))</f>
        <v>250</v>
      </c>
      <c r="P157" s="46">
        <f t="shared" ca="1" si="7"/>
        <v>4.6296296296296294E-5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input_422010!A$2</f>
        <v>422010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IFERROR(VLOOKUP(B158,input_422010!L:R,7,FALSE),VLOOKUP(tables_422010!C158,input_422010!A:H,8,FALSE))</f>
        <v>28500</v>
      </c>
      <c r="P158" s="46">
        <f t="shared" ca="1" si="7"/>
        <v>5.2777777777777779E-3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input_422010!A$2</f>
        <v>422010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IFERROR(VLOOKUP(B159,input_422010!L:R,7,FALSE),VLOOKUP(tables_422010!C159,input_422010!A:H,8,FALSE))</f>
        <v>26928.846150000001</v>
      </c>
      <c r="P159" s="46">
        <f t="shared" ca="1" si="7"/>
        <v>4.9868233611111111E-3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input_422010!A$2</f>
        <v>422010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IFERROR(VLOOKUP(B160,input_422010!L:R,7,FALSE),VLOOKUP(tables_422010!C160,input_422010!A:H,8,FALSE))</f>
        <v>1571.1538499999999</v>
      </c>
      <c r="P160" s="46">
        <f t="shared" ca="1" si="7"/>
        <v>2.9095441666666667E-4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input_422010!A$2</f>
        <v>422010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IFERROR(VLOOKUP(B161,input_422010!L:R,7,FALSE),VLOOKUP(tables_422010!C161,input_422010!A:H,8,FALSE))</f>
        <v>28500</v>
      </c>
      <c r="P161" s="46">
        <f t="shared" ca="1" si="7"/>
        <v>5.2777777777777779E-3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input_422010!A$2</f>
        <v>422010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IFERROR(VLOOKUP(B162,input_422010!L:R,7,FALSE),VLOOKUP(tables_422010!C162,input_422010!A:H,8,FALSE))</f>
        <v>26928.846150000001</v>
      </c>
      <c r="P162" s="46">
        <f t="shared" ca="1" si="7"/>
        <v>4.9868233611111111E-3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input_422010!A$2</f>
        <v>422010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IFERROR(VLOOKUP(B163,input_422010!L:R,7,FALSE),VLOOKUP(tables_422010!C163,input_422010!A:H,8,FALSE))</f>
        <v>1571.1538499999999</v>
      </c>
      <c r="P163" s="46">
        <f t="shared" ca="1" si="7"/>
        <v>2.9095441666666667E-4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input_422010!A$2</f>
        <v>422010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IFERROR(VLOOKUP(B164,input_422010!L:R,7,FALSE),VLOOKUP(tables_422010!C164,input_422010!A:H,8,FALSE))</f>
        <v>4750</v>
      </c>
      <c r="P164" s="46">
        <f t="shared" ca="1" si="7"/>
        <v>8.7962962962962962E-4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input_422010!A$2</f>
        <v>422010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IFERROR(VLOOKUP(B165,input_422010!L:R,7,FALSE),VLOOKUP(tables_422010!C165,input_422010!A:H,8,FALSE))</f>
        <v>250</v>
      </c>
      <c r="P165" s="46">
        <f t="shared" ca="1" si="7"/>
        <v>4.6296296296296294E-5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input_422010!A$2</f>
        <v>422010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IFERROR(VLOOKUP(B166,input_422010!L:R,7,FALSE),VLOOKUP(tables_422010!C166,input_422010!A:H,8,FALSE))</f>
        <v>28500</v>
      </c>
      <c r="P166" s="46">
        <f t="shared" ca="1" si="7"/>
        <v>5.2777777777777779E-3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input_422010!A$2</f>
        <v>422010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IFERROR(VLOOKUP(B167,input_422010!L:R,7,FALSE),VLOOKUP(tables_422010!C167,input_422010!A:H,8,FALSE))</f>
        <v>26928.846150000001</v>
      </c>
      <c r="P167" s="46">
        <f t="shared" ca="1" si="7"/>
        <v>4.9868233611111111E-3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input_422010!A$2</f>
        <v>422010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IFERROR(VLOOKUP(B168,input_422010!L:R,7,FALSE),VLOOKUP(tables_422010!C168,input_422010!A:H,8,FALSE))</f>
        <v>1571.1538499999999</v>
      </c>
      <c r="P168" s="46">
        <f t="shared" ca="1" si="7"/>
        <v>2.9095441666666667E-4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input_422010!A$2</f>
        <v>422010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IFERROR(VLOOKUP(B169,input_422010!L:R,7,FALSE),VLOOKUP(tables_422010!C169,input_422010!A:H,8,FALSE))</f>
        <v>4750</v>
      </c>
      <c r="P169" s="46">
        <f t="shared" ca="1" si="7"/>
        <v>8.7962962962962962E-4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input_422010!A$2</f>
        <v>422010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IFERROR(VLOOKUP(B170,input_422010!L:R,7,FALSE),VLOOKUP(tables_422010!C170,input_422010!A:H,8,FALSE))</f>
        <v>250</v>
      </c>
      <c r="P170" s="46">
        <f t="shared" ca="1" si="7"/>
        <v>4.6296296296296294E-5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input_422010!A$2</f>
        <v>422010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IFERROR(VLOOKUP(B171,input_422010!L:R,7,FALSE),VLOOKUP(tables_422010!C171,input_422010!A:H,8,FALSE))</f>
        <v>28500</v>
      </c>
      <c r="P171" s="46">
        <f t="shared" ca="1" si="7"/>
        <v>5.2777777777777779E-3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input_422010!A$2</f>
        <v>422010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IFERROR(VLOOKUP(B172,input_422010!L:R,7,FALSE),VLOOKUP(tables_422010!C172,input_422010!A:H,8,FALSE))</f>
        <v>26928.846150000001</v>
      </c>
      <c r="P172" s="46">
        <f t="shared" ca="1" si="7"/>
        <v>4.9868233611111111E-3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input_422010!A$2</f>
        <v>422010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IFERROR(VLOOKUP(B173,input_422010!L:R,7,FALSE),VLOOKUP(tables_422010!C173,input_422010!A:H,8,FALSE))</f>
        <v>1571.1538499999999</v>
      </c>
      <c r="P173" s="46">
        <f t="shared" ca="1" si="7"/>
        <v>2.9095441666666667E-4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input_422010!A$2</f>
        <v>422010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IFERROR(VLOOKUP(B174,input_422010!L:R,7,FALSE),VLOOKUP(tables_422010!C174,input_422010!A:H,8,FALSE))</f>
        <v>4750</v>
      </c>
      <c r="P174" s="46">
        <f t="shared" ca="1" si="7"/>
        <v>8.7962962962962962E-4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input_422010!A$2</f>
        <v>422010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IFERROR(VLOOKUP(B175,input_422010!L:R,7,FALSE),VLOOKUP(tables_422010!C175,input_422010!A:H,8,FALSE))</f>
        <v>250</v>
      </c>
      <c r="P175" s="46">
        <f t="shared" ca="1" si="7"/>
        <v>4.6296296296296294E-5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input_422010!A$2</f>
        <v>422010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IFERROR(VLOOKUP(B176,input_422010!L:R,7,FALSE),VLOOKUP(tables_422010!C176,input_422010!A:H,8,FALSE))</f>
        <v>4750</v>
      </c>
      <c r="P176" s="46">
        <f t="shared" ca="1" si="7"/>
        <v>8.7962962962962962E-4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input_422010!A$2</f>
        <v>422010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IFERROR(VLOOKUP(B177,input_422010!L:R,7,FALSE),VLOOKUP(tables_422010!C177,input_422010!A:H,8,FALSE))</f>
        <v>250</v>
      </c>
      <c r="P177" s="46">
        <f t="shared" ca="1" si="7"/>
        <v>4.6296296296296294E-5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input_422010!A$2</f>
        <v>422010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IFERROR(VLOOKUP(B178,input_422010!L:R,7,FALSE),VLOOKUP(tables_422010!C178,input_422010!A:H,8,FALSE))</f>
        <v>28500</v>
      </c>
      <c r="P178" s="46">
        <f t="shared" ca="1" si="7"/>
        <v>5.2777777777777779E-3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input_422010!A$2</f>
        <v>422010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IFERROR(VLOOKUP(B179,input_422010!L:R,7,FALSE),VLOOKUP(tables_422010!C179,input_422010!A:H,8,FALSE))</f>
        <v>26928.846150000001</v>
      </c>
      <c r="P179" s="46">
        <f t="shared" ca="1" si="7"/>
        <v>4.9868233611111111E-3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input_422010!A$2</f>
        <v>422010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IFERROR(VLOOKUP(B180,input_422010!L:R,7,FALSE),VLOOKUP(tables_422010!C180,input_422010!A:H,8,FALSE))</f>
        <v>1571.1538499999999</v>
      </c>
      <c r="P180" s="46">
        <f t="shared" ca="1" si="7"/>
        <v>2.9095441666666667E-4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input_422010!A$2</f>
        <v>422010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IFERROR(VLOOKUP(B181,input_422010!L:R,7,FALSE),VLOOKUP(tables_422010!C181,input_422010!A:H,8,FALSE))</f>
        <v>28500</v>
      </c>
      <c r="P181" s="46">
        <f t="shared" ca="1" si="7"/>
        <v>5.2777777777777779E-3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input_422010!A$2</f>
        <v>422010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IFERROR(VLOOKUP(B182,input_422010!L:R,7,FALSE),VLOOKUP(tables_422010!C182,input_422010!A:H,8,FALSE))</f>
        <v>26928.846150000001</v>
      </c>
      <c r="P182" s="46">
        <f t="shared" ca="1" si="7"/>
        <v>4.9868233611111111E-3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input_422010!A$2</f>
        <v>422010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IFERROR(VLOOKUP(B183,input_422010!L:R,7,FALSE),VLOOKUP(tables_422010!C183,input_422010!A:H,8,FALSE))</f>
        <v>1571.1538499999999</v>
      </c>
      <c r="P183" s="46">
        <f t="shared" ca="1" si="7"/>
        <v>2.9095441666666667E-4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input_422010!A$2</f>
        <v>422010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IFERROR(VLOOKUP(B184,input_422010!L:R,7,FALSE),VLOOKUP(tables_422010!C184,input_422010!A:H,8,FALSE))</f>
        <v>4750</v>
      </c>
      <c r="P184" s="46">
        <f t="shared" ca="1" si="7"/>
        <v>8.7962962962962962E-4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input_422010!A$2</f>
        <v>422010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IFERROR(VLOOKUP(B185,input_422010!L:R,7,FALSE),VLOOKUP(tables_422010!C185,input_422010!A:H,8,FALSE))</f>
        <v>250</v>
      </c>
      <c r="P185" s="46">
        <f t="shared" ca="1" si="7"/>
        <v>4.6296296296296294E-5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input_422010!A$2</f>
        <v>422010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IFERROR(VLOOKUP(B186,input_422010!L:R,7,FALSE),VLOOKUP(tables_422010!C186,input_422010!A:H,8,FALSE))</f>
        <v>28500</v>
      </c>
      <c r="P186" s="46">
        <f t="shared" ca="1" si="7"/>
        <v>5.2777777777777779E-3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input_422010!A$2</f>
        <v>422010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IFERROR(VLOOKUP(B187,input_422010!L:R,7,FALSE),VLOOKUP(tables_422010!C187,input_422010!A:H,8,FALSE))</f>
        <v>26928.846150000001</v>
      </c>
      <c r="P187" s="46">
        <f t="shared" ca="1" si="7"/>
        <v>4.9868233611111111E-3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input_422010!A$2</f>
        <v>422010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IFERROR(VLOOKUP(B188,input_422010!L:R,7,FALSE),VLOOKUP(tables_422010!C188,input_422010!A:H,8,FALSE))</f>
        <v>1571.1538499999999</v>
      </c>
      <c r="P188" s="46">
        <f t="shared" ca="1" si="7"/>
        <v>2.9095441666666667E-4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input_422010!A$2</f>
        <v>422010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IFERROR(VLOOKUP(B189,input_422010!L:R,7,FALSE),VLOOKUP(tables_422010!C189,input_422010!A:H,8,FALSE))</f>
        <v>4750</v>
      </c>
      <c r="P189" s="46">
        <f t="shared" ca="1" si="7"/>
        <v>8.7962962962962962E-4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input_422010!A$2</f>
        <v>422010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IFERROR(VLOOKUP(B190,input_422010!L:R,7,FALSE),VLOOKUP(tables_422010!C190,input_422010!A:H,8,FALSE))</f>
        <v>250</v>
      </c>
      <c r="P190" s="46">
        <f t="shared" ca="1" si="7"/>
        <v>4.6296296296296294E-5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input_422010!A$2</f>
        <v>422010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IFERROR(VLOOKUP(B191,input_422010!L:R,7,FALSE),VLOOKUP(tables_422010!C191,input_422010!A:H,8,FALSE))</f>
        <v>4750</v>
      </c>
      <c r="P191" s="46">
        <f t="shared" ca="1" si="7"/>
        <v>8.7962962962962962E-4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input_422010!A$2</f>
        <v>422010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IFERROR(VLOOKUP(B192,input_422010!L:R,7,FALSE),VLOOKUP(tables_422010!C192,input_422010!A:H,8,FALSE))</f>
        <v>250</v>
      </c>
      <c r="P192" s="46">
        <f t="shared" ca="1" si="7"/>
        <v>4.6296296296296294E-5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input_422010!A$2</f>
        <v>422010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IFERROR(VLOOKUP(B193,input_422010!L:R,7,FALSE),VLOOKUP(tables_422010!C193,input_422010!A:H,8,FALSE))</f>
        <v>28500</v>
      </c>
      <c r="P193" s="46">
        <f t="shared" ca="1" si="7"/>
        <v>5.2777777777777779E-3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input_422010!A$2</f>
        <v>422010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IFERROR(VLOOKUP(B194,input_422010!L:R,7,FALSE),VLOOKUP(tables_422010!C194,input_422010!A:H,8,FALSE))</f>
        <v>26928.846150000001</v>
      </c>
      <c r="P194" s="46">
        <f t="shared" ref="P194:P257" ca="1" si="10">O194/SUM(O:O)</f>
        <v>4.9868233611111111E-3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input_422010!A$2</f>
        <v>422010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IFERROR(VLOOKUP(B195,input_422010!L:R,7,FALSE),VLOOKUP(tables_422010!C195,input_422010!A:H,8,FALSE))</f>
        <v>1571.1538499999999</v>
      </c>
      <c r="P195" s="46">
        <f t="shared" ca="1" si="10"/>
        <v>2.9095441666666667E-4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input_422010!A$2</f>
        <v>422010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IFERROR(VLOOKUP(B196,input_422010!L:R,7,FALSE),VLOOKUP(tables_422010!C196,input_422010!A:H,8,FALSE))</f>
        <v>4750</v>
      </c>
      <c r="P196" s="46">
        <f t="shared" ca="1" si="10"/>
        <v>8.7962962962962962E-4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input_422010!A$2</f>
        <v>422010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IFERROR(VLOOKUP(B197,input_422010!L:R,7,FALSE),VLOOKUP(tables_422010!C197,input_422010!A:H,8,FALSE))</f>
        <v>250</v>
      </c>
      <c r="P197" s="46">
        <f t="shared" ca="1" si="10"/>
        <v>4.6296296296296294E-5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input_422010!A$2</f>
        <v>422010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IFERROR(VLOOKUP(B198,input_422010!L:R,7,FALSE),VLOOKUP(tables_422010!C198,input_422010!A:H,8,FALSE))</f>
        <v>28500</v>
      </c>
      <c r="P198" s="46">
        <f t="shared" ca="1" si="10"/>
        <v>5.2777777777777779E-3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input_422010!A$2</f>
        <v>422010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IFERROR(VLOOKUP(B199,input_422010!L:R,7,FALSE),VLOOKUP(tables_422010!C199,input_422010!A:H,8,FALSE))</f>
        <v>26928.846150000001</v>
      </c>
      <c r="P199" s="46">
        <f t="shared" ca="1" si="10"/>
        <v>4.9868233611111111E-3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input_422010!A$2</f>
        <v>422010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IFERROR(VLOOKUP(B200,input_422010!L:R,7,FALSE),VLOOKUP(tables_422010!C200,input_422010!A:H,8,FALSE))</f>
        <v>1571.1538499999999</v>
      </c>
      <c r="P200" s="46">
        <f t="shared" ca="1" si="10"/>
        <v>2.9095441666666667E-4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input_422010!A$2</f>
        <v>422010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IFERROR(VLOOKUP(B201,input_422010!L:R,7,FALSE),VLOOKUP(tables_422010!C201,input_422010!A:H,8,FALSE))</f>
        <v>4750</v>
      </c>
      <c r="P201" s="46">
        <f t="shared" ca="1" si="10"/>
        <v>8.7962962962962962E-4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input_422010!A$2</f>
        <v>422010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IFERROR(VLOOKUP(B202,input_422010!L:R,7,FALSE),VLOOKUP(tables_422010!C202,input_422010!A:H,8,FALSE))</f>
        <v>250</v>
      </c>
      <c r="P202" s="46">
        <f t="shared" ca="1" si="10"/>
        <v>4.6296296296296294E-5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input_422010!A$2</f>
        <v>422010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IFERROR(VLOOKUP(B203,input_422010!L:R,7,FALSE),VLOOKUP(tables_422010!C203,input_422010!A:H,8,FALSE))</f>
        <v>28500</v>
      </c>
      <c r="P203" s="46">
        <f t="shared" ca="1" si="10"/>
        <v>5.2777777777777779E-3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input_422010!A$2</f>
        <v>422010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IFERROR(VLOOKUP(B204,input_422010!L:R,7,FALSE),VLOOKUP(tables_422010!C204,input_422010!A:H,8,FALSE))</f>
        <v>26928.846150000001</v>
      </c>
      <c r="P204" s="46">
        <f t="shared" ca="1" si="10"/>
        <v>4.9868233611111111E-3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input_422010!A$2</f>
        <v>422010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IFERROR(VLOOKUP(B205,input_422010!L:R,7,FALSE),VLOOKUP(tables_422010!C205,input_422010!A:H,8,FALSE))</f>
        <v>1571.1538499999999</v>
      </c>
      <c r="P205" s="46">
        <f t="shared" ca="1" si="10"/>
        <v>2.9095441666666667E-4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input_422010!A$2</f>
        <v>422010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IFERROR(VLOOKUP(B206,input_422010!L:R,7,FALSE),VLOOKUP(tables_422010!C206,input_422010!A:H,8,FALSE))</f>
        <v>4750</v>
      </c>
      <c r="P206" s="46">
        <f t="shared" ca="1" si="10"/>
        <v>8.7962962962962962E-4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input_422010!A$2</f>
        <v>422010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IFERROR(VLOOKUP(B207,input_422010!L:R,7,FALSE),VLOOKUP(tables_422010!C207,input_422010!A:H,8,FALSE))</f>
        <v>250</v>
      </c>
      <c r="P207" s="46">
        <f t="shared" ca="1" si="10"/>
        <v>4.6296296296296294E-5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input_422010!A$2</f>
        <v>422010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IFERROR(VLOOKUP(B208,input_422010!L:R,7,FALSE),VLOOKUP(tables_422010!C208,input_422010!A:H,8,FALSE))</f>
        <v>4750</v>
      </c>
      <c r="P208" s="46">
        <f t="shared" ca="1" si="10"/>
        <v>8.7962962962962962E-4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input_422010!A$2</f>
        <v>422010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IFERROR(VLOOKUP(B209,input_422010!L:R,7,FALSE),VLOOKUP(tables_422010!C209,input_422010!A:H,8,FALSE))</f>
        <v>250</v>
      </c>
      <c r="P209" s="46">
        <f t="shared" ca="1" si="10"/>
        <v>4.6296296296296294E-5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input_422010!A$2</f>
        <v>422010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IFERROR(VLOOKUP(B210,input_422010!L:R,7,FALSE),VLOOKUP(tables_422010!C210,input_422010!A:H,8,FALSE))</f>
        <v>28500</v>
      </c>
      <c r="P210" s="46">
        <f t="shared" ca="1" si="10"/>
        <v>5.2777777777777779E-3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input_422010!A$2</f>
        <v>422010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IFERROR(VLOOKUP(B211,input_422010!L:R,7,FALSE),VLOOKUP(tables_422010!C211,input_422010!A:H,8,FALSE))</f>
        <v>26928.846150000001</v>
      </c>
      <c r="P211" s="46">
        <f t="shared" ca="1" si="10"/>
        <v>4.9868233611111111E-3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input_422010!A$2</f>
        <v>422010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IFERROR(VLOOKUP(B212,input_422010!L:R,7,FALSE),VLOOKUP(tables_422010!C212,input_422010!A:H,8,FALSE))</f>
        <v>1571.1538499999999</v>
      </c>
      <c r="P212" s="46">
        <f t="shared" ca="1" si="10"/>
        <v>2.9095441666666667E-4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input_422010!A$2</f>
        <v>422010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IFERROR(VLOOKUP(B213,input_422010!L:R,7,FALSE),VLOOKUP(tables_422010!C213,input_422010!A:H,8,FALSE))</f>
        <v>4750</v>
      </c>
      <c r="P213" s="46">
        <f t="shared" ca="1" si="10"/>
        <v>8.7962962962962962E-4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input_422010!A$2</f>
        <v>422010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IFERROR(VLOOKUP(B214,input_422010!L:R,7,FALSE),VLOOKUP(tables_422010!C214,input_422010!A:H,8,FALSE))</f>
        <v>250</v>
      </c>
      <c r="P214" s="46">
        <f t="shared" ca="1" si="10"/>
        <v>4.6296296296296294E-5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input_422010!A$2</f>
        <v>422010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IFERROR(VLOOKUP(B215,input_422010!L:R,7,FALSE),VLOOKUP(tables_422010!C215,input_422010!A:H,8,FALSE))</f>
        <v>4750</v>
      </c>
      <c r="P215" s="46">
        <f t="shared" ca="1" si="10"/>
        <v>8.7962962962962962E-4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input_422010!A$2</f>
        <v>422010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IFERROR(VLOOKUP(B216,input_422010!L:R,7,FALSE),VLOOKUP(tables_422010!C216,input_422010!A:H,8,FALSE))</f>
        <v>250</v>
      </c>
      <c r="P216" s="46">
        <f t="shared" ca="1" si="10"/>
        <v>4.6296296296296294E-5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input_422010!A$2</f>
        <v>422010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IFERROR(VLOOKUP(B217,input_422010!L:R,7,FALSE),VLOOKUP(tables_422010!C217,input_422010!A:H,8,FALSE))</f>
        <v>28500</v>
      </c>
      <c r="P217" s="46">
        <f t="shared" ca="1" si="10"/>
        <v>5.2777777777777779E-3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input_422010!A$2</f>
        <v>422010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IFERROR(VLOOKUP(B218,input_422010!L:R,7,FALSE),VLOOKUP(tables_422010!C218,input_422010!A:H,8,FALSE))</f>
        <v>26928.846150000001</v>
      </c>
      <c r="P218" s="46">
        <f t="shared" ca="1" si="10"/>
        <v>4.9868233611111111E-3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input_422010!A$2</f>
        <v>422010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IFERROR(VLOOKUP(B219,input_422010!L:R,7,FALSE),VLOOKUP(tables_422010!C219,input_422010!A:H,8,FALSE))</f>
        <v>1571.1538499999999</v>
      </c>
      <c r="P219" s="46">
        <f t="shared" ca="1" si="10"/>
        <v>2.9095441666666667E-4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input_422010!A$2</f>
        <v>422010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IFERROR(VLOOKUP(B220,input_422010!L:R,7,FALSE),VLOOKUP(tables_422010!C220,input_422010!A:H,8,FALSE))</f>
        <v>28500</v>
      </c>
      <c r="P220" s="46">
        <f t="shared" ca="1" si="10"/>
        <v>5.2777777777777779E-3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input_422010!A$2</f>
        <v>422010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IFERROR(VLOOKUP(B221,input_422010!L:R,7,FALSE),VLOOKUP(tables_422010!C221,input_422010!A:H,8,FALSE))</f>
        <v>26928.846150000001</v>
      </c>
      <c r="P221" s="46">
        <f t="shared" ca="1" si="10"/>
        <v>4.9868233611111111E-3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input_422010!A$2</f>
        <v>422010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IFERROR(VLOOKUP(B222,input_422010!L:R,7,FALSE),VLOOKUP(tables_422010!C222,input_422010!A:H,8,FALSE))</f>
        <v>1571.1538499999999</v>
      </c>
      <c r="P222" s="46">
        <f t="shared" ca="1" si="10"/>
        <v>2.9095441666666667E-4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input_422010!A$2</f>
        <v>422010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IFERROR(VLOOKUP(B223,input_422010!L:R,7,FALSE),VLOOKUP(tables_422010!C223,input_422010!A:H,8,FALSE))</f>
        <v>4750</v>
      </c>
      <c r="P223" s="46">
        <f t="shared" ca="1" si="10"/>
        <v>8.7962962962962962E-4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input_422010!A$2</f>
        <v>422010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IFERROR(VLOOKUP(B224,input_422010!L:R,7,FALSE),VLOOKUP(tables_422010!C224,input_422010!A:H,8,FALSE))</f>
        <v>250</v>
      </c>
      <c r="P224" s="46">
        <f t="shared" ca="1" si="10"/>
        <v>4.6296296296296294E-5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input_422010!A$2</f>
        <v>422010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IFERROR(VLOOKUP(B225,input_422010!L:R,7,FALSE),VLOOKUP(tables_422010!C225,input_422010!A:H,8,FALSE))</f>
        <v>28500</v>
      </c>
      <c r="P225" s="46">
        <f t="shared" ca="1" si="10"/>
        <v>5.2777777777777779E-3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input_422010!A$2</f>
        <v>422010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IFERROR(VLOOKUP(B226,input_422010!L:R,7,FALSE),VLOOKUP(tables_422010!C226,input_422010!A:H,8,FALSE))</f>
        <v>26928.846150000001</v>
      </c>
      <c r="P226" s="46">
        <f t="shared" ca="1" si="10"/>
        <v>4.9868233611111111E-3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input_422010!A$2</f>
        <v>422010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IFERROR(VLOOKUP(B227,input_422010!L:R,7,FALSE),VLOOKUP(tables_422010!C227,input_422010!A:H,8,FALSE))</f>
        <v>1571.1538499999999</v>
      </c>
      <c r="P227" s="46">
        <f t="shared" ca="1" si="10"/>
        <v>2.9095441666666667E-4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input_422010!A$2</f>
        <v>422010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IFERROR(VLOOKUP(B228,input_422010!L:R,7,FALSE),VLOOKUP(tables_422010!C228,input_422010!A:H,8,FALSE))</f>
        <v>28500</v>
      </c>
      <c r="P228" s="46">
        <f t="shared" ca="1" si="10"/>
        <v>5.2777777777777779E-3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input_422010!A$2</f>
        <v>422010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IFERROR(VLOOKUP(B229,input_422010!L:R,7,FALSE),VLOOKUP(tables_422010!C229,input_422010!A:H,8,FALSE))</f>
        <v>26928.846150000001</v>
      </c>
      <c r="P229" s="46">
        <f t="shared" ca="1" si="10"/>
        <v>4.9868233611111111E-3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input_422010!A$2</f>
        <v>422010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IFERROR(VLOOKUP(B230,input_422010!L:R,7,FALSE),VLOOKUP(tables_422010!C230,input_422010!A:H,8,FALSE))</f>
        <v>1571.1538499999999</v>
      </c>
      <c r="P230" s="46">
        <f t="shared" ca="1" si="10"/>
        <v>2.9095441666666667E-4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input_422010!A$2</f>
        <v>422010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IFERROR(VLOOKUP(B231,input_422010!L:R,7,FALSE),VLOOKUP(tables_422010!C231,input_422010!A:H,8,FALSE))</f>
        <v>4750</v>
      </c>
      <c r="P231" s="46">
        <f t="shared" ca="1" si="10"/>
        <v>8.7962962962962962E-4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input_422010!A$2</f>
        <v>422010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IFERROR(VLOOKUP(B232,input_422010!L:R,7,FALSE),VLOOKUP(tables_422010!C232,input_422010!A:H,8,FALSE))</f>
        <v>250</v>
      </c>
      <c r="P232" s="46">
        <f t="shared" ca="1" si="10"/>
        <v>4.6296296296296294E-5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input_422010!A$2</f>
        <v>422010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IFERROR(VLOOKUP(B233,input_422010!L:R,7,FALSE),VLOOKUP(tables_422010!C233,input_422010!A:H,8,FALSE))</f>
        <v>28500</v>
      </c>
      <c r="P233" s="46">
        <f t="shared" ca="1" si="10"/>
        <v>5.2777777777777779E-3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input_422010!A$2</f>
        <v>422010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IFERROR(VLOOKUP(B234,input_422010!L:R,7,FALSE),VLOOKUP(tables_422010!C234,input_422010!A:H,8,FALSE))</f>
        <v>26928.846150000001</v>
      </c>
      <c r="P234" s="46">
        <f t="shared" ca="1" si="10"/>
        <v>4.9868233611111111E-3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input_422010!A$2</f>
        <v>422010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IFERROR(VLOOKUP(B235,input_422010!L:R,7,FALSE),VLOOKUP(tables_422010!C235,input_422010!A:H,8,FALSE))</f>
        <v>1571.1538499999999</v>
      </c>
      <c r="P235" s="46">
        <f t="shared" ca="1" si="10"/>
        <v>2.9095441666666667E-4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input_422010!A$2</f>
        <v>422010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IFERROR(VLOOKUP(B236,input_422010!L:R,7,FALSE),VLOOKUP(tables_422010!C236,input_422010!A:H,8,FALSE))</f>
        <v>4750</v>
      </c>
      <c r="P236" s="46">
        <f t="shared" ca="1" si="10"/>
        <v>8.7962962962962962E-4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input_422010!A$2</f>
        <v>422010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IFERROR(VLOOKUP(B237,input_422010!L:R,7,FALSE),VLOOKUP(tables_422010!C237,input_422010!A:H,8,FALSE))</f>
        <v>250</v>
      </c>
      <c r="P237" s="46">
        <f t="shared" ca="1" si="10"/>
        <v>4.6296296296296294E-5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input_422010!A$2</f>
        <v>422010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IFERROR(VLOOKUP(B238,input_422010!L:R,7,FALSE),VLOOKUP(tables_422010!C238,input_422010!A:H,8,FALSE))</f>
        <v>4750</v>
      </c>
      <c r="P238" s="46">
        <f t="shared" ca="1" si="10"/>
        <v>8.7962962962962962E-4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input_422010!A$2</f>
        <v>422010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IFERROR(VLOOKUP(B239,input_422010!L:R,7,FALSE),VLOOKUP(tables_422010!C239,input_422010!A:H,8,FALSE))</f>
        <v>250</v>
      </c>
      <c r="P239" s="46">
        <f t="shared" ca="1" si="10"/>
        <v>4.6296296296296294E-5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input_422010!A$2</f>
        <v>422010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IFERROR(VLOOKUP(B240,input_422010!L:R,7,FALSE),VLOOKUP(tables_422010!C240,input_422010!A:H,8,FALSE))</f>
        <v>28500</v>
      </c>
      <c r="P240" s="46">
        <f t="shared" ca="1" si="10"/>
        <v>5.2777777777777779E-3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input_422010!A$2</f>
        <v>422010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IFERROR(VLOOKUP(B241,input_422010!L:R,7,FALSE),VLOOKUP(tables_422010!C241,input_422010!A:H,8,FALSE))</f>
        <v>26928.846150000001</v>
      </c>
      <c r="P241" s="46">
        <f t="shared" ca="1" si="10"/>
        <v>4.9868233611111111E-3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input_422010!A$2</f>
        <v>422010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IFERROR(VLOOKUP(B242,input_422010!L:R,7,FALSE),VLOOKUP(tables_422010!C242,input_422010!A:H,8,FALSE))</f>
        <v>1571.1538499999999</v>
      </c>
      <c r="P242" s="46">
        <f t="shared" ca="1" si="10"/>
        <v>2.9095441666666667E-4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input_422010!A$2</f>
        <v>422010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IFERROR(VLOOKUP(B243,input_422010!L:R,7,FALSE),VLOOKUP(tables_422010!C243,input_422010!A:H,8,FALSE))</f>
        <v>28500</v>
      </c>
      <c r="P243" s="46">
        <f t="shared" ca="1" si="10"/>
        <v>5.2777777777777779E-3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input_422010!A$2</f>
        <v>422010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IFERROR(VLOOKUP(B244,input_422010!L:R,7,FALSE),VLOOKUP(tables_422010!C244,input_422010!A:H,8,FALSE))</f>
        <v>26928.846150000001</v>
      </c>
      <c r="P244" s="46">
        <f t="shared" ca="1" si="10"/>
        <v>4.9868233611111111E-3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input_422010!A$2</f>
        <v>422010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IFERROR(VLOOKUP(B245,input_422010!L:R,7,FALSE),VLOOKUP(tables_422010!C245,input_422010!A:H,8,FALSE))</f>
        <v>1571.1538499999999</v>
      </c>
      <c r="P245" s="46">
        <f t="shared" ca="1" si="10"/>
        <v>2.9095441666666667E-4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input_422010!A$2</f>
        <v>422010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IFERROR(VLOOKUP(B246,input_422010!L:R,7,FALSE),VLOOKUP(tables_422010!C246,input_422010!A:H,8,FALSE))</f>
        <v>28500</v>
      </c>
      <c r="P246" s="46">
        <f t="shared" ca="1" si="10"/>
        <v>5.2777777777777779E-3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input_422010!A$2</f>
        <v>422010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IFERROR(VLOOKUP(B247,input_422010!L:R,7,FALSE),VLOOKUP(tables_422010!C247,input_422010!A:H,8,FALSE))</f>
        <v>26928.846150000001</v>
      </c>
      <c r="P247" s="46">
        <f t="shared" ca="1" si="10"/>
        <v>4.9868233611111111E-3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input_422010!A$2</f>
        <v>422010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IFERROR(VLOOKUP(B248,input_422010!L:R,7,FALSE),VLOOKUP(tables_422010!C248,input_422010!A:H,8,FALSE))</f>
        <v>1571.1538499999999</v>
      </c>
      <c r="P248" s="46">
        <f t="shared" ca="1" si="10"/>
        <v>2.9095441666666667E-4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input_422010!A$2</f>
        <v>422010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IFERROR(VLOOKUP(B249,input_422010!L:R,7,FALSE),VLOOKUP(tables_422010!C249,input_422010!A:H,8,FALSE))</f>
        <v>28500</v>
      </c>
      <c r="P249" s="46">
        <f t="shared" ca="1" si="10"/>
        <v>5.2777777777777779E-3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input_422010!A$2</f>
        <v>422010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IFERROR(VLOOKUP(B250,input_422010!L:R,7,FALSE),VLOOKUP(tables_422010!C250,input_422010!A:H,8,FALSE))</f>
        <v>26928.846150000001</v>
      </c>
      <c r="P250" s="46">
        <f t="shared" ca="1" si="10"/>
        <v>4.9868233611111111E-3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input_422010!A$2</f>
        <v>422010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IFERROR(VLOOKUP(B251,input_422010!L:R,7,FALSE),VLOOKUP(tables_422010!C251,input_422010!A:H,8,FALSE))</f>
        <v>1571.1538499999999</v>
      </c>
      <c r="P251" s="46">
        <f t="shared" ca="1" si="10"/>
        <v>2.9095441666666667E-4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input_422010!A$2</f>
        <v>422010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IFERROR(VLOOKUP(B252,input_422010!L:R,7,FALSE),VLOOKUP(tables_422010!C252,input_422010!A:H,8,FALSE))</f>
        <v>4750</v>
      </c>
      <c r="P252" s="46">
        <f t="shared" ca="1" si="10"/>
        <v>8.7962962962962962E-4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input_422010!A$2</f>
        <v>422010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IFERROR(VLOOKUP(B253,input_422010!L:R,7,FALSE),VLOOKUP(tables_422010!C253,input_422010!A:H,8,FALSE))</f>
        <v>250</v>
      </c>
      <c r="P253" s="46">
        <f t="shared" ca="1" si="10"/>
        <v>4.6296296296296294E-5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input_422010!A$2</f>
        <v>422010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IFERROR(VLOOKUP(B254,input_422010!L:R,7,FALSE),VLOOKUP(tables_422010!C254,input_422010!A:H,8,FALSE))</f>
        <v>4750</v>
      </c>
      <c r="P254" s="46">
        <f t="shared" ca="1" si="10"/>
        <v>8.7962962962962962E-4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input_422010!A$2</f>
        <v>422010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IFERROR(VLOOKUP(B255,input_422010!L:R,7,FALSE),VLOOKUP(tables_422010!C255,input_422010!A:H,8,FALSE))</f>
        <v>250</v>
      </c>
      <c r="P255" s="46">
        <f t="shared" ca="1" si="10"/>
        <v>4.6296296296296294E-5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input_422010!A$2</f>
        <v>422010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IFERROR(VLOOKUP(B256,input_422010!L:R,7,FALSE),VLOOKUP(tables_422010!C256,input_422010!A:H,8,FALSE))</f>
        <v>54150</v>
      </c>
      <c r="P256" s="46">
        <f t="shared" ca="1" si="10"/>
        <v>1.0027777777777778E-2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input_422010!A$2</f>
        <v>422010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IFERROR(VLOOKUP(B257,input_422010!L:R,7,FALSE),VLOOKUP(tables_422010!C257,input_422010!A:H,8,FALSE))</f>
        <v>2850</v>
      </c>
      <c r="P257" s="46">
        <f t="shared" ca="1" si="10"/>
        <v>5.2777777777777773E-4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input_422010!A$2</f>
        <v>422010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IFERROR(VLOOKUP(B258,input_422010!L:R,7,FALSE),VLOOKUP(tables_422010!C258,input_422010!A:H,8,FALSE))</f>
        <v>54150</v>
      </c>
      <c r="P258" s="46">
        <f t="shared" ref="P258:P294" ca="1" si="13">O258/SUM(O:O)</f>
        <v>1.0027777777777778E-2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input_422010!A$2</f>
        <v>422010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IFERROR(VLOOKUP(B259,input_422010!L:R,7,FALSE),VLOOKUP(tables_422010!C259,input_422010!A:H,8,FALSE))</f>
        <v>2850</v>
      </c>
      <c r="P259" s="46">
        <f t="shared" ca="1" si="13"/>
        <v>5.2777777777777773E-4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input_422010!A$2</f>
        <v>422010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IFERROR(VLOOKUP(B260,input_422010!L:R,7,FALSE),VLOOKUP(tables_422010!C260,input_422010!A:H,8,FALSE))</f>
        <v>5000</v>
      </c>
      <c r="P260" s="46">
        <f t="shared" ca="1" si="13"/>
        <v>9.2592592592592596E-4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input_422010!A$2</f>
        <v>422010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IFERROR(VLOOKUP(B261,input_422010!L:R,7,FALSE),VLOOKUP(tables_422010!C261,input_422010!A:H,8,FALSE))</f>
        <v>5000</v>
      </c>
      <c r="P261" s="46">
        <f t="shared" ca="1" si="13"/>
        <v>9.2592592592592596E-4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input_422010!A$2</f>
        <v>422010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IFERROR(VLOOKUP(B262,input_422010!L:R,7,FALSE),VLOOKUP(tables_422010!C262,input_422010!A:H,8,FALSE))</f>
        <v>4750</v>
      </c>
      <c r="P262" s="46">
        <f t="shared" ca="1" si="13"/>
        <v>8.7962962962962962E-4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input_422010!A$2</f>
        <v>422010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IFERROR(VLOOKUP(B263,input_422010!L:R,7,FALSE),VLOOKUP(tables_422010!C263,input_422010!A:H,8,FALSE))</f>
        <v>250</v>
      </c>
      <c r="P263" s="46">
        <f t="shared" ca="1" si="13"/>
        <v>4.6296296296296294E-5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input_422010!A$2</f>
        <v>422010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IFERROR(VLOOKUP(B264,input_422010!L:R,7,FALSE),VLOOKUP(tables_422010!C264,input_422010!A:H,8,FALSE))</f>
        <v>4750</v>
      </c>
      <c r="P264" s="46">
        <f t="shared" ca="1" si="13"/>
        <v>8.7962962962962962E-4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input_422010!A$2</f>
        <v>422010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IFERROR(VLOOKUP(B265,input_422010!L:R,7,FALSE),VLOOKUP(tables_422010!C265,input_422010!A:H,8,FALSE))</f>
        <v>250</v>
      </c>
      <c r="P265" s="46">
        <f t="shared" ca="1" si="13"/>
        <v>4.6296296296296294E-5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input_422010!A$2</f>
        <v>422010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IFERROR(VLOOKUP(B266,input_422010!L:R,7,FALSE),VLOOKUP(tables_422010!C266,input_422010!A:H,8,FALSE))</f>
        <v>28500</v>
      </c>
      <c r="P266" s="46">
        <f t="shared" ca="1" si="13"/>
        <v>5.2777777777777779E-3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input_422010!A$2</f>
        <v>422010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IFERROR(VLOOKUP(B267,input_422010!L:R,7,FALSE),VLOOKUP(tables_422010!C267,input_422010!A:H,8,FALSE))</f>
        <v>26928.846150000001</v>
      </c>
      <c r="P267" s="46">
        <f t="shared" ca="1" si="13"/>
        <v>4.9868233611111111E-3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input_422010!A$2</f>
        <v>422010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IFERROR(VLOOKUP(B268,input_422010!L:R,7,FALSE),VLOOKUP(tables_422010!C268,input_422010!A:H,8,FALSE))</f>
        <v>1571.1538499999999</v>
      </c>
      <c r="P268" s="46">
        <f t="shared" ca="1" si="13"/>
        <v>2.9095441666666667E-4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input_422010!A$2</f>
        <v>422010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IFERROR(VLOOKUP(B269,input_422010!L:R,7,FALSE),VLOOKUP(tables_422010!C269,input_422010!A:H,8,FALSE))</f>
        <v>28500</v>
      </c>
      <c r="P269" s="46">
        <f t="shared" ca="1" si="13"/>
        <v>5.2777777777777779E-3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input_422010!A$2</f>
        <v>422010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IFERROR(VLOOKUP(B270,input_422010!L:R,7,FALSE),VLOOKUP(tables_422010!C270,input_422010!A:H,8,FALSE))</f>
        <v>26928.846150000001</v>
      </c>
      <c r="P270" s="46">
        <f t="shared" ca="1" si="13"/>
        <v>4.9868233611111111E-3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input_422010!A$2</f>
        <v>422010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IFERROR(VLOOKUP(B271,input_422010!L:R,7,FALSE),VLOOKUP(tables_422010!C271,input_422010!A:H,8,FALSE))</f>
        <v>1571.1538499999999</v>
      </c>
      <c r="P271" s="46">
        <f t="shared" ca="1" si="13"/>
        <v>2.9095441666666667E-4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input_422010!A$2</f>
        <v>422010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IFERROR(VLOOKUP(B272,input_422010!L:R,7,FALSE),VLOOKUP(tables_422010!C272,input_422010!A:H,8,FALSE))</f>
        <v>5000</v>
      </c>
      <c r="P272" s="46">
        <f t="shared" ca="1" si="13"/>
        <v>9.2592592592592596E-4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input_422010!A$2</f>
        <v>422010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IFERROR(VLOOKUP(B273,input_422010!L:R,7,FALSE),VLOOKUP(tables_422010!C273,input_422010!A:H,8,FALSE))</f>
        <v>5000</v>
      </c>
      <c r="P273" s="46">
        <f t="shared" ca="1" si="13"/>
        <v>9.2592592592592596E-4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input_422010!A$2</f>
        <v>422010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IFERROR(VLOOKUP(B274,input_422010!L:R,7,FALSE),VLOOKUP(tables_422010!C274,input_422010!A:H,8,FALSE))</f>
        <v>54150</v>
      </c>
      <c r="P274" s="46">
        <f t="shared" ca="1" si="13"/>
        <v>1.0027777777777778E-2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input_422010!A$2</f>
        <v>422010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IFERROR(VLOOKUP(B275,input_422010!L:R,7,FALSE),VLOOKUP(tables_422010!C275,input_422010!A:H,8,FALSE))</f>
        <v>2850</v>
      </c>
      <c r="P275" s="46">
        <f t="shared" ca="1" si="13"/>
        <v>5.2777777777777773E-4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input_422010!A$2</f>
        <v>422010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IFERROR(VLOOKUP(B276,input_422010!L:R,7,FALSE),VLOOKUP(tables_422010!C276,input_422010!A:H,8,FALSE))</f>
        <v>54150</v>
      </c>
      <c r="P276" s="46">
        <f t="shared" ca="1" si="13"/>
        <v>1.0027777777777778E-2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input_422010!A$2</f>
        <v>422010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IFERROR(VLOOKUP(B277,input_422010!L:R,7,FALSE),VLOOKUP(tables_422010!C277,input_422010!A:H,8,FALSE))</f>
        <v>2850</v>
      </c>
      <c r="P277" s="46">
        <f t="shared" ca="1" si="13"/>
        <v>5.2777777777777773E-4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input_422010!A$2</f>
        <v>422010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IFERROR(VLOOKUP(B278,input_422010!L:R,7,FALSE),VLOOKUP(tables_422010!C278,input_422010!A:H,8,FALSE))</f>
        <v>54150</v>
      </c>
      <c r="P278" s="46">
        <f t="shared" ca="1" si="13"/>
        <v>1.0027777777777778E-2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input_422010!A$2</f>
        <v>422010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IFERROR(VLOOKUP(B279,input_422010!L:R,7,FALSE),VLOOKUP(tables_422010!C279,input_422010!A:H,8,FALSE))</f>
        <v>2850</v>
      </c>
      <c r="P279" s="46">
        <f t="shared" ca="1" si="13"/>
        <v>5.2777777777777773E-4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input_422010!A$2</f>
        <v>422010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IFERROR(VLOOKUP(B280,input_422010!L:R,7,FALSE),VLOOKUP(tables_422010!C280,input_422010!A:H,8,FALSE))</f>
        <v>54150</v>
      </c>
      <c r="P280" s="46">
        <f t="shared" ca="1" si="13"/>
        <v>1.0027777777777778E-2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input_422010!A$2</f>
        <v>422010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IFERROR(VLOOKUP(B281,input_422010!L:R,7,FALSE),VLOOKUP(tables_422010!C281,input_422010!A:H,8,FALSE))</f>
        <v>2850</v>
      </c>
      <c r="P281" s="46">
        <f t="shared" ca="1" si="13"/>
        <v>5.2777777777777773E-4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input_422010!A$2</f>
        <v>422010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IFERROR(VLOOKUP(B282,input_422010!L:R,7,FALSE),VLOOKUP(tables_422010!C282,input_422010!A:H,8,FALSE))</f>
        <v>5000</v>
      </c>
      <c r="P282" s="46">
        <f t="shared" ca="1" si="13"/>
        <v>9.2592592592592596E-4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input_422010!A$2</f>
        <v>422010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IFERROR(VLOOKUP(B283,input_422010!L:R,7,FALSE),VLOOKUP(tables_422010!C283,input_422010!A:H,8,FALSE))</f>
        <v>5000</v>
      </c>
      <c r="P283" s="46">
        <f t="shared" ca="1" si="13"/>
        <v>9.2592592592592596E-4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input_422010!A$2</f>
        <v>422010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IFERROR(VLOOKUP(B284,input_422010!L:R,7,FALSE),VLOOKUP(tables_422010!C284,input_422010!A:H,8,FALSE))</f>
        <v>5000</v>
      </c>
      <c r="P284" s="46">
        <f t="shared" ca="1" si="13"/>
        <v>9.2592592592592596E-4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input_422010!A$2</f>
        <v>422010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IFERROR(VLOOKUP(B285,input_422010!L:R,7,FALSE),VLOOKUP(tables_422010!C285,input_422010!A:H,8,FALSE))</f>
        <v>5000</v>
      </c>
      <c r="P285" s="46">
        <f t="shared" ca="1" si="13"/>
        <v>9.2592592592592596E-4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input_422010!A$2</f>
        <v>422010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IFERROR(VLOOKUP(B286,input_422010!L:R,7,FALSE),VLOOKUP(tables_422010!C286,input_422010!A:H,8,FALSE))</f>
        <v>54150</v>
      </c>
      <c r="P286" s="46">
        <f t="shared" ca="1" si="13"/>
        <v>1.0027777777777778E-2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input_422010!A$2</f>
        <v>422010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IFERROR(VLOOKUP(B287,input_422010!L:R,7,FALSE),VLOOKUP(tables_422010!C287,input_422010!A:H,8,FALSE))</f>
        <v>2850</v>
      </c>
      <c r="P287" s="46">
        <f t="shared" ca="1" si="13"/>
        <v>5.2777777777777773E-4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input_422010!A$2</f>
        <v>422010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IFERROR(VLOOKUP(B288,input_422010!L:R,7,FALSE),VLOOKUP(tables_422010!C288,input_422010!A:H,8,FALSE))</f>
        <v>54150</v>
      </c>
      <c r="P288" s="46">
        <f t="shared" ca="1" si="13"/>
        <v>1.0027777777777778E-2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input_422010!A$2</f>
        <v>422010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IFERROR(VLOOKUP(B289,input_422010!L:R,7,FALSE),VLOOKUP(tables_422010!C289,input_422010!A:H,8,FALSE))</f>
        <v>2850</v>
      </c>
      <c r="P289" s="46">
        <f t="shared" ca="1" si="13"/>
        <v>5.2777777777777773E-4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input_422010!A$2</f>
        <v>422010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IFERROR(VLOOKUP(B290,input_422010!L:R,7,FALSE),VLOOKUP(tables_422010!C290,input_422010!A:H,8,FALSE))</f>
        <v>5000</v>
      </c>
      <c r="P290" s="46">
        <f t="shared" ca="1" si="13"/>
        <v>9.2592592592592596E-4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input_422010!A$2</f>
        <v>422010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IFERROR(VLOOKUP(B291,input_422010!L:R,7,FALSE),VLOOKUP(tables_422010!C291,input_422010!A:H,8,FALSE))</f>
        <v>54150</v>
      </c>
      <c r="P291" s="46">
        <f t="shared" ca="1" si="13"/>
        <v>1.0027777777777778E-2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input_422010!A$2</f>
        <v>422010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IFERROR(VLOOKUP(B292,input_422010!L:R,7,FALSE),VLOOKUP(tables_422010!C292,input_422010!A:H,8,FALSE))</f>
        <v>2850</v>
      </c>
      <c r="P292" s="46">
        <f t="shared" ca="1" si="13"/>
        <v>5.2777777777777773E-4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input_422010!A$2</f>
        <v>422010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IFERROR(VLOOKUP(B293,input_422010!L:R,7,FALSE),VLOOKUP(tables_422010!C293,input_422010!A:H,8,FALSE))</f>
        <v>5000</v>
      </c>
      <c r="P293" s="46">
        <f t="shared" ca="1" si="13"/>
        <v>9.2592592592592596E-4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input_422010!A$2</f>
        <v>422010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IFERROR(VLOOKUP(B294,input_422010!L:R,7,FALSE),VLOOKUP(tables_422010!C294,input_422010!A:H,8,FALSE))</f>
        <v>5000</v>
      </c>
      <c r="P294" s="46">
        <f t="shared" ca="1" si="13"/>
        <v>9.2592592592592596E-4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input_422010!A$2</f>
        <v>422010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IFERROR(VLOOKUP(B295,input_422010!L:R,7,FALSE),VLOOKUP(tables_422010!C295,input_422010!A:H,8,FALSE))</f>
        <v>5000</v>
      </c>
      <c r="P295" s="46">
        <f t="shared" ref="P295:P299" ca="1" si="18">O295/SUM(O:O)</f>
        <v>9.2592592592592596E-4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input_422010!A$2</f>
        <v>422010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IFERROR(VLOOKUP(B296,input_422010!L:R,7,FALSE),VLOOKUP(tables_422010!C296,input_422010!A:H,8,FALSE))</f>
        <v>5000</v>
      </c>
      <c r="P296" s="46">
        <f t="shared" ca="1" si="18"/>
        <v>9.2592592592592596E-4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input_422010!A$2</f>
        <v>422010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IFERROR(VLOOKUP(B297,input_422010!L:R,7,FALSE),VLOOKUP(tables_422010!C297,input_422010!A:H,8,FALSE))</f>
        <v>54150</v>
      </c>
      <c r="P297" s="46">
        <f t="shared" ca="1" si="18"/>
        <v>1.0027777777777778E-2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input_422010!A$2</f>
        <v>422010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IFERROR(VLOOKUP(B298,input_422010!L:R,7,FALSE),VLOOKUP(tables_422010!C298,input_422010!A:H,8,FALSE))</f>
        <v>2850</v>
      </c>
      <c r="P298" s="46">
        <f t="shared" ca="1" si="18"/>
        <v>5.2777777777777773E-4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input_422010!A$2</f>
        <v>422010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IFERROR(VLOOKUP(B299,input_422010!L:R,7,FALSE),VLOOKUP(tables_422010!C299,input_422010!A:H,8,FALSE))</f>
        <v>5000</v>
      </c>
      <c r="P299" s="46">
        <f t="shared" ca="1" si="18"/>
        <v>9.2592592592592596E-4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input_422010!A$2</f>
        <v>422010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IFERROR(VLOOKUP(B300,input_422010!L:R,7,FALSE),VLOOKUP(tables_422010!C300,input_422010!A:H,8,FALSE))</f>
        <v>54150</v>
      </c>
      <c r="P300" s="46">
        <f t="shared" ref="P300:P304" ca="1" si="20">O300/SUM(O:O)</f>
        <v>1.0027777777777778E-2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input_422010!A$2</f>
        <v>422010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IFERROR(VLOOKUP(B301,input_422010!L:R,7,FALSE),VLOOKUP(tables_422010!C301,input_422010!A:H,8,FALSE))</f>
        <v>2850</v>
      </c>
      <c r="P301" s="46">
        <f t="shared" ca="1" si="20"/>
        <v>5.2777777777777773E-4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input_422010!A$2</f>
        <v>422010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IFERROR(VLOOKUP(B302,input_422010!L:R,7,FALSE),VLOOKUP(tables_422010!C302,input_422010!A:H,8,FALSE))</f>
        <v>5000</v>
      </c>
      <c r="P302" s="46">
        <f t="shared" ca="1" si="20"/>
        <v>9.2592592592592596E-4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input_422010!A$2</f>
        <v>422010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IFERROR(VLOOKUP(B303,input_422010!L:R,7,FALSE),VLOOKUP(tables_422010!C303,input_422010!A:H,8,FALSE))</f>
        <v>5000</v>
      </c>
      <c r="P303" s="46">
        <f t="shared" ca="1" si="20"/>
        <v>9.2592592592592596E-4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input_422010!A$2</f>
        <v>422010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IFERROR(VLOOKUP(B304,input_422010!L:R,7,FALSE),VLOOKUP(tables_422010!C304,input_422010!A:H,8,FALSE))</f>
        <v>5000</v>
      </c>
      <c r="P304" s="46">
        <f t="shared" ca="1" si="20"/>
        <v>9.2592592592592596E-4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input_422010!A$2</f>
        <v>422010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IFERROR(VLOOKUP(B305,input_422010!L:R,7,FALSE),VLOOKUP(tables_422010!C305,input_422010!A:H,8,FALSE))</f>
        <v>54150</v>
      </c>
      <c r="P305" s="46">
        <f t="shared" ref="P305:P309" ca="1" si="22">O305/SUM(O:O)</f>
        <v>1.0027777777777778E-2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input_422010!A$2</f>
        <v>422010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IFERROR(VLOOKUP(B306,input_422010!L:R,7,FALSE),VLOOKUP(tables_422010!C306,input_422010!A:H,8,FALSE))</f>
        <v>2850</v>
      </c>
      <c r="P306" s="46">
        <f t="shared" ca="1" si="22"/>
        <v>5.2777777777777773E-4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input_422010!A$2</f>
        <v>422010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IFERROR(VLOOKUP(B307,input_422010!L:R,7,FALSE),VLOOKUP(tables_422010!C307,input_422010!A:H,8,FALSE))</f>
        <v>5000</v>
      </c>
      <c r="P307" s="46">
        <f t="shared" ca="1" si="22"/>
        <v>9.2592592592592596E-4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input_422010!A$2</f>
        <v>422010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IFERROR(VLOOKUP(B308,input_422010!L:R,7,FALSE),VLOOKUP(tables_422010!C308,input_422010!A:H,8,FALSE))</f>
        <v>5000</v>
      </c>
      <c r="P308" s="46">
        <f t="shared" ca="1" si="22"/>
        <v>9.2592592592592596E-4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input_422010!A$2</f>
        <v>422010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IFERROR(VLOOKUP(B309,input_422010!L:R,7,FALSE),VLOOKUP(tables_422010!C309,input_422010!A:H,8,FALSE))</f>
        <v>5000</v>
      </c>
      <c r="P309" s="46">
        <f t="shared" ca="1" si="22"/>
        <v>9.2592592592592596E-4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input_422010!A$2</f>
        <v>422010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IFERROR(VLOOKUP(B310,input_422010!L:R,7,FALSE),VLOOKUP(tables_422010!C310,input_422010!A:H,8,FALSE))</f>
        <v>54150</v>
      </c>
      <c r="P310" s="46">
        <f t="shared" ref="P310:P314" ca="1" si="25">O310/SUM(O:O)</f>
        <v>1.0027777777777778E-2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input_422010!A$2</f>
        <v>422010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IFERROR(VLOOKUP(B311,input_422010!L:R,7,FALSE),VLOOKUP(tables_422010!C311,input_422010!A:H,8,FALSE))</f>
        <v>2850</v>
      </c>
      <c r="P311" s="46">
        <f t="shared" ca="1" si="25"/>
        <v>5.2777777777777773E-4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input_422010!A$2</f>
        <v>422010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IFERROR(VLOOKUP(B312,input_422010!L:R,7,FALSE),VLOOKUP(tables_422010!C312,input_422010!A:H,8,FALSE))</f>
        <v>5000</v>
      </c>
      <c r="P312" s="46">
        <f t="shared" ca="1" si="25"/>
        <v>9.2592592592592596E-4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input_422010!A$2</f>
        <v>422010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IFERROR(VLOOKUP(B313,input_422010!L:R,7,FALSE),VLOOKUP(tables_422010!C313,input_422010!A:H,8,FALSE))</f>
        <v>5000</v>
      </c>
      <c r="P313" s="46">
        <f t="shared" ca="1" si="25"/>
        <v>9.2592592592592596E-4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input_422010!A$2</f>
        <v>422010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IFERROR(VLOOKUP(B314,input_422010!L:R,7,FALSE),VLOOKUP(tables_422010!C314,input_422010!A:H,8,FALSE))</f>
        <v>5000</v>
      </c>
      <c r="P314" s="46">
        <f t="shared" ca="1" si="25"/>
        <v>9.2592592592592596E-4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input_422010!A$2</f>
        <v>422010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IFERROR(VLOOKUP(B315,input_422010!L:R,7,FALSE),VLOOKUP(tables_422010!C315,input_422010!A:H,8,FALSE))</f>
        <v>5000</v>
      </c>
      <c r="P315" s="46">
        <f t="shared" ref="P315:P319" ca="1" si="28">O315/SUM(O:O)</f>
        <v>9.2592592592592596E-4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input_422010!A$2</f>
        <v>422010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IFERROR(VLOOKUP(B316,input_422010!L:R,7,FALSE),VLOOKUP(tables_422010!C316,input_422010!A:H,8,FALSE))</f>
        <v>5000</v>
      </c>
      <c r="P316" s="46">
        <f t="shared" ca="1" si="28"/>
        <v>9.2592592592592596E-4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input_422010!A$2</f>
        <v>422010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IFERROR(VLOOKUP(B317,input_422010!L:R,7,FALSE),VLOOKUP(tables_422010!C317,input_422010!A:H,8,FALSE))</f>
        <v>5000</v>
      </c>
      <c r="P317" s="46">
        <f t="shared" ca="1" si="28"/>
        <v>9.2592592592592596E-4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input_422010!A$2</f>
        <v>422010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IFERROR(VLOOKUP(B318,input_422010!L:R,7,FALSE),VLOOKUP(tables_422010!C318,input_422010!A:H,8,FALSE))</f>
        <v>54150</v>
      </c>
      <c r="P318" s="46">
        <f t="shared" ca="1" si="28"/>
        <v>1.0027777777777778E-2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input_422010!A$2</f>
        <v>422010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IFERROR(VLOOKUP(B319,input_422010!L:R,7,FALSE),VLOOKUP(tables_422010!C319,input_422010!A:H,8,FALSE))</f>
        <v>2850</v>
      </c>
      <c r="P319" s="46">
        <f t="shared" ca="1" si="28"/>
        <v>5.2777777777777773E-4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B315" sqref="B315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input_422011!A$2</f>
        <v>422011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IFERROR(VLOOKUP(B2,input_422011!L:R,7,FALSE),VLOOKUP(tables_422011!C2,input_422011!A:H,8,FALSE))</f>
        <v>53520</v>
      </c>
      <c r="P2" s="46">
        <f t="shared" ref="P2:P65" ca="1" si="1">O2/SUM(O:O)</f>
        <v>9.9111111111111119E-3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input_422011!A$2</f>
        <v>422011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IFERROR(VLOOKUP(B3,input_422011!L:R,7,FALSE),VLOOKUP(tables_422011!C3,input_422011!A:H,8,FALSE))</f>
        <v>4680</v>
      </c>
      <c r="P3" s="46">
        <f t="shared" ca="1" si="1"/>
        <v>8.6666666666666663E-4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input_422011!A$2</f>
        <v>422011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IFERROR(VLOOKUP(B4,input_422011!L:R,7,FALSE),VLOOKUP(tables_422011!C4,input_422011!A:H,8,FALSE))</f>
        <v>53520</v>
      </c>
      <c r="P4" s="46">
        <f t="shared" ca="1" si="1"/>
        <v>9.9111111111111119E-3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input_422011!A$2</f>
        <v>422011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IFERROR(VLOOKUP(B5,input_422011!L:R,7,FALSE),VLOOKUP(tables_422011!C5,input_422011!A:H,8,FALSE))</f>
        <v>4680</v>
      </c>
      <c r="P5" s="46">
        <f t="shared" ca="1" si="1"/>
        <v>8.6666666666666663E-4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input_422011!A$2</f>
        <v>422011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IFERROR(VLOOKUP(B6,input_422011!L:R,7,FALSE),VLOOKUP(tables_422011!C6,input_422011!A:H,8,FALSE))</f>
        <v>53520</v>
      </c>
      <c r="P6" s="46">
        <f t="shared" ca="1" si="1"/>
        <v>9.9111111111111119E-3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input_422011!A$2</f>
        <v>422011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IFERROR(VLOOKUP(B7,input_422011!L:R,7,FALSE),VLOOKUP(tables_422011!C7,input_422011!A:H,8,FALSE))</f>
        <v>4680</v>
      </c>
      <c r="P7" s="46">
        <f t="shared" ca="1" si="1"/>
        <v>8.6666666666666663E-4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input_422011!A$2</f>
        <v>422011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IFERROR(VLOOKUP(B8,input_422011!L:R,7,FALSE),VLOOKUP(tables_422011!C8,input_422011!A:H,8,FALSE))</f>
        <v>53520</v>
      </c>
      <c r="P8" s="46">
        <f t="shared" ca="1" si="1"/>
        <v>9.9111111111111119E-3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input_422011!A$2</f>
        <v>422011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IFERROR(VLOOKUP(B9,input_422011!L:R,7,FALSE),VLOOKUP(tables_422011!C9,input_422011!A:H,8,FALSE))</f>
        <v>4680</v>
      </c>
      <c r="P9" s="46">
        <f t="shared" ca="1" si="1"/>
        <v>8.6666666666666663E-4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input_422011!A$2</f>
        <v>422011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IFERROR(VLOOKUP(B10,input_422011!L:R,7,FALSE),VLOOKUP(tables_422011!C10,input_422011!A:H,8,FALSE))</f>
        <v>53520</v>
      </c>
      <c r="P10" s="46">
        <f t="shared" ca="1" si="1"/>
        <v>9.9111111111111119E-3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input_422011!A$2</f>
        <v>422011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IFERROR(VLOOKUP(B11,input_422011!L:R,7,FALSE),VLOOKUP(tables_422011!C11,input_422011!A:H,8,FALSE))</f>
        <v>4680</v>
      </c>
      <c r="P11" s="46">
        <f t="shared" ca="1" si="1"/>
        <v>8.6666666666666663E-4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input_422011!A$2</f>
        <v>422011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IFERROR(VLOOKUP(B12,input_422011!L:R,7,FALSE),VLOOKUP(tables_422011!C12,input_422011!A:H,8,FALSE))</f>
        <v>53520</v>
      </c>
      <c r="P12" s="46">
        <f t="shared" ca="1" si="1"/>
        <v>9.9111111111111119E-3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input_422011!A$2</f>
        <v>422011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IFERROR(VLOOKUP(B13,input_422011!L:R,7,FALSE),VLOOKUP(tables_422011!C13,input_422011!A:H,8,FALSE))</f>
        <v>4680</v>
      </c>
      <c r="P13" s="46">
        <f t="shared" ca="1" si="1"/>
        <v>8.6666666666666663E-4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input_422011!A$2</f>
        <v>422011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IFERROR(VLOOKUP(B14,input_422011!L:R,7,FALSE),VLOOKUP(tables_422011!C14,input_422011!A:H,8,FALSE))</f>
        <v>53520</v>
      </c>
      <c r="P14" s="46">
        <f t="shared" ca="1" si="1"/>
        <v>9.9111111111111119E-3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input_422011!A$2</f>
        <v>422011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IFERROR(VLOOKUP(B15,input_422011!L:R,7,FALSE),VLOOKUP(tables_422011!C15,input_422011!A:H,8,FALSE))</f>
        <v>4680</v>
      </c>
      <c r="P15" s="46">
        <f t="shared" ca="1" si="1"/>
        <v>8.6666666666666663E-4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input_422011!A$2</f>
        <v>422011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IFERROR(VLOOKUP(B16,input_422011!L:R,7,FALSE),VLOOKUP(tables_422011!C16,input_422011!A:H,8,FALSE))</f>
        <v>53520</v>
      </c>
      <c r="P16" s="46">
        <f t="shared" ca="1" si="1"/>
        <v>9.9111111111111119E-3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input_422011!A$2</f>
        <v>422011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IFERROR(VLOOKUP(B17,input_422011!L:R,7,FALSE),VLOOKUP(tables_422011!C17,input_422011!A:H,8,FALSE))</f>
        <v>4680</v>
      </c>
      <c r="P17" s="46">
        <f t="shared" ca="1" si="1"/>
        <v>8.6666666666666663E-4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input_422011!A$2</f>
        <v>422011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IFERROR(VLOOKUP(B18,input_422011!L:R,7,FALSE),VLOOKUP(tables_422011!C18,input_422011!A:H,8,FALSE))</f>
        <v>53520</v>
      </c>
      <c r="P18" s="46">
        <f t="shared" ca="1" si="1"/>
        <v>9.9111111111111119E-3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input_422011!A$2</f>
        <v>422011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IFERROR(VLOOKUP(B19,input_422011!L:R,7,FALSE),VLOOKUP(tables_422011!C19,input_422011!A:H,8,FALSE))</f>
        <v>4680</v>
      </c>
      <c r="P19" s="46">
        <f t="shared" ca="1" si="1"/>
        <v>8.6666666666666663E-4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input_422011!A$2</f>
        <v>422011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IFERROR(VLOOKUP(B20,input_422011!L:R,7,FALSE),VLOOKUP(tables_422011!C20,input_422011!A:H,8,FALSE))</f>
        <v>53520</v>
      </c>
      <c r="P20" s="46">
        <f t="shared" ca="1" si="1"/>
        <v>9.9111111111111119E-3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input_422011!A$2</f>
        <v>422011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IFERROR(VLOOKUP(B21,input_422011!L:R,7,FALSE),VLOOKUP(tables_422011!C21,input_422011!A:H,8,FALSE))</f>
        <v>4680</v>
      </c>
      <c r="P21" s="46">
        <f t="shared" ca="1" si="1"/>
        <v>8.6666666666666663E-4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input_422011!A$2</f>
        <v>422011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IFERROR(VLOOKUP(B22,input_422011!L:R,7,FALSE),VLOOKUP(tables_422011!C22,input_422011!A:H,8,FALSE))</f>
        <v>53520</v>
      </c>
      <c r="P22" s="46">
        <f t="shared" ca="1" si="1"/>
        <v>9.9111111111111119E-3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input_422011!A$2</f>
        <v>422011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IFERROR(VLOOKUP(B23,input_422011!L:R,7,FALSE),VLOOKUP(tables_422011!C23,input_422011!A:H,8,FALSE))</f>
        <v>4680</v>
      </c>
      <c r="P23" s="46">
        <f t="shared" ca="1" si="1"/>
        <v>8.6666666666666663E-4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input_422011!A$2</f>
        <v>422011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IFERROR(VLOOKUP(B24,input_422011!L:R,7,FALSE),VLOOKUP(tables_422011!C24,input_422011!A:H,8,FALSE))</f>
        <v>53520</v>
      </c>
      <c r="P24" s="46">
        <f t="shared" ca="1" si="1"/>
        <v>9.9111111111111119E-3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input_422011!A$2</f>
        <v>422011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IFERROR(VLOOKUP(B25,input_422011!L:R,7,FALSE),VLOOKUP(tables_422011!C25,input_422011!A:H,8,FALSE))</f>
        <v>4680</v>
      </c>
      <c r="P25" s="46">
        <f t="shared" ca="1" si="1"/>
        <v>8.6666666666666663E-4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input_422011!A$2</f>
        <v>422011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IFERROR(VLOOKUP(B26,input_422011!L:R,7,FALSE),VLOOKUP(tables_422011!C26,input_422011!A:H,8,FALSE))</f>
        <v>53520</v>
      </c>
      <c r="P26" s="46">
        <f t="shared" ca="1" si="1"/>
        <v>9.9111111111111119E-3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input_422011!A$2</f>
        <v>422011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IFERROR(VLOOKUP(B27,input_422011!L:R,7,FALSE),VLOOKUP(tables_422011!C27,input_422011!A:H,8,FALSE))</f>
        <v>4680</v>
      </c>
      <c r="P27" s="46">
        <f t="shared" ca="1" si="1"/>
        <v>8.6666666666666663E-4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input_422011!A$2</f>
        <v>422011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IFERROR(VLOOKUP(B28,input_422011!L:R,7,FALSE),VLOOKUP(tables_422011!C28,input_422011!A:H,8,FALSE))</f>
        <v>53520</v>
      </c>
      <c r="P28" s="46">
        <f t="shared" ca="1" si="1"/>
        <v>9.9111111111111119E-3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input_422011!A$2</f>
        <v>422011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IFERROR(VLOOKUP(B29,input_422011!L:R,7,FALSE),VLOOKUP(tables_422011!C29,input_422011!A:H,8,FALSE))</f>
        <v>4680</v>
      </c>
      <c r="P29" s="46">
        <f t="shared" ca="1" si="1"/>
        <v>8.6666666666666663E-4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input_422011!A$2</f>
        <v>422011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IFERROR(VLOOKUP(B30,input_422011!L:R,7,FALSE),VLOOKUP(tables_422011!C30,input_422011!A:H,8,FALSE))</f>
        <v>53520</v>
      </c>
      <c r="P30" s="46">
        <f t="shared" ca="1" si="1"/>
        <v>9.9111111111111119E-3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input_422011!A$2</f>
        <v>422011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IFERROR(VLOOKUP(B31,input_422011!L:R,7,FALSE),VLOOKUP(tables_422011!C31,input_422011!A:H,8,FALSE))</f>
        <v>4680</v>
      </c>
      <c r="P31" s="46">
        <f t="shared" ca="1" si="1"/>
        <v>8.6666666666666663E-4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input_422011!A$2</f>
        <v>422011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IFERROR(VLOOKUP(B32,input_422011!L:R,7,FALSE),VLOOKUP(tables_422011!C32,input_422011!A:H,8,FALSE))</f>
        <v>53520</v>
      </c>
      <c r="P32" s="46">
        <f t="shared" ca="1" si="1"/>
        <v>9.9111111111111119E-3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input_422011!A$2</f>
        <v>422011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IFERROR(VLOOKUP(B33,input_422011!L:R,7,FALSE),VLOOKUP(tables_422011!C33,input_422011!A:H,8,FALSE))</f>
        <v>4680</v>
      </c>
      <c r="P33" s="46">
        <f t="shared" ca="1" si="1"/>
        <v>8.6666666666666663E-4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input_422011!A$2</f>
        <v>422011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IFERROR(VLOOKUP(B34,input_422011!L:R,7,FALSE),VLOOKUP(tables_422011!C34,input_422011!A:H,8,FALSE))</f>
        <v>53520</v>
      </c>
      <c r="P34" s="46">
        <f t="shared" ca="1" si="1"/>
        <v>9.9111111111111119E-3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input_422011!A$2</f>
        <v>422011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IFERROR(VLOOKUP(B35,input_422011!L:R,7,FALSE),VLOOKUP(tables_422011!C35,input_422011!A:H,8,FALSE))</f>
        <v>4680</v>
      </c>
      <c r="P35" s="46">
        <f t="shared" ca="1" si="1"/>
        <v>8.6666666666666663E-4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input_422011!A$2</f>
        <v>422011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IFERROR(VLOOKUP(B36,input_422011!L:R,7,FALSE),VLOOKUP(tables_422011!C36,input_422011!A:H,8,FALSE))</f>
        <v>53520</v>
      </c>
      <c r="P36" s="46">
        <f t="shared" ca="1" si="1"/>
        <v>9.9111111111111119E-3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input_422011!A$2</f>
        <v>422011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IFERROR(VLOOKUP(B37,input_422011!L:R,7,FALSE),VLOOKUP(tables_422011!C37,input_422011!A:H,8,FALSE))</f>
        <v>4680</v>
      </c>
      <c r="P37" s="46">
        <f t="shared" ca="1" si="1"/>
        <v>8.6666666666666663E-4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input_422011!A$2</f>
        <v>422011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IFERROR(VLOOKUP(B38,input_422011!L:R,7,FALSE),VLOOKUP(tables_422011!C38,input_422011!A:H,8,FALSE))</f>
        <v>53520</v>
      </c>
      <c r="P38" s="46">
        <f t="shared" ca="1" si="1"/>
        <v>9.9111111111111119E-3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input_422011!A$2</f>
        <v>422011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IFERROR(VLOOKUP(B39,input_422011!L:R,7,FALSE),VLOOKUP(tables_422011!C39,input_422011!A:H,8,FALSE))</f>
        <v>4680</v>
      </c>
      <c r="P39" s="46">
        <f t="shared" ca="1" si="1"/>
        <v>8.6666666666666663E-4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input_422011!A$2</f>
        <v>422011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IFERROR(VLOOKUP(B40,input_422011!L:R,7,FALSE),VLOOKUP(tables_422011!C40,input_422011!A:H,8,FALSE))</f>
        <v>53520</v>
      </c>
      <c r="P40" s="46">
        <f t="shared" ca="1" si="1"/>
        <v>9.9111111111111119E-3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input_422011!A$2</f>
        <v>422011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IFERROR(VLOOKUP(B41,input_422011!L:R,7,FALSE),VLOOKUP(tables_422011!C41,input_422011!A:H,8,FALSE))</f>
        <v>4680</v>
      </c>
      <c r="P41" s="46">
        <f t="shared" ca="1" si="1"/>
        <v>8.6666666666666663E-4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input_422011!A$2</f>
        <v>422011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IFERROR(VLOOKUP(B42,input_422011!L:R,7,FALSE),VLOOKUP(tables_422011!C42,input_422011!A:H,8,FALSE))</f>
        <v>29100</v>
      </c>
      <c r="P42" s="46">
        <f t="shared" ca="1" si="1"/>
        <v>5.3888888888888892E-3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input_422011!A$2</f>
        <v>422011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IFERROR(VLOOKUP(B43,input_422011!L:R,7,FALSE),VLOOKUP(tables_422011!C43,input_422011!A:H,8,FALSE))</f>
        <v>26190</v>
      </c>
      <c r="P43" s="46">
        <f t="shared" ca="1" si="1"/>
        <v>4.8500000000000001E-3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input_422011!A$2</f>
        <v>422011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IFERROR(VLOOKUP(B44,input_422011!L:R,7,FALSE),VLOOKUP(tables_422011!C44,input_422011!A:H,8,FALSE))</f>
        <v>2910</v>
      </c>
      <c r="P44" s="46">
        <f t="shared" ca="1" si="1"/>
        <v>5.3888888888888888E-4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input_422011!A$2</f>
        <v>422011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IFERROR(VLOOKUP(B45,input_422011!L:R,7,FALSE),VLOOKUP(tables_422011!C45,input_422011!A:H,8,FALSE))</f>
        <v>29100</v>
      </c>
      <c r="P45" s="46">
        <f t="shared" ca="1" si="1"/>
        <v>5.3888888888888892E-3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input_422011!A$2</f>
        <v>422011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IFERROR(VLOOKUP(B46,input_422011!L:R,7,FALSE),VLOOKUP(tables_422011!C46,input_422011!A:H,8,FALSE))</f>
        <v>26190</v>
      </c>
      <c r="P46" s="46">
        <f t="shared" ca="1" si="1"/>
        <v>4.8500000000000001E-3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input_422011!A$2</f>
        <v>422011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IFERROR(VLOOKUP(B47,input_422011!L:R,7,FALSE),VLOOKUP(tables_422011!C47,input_422011!A:H,8,FALSE))</f>
        <v>2910</v>
      </c>
      <c r="P47" s="46">
        <f t="shared" ca="1" si="1"/>
        <v>5.3888888888888888E-4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input_422011!A$2</f>
        <v>422011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IFERROR(VLOOKUP(B48,input_422011!L:R,7,FALSE),VLOOKUP(tables_422011!C48,input_422011!A:H,8,FALSE))</f>
        <v>29100</v>
      </c>
      <c r="P48" s="46">
        <f t="shared" ca="1" si="1"/>
        <v>5.3888888888888892E-3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input_422011!A$2</f>
        <v>422011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IFERROR(VLOOKUP(B49,input_422011!L:R,7,FALSE),VLOOKUP(tables_422011!C49,input_422011!A:H,8,FALSE))</f>
        <v>26190</v>
      </c>
      <c r="P49" s="46">
        <f t="shared" ca="1" si="1"/>
        <v>4.8500000000000001E-3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input_422011!A$2</f>
        <v>422011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IFERROR(VLOOKUP(B50,input_422011!L:R,7,FALSE),VLOOKUP(tables_422011!C50,input_422011!A:H,8,FALSE))</f>
        <v>2910</v>
      </c>
      <c r="P50" s="46">
        <f t="shared" ca="1" si="1"/>
        <v>5.3888888888888888E-4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input_422011!A$2</f>
        <v>422011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IFERROR(VLOOKUP(B51,input_422011!L:R,7,FALSE),VLOOKUP(tables_422011!C51,input_422011!A:H,8,FALSE))</f>
        <v>29100</v>
      </c>
      <c r="P51" s="46">
        <f t="shared" ca="1" si="1"/>
        <v>5.3888888888888892E-3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input_422011!A$2</f>
        <v>422011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IFERROR(VLOOKUP(B52,input_422011!L:R,7,FALSE),VLOOKUP(tables_422011!C52,input_422011!A:H,8,FALSE))</f>
        <v>26495.769230000002</v>
      </c>
      <c r="P52" s="46">
        <f t="shared" ca="1" si="1"/>
        <v>4.9066239314814819E-3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input_422011!A$2</f>
        <v>422011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IFERROR(VLOOKUP(B53,input_422011!L:R,7,FALSE),VLOOKUP(tables_422011!C53,input_422011!A:H,8,FALSE))</f>
        <v>2604.2307700000001</v>
      </c>
      <c r="P53" s="46">
        <f t="shared" ca="1" si="1"/>
        <v>4.8226495740740741E-4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input_422011!A$2</f>
        <v>422011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IFERROR(VLOOKUP(B54,input_422011!L:R,7,FALSE),VLOOKUP(tables_422011!C54,input_422011!A:H,8,FALSE))</f>
        <v>29100</v>
      </c>
      <c r="P54" s="46">
        <f t="shared" ca="1" si="1"/>
        <v>5.3888888888888892E-3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input_422011!A$2</f>
        <v>422011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IFERROR(VLOOKUP(B55,input_422011!L:R,7,FALSE),VLOOKUP(tables_422011!C55,input_422011!A:H,8,FALSE))</f>
        <v>26495.769230000002</v>
      </c>
      <c r="P55" s="46">
        <f t="shared" ca="1" si="1"/>
        <v>4.9066239314814819E-3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input_422011!A$2</f>
        <v>422011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IFERROR(VLOOKUP(B56,input_422011!L:R,7,FALSE),VLOOKUP(tables_422011!C56,input_422011!A:H,8,FALSE))</f>
        <v>2604.2307700000001</v>
      </c>
      <c r="P56" s="46">
        <f t="shared" ca="1" si="1"/>
        <v>4.8226495740740741E-4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input_422011!A$2</f>
        <v>422011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IFERROR(VLOOKUP(B57,input_422011!L:R,7,FALSE),VLOOKUP(tables_422011!C57,input_422011!A:H,8,FALSE))</f>
        <v>29100</v>
      </c>
      <c r="P57" s="46">
        <f t="shared" ca="1" si="1"/>
        <v>5.3888888888888892E-3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input_422011!A$2</f>
        <v>422011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IFERROR(VLOOKUP(B58,input_422011!L:R,7,FALSE),VLOOKUP(tables_422011!C58,input_422011!A:H,8,FALSE))</f>
        <v>26495.769230000002</v>
      </c>
      <c r="P58" s="46">
        <f t="shared" ca="1" si="1"/>
        <v>4.9066239314814819E-3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input_422011!A$2</f>
        <v>422011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IFERROR(VLOOKUP(B59,input_422011!L:R,7,FALSE),VLOOKUP(tables_422011!C59,input_422011!A:H,8,FALSE))</f>
        <v>2604.2307700000001</v>
      </c>
      <c r="P59" s="46">
        <f t="shared" ca="1" si="1"/>
        <v>4.8226495740740741E-4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input_422011!A$2</f>
        <v>422011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IFERROR(VLOOKUP(B60,input_422011!L:R,7,FALSE),VLOOKUP(tables_422011!C60,input_422011!A:H,8,FALSE))</f>
        <v>29100</v>
      </c>
      <c r="P60" s="46">
        <f t="shared" ca="1" si="1"/>
        <v>5.3888888888888892E-3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input_422011!A$2</f>
        <v>422011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IFERROR(VLOOKUP(B61,input_422011!L:R,7,FALSE),VLOOKUP(tables_422011!C61,input_422011!A:H,8,FALSE))</f>
        <v>26495.769230000002</v>
      </c>
      <c r="P61" s="46">
        <f t="shared" ca="1" si="1"/>
        <v>4.9066239314814819E-3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input_422011!A$2</f>
        <v>422011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IFERROR(VLOOKUP(B62,input_422011!L:R,7,FALSE),VLOOKUP(tables_422011!C62,input_422011!A:H,8,FALSE))</f>
        <v>2604.2307700000001</v>
      </c>
      <c r="P62" s="46">
        <f t="shared" ca="1" si="1"/>
        <v>4.8226495740740741E-4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input_422011!A$2</f>
        <v>422011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IFERROR(VLOOKUP(B63,input_422011!L:R,7,FALSE),VLOOKUP(tables_422011!C63,input_422011!A:H,8,FALSE))</f>
        <v>29100</v>
      </c>
      <c r="P63" s="46">
        <f t="shared" ca="1" si="1"/>
        <v>5.3888888888888892E-3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input_422011!A$2</f>
        <v>422011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IFERROR(VLOOKUP(B64,input_422011!L:R,7,FALSE),VLOOKUP(tables_422011!C64,input_422011!A:H,8,FALSE))</f>
        <v>26495.769230000002</v>
      </c>
      <c r="P64" s="46">
        <f t="shared" ca="1" si="1"/>
        <v>4.9066239314814819E-3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input_422011!A$2</f>
        <v>422011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IFERROR(VLOOKUP(B65,input_422011!L:R,7,FALSE),VLOOKUP(tables_422011!C65,input_422011!A:H,8,FALSE))</f>
        <v>2604.2307700000001</v>
      </c>
      <c r="P65" s="46">
        <f t="shared" ca="1" si="1"/>
        <v>4.8226495740740741E-4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input_422011!A$2</f>
        <v>422011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IFERROR(VLOOKUP(B66,input_422011!L:R,7,FALSE),VLOOKUP(tables_422011!C66,input_422011!A:H,8,FALSE))</f>
        <v>29100</v>
      </c>
      <c r="P66" s="46">
        <f t="shared" ref="P66:P129" ca="1" si="4">O66/SUM(O:O)</f>
        <v>5.3888888888888892E-3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input_422011!A$2</f>
        <v>422011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IFERROR(VLOOKUP(B67,input_422011!L:R,7,FALSE),VLOOKUP(tables_422011!C67,input_422011!A:H,8,FALSE))</f>
        <v>26495.769230000002</v>
      </c>
      <c r="P67" s="46">
        <f t="shared" ca="1" si="4"/>
        <v>4.9066239314814819E-3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input_422011!A$2</f>
        <v>422011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IFERROR(VLOOKUP(B68,input_422011!L:R,7,FALSE),VLOOKUP(tables_422011!C68,input_422011!A:H,8,FALSE))</f>
        <v>2604.2307700000001</v>
      </c>
      <c r="P68" s="46">
        <f t="shared" ca="1" si="4"/>
        <v>4.8226495740740741E-4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input_422011!A$2</f>
        <v>422011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IFERROR(VLOOKUP(B69,input_422011!L:R,7,FALSE),VLOOKUP(tables_422011!C69,input_422011!A:H,8,FALSE))</f>
        <v>29100</v>
      </c>
      <c r="P69" s="46">
        <f t="shared" ca="1" si="4"/>
        <v>5.3888888888888892E-3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input_422011!A$2</f>
        <v>422011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IFERROR(VLOOKUP(B70,input_422011!L:R,7,FALSE),VLOOKUP(tables_422011!C70,input_422011!A:H,8,FALSE))</f>
        <v>26495.769230000002</v>
      </c>
      <c r="P70" s="46">
        <f t="shared" ca="1" si="4"/>
        <v>4.9066239314814819E-3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input_422011!A$2</f>
        <v>422011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IFERROR(VLOOKUP(B71,input_422011!L:R,7,FALSE),VLOOKUP(tables_422011!C71,input_422011!A:H,8,FALSE))</f>
        <v>2604.2307700000001</v>
      </c>
      <c r="P71" s="46">
        <f t="shared" ca="1" si="4"/>
        <v>4.8226495740740741E-4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input_422011!A$2</f>
        <v>422011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IFERROR(VLOOKUP(B72,input_422011!L:R,7,FALSE),VLOOKUP(tables_422011!C72,input_422011!A:H,8,FALSE))</f>
        <v>29100</v>
      </c>
      <c r="P72" s="46">
        <f t="shared" ca="1" si="4"/>
        <v>5.3888888888888892E-3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input_422011!A$2</f>
        <v>422011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IFERROR(VLOOKUP(B73,input_422011!L:R,7,FALSE),VLOOKUP(tables_422011!C73,input_422011!A:H,8,FALSE))</f>
        <v>26495.769230000002</v>
      </c>
      <c r="P73" s="46">
        <f t="shared" ca="1" si="4"/>
        <v>4.9066239314814819E-3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input_422011!A$2</f>
        <v>422011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IFERROR(VLOOKUP(B74,input_422011!L:R,7,FALSE),VLOOKUP(tables_422011!C74,input_422011!A:H,8,FALSE))</f>
        <v>2604.2307700000001</v>
      </c>
      <c r="P74" s="46">
        <f t="shared" ca="1" si="4"/>
        <v>4.8226495740740741E-4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input_422011!A$2</f>
        <v>422011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IFERROR(VLOOKUP(B75,input_422011!L:R,7,FALSE),VLOOKUP(tables_422011!C75,input_422011!A:H,8,FALSE))</f>
        <v>29100</v>
      </c>
      <c r="P75" s="46">
        <f t="shared" ca="1" si="4"/>
        <v>5.3888888888888892E-3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input_422011!A$2</f>
        <v>422011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IFERROR(VLOOKUP(B76,input_422011!L:R,7,FALSE),VLOOKUP(tables_422011!C76,input_422011!A:H,8,FALSE))</f>
        <v>26495.769230000002</v>
      </c>
      <c r="P76" s="46">
        <f t="shared" ca="1" si="4"/>
        <v>4.9066239314814819E-3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input_422011!A$2</f>
        <v>422011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IFERROR(VLOOKUP(B77,input_422011!L:R,7,FALSE),VLOOKUP(tables_422011!C77,input_422011!A:H,8,FALSE))</f>
        <v>2604.2307700000001</v>
      </c>
      <c r="P77" s="46">
        <f t="shared" ca="1" si="4"/>
        <v>4.8226495740740741E-4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input_422011!A$2</f>
        <v>422011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IFERROR(VLOOKUP(B78,input_422011!L:R,7,FALSE),VLOOKUP(tables_422011!C78,input_422011!A:H,8,FALSE))</f>
        <v>29100</v>
      </c>
      <c r="P78" s="46">
        <f t="shared" ca="1" si="4"/>
        <v>5.3888888888888892E-3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input_422011!A$2</f>
        <v>422011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IFERROR(VLOOKUP(B79,input_422011!L:R,7,FALSE),VLOOKUP(tables_422011!C79,input_422011!A:H,8,FALSE))</f>
        <v>26495.769230000002</v>
      </c>
      <c r="P79" s="46">
        <f t="shared" ca="1" si="4"/>
        <v>4.9066239314814819E-3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input_422011!A$2</f>
        <v>422011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IFERROR(VLOOKUP(B80,input_422011!L:R,7,FALSE),VLOOKUP(tables_422011!C80,input_422011!A:H,8,FALSE))</f>
        <v>2604.2307700000001</v>
      </c>
      <c r="P80" s="46">
        <f t="shared" ca="1" si="4"/>
        <v>4.8226495740740741E-4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input_422011!A$2</f>
        <v>422011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IFERROR(VLOOKUP(B81,input_422011!L:R,7,FALSE),VLOOKUP(tables_422011!C81,input_422011!A:H,8,FALSE))</f>
        <v>29100</v>
      </c>
      <c r="P81" s="46">
        <f t="shared" ca="1" si="4"/>
        <v>5.3888888888888892E-3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input_422011!A$2</f>
        <v>422011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IFERROR(VLOOKUP(B82,input_422011!L:R,7,FALSE),VLOOKUP(tables_422011!C82,input_422011!A:H,8,FALSE))</f>
        <v>26495.769230000002</v>
      </c>
      <c r="P82" s="46">
        <f t="shared" ca="1" si="4"/>
        <v>4.9066239314814819E-3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input_422011!A$2</f>
        <v>422011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IFERROR(VLOOKUP(B83,input_422011!L:R,7,FALSE),VLOOKUP(tables_422011!C83,input_422011!A:H,8,FALSE))</f>
        <v>2604.2307700000001</v>
      </c>
      <c r="P83" s="46">
        <f t="shared" ca="1" si="4"/>
        <v>4.8226495740740741E-4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input_422011!A$2</f>
        <v>422011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IFERROR(VLOOKUP(B84,input_422011!L:R,7,FALSE),VLOOKUP(tables_422011!C84,input_422011!A:H,8,FALSE))</f>
        <v>29100</v>
      </c>
      <c r="P84" s="46">
        <f t="shared" ca="1" si="4"/>
        <v>5.3888888888888892E-3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input_422011!A$2</f>
        <v>422011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IFERROR(VLOOKUP(B85,input_422011!L:R,7,FALSE),VLOOKUP(tables_422011!C85,input_422011!A:H,8,FALSE))</f>
        <v>26495.769230000002</v>
      </c>
      <c r="P85" s="46">
        <f t="shared" ca="1" si="4"/>
        <v>4.9066239314814819E-3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input_422011!A$2</f>
        <v>422011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IFERROR(VLOOKUP(B86,input_422011!L:R,7,FALSE),VLOOKUP(tables_422011!C86,input_422011!A:H,8,FALSE))</f>
        <v>2604.2307700000001</v>
      </c>
      <c r="P86" s="46">
        <f t="shared" ca="1" si="4"/>
        <v>4.8226495740740741E-4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input_422011!A$2</f>
        <v>422011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IFERROR(VLOOKUP(B87,input_422011!L:R,7,FALSE),VLOOKUP(tables_422011!C87,input_422011!A:H,8,FALSE))</f>
        <v>29100</v>
      </c>
      <c r="P87" s="46">
        <f t="shared" ca="1" si="4"/>
        <v>5.3888888888888892E-3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input_422011!A$2</f>
        <v>422011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IFERROR(VLOOKUP(B88,input_422011!L:R,7,FALSE),VLOOKUP(tables_422011!C88,input_422011!A:H,8,FALSE))</f>
        <v>26495.769230000002</v>
      </c>
      <c r="P88" s="46">
        <f t="shared" ca="1" si="4"/>
        <v>4.9066239314814819E-3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input_422011!A$2</f>
        <v>422011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IFERROR(VLOOKUP(B89,input_422011!L:R,7,FALSE),VLOOKUP(tables_422011!C89,input_422011!A:H,8,FALSE))</f>
        <v>2604.2307700000001</v>
      </c>
      <c r="P89" s="46">
        <f t="shared" ca="1" si="4"/>
        <v>4.8226495740740741E-4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input_422011!A$2</f>
        <v>422011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IFERROR(VLOOKUP(B90,input_422011!L:R,7,FALSE),VLOOKUP(tables_422011!C90,input_422011!A:H,8,FALSE))</f>
        <v>29100</v>
      </c>
      <c r="P90" s="46">
        <f t="shared" ca="1" si="4"/>
        <v>5.3888888888888892E-3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input_422011!A$2</f>
        <v>422011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IFERROR(VLOOKUP(B91,input_422011!L:R,7,FALSE),VLOOKUP(tables_422011!C91,input_422011!A:H,8,FALSE))</f>
        <v>26495.769230000002</v>
      </c>
      <c r="P91" s="46">
        <f t="shared" ca="1" si="4"/>
        <v>4.9066239314814819E-3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input_422011!A$2</f>
        <v>422011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IFERROR(VLOOKUP(B92,input_422011!L:R,7,FALSE),VLOOKUP(tables_422011!C92,input_422011!A:H,8,FALSE))</f>
        <v>2604.2307700000001</v>
      </c>
      <c r="P92" s="46">
        <f t="shared" ca="1" si="4"/>
        <v>4.8226495740740741E-4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input_422011!A$2</f>
        <v>422011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IFERROR(VLOOKUP(B93,input_422011!L:R,7,FALSE),VLOOKUP(tables_422011!C93,input_422011!A:H,8,FALSE))</f>
        <v>29100</v>
      </c>
      <c r="P93" s="46">
        <f t="shared" ca="1" si="4"/>
        <v>5.3888888888888892E-3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input_422011!A$2</f>
        <v>422011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IFERROR(VLOOKUP(B94,input_422011!L:R,7,FALSE),VLOOKUP(tables_422011!C94,input_422011!A:H,8,FALSE))</f>
        <v>26495.769230000002</v>
      </c>
      <c r="P94" s="46">
        <f t="shared" ca="1" si="4"/>
        <v>4.9066239314814819E-3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input_422011!A$2</f>
        <v>422011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IFERROR(VLOOKUP(B95,input_422011!L:R,7,FALSE),VLOOKUP(tables_422011!C95,input_422011!A:H,8,FALSE))</f>
        <v>2604.2307700000001</v>
      </c>
      <c r="P95" s="46">
        <f t="shared" ca="1" si="4"/>
        <v>4.8226495740740741E-4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input_422011!A$2</f>
        <v>422011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IFERROR(VLOOKUP(B96,input_422011!L:R,7,FALSE),VLOOKUP(tables_422011!C96,input_422011!A:H,8,FALSE))</f>
        <v>29100</v>
      </c>
      <c r="P96" s="46">
        <f t="shared" ca="1" si="4"/>
        <v>5.3888888888888892E-3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input_422011!A$2</f>
        <v>422011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IFERROR(VLOOKUP(B97,input_422011!L:R,7,FALSE),VLOOKUP(tables_422011!C97,input_422011!A:H,8,FALSE))</f>
        <v>26495.769230000002</v>
      </c>
      <c r="P97" s="46">
        <f t="shared" ca="1" si="4"/>
        <v>4.9066239314814819E-3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input_422011!A$2</f>
        <v>422011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IFERROR(VLOOKUP(B98,input_422011!L:R,7,FALSE),VLOOKUP(tables_422011!C98,input_422011!A:H,8,FALSE))</f>
        <v>2604.2307700000001</v>
      </c>
      <c r="P98" s="46">
        <f t="shared" ca="1" si="4"/>
        <v>4.8226495740740741E-4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input_422011!A$2</f>
        <v>422011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IFERROR(VLOOKUP(B99,input_422011!L:R,7,FALSE),VLOOKUP(tables_422011!C99,input_422011!A:H,8,FALSE))</f>
        <v>29100</v>
      </c>
      <c r="P99" s="46">
        <f t="shared" ca="1" si="4"/>
        <v>5.3888888888888892E-3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input_422011!A$2</f>
        <v>422011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IFERROR(VLOOKUP(B100,input_422011!L:R,7,FALSE),VLOOKUP(tables_422011!C100,input_422011!A:H,8,FALSE))</f>
        <v>26495.769230000002</v>
      </c>
      <c r="P100" s="46">
        <f t="shared" ca="1" si="4"/>
        <v>4.9066239314814819E-3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input_422011!A$2</f>
        <v>422011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IFERROR(VLOOKUP(B101,input_422011!L:R,7,FALSE),VLOOKUP(tables_422011!C101,input_422011!A:H,8,FALSE))</f>
        <v>2604.2307700000001</v>
      </c>
      <c r="P101" s="46">
        <f t="shared" ca="1" si="4"/>
        <v>4.8226495740740741E-4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input_422011!A$2</f>
        <v>422011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IFERROR(VLOOKUP(B102,input_422011!L:R,7,FALSE),VLOOKUP(tables_422011!C102,input_422011!A:H,8,FALSE))</f>
        <v>29100</v>
      </c>
      <c r="P102" s="46">
        <f t="shared" ca="1" si="4"/>
        <v>5.3888888888888892E-3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input_422011!A$2</f>
        <v>422011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IFERROR(VLOOKUP(B103,input_422011!L:R,7,FALSE),VLOOKUP(tables_422011!C103,input_422011!A:H,8,FALSE))</f>
        <v>26495.769230000002</v>
      </c>
      <c r="P103" s="46">
        <f t="shared" ca="1" si="4"/>
        <v>4.9066239314814819E-3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input_422011!A$2</f>
        <v>422011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IFERROR(VLOOKUP(B104,input_422011!L:R,7,FALSE),VLOOKUP(tables_422011!C104,input_422011!A:H,8,FALSE))</f>
        <v>2604.2307700000001</v>
      </c>
      <c r="P104" s="46">
        <f t="shared" ca="1" si="4"/>
        <v>4.8226495740740741E-4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input_422011!A$2</f>
        <v>422011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IFERROR(VLOOKUP(B105,input_422011!L:R,7,FALSE),VLOOKUP(tables_422011!C105,input_422011!A:H,8,FALSE))</f>
        <v>29100</v>
      </c>
      <c r="P105" s="46">
        <f t="shared" ca="1" si="4"/>
        <v>5.3888888888888892E-3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input_422011!A$2</f>
        <v>422011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IFERROR(VLOOKUP(B106,input_422011!L:R,7,FALSE),VLOOKUP(tables_422011!C106,input_422011!A:H,8,FALSE))</f>
        <v>26495.769230000002</v>
      </c>
      <c r="P106" s="46">
        <f t="shared" ca="1" si="4"/>
        <v>4.9066239314814819E-3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input_422011!A$2</f>
        <v>422011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IFERROR(VLOOKUP(B107,input_422011!L:R,7,FALSE),VLOOKUP(tables_422011!C107,input_422011!A:H,8,FALSE))</f>
        <v>2604.2307700000001</v>
      </c>
      <c r="P107" s="46">
        <f t="shared" ca="1" si="4"/>
        <v>4.8226495740740741E-4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input_422011!A$2</f>
        <v>422011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IFERROR(VLOOKUP(B108,input_422011!L:R,7,FALSE),VLOOKUP(tables_422011!C108,input_422011!A:H,8,FALSE))</f>
        <v>29100</v>
      </c>
      <c r="P108" s="46">
        <f t="shared" ca="1" si="4"/>
        <v>5.3888888888888892E-3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input_422011!A$2</f>
        <v>422011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IFERROR(VLOOKUP(B109,input_422011!L:R,7,FALSE),VLOOKUP(tables_422011!C109,input_422011!A:H,8,FALSE))</f>
        <v>26495.769230000002</v>
      </c>
      <c r="P109" s="46">
        <f t="shared" ca="1" si="4"/>
        <v>4.9066239314814819E-3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input_422011!A$2</f>
        <v>422011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IFERROR(VLOOKUP(B110,input_422011!L:R,7,FALSE),VLOOKUP(tables_422011!C110,input_422011!A:H,8,FALSE))</f>
        <v>2604.2307700000001</v>
      </c>
      <c r="P110" s="46">
        <f t="shared" ca="1" si="4"/>
        <v>4.8226495740740741E-4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input_422011!A$2</f>
        <v>422011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IFERROR(VLOOKUP(B111,input_422011!L:R,7,FALSE),VLOOKUP(tables_422011!C111,input_422011!A:H,8,FALSE))</f>
        <v>29100</v>
      </c>
      <c r="P111" s="46">
        <f t="shared" ca="1" si="4"/>
        <v>5.3888888888888892E-3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input_422011!A$2</f>
        <v>422011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IFERROR(VLOOKUP(B112,input_422011!L:R,7,FALSE),VLOOKUP(tables_422011!C112,input_422011!A:H,8,FALSE))</f>
        <v>26190</v>
      </c>
      <c r="P112" s="46">
        <f t="shared" ca="1" si="4"/>
        <v>4.8500000000000001E-3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input_422011!A$2</f>
        <v>422011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IFERROR(VLOOKUP(B113,input_422011!L:R,7,FALSE),VLOOKUP(tables_422011!C113,input_422011!A:H,8,FALSE))</f>
        <v>2910</v>
      </c>
      <c r="P113" s="46">
        <f t="shared" ca="1" si="4"/>
        <v>5.3888888888888888E-4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input_422011!A$2</f>
        <v>422011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IFERROR(VLOOKUP(B114,input_422011!L:R,7,FALSE),VLOOKUP(tables_422011!C114,input_422011!A:H,8,FALSE))</f>
        <v>29100</v>
      </c>
      <c r="P114" s="46">
        <f t="shared" ca="1" si="4"/>
        <v>5.3888888888888892E-3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input_422011!A$2</f>
        <v>422011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IFERROR(VLOOKUP(B115,input_422011!L:R,7,FALSE),VLOOKUP(tables_422011!C115,input_422011!A:H,8,FALSE))</f>
        <v>26495.769230000002</v>
      </c>
      <c r="P115" s="46">
        <f t="shared" ca="1" si="4"/>
        <v>4.9066239314814819E-3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input_422011!A$2</f>
        <v>422011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IFERROR(VLOOKUP(B116,input_422011!L:R,7,FALSE),VLOOKUP(tables_422011!C116,input_422011!A:H,8,FALSE))</f>
        <v>2604.2307700000001</v>
      </c>
      <c r="P116" s="46">
        <f t="shared" ca="1" si="4"/>
        <v>4.8226495740740741E-4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input_422011!A$2</f>
        <v>422011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IFERROR(VLOOKUP(B117,input_422011!L:R,7,FALSE),VLOOKUP(tables_422011!C117,input_422011!A:H,8,FALSE))</f>
        <v>29100</v>
      </c>
      <c r="P117" s="46">
        <f t="shared" ca="1" si="4"/>
        <v>5.3888888888888892E-3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input_422011!A$2</f>
        <v>422011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IFERROR(VLOOKUP(B118,input_422011!L:R,7,FALSE),VLOOKUP(tables_422011!C118,input_422011!A:H,8,FALSE))</f>
        <v>26495.769230000002</v>
      </c>
      <c r="P118" s="46">
        <f t="shared" ca="1" si="4"/>
        <v>4.9066239314814819E-3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input_422011!A$2</f>
        <v>422011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IFERROR(VLOOKUP(B119,input_422011!L:R,7,FALSE),VLOOKUP(tables_422011!C119,input_422011!A:H,8,FALSE))</f>
        <v>2604.2307700000001</v>
      </c>
      <c r="P119" s="46">
        <f t="shared" ca="1" si="4"/>
        <v>4.8226495740740741E-4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input_422011!A$2</f>
        <v>422011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IFERROR(VLOOKUP(B120,input_422011!L:R,7,FALSE),VLOOKUP(tables_422011!C120,input_422011!A:H,8,FALSE))</f>
        <v>29100</v>
      </c>
      <c r="P120" s="46">
        <f t="shared" ca="1" si="4"/>
        <v>5.3888888888888892E-3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input_422011!A$2</f>
        <v>422011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IFERROR(VLOOKUP(B121,input_422011!L:R,7,FALSE),VLOOKUP(tables_422011!C121,input_422011!A:H,8,FALSE))</f>
        <v>26495.769230000002</v>
      </c>
      <c r="P121" s="46">
        <f t="shared" ca="1" si="4"/>
        <v>4.9066239314814819E-3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input_422011!A$2</f>
        <v>422011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IFERROR(VLOOKUP(B122,input_422011!L:R,7,FALSE),VLOOKUP(tables_422011!C122,input_422011!A:H,8,FALSE))</f>
        <v>2604.2307700000001</v>
      </c>
      <c r="P122" s="46">
        <f t="shared" ca="1" si="4"/>
        <v>4.8226495740740741E-4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input_422011!A$2</f>
        <v>422011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IFERROR(VLOOKUP(B123,input_422011!L:R,7,FALSE),VLOOKUP(tables_422011!C123,input_422011!A:H,8,FALSE))</f>
        <v>29100</v>
      </c>
      <c r="P123" s="46">
        <f t="shared" ca="1" si="4"/>
        <v>5.3888888888888892E-3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input_422011!A$2</f>
        <v>422011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IFERROR(VLOOKUP(B124,input_422011!L:R,7,FALSE),VLOOKUP(tables_422011!C124,input_422011!A:H,8,FALSE))</f>
        <v>26495.769230000002</v>
      </c>
      <c r="P124" s="46">
        <f t="shared" ca="1" si="4"/>
        <v>4.9066239314814819E-3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input_422011!A$2</f>
        <v>422011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IFERROR(VLOOKUP(B125,input_422011!L:R,7,FALSE),VLOOKUP(tables_422011!C125,input_422011!A:H,8,FALSE))</f>
        <v>2604.2307700000001</v>
      </c>
      <c r="P125" s="46">
        <f t="shared" ca="1" si="4"/>
        <v>4.8226495740740741E-4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input_422011!A$2</f>
        <v>422011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IFERROR(VLOOKUP(B126,input_422011!L:R,7,FALSE),VLOOKUP(tables_422011!C126,input_422011!A:H,8,FALSE))</f>
        <v>29100</v>
      </c>
      <c r="P126" s="46">
        <f t="shared" ca="1" si="4"/>
        <v>5.3888888888888892E-3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input_422011!A$2</f>
        <v>422011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IFERROR(VLOOKUP(B127,input_422011!L:R,7,FALSE),VLOOKUP(tables_422011!C127,input_422011!A:H,8,FALSE))</f>
        <v>26495.769230000002</v>
      </c>
      <c r="P127" s="46">
        <f t="shared" ca="1" si="4"/>
        <v>4.9066239314814819E-3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input_422011!A$2</f>
        <v>422011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IFERROR(VLOOKUP(B128,input_422011!L:R,7,FALSE),VLOOKUP(tables_422011!C128,input_422011!A:H,8,FALSE))</f>
        <v>2604.2307700000001</v>
      </c>
      <c r="P128" s="46">
        <f t="shared" ca="1" si="4"/>
        <v>4.8226495740740741E-4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input_422011!A$2</f>
        <v>422011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IFERROR(VLOOKUP(B129,input_422011!L:R,7,FALSE),VLOOKUP(tables_422011!C129,input_422011!A:H,8,FALSE))</f>
        <v>29100</v>
      </c>
      <c r="P129" s="46">
        <f t="shared" ca="1" si="4"/>
        <v>5.3888888888888892E-3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input_422011!A$2</f>
        <v>422011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IFERROR(VLOOKUP(B130,input_422011!L:R,7,FALSE),VLOOKUP(tables_422011!C130,input_422011!A:H,8,FALSE))</f>
        <v>26495.769230000002</v>
      </c>
      <c r="P130" s="46">
        <f t="shared" ref="P130:P193" ca="1" si="7">O130/SUM(O:O)</f>
        <v>4.9066239314814819E-3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input_422011!A$2</f>
        <v>422011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IFERROR(VLOOKUP(B131,input_422011!L:R,7,FALSE),VLOOKUP(tables_422011!C131,input_422011!A:H,8,FALSE))</f>
        <v>2604.2307700000001</v>
      </c>
      <c r="P131" s="46">
        <f t="shared" ca="1" si="7"/>
        <v>4.8226495740740741E-4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input_422011!A$2</f>
        <v>422011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IFERROR(VLOOKUP(B132,input_422011!L:R,7,FALSE),VLOOKUP(tables_422011!C132,input_422011!A:H,8,FALSE))</f>
        <v>29100</v>
      </c>
      <c r="P132" s="46">
        <f t="shared" ca="1" si="7"/>
        <v>5.3888888888888892E-3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input_422011!A$2</f>
        <v>422011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IFERROR(VLOOKUP(B133,input_422011!L:R,7,FALSE),VLOOKUP(tables_422011!C133,input_422011!A:H,8,FALSE))</f>
        <v>26495.769230000002</v>
      </c>
      <c r="P133" s="46">
        <f t="shared" ca="1" si="7"/>
        <v>4.9066239314814819E-3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input_422011!A$2</f>
        <v>422011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IFERROR(VLOOKUP(B134,input_422011!L:R,7,FALSE),VLOOKUP(tables_422011!C134,input_422011!A:H,8,FALSE))</f>
        <v>2604.2307700000001</v>
      </c>
      <c r="P134" s="46">
        <f t="shared" ca="1" si="7"/>
        <v>4.8226495740740741E-4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input_422011!A$2</f>
        <v>422011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IFERROR(VLOOKUP(B135,input_422011!L:R,7,FALSE),VLOOKUP(tables_422011!C135,input_422011!A:H,8,FALSE))</f>
        <v>29100</v>
      </c>
      <c r="P135" s="46">
        <f t="shared" ca="1" si="7"/>
        <v>5.3888888888888892E-3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input_422011!A$2</f>
        <v>422011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IFERROR(VLOOKUP(B136,input_422011!L:R,7,FALSE),VLOOKUP(tables_422011!C136,input_422011!A:H,8,FALSE))</f>
        <v>26495.769230000002</v>
      </c>
      <c r="P136" s="46">
        <f t="shared" ca="1" si="7"/>
        <v>4.9066239314814819E-3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input_422011!A$2</f>
        <v>422011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IFERROR(VLOOKUP(B137,input_422011!L:R,7,FALSE),VLOOKUP(tables_422011!C137,input_422011!A:H,8,FALSE))</f>
        <v>2604.2307700000001</v>
      </c>
      <c r="P137" s="46">
        <f t="shared" ca="1" si="7"/>
        <v>4.8226495740740741E-4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input_422011!A$2</f>
        <v>422011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IFERROR(VLOOKUP(B138,input_422011!L:R,7,FALSE),VLOOKUP(tables_422011!C138,input_422011!A:H,8,FALSE))</f>
        <v>2850</v>
      </c>
      <c r="P138" s="46">
        <f t="shared" ca="1" si="7"/>
        <v>5.2777777777777773E-4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input_422011!A$2</f>
        <v>422011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IFERROR(VLOOKUP(B139,input_422011!L:R,7,FALSE),VLOOKUP(tables_422011!C139,input_422011!A:H,8,FALSE))</f>
        <v>150</v>
      </c>
      <c r="P139" s="46">
        <f t="shared" ca="1" si="7"/>
        <v>2.7777777777777779E-5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input_422011!A$2</f>
        <v>422011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IFERROR(VLOOKUP(B140,input_422011!L:R,7,FALSE),VLOOKUP(tables_422011!C140,input_422011!A:H,8,FALSE))</f>
        <v>2850</v>
      </c>
      <c r="P140" s="46">
        <f t="shared" ca="1" si="7"/>
        <v>5.2777777777777773E-4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input_422011!A$2</f>
        <v>422011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IFERROR(VLOOKUP(B141,input_422011!L:R,7,FALSE),VLOOKUP(tables_422011!C141,input_422011!A:H,8,FALSE))</f>
        <v>150</v>
      </c>
      <c r="P141" s="46">
        <f t="shared" ca="1" si="7"/>
        <v>2.7777777777777779E-5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input_422011!A$2</f>
        <v>422011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IFERROR(VLOOKUP(B142,input_422011!L:R,7,FALSE),VLOOKUP(tables_422011!C142,input_422011!A:H,8,FALSE))</f>
        <v>2850</v>
      </c>
      <c r="P142" s="46">
        <f t="shared" ca="1" si="7"/>
        <v>5.2777777777777773E-4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input_422011!A$2</f>
        <v>422011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IFERROR(VLOOKUP(B143,input_422011!L:R,7,FALSE),VLOOKUP(tables_422011!C143,input_422011!A:H,8,FALSE))</f>
        <v>150</v>
      </c>
      <c r="P143" s="46">
        <f t="shared" ca="1" si="7"/>
        <v>2.7777777777777779E-5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input_422011!A$2</f>
        <v>422011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IFERROR(VLOOKUP(B144,input_422011!L:R,7,FALSE),VLOOKUP(tables_422011!C144,input_422011!A:H,8,FALSE))</f>
        <v>2850</v>
      </c>
      <c r="P144" s="46">
        <f t="shared" ca="1" si="7"/>
        <v>5.2777777777777773E-4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input_422011!A$2</f>
        <v>422011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IFERROR(VLOOKUP(B145,input_422011!L:R,7,FALSE),VLOOKUP(tables_422011!C145,input_422011!A:H,8,FALSE))</f>
        <v>150</v>
      </c>
      <c r="P145" s="46">
        <f t="shared" ca="1" si="7"/>
        <v>2.7777777777777779E-5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input_422011!A$2</f>
        <v>422011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IFERROR(VLOOKUP(B146,input_422011!L:R,7,FALSE),VLOOKUP(tables_422011!C146,input_422011!A:H,8,FALSE))</f>
        <v>29100</v>
      </c>
      <c r="P146" s="46">
        <f t="shared" ca="1" si="7"/>
        <v>5.3888888888888892E-3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input_422011!A$2</f>
        <v>422011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IFERROR(VLOOKUP(B147,input_422011!L:R,7,FALSE),VLOOKUP(tables_422011!C147,input_422011!A:H,8,FALSE))</f>
        <v>26495.769230000002</v>
      </c>
      <c r="P147" s="46">
        <f t="shared" ca="1" si="7"/>
        <v>4.9066239314814819E-3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input_422011!A$2</f>
        <v>422011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IFERROR(VLOOKUP(B148,input_422011!L:R,7,FALSE),VLOOKUP(tables_422011!C148,input_422011!A:H,8,FALSE))</f>
        <v>2604.2307700000001</v>
      </c>
      <c r="P148" s="46">
        <f t="shared" ca="1" si="7"/>
        <v>4.8226495740740741E-4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input_422011!A$2</f>
        <v>422011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IFERROR(VLOOKUP(B149,input_422011!L:R,7,FALSE),VLOOKUP(tables_422011!C149,input_422011!A:H,8,FALSE))</f>
        <v>2850</v>
      </c>
      <c r="P149" s="46">
        <f t="shared" ca="1" si="7"/>
        <v>5.2777777777777773E-4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input_422011!A$2</f>
        <v>422011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IFERROR(VLOOKUP(B150,input_422011!L:R,7,FALSE),VLOOKUP(tables_422011!C150,input_422011!A:H,8,FALSE))</f>
        <v>150</v>
      </c>
      <c r="P150" s="46">
        <f t="shared" ca="1" si="7"/>
        <v>2.7777777777777779E-5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input_422011!A$2</f>
        <v>422011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IFERROR(VLOOKUP(B151,input_422011!L:R,7,FALSE),VLOOKUP(tables_422011!C151,input_422011!A:H,8,FALSE))</f>
        <v>2850</v>
      </c>
      <c r="P151" s="46">
        <f t="shared" ca="1" si="7"/>
        <v>5.2777777777777773E-4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input_422011!A$2</f>
        <v>422011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IFERROR(VLOOKUP(B152,input_422011!L:R,7,FALSE),VLOOKUP(tables_422011!C152,input_422011!A:H,8,FALSE))</f>
        <v>150</v>
      </c>
      <c r="P152" s="46">
        <f t="shared" ca="1" si="7"/>
        <v>2.7777777777777779E-5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input_422011!A$2</f>
        <v>422011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IFERROR(VLOOKUP(B153,input_422011!L:R,7,FALSE),VLOOKUP(tables_422011!C153,input_422011!A:H,8,FALSE))</f>
        <v>29100</v>
      </c>
      <c r="P153" s="46">
        <f t="shared" ca="1" si="7"/>
        <v>5.3888888888888892E-3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input_422011!A$2</f>
        <v>422011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IFERROR(VLOOKUP(B154,input_422011!L:R,7,FALSE),VLOOKUP(tables_422011!C154,input_422011!A:H,8,FALSE))</f>
        <v>26495.769230000002</v>
      </c>
      <c r="P154" s="46">
        <f t="shared" ca="1" si="7"/>
        <v>4.9066239314814819E-3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input_422011!A$2</f>
        <v>422011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IFERROR(VLOOKUP(B155,input_422011!L:R,7,FALSE),VLOOKUP(tables_422011!C155,input_422011!A:H,8,FALSE))</f>
        <v>2604.2307700000001</v>
      </c>
      <c r="P155" s="46">
        <f t="shared" ca="1" si="7"/>
        <v>4.8226495740740741E-4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input_422011!A$2</f>
        <v>422011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IFERROR(VLOOKUP(B156,input_422011!L:R,7,FALSE),VLOOKUP(tables_422011!C156,input_422011!A:H,8,FALSE))</f>
        <v>2850</v>
      </c>
      <c r="P156" s="46">
        <f t="shared" ca="1" si="7"/>
        <v>5.2777777777777773E-4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input_422011!A$2</f>
        <v>422011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IFERROR(VLOOKUP(B157,input_422011!L:R,7,FALSE),VLOOKUP(tables_422011!C157,input_422011!A:H,8,FALSE))</f>
        <v>150</v>
      </c>
      <c r="P157" s="46">
        <f t="shared" ca="1" si="7"/>
        <v>2.7777777777777779E-5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input_422011!A$2</f>
        <v>422011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IFERROR(VLOOKUP(B158,input_422011!L:R,7,FALSE),VLOOKUP(tables_422011!C158,input_422011!A:H,8,FALSE))</f>
        <v>29100</v>
      </c>
      <c r="P158" s="46">
        <f t="shared" ca="1" si="7"/>
        <v>5.3888888888888892E-3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input_422011!A$2</f>
        <v>422011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IFERROR(VLOOKUP(B159,input_422011!L:R,7,FALSE),VLOOKUP(tables_422011!C159,input_422011!A:H,8,FALSE))</f>
        <v>26495.769230000002</v>
      </c>
      <c r="P159" s="46">
        <f t="shared" ca="1" si="7"/>
        <v>4.9066239314814819E-3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input_422011!A$2</f>
        <v>422011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IFERROR(VLOOKUP(B160,input_422011!L:R,7,FALSE),VLOOKUP(tables_422011!C160,input_422011!A:H,8,FALSE))</f>
        <v>2604.2307700000001</v>
      </c>
      <c r="P160" s="46">
        <f t="shared" ca="1" si="7"/>
        <v>4.8226495740740741E-4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input_422011!A$2</f>
        <v>422011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IFERROR(VLOOKUP(B161,input_422011!L:R,7,FALSE),VLOOKUP(tables_422011!C161,input_422011!A:H,8,FALSE))</f>
        <v>29100</v>
      </c>
      <c r="P161" s="46">
        <f t="shared" ca="1" si="7"/>
        <v>5.3888888888888892E-3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input_422011!A$2</f>
        <v>422011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IFERROR(VLOOKUP(B162,input_422011!L:R,7,FALSE),VLOOKUP(tables_422011!C162,input_422011!A:H,8,FALSE))</f>
        <v>26495.769230000002</v>
      </c>
      <c r="P162" s="46">
        <f t="shared" ca="1" si="7"/>
        <v>4.9066239314814819E-3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input_422011!A$2</f>
        <v>422011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IFERROR(VLOOKUP(B163,input_422011!L:R,7,FALSE),VLOOKUP(tables_422011!C163,input_422011!A:H,8,FALSE))</f>
        <v>2604.2307700000001</v>
      </c>
      <c r="P163" s="46">
        <f t="shared" ca="1" si="7"/>
        <v>4.8226495740740741E-4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input_422011!A$2</f>
        <v>422011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IFERROR(VLOOKUP(B164,input_422011!L:R,7,FALSE),VLOOKUP(tables_422011!C164,input_422011!A:H,8,FALSE))</f>
        <v>2850</v>
      </c>
      <c r="P164" s="46">
        <f t="shared" ca="1" si="7"/>
        <v>5.2777777777777773E-4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input_422011!A$2</f>
        <v>422011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IFERROR(VLOOKUP(B165,input_422011!L:R,7,FALSE),VLOOKUP(tables_422011!C165,input_422011!A:H,8,FALSE))</f>
        <v>150</v>
      </c>
      <c r="P165" s="46">
        <f t="shared" ca="1" si="7"/>
        <v>2.7777777777777779E-5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input_422011!A$2</f>
        <v>422011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IFERROR(VLOOKUP(B166,input_422011!L:R,7,FALSE),VLOOKUP(tables_422011!C166,input_422011!A:H,8,FALSE))</f>
        <v>29100</v>
      </c>
      <c r="P166" s="46">
        <f t="shared" ca="1" si="7"/>
        <v>5.3888888888888892E-3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input_422011!A$2</f>
        <v>422011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IFERROR(VLOOKUP(B167,input_422011!L:R,7,FALSE),VLOOKUP(tables_422011!C167,input_422011!A:H,8,FALSE))</f>
        <v>26495.769230000002</v>
      </c>
      <c r="P167" s="46">
        <f t="shared" ca="1" si="7"/>
        <v>4.9066239314814819E-3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input_422011!A$2</f>
        <v>422011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IFERROR(VLOOKUP(B168,input_422011!L:R,7,FALSE),VLOOKUP(tables_422011!C168,input_422011!A:H,8,FALSE))</f>
        <v>2604.2307700000001</v>
      </c>
      <c r="P168" s="46">
        <f t="shared" ca="1" si="7"/>
        <v>4.8226495740740741E-4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input_422011!A$2</f>
        <v>422011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IFERROR(VLOOKUP(B169,input_422011!L:R,7,FALSE),VLOOKUP(tables_422011!C169,input_422011!A:H,8,FALSE))</f>
        <v>2850</v>
      </c>
      <c r="P169" s="46">
        <f t="shared" ca="1" si="7"/>
        <v>5.2777777777777773E-4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input_422011!A$2</f>
        <v>422011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IFERROR(VLOOKUP(B170,input_422011!L:R,7,FALSE),VLOOKUP(tables_422011!C170,input_422011!A:H,8,FALSE))</f>
        <v>150</v>
      </c>
      <c r="P170" s="46">
        <f t="shared" ca="1" si="7"/>
        <v>2.7777777777777779E-5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input_422011!A$2</f>
        <v>422011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IFERROR(VLOOKUP(B171,input_422011!L:R,7,FALSE),VLOOKUP(tables_422011!C171,input_422011!A:H,8,FALSE))</f>
        <v>29100</v>
      </c>
      <c r="P171" s="46">
        <f t="shared" ca="1" si="7"/>
        <v>5.3888888888888892E-3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input_422011!A$2</f>
        <v>422011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IFERROR(VLOOKUP(B172,input_422011!L:R,7,FALSE),VLOOKUP(tables_422011!C172,input_422011!A:H,8,FALSE))</f>
        <v>26495.769230000002</v>
      </c>
      <c r="P172" s="46">
        <f t="shared" ca="1" si="7"/>
        <v>4.9066239314814819E-3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input_422011!A$2</f>
        <v>422011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IFERROR(VLOOKUP(B173,input_422011!L:R,7,FALSE),VLOOKUP(tables_422011!C173,input_422011!A:H,8,FALSE))</f>
        <v>2604.2307700000001</v>
      </c>
      <c r="P173" s="46">
        <f t="shared" ca="1" si="7"/>
        <v>4.8226495740740741E-4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input_422011!A$2</f>
        <v>422011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IFERROR(VLOOKUP(B174,input_422011!L:R,7,FALSE),VLOOKUP(tables_422011!C174,input_422011!A:H,8,FALSE))</f>
        <v>2850</v>
      </c>
      <c r="P174" s="46">
        <f t="shared" ca="1" si="7"/>
        <v>5.2777777777777773E-4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input_422011!A$2</f>
        <v>422011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IFERROR(VLOOKUP(B175,input_422011!L:R,7,FALSE),VLOOKUP(tables_422011!C175,input_422011!A:H,8,FALSE))</f>
        <v>150</v>
      </c>
      <c r="P175" s="46">
        <f t="shared" ca="1" si="7"/>
        <v>2.7777777777777779E-5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input_422011!A$2</f>
        <v>422011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IFERROR(VLOOKUP(B176,input_422011!L:R,7,FALSE),VLOOKUP(tables_422011!C176,input_422011!A:H,8,FALSE))</f>
        <v>2850</v>
      </c>
      <c r="P176" s="46">
        <f t="shared" ca="1" si="7"/>
        <v>5.2777777777777773E-4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input_422011!A$2</f>
        <v>422011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IFERROR(VLOOKUP(B177,input_422011!L:R,7,FALSE),VLOOKUP(tables_422011!C177,input_422011!A:H,8,FALSE))</f>
        <v>150</v>
      </c>
      <c r="P177" s="46">
        <f t="shared" ca="1" si="7"/>
        <v>2.7777777777777779E-5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input_422011!A$2</f>
        <v>422011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IFERROR(VLOOKUP(B178,input_422011!L:R,7,FALSE),VLOOKUP(tables_422011!C178,input_422011!A:H,8,FALSE))</f>
        <v>29100</v>
      </c>
      <c r="P178" s="46">
        <f t="shared" ca="1" si="7"/>
        <v>5.3888888888888892E-3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input_422011!A$2</f>
        <v>422011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IFERROR(VLOOKUP(B179,input_422011!L:R,7,FALSE),VLOOKUP(tables_422011!C179,input_422011!A:H,8,FALSE))</f>
        <v>26495.769230000002</v>
      </c>
      <c r="P179" s="46">
        <f t="shared" ca="1" si="7"/>
        <v>4.9066239314814819E-3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input_422011!A$2</f>
        <v>422011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IFERROR(VLOOKUP(B180,input_422011!L:R,7,FALSE),VLOOKUP(tables_422011!C180,input_422011!A:H,8,FALSE))</f>
        <v>2604.2307700000001</v>
      </c>
      <c r="P180" s="46">
        <f t="shared" ca="1" si="7"/>
        <v>4.8226495740740741E-4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input_422011!A$2</f>
        <v>422011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IFERROR(VLOOKUP(B181,input_422011!L:R,7,FALSE),VLOOKUP(tables_422011!C181,input_422011!A:H,8,FALSE))</f>
        <v>29100</v>
      </c>
      <c r="P181" s="46">
        <f t="shared" ca="1" si="7"/>
        <v>5.3888888888888892E-3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input_422011!A$2</f>
        <v>422011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IFERROR(VLOOKUP(B182,input_422011!L:R,7,FALSE),VLOOKUP(tables_422011!C182,input_422011!A:H,8,FALSE))</f>
        <v>26495.769230000002</v>
      </c>
      <c r="P182" s="46">
        <f t="shared" ca="1" si="7"/>
        <v>4.9066239314814819E-3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input_422011!A$2</f>
        <v>422011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IFERROR(VLOOKUP(B183,input_422011!L:R,7,FALSE),VLOOKUP(tables_422011!C183,input_422011!A:H,8,FALSE))</f>
        <v>2604.2307700000001</v>
      </c>
      <c r="P183" s="46">
        <f t="shared" ca="1" si="7"/>
        <v>4.8226495740740741E-4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input_422011!A$2</f>
        <v>422011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IFERROR(VLOOKUP(B184,input_422011!L:R,7,FALSE),VLOOKUP(tables_422011!C184,input_422011!A:H,8,FALSE))</f>
        <v>2850</v>
      </c>
      <c r="P184" s="46">
        <f t="shared" ca="1" si="7"/>
        <v>5.2777777777777773E-4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input_422011!A$2</f>
        <v>422011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IFERROR(VLOOKUP(B185,input_422011!L:R,7,FALSE),VLOOKUP(tables_422011!C185,input_422011!A:H,8,FALSE))</f>
        <v>150</v>
      </c>
      <c r="P185" s="46">
        <f t="shared" ca="1" si="7"/>
        <v>2.7777777777777779E-5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input_422011!A$2</f>
        <v>422011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IFERROR(VLOOKUP(B186,input_422011!L:R,7,FALSE),VLOOKUP(tables_422011!C186,input_422011!A:H,8,FALSE))</f>
        <v>29100</v>
      </c>
      <c r="P186" s="46">
        <f t="shared" ca="1" si="7"/>
        <v>5.3888888888888892E-3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input_422011!A$2</f>
        <v>422011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IFERROR(VLOOKUP(B187,input_422011!L:R,7,FALSE),VLOOKUP(tables_422011!C187,input_422011!A:H,8,FALSE))</f>
        <v>26495.769230000002</v>
      </c>
      <c r="P187" s="46">
        <f t="shared" ca="1" si="7"/>
        <v>4.9066239314814819E-3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input_422011!A$2</f>
        <v>422011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IFERROR(VLOOKUP(B188,input_422011!L:R,7,FALSE),VLOOKUP(tables_422011!C188,input_422011!A:H,8,FALSE))</f>
        <v>2604.2307700000001</v>
      </c>
      <c r="P188" s="46">
        <f t="shared" ca="1" si="7"/>
        <v>4.8226495740740741E-4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input_422011!A$2</f>
        <v>422011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IFERROR(VLOOKUP(B189,input_422011!L:R,7,FALSE),VLOOKUP(tables_422011!C189,input_422011!A:H,8,FALSE))</f>
        <v>2850</v>
      </c>
      <c r="P189" s="46">
        <f t="shared" ca="1" si="7"/>
        <v>5.2777777777777773E-4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input_422011!A$2</f>
        <v>422011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IFERROR(VLOOKUP(B190,input_422011!L:R,7,FALSE),VLOOKUP(tables_422011!C190,input_422011!A:H,8,FALSE))</f>
        <v>150</v>
      </c>
      <c r="P190" s="46">
        <f t="shared" ca="1" si="7"/>
        <v>2.7777777777777779E-5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input_422011!A$2</f>
        <v>422011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IFERROR(VLOOKUP(B191,input_422011!L:R,7,FALSE),VLOOKUP(tables_422011!C191,input_422011!A:H,8,FALSE))</f>
        <v>2850</v>
      </c>
      <c r="P191" s="46">
        <f t="shared" ca="1" si="7"/>
        <v>5.2777777777777773E-4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input_422011!A$2</f>
        <v>422011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IFERROR(VLOOKUP(B192,input_422011!L:R,7,FALSE),VLOOKUP(tables_422011!C192,input_422011!A:H,8,FALSE))</f>
        <v>150</v>
      </c>
      <c r="P192" s="46">
        <f t="shared" ca="1" si="7"/>
        <v>2.7777777777777779E-5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input_422011!A$2</f>
        <v>422011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IFERROR(VLOOKUP(B193,input_422011!L:R,7,FALSE),VLOOKUP(tables_422011!C193,input_422011!A:H,8,FALSE))</f>
        <v>29100</v>
      </c>
      <c r="P193" s="46">
        <f t="shared" ca="1" si="7"/>
        <v>5.3888888888888892E-3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input_422011!A$2</f>
        <v>422011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IFERROR(VLOOKUP(B194,input_422011!L:R,7,FALSE),VLOOKUP(tables_422011!C194,input_422011!A:H,8,FALSE))</f>
        <v>26495.769230000002</v>
      </c>
      <c r="P194" s="46">
        <f t="shared" ref="P194:P257" ca="1" si="10">O194/SUM(O:O)</f>
        <v>4.9066239314814819E-3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input_422011!A$2</f>
        <v>422011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IFERROR(VLOOKUP(B195,input_422011!L:R,7,FALSE),VLOOKUP(tables_422011!C195,input_422011!A:H,8,FALSE))</f>
        <v>2604.2307700000001</v>
      </c>
      <c r="P195" s="46">
        <f t="shared" ca="1" si="10"/>
        <v>4.8226495740740741E-4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input_422011!A$2</f>
        <v>422011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IFERROR(VLOOKUP(B196,input_422011!L:R,7,FALSE),VLOOKUP(tables_422011!C196,input_422011!A:H,8,FALSE))</f>
        <v>2850</v>
      </c>
      <c r="P196" s="46">
        <f t="shared" ca="1" si="10"/>
        <v>5.2777777777777773E-4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input_422011!A$2</f>
        <v>422011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IFERROR(VLOOKUP(B197,input_422011!L:R,7,FALSE),VLOOKUP(tables_422011!C197,input_422011!A:H,8,FALSE))</f>
        <v>150</v>
      </c>
      <c r="P197" s="46">
        <f t="shared" ca="1" si="10"/>
        <v>2.7777777777777779E-5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input_422011!A$2</f>
        <v>422011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IFERROR(VLOOKUP(B198,input_422011!L:R,7,FALSE),VLOOKUP(tables_422011!C198,input_422011!A:H,8,FALSE))</f>
        <v>29100</v>
      </c>
      <c r="P198" s="46">
        <f t="shared" ca="1" si="10"/>
        <v>5.3888888888888892E-3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input_422011!A$2</f>
        <v>422011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IFERROR(VLOOKUP(B199,input_422011!L:R,7,FALSE),VLOOKUP(tables_422011!C199,input_422011!A:H,8,FALSE))</f>
        <v>26495.769230000002</v>
      </c>
      <c r="P199" s="46">
        <f t="shared" ca="1" si="10"/>
        <v>4.9066239314814819E-3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input_422011!A$2</f>
        <v>422011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IFERROR(VLOOKUP(B200,input_422011!L:R,7,FALSE),VLOOKUP(tables_422011!C200,input_422011!A:H,8,FALSE))</f>
        <v>2604.2307700000001</v>
      </c>
      <c r="P200" s="46">
        <f t="shared" ca="1" si="10"/>
        <v>4.8226495740740741E-4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input_422011!A$2</f>
        <v>422011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IFERROR(VLOOKUP(B201,input_422011!L:R,7,FALSE),VLOOKUP(tables_422011!C201,input_422011!A:H,8,FALSE))</f>
        <v>2850</v>
      </c>
      <c r="P201" s="46">
        <f t="shared" ca="1" si="10"/>
        <v>5.2777777777777773E-4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input_422011!A$2</f>
        <v>422011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IFERROR(VLOOKUP(B202,input_422011!L:R,7,FALSE),VLOOKUP(tables_422011!C202,input_422011!A:H,8,FALSE))</f>
        <v>150</v>
      </c>
      <c r="P202" s="46">
        <f t="shared" ca="1" si="10"/>
        <v>2.7777777777777779E-5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input_422011!A$2</f>
        <v>422011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IFERROR(VLOOKUP(B203,input_422011!L:R,7,FALSE),VLOOKUP(tables_422011!C203,input_422011!A:H,8,FALSE))</f>
        <v>29100</v>
      </c>
      <c r="P203" s="46">
        <f t="shared" ca="1" si="10"/>
        <v>5.3888888888888892E-3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input_422011!A$2</f>
        <v>422011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IFERROR(VLOOKUP(B204,input_422011!L:R,7,FALSE),VLOOKUP(tables_422011!C204,input_422011!A:H,8,FALSE))</f>
        <v>26495.769230000002</v>
      </c>
      <c r="P204" s="46">
        <f t="shared" ca="1" si="10"/>
        <v>4.9066239314814819E-3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input_422011!A$2</f>
        <v>422011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IFERROR(VLOOKUP(B205,input_422011!L:R,7,FALSE),VLOOKUP(tables_422011!C205,input_422011!A:H,8,FALSE))</f>
        <v>2604.2307700000001</v>
      </c>
      <c r="P205" s="46">
        <f t="shared" ca="1" si="10"/>
        <v>4.8226495740740741E-4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input_422011!A$2</f>
        <v>422011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IFERROR(VLOOKUP(B206,input_422011!L:R,7,FALSE),VLOOKUP(tables_422011!C206,input_422011!A:H,8,FALSE))</f>
        <v>2850</v>
      </c>
      <c r="P206" s="46">
        <f t="shared" ca="1" si="10"/>
        <v>5.2777777777777773E-4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input_422011!A$2</f>
        <v>422011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IFERROR(VLOOKUP(B207,input_422011!L:R,7,FALSE),VLOOKUP(tables_422011!C207,input_422011!A:H,8,FALSE))</f>
        <v>150</v>
      </c>
      <c r="P207" s="46">
        <f t="shared" ca="1" si="10"/>
        <v>2.7777777777777779E-5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input_422011!A$2</f>
        <v>422011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IFERROR(VLOOKUP(B208,input_422011!L:R,7,FALSE),VLOOKUP(tables_422011!C208,input_422011!A:H,8,FALSE))</f>
        <v>2850</v>
      </c>
      <c r="P208" s="46">
        <f t="shared" ca="1" si="10"/>
        <v>5.2777777777777773E-4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input_422011!A$2</f>
        <v>422011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IFERROR(VLOOKUP(B209,input_422011!L:R,7,FALSE),VLOOKUP(tables_422011!C209,input_422011!A:H,8,FALSE))</f>
        <v>150</v>
      </c>
      <c r="P209" s="46">
        <f t="shared" ca="1" si="10"/>
        <v>2.7777777777777779E-5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input_422011!A$2</f>
        <v>422011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IFERROR(VLOOKUP(B210,input_422011!L:R,7,FALSE),VLOOKUP(tables_422011!C210,input_422011!A:H,8,FALSE))</f>
        <v>29100</v>
      </c>
      <c r="P210" s="46">
        <f t="shared" ca="1" si="10"/>
        <v>5.3888888888888892E-3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input_422011!A$2</f>
        <v>422011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IFERROR(VLOOKUP(B211,input_422011!L:R,7,FALSE),VLOOKUP(tables_422011!C211,input_422011!A:H,8,FALSE))</f>
        <v>26495.769230000002</v>
      </c>
      <c r="P211" s="46">
        <f t="shared" ca="1" si="10"/>
        <v>4.9066239314814819E-3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input_422011!A$2</f>
        <v>422011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IFERROR(VLOOKUP(B212,input_422011!L:R,7,FALSE),VLOOKUP(tables_422011!C212,input_422011!A:H,8,FALSE))</f>
        <v>2604.2307700000001</v>
      </c>
      <c r="P212" s="46">
        <f t="shared" ca="1" si="10"/>
        <v>4.8226495740740741E-4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input_422011!A$2</f>
        <v>422011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IFERROR(VLOOKUP(B213,input_422011!L:R,7,FALSE),VLOOKUP(tables_422011!C213,input_422011!A:H,8,FALSE))</f>
        <v>2850</v>
      </c>
      <c r="P213" s="46">
        <f t="shared" ca="1" si="10"/>
        <v>5.2777777777777773E-4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input_422011!A$2</f>
        <v>422011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IFERROR(VLOOKUP(B214,input_422011!L:R,7,FALSE),VLOOKUP(tables_422011!C214,input_422011!A:H,8,FALSE))</f>
        <v>150</v>
      </c>
      <c r="P214" s="46">
        <f t="shared" ca="1" si="10"/>
        <v>2.7777777777777779E-5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input_422011!A$2</f>
        <v>422011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IFERROR(VLOOKUP(B215,input_422011!L:R,7,FALSE),VLOOKUP(tables_422011!C215,input_422011!A:H,8,FALSE))</f>
        <v>2850</v>
      </c>
      <c r="P215" s="46">
        <f t="shared" ca="1" si="10"/>
        <v>5.2777777777777773E-4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input_422011!A$2</f>
        <v>422011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IFERROR(VLOOKUP(B216,input_422011!L:R,7,FALSE),VLOOKUP(tables_422011!C216,input_422011!A:H,8,FALSE))</f>
        <v>150</v>
      </c>
      <c r="P216" s="46">
        <f t="shared" ca="1" si="10"/>
        <v>2.7777777777777779E-5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input_422011!A$2</f>
        <v>422011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IFERROR(VLOOKUP(B217,input_422011!L:R,7,FALSE),VLOOKUP(tables_422011!C217,input_422011!A:H,8,FALSE))</f>
        <v>29100</v>
      </c>
      <c r="P217" s="46">
        <f t="shared" ca="1" si="10"/>
        <v>5.3888888888888892E-3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input_422011!A$2</f>
        <v>422011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IFERROR(VLOOKUP(B218,input_422011!L:R,7,FALSE),VLOOKUP(tables_422011!C218,input_422011!A:H,8,FALSE))</f>
        <v>26495.769230000002</v>
      </c>
      <c r="P218" s="46">
        <f t="shared" ca="1" si="10"/>
        <v>4.9066239314814819E-3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input_422011!A$2</f>
        <v>422011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IFERROR(VLOOKUP(B219,input_422011!L:R,7,FALSE),VLOOKUP(tables_422011!C219,input_422011!A:H,8,FALSE))</f>
        <v>2604.2307700000001</v>
      </c>
      <c r="P219" s="46">
        <f t="shared" ca="1" si="10"/>
        <v>4.8226495740740741E-4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input_422011!A$2</f>
        <v>422011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IFERROR(VLOOKUP(B220,input_422011!L:R,7,FALSE),VLOOKUP(tables_422011!C220,input_422011!A:H,8,FALSE))</f>
        <v>29100</v>
      </c>
      <c r="P220" s="46">
        <f t="shared" ca="1" si="10"/>
        <v>5.3888888888888892E-3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input_422011!A$2</f>
        <v>422011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IFERROR(VLOOKUP(B221,input_422011!L:R,7,FALSE),VLOOKUP(tables_422011!C221,input_422011!A:H,8,FALSE))</f>
        <v>26495.769230000002</v>
      </c>
      <c r="P221" s="46">
        <f t="shared" ca="1" si="10"/>
        <v>4.9066239314814819E-3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input_422011!A$2</f>
        <v>422011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IFERROR(VLOOKUP(B222,input_422011!L:R,7,FALSE),VLOOKUP(tables_422011!C222,input_422011!A:H,8,FALSE))</f>
        <v>2604.2307700000001</v>
      </c>
      <c r="P222" s="46">
        <f t="shared" ca="1" si="10"/>
        <v>4.8226495740740741E-4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input_422011!A$2</f>
        <v>422011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IFERROR(VLOOKUP(B223,input_422011!L:R,7,FALSE),VLOOKUP(tables_422011!C223,input_422011!A:H,8,FALSE))</f>
        <v>2850</v>
      </c>
      <c r="P223" s="46">
        <f t="shared" ca="1" si="10"/>
        <v>5.2777777777777773E-4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input_422011!A$2</f>
        <v>422011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IFERROR(VLOOKUP(B224,input_422011!L:R,7,FALSE),VLOOKUP(tables_422011!C224,input_422011!A:H,8,FALSE))</f>
        <v>150</v>
      </c>
      <c r="P224" s="46">
        <f t="shared" ca="1" si="10"/>
        <v>2.7777777777777779E-5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input_422011!A$2</f>
        <v>422011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IFERROR(VLOOKUP(B225,input_422011!L:R,7,FALSE),VLOOKUP(tables_422011!C225,input_422011!A:H,8,FALSE))</f>
        <v>29100</v>
      </c>
      <c r="P225" s="46">
        <f t="shared" ca="1" si="10"/>
        <v>5.3888888888888892E-3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input_422011!A$2</f>
        <v>422011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IFERROR(VLOOKUP(B226,input_422011!L:R,7,FALSE),VLOOKUP(tables_422011!C226,input_422011!A:H,8,FALSE))</f>
        <v>26495.769230000002</v>
      </c>
      <c r="P226" s="46">
        <f t="shared" ca="1" si="10"/>
        <v>4.9066239314814819E-3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input_422011!A$2</f>
        <v>422011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IFERROR(VLOOKUP(B227,input_422011!L:R,7,FALSE),VLOOKUP(tables_422011!C227,input_422011!A:H,8,FALSE))</f>
        <v>2604.2307700000001</v>
      </c>
      <c r="P227" s="46">
        <f t="shared" ca="1" si="10"/>
        <v>4.8226495740740741E-4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input_422011!A$2</f>
        <v>422011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IFERROR(VLOOKUP(B228,input_422011!L:R,7,FALSE),VLOOKUP(tables_422011!C228,input_422011!A:H,8,FALSE))</f>
        <v>29100</v>
      </c>
      <c r="P228" s="46">
        <f t="shared" ca="1" si="10"/>
        <v>5.3888888888888892E-3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input_422011!A$2</f>
        <v>422011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IFERROR(VLOOKUP(B229,input_422011!L:R,7,FALSE),VLOOKUP(tables_422011!C229,input_422011!A:H,8,FALSE))</f>
        <v>26495.769230000002</v>
      </c>
      <c r="P229" s="46">
        <f t="shared" ca="1" si="10"/>
        <v>4.9066239314814819E-3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input_422011!A$2</f>
        <v>422011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IFERROR(VLOOKUP(B230,input_422011!L:R,7,FALSE),VLOOKUP(tables_422011!C230,input_422011!A:H,8,FALSE))</f>
        <v>2604.2307700000001</v>
      </c>
      <c r="P230" s="46">
        <f t="shared" ca="1" si="10"/>
        <v>4.8226495740740741E-4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input_422011!A$2</f>
        <v>422011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IFERROR(VLOOKUP(B231,input_422011!L:R,7,FALSE),VLOOKUP(tables_422011!C231,input_422011!A:H,8,FALSE))</f>
        <v>2850</v>
      </c>
      <c r="P231" s="46">
        <f t="shared" ca="1" si="10"/>
        <v>5.2777777777777773E-4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input_422011!A$2</f>
        <v>422011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IFERROR(VLOOKUP(B232,input_422011!L:R,7,FALSE),VLOOKUP(tables_422011!C232,input_422011!A:H,8,FALSE))</f>
        <v>150</v>
      </c>
      <c r="P232" s="46">
        <f t="shared" ca="1" si="10"/>
        <v>2.7777777777777779E-5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input_422011!A$2</f>
        <v>422011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IFERROR(VLOOKUP(B233,input_422011!L:R,7,FALSE),VLOOKUP(tables_422011!C233,input_422011!A:H,8,FALSE))</f>
        <v>29100</v>
      </c>
      <c r="P233" s="46">
        <f t="shared" ca="1" si="10"/>
        <v>5.3888888888888892E-3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input_422011!A$2</f>
        <v>422011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IFERROR(VLOOKUP(B234,input_422011!L:R,7,FALSE),VLOOKUP(tables_422011!C234,input_422011!A:H,8,FALSE))</f>
        <v>26495.769230000002</v>
      </c>
      <c r="P234" s="46">
        <f t="shared" ca="1" si="10"/>
        <v>4.9066239314814819E-3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input_422011!A$2</f>
        <v>422011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IFERROR(VLOOKUP(B235,input_422011!L:R,7,FALSE),VLOOKUP(tables_422011!C235,input_422011!A:H,8,FALSE))</f>
        <v>2604.2307700000001</v>
      </c>
      <c r="P235" s="46">
        <f t="shared" ca="1" si="10"/>
        <v>4.8226495740740741E-4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input_422011!A$2</f>
        <v>422011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IFERROR(VLOOKUP(B236,input_422011!L:R,7,FALSE),VLOOKUP(tables_422011!C236,input_422011!A:H,8,FALSE))</f>
        <v>2850</v>
      </c>
      <c r="P236" s="46">
        <f t="shared" ca="1" si="10"/>
        <v>5.2777777777777773E-4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input_422011!A$2</f>
        <v>422011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IFERROR(VLOOKUP(B237,input_422011!L:R,7,FALSE),VLOOKUP(tables_422011!C237,input_422011!A:H,8,FALSE))</f>
        <v>150</v>
      </c>
      <c r="P237" s="46">
        <f t="shared" ca="1" si="10"/>
        <v>2.7777777777777779E-5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input_422011!A$2</f>
        <v>422011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IFERROR(VLOOKUP(B238,input_422011!L:R,7,FALSE),VLOOKUP(tables_422011!C238,input_422011!A:H,8,FALSE))</f>
        <v>2850</v>
      </c>
      <c r="P238" s="46">
        <f t="shared" ca="1" si="10"/>
        <v>5.2777777777777773E-4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input_422011!A$2</f>
        <v>422011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IFERROR(VLOOKUP(B239,input_422011!L:R,7,FALSE),VLOOKUP(tables_422011!C239,input_422011!A:H,8,FALSE))</f>
        <v>150</v>
      </c>
      <c r="P239" s="46">
        <f t="shared" ca="1" si="10"/>
        <v>2.7777777777777779E-5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input_422011!A$2</f>
        <v>422011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IFERROR(VLOOKUP(B240,input_422011!L:R,7,FALSE),VLOOKUP(tables_422011!C240,input_422011!A:H,8,FALSE))</f>
        <v>29100</v>
      </c>
      <c r="P240" s="46">
        <f t="shared" ca="1" si="10"/>
        <v>5.3888888888888892E-3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input_422011!A$2</f>
        <v>422011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IFERROR(VLOOKUP(B241,input_422011!L:R,7,FALSE),VLOOKUP(tables_422011!C241,input_422011!A:H,8,FALSE))</f>
        <v>26495.769230000002</v>
      </c>
      <c r="P241" s="46">
        <f t="shared" ca="1" si="10"/>
        <v>4.9066239314814819E-3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input_422011!A$2</f>
        <v>422011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IFERROR(VLOOKUP(B242,input_422011!L:R,7,FALSE),VLOOKUP(tables_422011!C242,input_422011!A:H,8,FALSE))</f>
        <v>2604.2307700000001</v>
      </c>
      <c r="P242" s="46">
        <f t="shared" ca="1" si="10"/>
        <v>4.8226495740740741E-4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input_422011!A$2</f>
        <v>422011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IFERROR(VLOOKUP(B243,input_422011!L:R,7,FALSE),VLOOKUP(tables_422011!C243,input_422011!A:H,8,FALSE))</f>
        <v>29100</v>
      </c>
      <c r="P243" s="46">
        <f t="shared" ca="1" si="10"/>
        <v>5.3888888888888892E-3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input_422011!A$2</f>
        <v>422011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IFERROR(VLOOKUP(B244,input_422011!L:R,7,FALSE),VLOOKUP(tables_422011!C244,input_422011!A:H,8,FALSE))</f>
        <v>26495.769230000002</v>
      </c>
      <c r="P244" s="46">
        <f t="shared" ca="1" si="10"/>
        <v>4.9066239314814819E-3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input_422011!A$2</f>
        <v>422011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IFERROR(VLOOKUP(B245,input_422011!L:R,7,FALSE),VLOOKUP(tables_422011!C245,input_422011!A:H,8,FALSE))</f>
        <v>2604.2307700000001</v>
      </c>
      <c r="P245" s="46">
        <f t="shared" ca="1" si="10"/>
        <v>4.8226495740740741E-4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input_422011!A$2</f>
        <v>422011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IFERROR(VLOOKUP(B246,input_422011!L:R,7,FALSE),VLOOKUP(tables_422011!C246,input_422011!A:H,8,FALSE))</f>
        <v>29100</v>
      </c>
      <c r="P246" s="46">
        <f t="shared" ca="1" si="10"/>
        <v>5.3888888888888892E-3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input_422011!A$2</f>
        <v>422011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IFERROR(VLOOKUP(B247,input_422011!L:R,7,FALSE),VLOOKUP(tables_422011!C247,input_422011!A:H,8,FALSE))</f>
        <v>26495.769230000002</v>
      </c>
      <c r="P247" s="46">
        <f t="shared" ca="1" si="10"/>
        <v>4.9066239314814819E-3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input_422011!A$2</f>
        <v>422011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IFERROR(VLOOKUP(B248,input_422011!L:R,7,FALSE),VLOOKUP(tables_422011!C248,input_422011!A:H,8,FALSE))</f>
        <v>2604.2307700000001</v>
      </c>
      <c r="P248" s="46">
        <f t="shared" ca="1" si="10"/>
        <v>4.8226495740740741E-4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input_422011!A$2</f>
        <v>422011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IFERROR(VLOOKUP(B249,input_422011!L:R,7,FALSE),VLOOKUP(tables_422011!C249,input_422011!A:H,8,FALSE))</f>
        <v>29100</v>
      </c>
      <c r="P249" s="46">
        <f t="shared" ca="1" si="10"/>
        <v>5.3888888888888892E-3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input_422011!A$2</f>
        <v>422011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IFERROR(VLOOKUP(B250,input_422011!L:R,7,FALSE),VLOOKUP(tables_422011!C250,input_422011!A:H,8,FALSE))</f>
        <v>26495.769230000002</v>
      </c>
      <c r="P250" s="46">
        <f t="shared" ca="1" si="10"/>
        <v>4.9066239314814819E-3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input_422011!A$2</f>
        <v>422011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IFERROR(VLOOKUP(B251,input_422011!L:R,7,FALSE),VLOOKUP(tables_422011!C251,input_422011!A:H,8,FALSE))</f>
        <v>2604.2307700000001</v>
      </c>
      <c r="P251" s="46">
        <f t="shared" ca="1" si="10"/>
        <v>4.8226495740740741E-4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input_422011!A$2</f>
        <v>422011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IFERROR(VLOOKUP(B252,input_422011!L:R,7,FALSE),VLOOKUP(tables_422011!C252,input_422011!A:H,8,FALSE))</f>
        <v>2850</v>
      </c>
      <c r="P252" s="46">
        <f t="shared" ca="1" si="10"/>
        <v>5.2777777777777773E-4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input_422011!A$2</f>
        <v>422011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IFERROR(VLOOKUP(B253,input_422011!L:R,7,FALSE),VLOOKUP(tables_422011!C253,input_422011!A:H,8,FALSE))</f>
        <v>150</v>
      </c>
      <c r="P253" s="46">
        <f t="shared" ca="1" si="10"/>
        <v>2.7777777777777779E-5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input_422011!A$2</f>
        <v>422011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IFERROR(VLOOKUP(B254,input_422011!L:R,7,FALSE),VLOOKUP(tables_422011!C254,input_422011!A:H,8,FALSE))</f>
        <v>2850</v>
      </c>
      <c r="P254" s="46">
        <f t="shared" ca="1" si="10"/>
        <v>5.2777777777777773E-4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input_422011!A$2</f>
        <v>422011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IFERROR(VLOOKUP(B255,input_422011!L:R,7,FALSE),VLOOKUP(tables_422011!C255,input_422011!A:H,8,FALSE))</f>
        <v>150</v>
      </c>
      <c r="P255" s="46">
        <f t="shared" ca="1" si="10"/>
        <v>2.7777777777777779E-5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input_422011!A$2</f>
        <v>422011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IFERROR(VLOOKUP(B256,input_422011!L:R,7,FALSE),VLOOKUP(tables_422011!C256,input_422011!A:H,8,FALSE))</f>
        <v>55290</v>
      </c>
      <c r="P256" s="46">
        <f t="shared" ca="1" si="10"/>
        <v>1.0238888888888889E-2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input_422011!A$2</f>
        <v>422011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IFERROR(VLOOKUP(B257,input_422011!L:R,7,FALSE),VLOOKUP(tables_422011!C257,input_422011!A:H,8,FALSE))</f>
        <v>2910</v>
      </c>
      <c r="P257" s="46">
        <f t="shared" ca="1" si="10"/>
        <v>5.3888888888888888E-4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input_422011!A$2</f>
        <v>422011</v>
      </c>
      <c r="B258" s="60">
        <v>730</v>
      </c>
      <c r="C258" s="7" t="str">
        <f t="shared" ref="C258:C30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IFERROR(VLOOKUP(B258,input_422011!L:R,7,FALSE),VLOOKUP(tables_422011!C258,input_422011!A:H,8,FALSE))</f>
        <v>55290</v>
      </c>
      <c r="P258" s="46">
        <f t="shared" ref="P258:P304" ca="1" si="13">O258/SUM(O:O)</f>
        <v>1.0238888888888889E-2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input_422011!A$2</f>
        <v>422011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IFERROR(VLOOKUP(B259,input_422011!L:R,7,FALSE),VLOOKUP(tables_422011!C259,input_422011!A:H,8,FALSE))</f>
        <v>2910</v>
      </c>
      <c r="P259" s="46">
        <f t="shared" ca="1" si="13"/>
        <v>5.3888888888888888E-4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input_422011!A$2</f>
        <v>422011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IFERROR(VLOOKUP(B260,input_422011!L:R,7,FALSE),VLOOKUP(tables_422011!C260,input_422011!A:H,8,FALSE))</f>
        <v>3000</v>
      </c>
      <c r="P260" s="46">
        <f t="shared" ca="1" si="13"/>
        <v>5.5555555555555556E-4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input_422011!A$2</f>
        <v>422011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IFERROR(VLOOKUP(B261,input_422011!L:R,7,FALSE),VLOOKUP(tables_422011!C261,input_422011!A:H,8,FALSE))</f>
        <v>3000</v>
      </c>
      <c r="P261" s="46">
        <f t="shared" ca="1" si="13"/>
        <v>5.5555555555555556E-4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input_422011!A$2</f>
        <v>422011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IFERROR(VLOOKUP(B262,input_422011!L:R,7,FALSE),VLOOKUP(tables_422011!C262,input_422011!A:H,8,FALSE))</f>
        <v>2850</v>
      </c>
      <c r="P262" s="46">
        <f t="shared" ca="1" si="13"/>
        <v>5.2777777777777773E-4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input_422011!A$2</f>
        <v>422011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IFERROR(VLOOKUP(B263,input_422011!L:R,7,FALSE),VLOOKUP(tables_422011!C263,input_422011!A:H,8,FALSE))</f>
        <v>150</v>
      </c>
      <c r="P263" s="46">
        <f t="shared" ca="1" si="13"/>
        <v>2.7777777777777779E-5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input_422011!A$2</f>
        <v>422011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IFERROR(VLOOKUP(B264,input_422011!L:R,7,FALSE),VLOOKUP(tables_422011!C264,input_422011!A:H,8,FALSE))</f>
        <v>2850</v>
      </c>
      <c r="P264" s="46">
        <f t="shared" ca="1" si="13"/>
        <v>5.2777777777777773E-4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input_422011!A$2</f>
        <v>422011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IFERROR(VLOOKUP(B265,input_422011!L:R,7,FALSE),VLOOKUP(tables_422011!C265,input_422011!A:H,8,FALSE))</f>
        <v>150</v>
      </c>
      <c r="P265" s="46">
        <f t="shared" ca="1" si="13"/>
        <v>2.7777777777777779E-5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input_422011!A$2</f>
        <v>422011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IFERROR(VLOOKUP(B266,input_422011!L:R,7,FALSE),VLOOKUP(tables_422011!C266,input_422011!A:H,8,FALSE))</f>
        <v>29100</v>
      </c>
      <c r="P266" s="46">
        <f t="shared" ca="1" si="13"/>
        <v>5.3888888888888892E-3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input_422011!A$2</f>
        <v>422011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IFERROR(VLOOKUP(B267,input_422011!L:R,7,FALSE),VLOOKUP(tables_422011!C267,input_422011!A:H,8,FALSE))</f>
        <v>26495.769230000002</v>
      </c>
      <c r="P267" s="46">
        <f t="shared" ca="1" si="13"/>
        <v>4.9066239314814819E-3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input_422011!A$2</f>
        <v>422011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IFERROR(VLOOKUP(B268,input_422011!L:R,7,FALSE),VLOOKUP(tables_422011!C268,input_422011!A:H,8,FALSE))</f>
        <v>2604.2307700000001</v>
      </c>
      <c r="P268" s="46">
        <f t="shared" ca="1" si="13"/>
        <v>4.8226495740740741E-4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input_422011!A$2</f>
        <v>422011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IFERROR(VLOOKUP(B269,input_422011!L:R,7,FALSE),VLOOKUP(tables_422011!C269,input_422011!A:H,8,FALSE))</f>
        <v>29100</v>
      </c>
      <c r="P269" s="46">
        <f t="shared" ca="1" si="13"/>
        <v>5.3888888888888892E-3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input_422011!A$2</f>
        <v>422011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IFERROR(VLOOKUP(B270,input_422011!L:R,7,FALSE),VLOOKUP(tables_422011!C270,input_422011!A:H,8,FALSE))</f>
        <v>26495.769230000002</v>
      </c>
      <c r="P270" s="46">
        <f t="shared" ca="1" si="13"/>
        <v>4.9066239314814819E-3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input_422011!A$2</f>
        <v>422011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IFERROR(VLOOKUP(B271,input_422011!L:R,7,FALSE),VLOOKUP(tables_422011!C271,input_422011!A:H,8,FALSE))</f>
        <v>2604.2307700000001</v>
      </c>
      <c r="P271" s="46">
        <f t="shared" ca="1" si="13"/>
        <v>4.8226495740740741E-4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input_422011!A$2</f>
        <v>422011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IFERROR(VLOOKUP(B272,input_422011!L:R,7,FALSE),VLOOKUP(tables_422011!C272,input_422011!A:H,8,FALSE))</f>
        <v>3000</v>
      </c>
      <c r="P272" s="46">
        <f t="shared" ca="1" si="13"/>
        <v>5.5555555555555556E-4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input_422011!A$2</f>
        <v>422011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IFERROR(VLOOKUP(B273,input_422011!L:R,7,FALSE),VLOOKUP(tables_422011!C273,input_422011!A:H,8,FALSE))</f>
        <v>3000</v>
      </c>
      <c r="P273" s="46">
        <f t="shared" ca="1" si="13"/>
        <v>5.5555555555555556E-4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input_422011!A$2</f>
        <v>422011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IFERROR(VLOOKUP(B274,input_422011!L:R,7,FALSE),VLOOKUP(tables_422011!C274,input_422011!A:H,8,FALSE))</f>
        <v>55290</v>
      </c>
      <c r="P274" s="46">
        <f t="shared" ca="1" si="13"/>
        <v>1.0238888888888889E-2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input_422011!A$2</f>
        <v>422011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IFERROR(VLOOKUP(B275,input_422011!L:R,7,FALSE),VLOOKUP(tables_422011!C275,input_422011!A:H,8,FALSE))</f>
        <v>2910</v>
      </c>
      <c r="P275" s="46">
        <f t="shared" ca="1" si="13"/>
        <v>5.3888888888888888E-4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input_422011!A$2</f>
        <v>422011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IFERROR(VLOOKUP(B276,input_422011!L:R,7,FALSE),VLOOKUP(tables_422011!C276,input_422011!A:H,8,FALSE))</f>
        <v>55290</v>
      </c>
      <c r="P276" s="46">
        <f t="shared" ca="1" si="13"/>
        <v>1.0238888888888889E-2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input_422011!A$2</f>
        <v>422011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IFERROR(VLOOKUP(B277,input_422011!L:R,7,FALSE),VLOOKUP(tables_422011!C277,input_422011!A:H,8,FALSE))</f>
        <v>2910</v>
      </c>
      <c r="P277" s="46">
        <f t="shared" ca="1" si="13"/>
        <v>5.3888888888888888E-4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input_422011!A$2</f>
        <v>422011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IFERROR(VLOOKUP(B278,input_422011!L:R,7,FALSE),VLOOKUP(tables_422011!C278,input_422011!A:H,8,FALSE))</f>
        <v>55290</v>
      </c>
      <c r="P278" s="46">
        <f t="shared" ca="1" si="13"/>
        <v>1.0238888888888889E-2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input_422011!A$2</f>
        <v>422011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IFERROR(VLOOKUP(B279,input_422011!L:R,7,FALSE),VLOOKUP(tables_422011!C279,input_422011!A:H,8,FALSE))</f>
        <v>2910</v>
      </c>
      <c r="P279" s="46">
        <f t="shared" ca="1" si="13"/>
        <v>5.3888888888888888E-4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input_422011!A$2</f>
        <v>422011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IFERROR(VLOOKUP(B280,input_422011!L:R,7,FALSE),VLOOKUP(tables_422011!C280,input_422011!A:H,8,FALSE))</f>
        <v>55290</v>
      </c>
      <c r="P280" s="46">
        <f t="shared" ca="1" si="13"/>
        <v>1.0238888888888889E-2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input_422011!A$2</f>
        <v>422011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IFERROR(VLOOKUP(B281,input_422011!L:R,7,FALSE),VLOOKUP(tables_422011!C281,input_422011!A:H,8,FALSE))</f>
        <v>2910</v>
      </c>
      <c r="P281" s="46">
        <f t="shared" ca="1" si="13"/>
        <v>5.3888888888888888E-4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input_422011!A$2</f>
        <v>422011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IFERROR(VLOOKUP(B282,input_422011!L:R,7,FALSE),VLOOKUP(tables_422011!C282,input_422011!A:H,8,FALSE))</f>
        <v>3000</v>
      </c>
      <c r="P282" s="46">
        <f t="shared" ca="1" si="13"/>
        <v>5.5555555555555556E-4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input_422011!A$2</f>
        <v>422011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IFERROR(VLOOKUP(B283,input_422011!L:R,7,FALSE),VLOOKUP(tables_422011!C283,input_422011!A:H,8,FALSE))</f>
        <v>3000</v>
      </c>
      <c r="P283" s="46">
        <f t="shared" ca="1" si="13"/>
        <v>5.5555555555555556E-4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input_422011!A$2</f>
        <v>422011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IFERROR(VLOOKUP(B284,input_422011!L:R,7,FALSE),VLOOKUP(tables_422011!C284,input_422011!A:H,8,FALSE))</f>
        <v>3000</v>
      </c>
      <c r="P284" s="46">
        <f t="shared" ca="1" si="13"/>
        <v>5.5555555555555556E-4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input_422011!A$2</f>
        <v>422011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IFERROR(VLOOKUP(B285,input_422011!L:R,7,FALSE),VLOOKUP(tables_422011!C285,input_422011!A:H,8,FALSE))</f>
        <v>3000</v>
      </c>
      <c r="P285" s="46">
        <f t="shared" ca="1" si="13"/>
        <v>5.5555555555555556E-4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input_422011!A$2</f>
        <v>422011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IFERROR(VLOOKUP(B286,input_422011!L:R,7,FALSE),VLOOKUP(tables_422011!C286,input_422011!A:H,8,FALSE))</f>
        <v>55290</v>
      </c>
      <c r="P286" s="46">
        <f t="shared" ca="1" si="13"/>
        <v>1.0238888888888889E-2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input_422011!A$2</f>
        <v>422011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IFERROR(VLOOKUP(B287,input_422011!L:R,7,FALSE),VLOOKUP(tables_422011!C287,input_422011!A:H,8,FALSE))</f>
        <v>2910</v>
      </c>
      <c r="P287" s="46">
        <f t="shared" ca="1" si="13"/>
        <v>5.3888888888888888E-4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input_422011!A$2</f>
        <v>422011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IFERROR(VLOOKUP(B288,input_422011!L:R,7,FALSE),VLOOKUP(tables_422011!C288,input_422011!A:H,8,FALSE))</f>
        <v>55290</v>
      </c>
      <c r="P288" s="46">
        <f t="shared" ca="1" si="13"/>
        <v>1.0238888888888889E-2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input_422011!A$2</f>
        <v>422011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IFERROR(VLOOKUP(B289,input_422011!L:R,7,FALSE),VLOOKUP(tables_422011!C289,input_422011!A:H,8,FALSE))</f>
        <v>2910</v>
      </c>
      <c r="P289" s="46">
        <f t="shared" ca="1" si="13"/>
        <v>5.3888888888888888E-4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input_422011!A$2</f>
        <v>422011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IFERROR(VLOOKUP(B290,input_422011!L:R,7,FALSE),VLOOKUP(tables_422011!C290,input_422011!A:H,8,FALSE))</f>
        <v>3000</v>
      </c>
      <c r="P290" s="46">
        <f t="shared" ca="1" si="13"/>
        <v>5.5555555555555556E-4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input_422011!A$2</f>
        <v>422011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IFERROR(VLOOKUP(B291,input_422011!L:R,7,FALSE),VLOOKUP(tables_422011!C291,input_422011!A:H,8,FALSE))</f>
        <v>55290</v>
      </c>
      <c r="P291" s="46">
        <f t="shared" ca="1" si="13"/>
        <v>1.0238888888888889E-2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input_422011!A$2</f>
        <v>422011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IFERROR(VLOOKUP(B292,input_422011!L:R,7,FALSE),VLOOKUP(tables_422011!C292,input_422011!A:H,8,FALSE))</f>
        <v>2910</v>
      </c>
      <c r="P292" s="46">
        <f t="shared" ca="1" si="13"/>
        <v>5.3888888888888888E-4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input_422011!A$2</f>
        <v>422011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IFERROR(VLOOKUP(B293,input_422011!L:R,7,FALSE),VLOOKUP(tables_422011!C293,input_422011!A:H,8,FALSE))</f>
        <v>3000</v>
      </c>
      <c r="P293" s="46">
        <f t="shared" ca="1" si="13"/>
        <v>5.5555555555555556E-4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input_422011!A$2</f>
        <v>422011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IFERROR(VLOOKUP(B294,input_422011!L:R,7,FALSE),VLOOKUP(tables_422011!C294,input_422011!A:H,8,FALSE))</f>
        <v>3000</v>
      </c>
      <c r="P294" s="46">
        <f t="shared" ca="1" si="13"/>
        <v>5.5555555555555556E-4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input_422011!A$2</f>
        <v>422011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IFERROR(VLOOKUP(B295,input_422011!L:R,7,FALSE),VLOOKUP(tables_422011!C295,input_422011!A:H,8,FALSE))</f>
        <v>3000</v>
      </c>
      <c r="P295" s="46">
        <f t="shared" ca="1" si="13"/>
        <v>5.5555555555555556E-4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input_422011!A$2</f>
        <v>422011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IFERROR(VLOOKUP(B296,input_422011!L:R,7,FALSE),VLOOKUP(tables_422011!C296,input_422011!A:H,8,FALSE))</f>
        <v>3000</v>
      </c>
      <c r="P296" s="46">
        <f t="shared" ca="1" si="13"/>
        <v>5.5555555555555556E-4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input_422011!A$2</f>
        <v>422011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IFERROR(VLOOKUP(B297,input_422011!L:R,7,FALSE),VLOOKUP(tables_422011!C297,input_422011!A:H,8,FALSE))</f>
        <v>55290</v>
      </c>
      <c r="P297" s="46">
        <f t="shared" ca="1" si="13"/>
        <v>1.0238888888888889E-2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input_422011!A$2</f>
        <v>422011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IFERROR(VLOOKUP(B298,input_422011!L:R,7,FALSE),VLOOKUP(tables_422011!C298,input_422011!A:H,8,FALSE))</f>
        <v>2910</v>
      </c>
      <c r="P298" s="46">
        <f t="shared" ca="1" si="13"/>
        <v>5.3888888888888888E-4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input_422011!A$2</f>
        <v>422011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IFERROR(VLOOKUP(B299,input_422011!L:R,7,FALSE),VLOOKUP(tables_422011!C299,input_422011!A:H,8,FALSE))</f>
        <v>3000</v>
      </c>
      <c r="P299" s="46">
        <f t="shared" ca="1" si="13"/>
        <v>5.5555555555555556E-4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input_422011!A$2</f>
        <v>422011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IFERROR(VLOOKUP(B300,input_422011!L:R,7,FALSE),VLOOKUP(tables_422011!C300,input_422011!A:H,8,FALSE))</f>
        <v>55290</v>
      </c>
      <c r="P300" s="46">
        <f t="shared" ca="1" si="13"/>
        <v>1.0238888888888889E-2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input_422011!A$2</f>
        <v>422011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IFERROR(VLOOKUP(B301,input_422011!L:R,7,FALSE),VLOOKUP(tables_422011!C301,input_422011!A:H,8,FALSE))</f>
        <v>2910</v>
      </c>
      <c r="P301" s="46">
        <f t="shared" ca="1" si="13"/>
        <v>5.3888888888888888E-4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input_422011!A$2</f>
        <v>422011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IFERROR(VLOOKUP(B302,input_422011!L:R,7,FALSE),VLOOKUP(tables_422011!C302,input_422011!A:H,8,FALSE))</f>
        <v>3000</v>
      </c>
      <c r="P302" s="46">
        <f t="shared" ca="1" si="13"/>
        <v>5.5555555555555556E-4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input_422011!A$2</f>
        <v>422011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IFERROR(VLOOKUP(B303,input_422011!L:R,7,FALSE),VLOOKUP(tables_422011!C303,input_422011!A:H,8,FALSE))</f>
        <v>3000</v>
      </c>
      <c r="P303" s="46">
        <f t="shared" ca="1" si="13"/>
        <v>5.5555555555555556E-4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input_422011!A$2</f>
        <v>422011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IFERROR(VLOOKUP(B304,input_422011!L:R,7,FALSE),VLOOKUP(tables_422011!C304,input_422011!A:H,8,FALSE))</f>
        <v>3000</v>
      </c>
      <c r="P304" s="46">
        <f t="shared" ca="1" si="13"/>
        <v>5.5555555555555556E-4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input_422011!A$2</f>
        <v>422011</v>
      </c>
      <c r="B305" s="5">
        <v>1067</v>
      </c>
      <c r="C305" s="7" t="str">
        <f t="shared" ref="C305:C309" si="15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IFERROR(VLOOKUP(B305,input_422011!L:R,7,FALSE),VLOOKUP(tables_422011!C305,input_422011!A:H,8,FALSE))</f>
        <v>55290</v>
      </c>
      <c r="P305" s="46">
        <f t="shared" ref="P305:P309" ca="1" si="16">O305/SUM(O:O)</f>
        <v>1.0238888888888889E-2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input_422011!A$2</f>
        <v>422011</v>
      </c>
      <c r="B306" s="5">
        <v>1068</v>
      </c>
      <c r="C306" s="7" t="str">
        <f t="shared" si="15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IFERROR(VLOOKUP(B306,input_422011!L:R,7,FALSE),VLOOKUP(tables_422011!C306,input_422011!A:H,8,FALSE))</f>
        <v>2910</v>
      </c>
      <c r="P306" s="46">
        <f t="shared" ca="1" si="16"/>
        <v>5.3888888888888888E-4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input_422011!A$2</f>
        <v>422011</v>
      </c>
      <c r="B307" s="5">
        <v>1069</v>
      </c>
      <c r="C307" s="7" t="str">
        <f t="shared" si="15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IFERROR(VLOOKUP(B307,input_422011!L:R,7,FALSE),VLOOKUP(tables_422011!C307,input_422011!A:H,8,FALSE))</f>
        <v>3000</v>
      </c>
      <c r="P307" s="46">
        <f t="shared" ca="1" si="16"/>
        <v>5.5555555555555556E-4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input_422011!A$2</f>
        <v>422011</v>
      </c>
      <c r="B308" s="5">
        <v>1072</v>
      </c>
      <c r="C308" s="7" t="str">
        <f t="shared" si="15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IFERROR(VLOOKUP(B308,input_422011!L:R,7,FALSE),VLOOKUP(tables_422011!C308,input_422011!A:H,8,FALSE))</f>
        <v>3000</v>
      </c>
      <c r="P308" s="46">
        <f t="shared" ca="1" si="16"/>
        <v>5.5555555555555556E-4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input_422011!A$2</f>
        <v>422011</v>
      </c>
      <c r="B309" s="5">
        <v>1074</v>
      </c>
      <c r="C309" s="7" t="str">
        <f t="shared" si="15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IFERROR(VLOOKUP(B309,input_422011!L:R,7,FALSE),VLOOKUP(tables_422011!C309,input_422011!A:H,8,FALSE))</f>
        <v>3000</v>
      </c>
      <c r="P309" s="46">
        <f t="shared" ca="1" si="16"/>
        <v>5.5555555555555556E-4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input_422011!A$2</f>
        <v>422011</v>
      </c>
      <c r="B310" s="5">
        <v>1104</v>
      </c>
      <c r="C310" s="7" t="str">
        <f t="shared" ref="C310:C314" si="17">D310&amp;J310&amp;E310&amp;F310&amp;G310</f>
        <v>Premium4R3less</v>
      </c>
      <c r="D310" s="7" t="str">
        <f t="shared" ref="D310:D314" si="1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IFERROR(VLOOKUP(B310,input_422011!L:R,7,FALSE),VLOOKUP(tables_422011!C310,input_422011!A:H,8,FALSE))</f>
        <v>55290</v>
      </c>
      <c r="P310" s="46">
        <f t="shared" ref="P310:P314" ca="1" si="19">O310/SUM(O:O)</f>
        <v>1.0238888888888889E-2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input_422011!A$2</f>
        <v>422011</v>
      </c>
      <c r="B311" s="5">
        <v>1105</v>
      </c>
      <c r="C311" s="7" t="str">
        <f t="shared" si="17"/>
        <v>Premium5R3less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IFERROR(VLOOKUP(B311,input_422011!L:R,7,FALSE),VLOOKUP(tables_422011!C311,input_422011!A:H,8,FALSE))</f>
        <v>2910</v>
      </c>
      <c r="P311" s="46">
        <f t="shared" ca="1" si="19"/>
        <v>5.3888888888888888E-4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input_422011!A$2</f>
        <v>422011</v>
      </c>
      <c r="B312" s="5">
        <v>1106</v>
      </c>
      <c r="C312" s="7" t="str">
        <f t="shared" si="17"/>
        <v>PremiumSS5R5only</v>
      </c>
      <c r="D312" s="7" t="str">
        <f t="shared" si="1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IFERROR(VLOOKUP(B312,input_422011!L:R,7,FALSE),VLOOKUP(tables_422011!C312,input_422011!A:H,8,FALSE))</f>
        <v>3000</v>
      </c>
      <c r="P312" s="46">
        <f t="shared" ca="1" si="19"/>
        <v>5.5555555555555556E-4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input_422011!A$2</f>
        <v>422011</v>
      </c>
      <c r="B313" s="5">
        <v>1102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IFERROR(VLOOKUP(B313,input_422011!L:R,7,FALSE),VLOOKUP(tables_422011!C313,input_422011!A:H,8,FALSE))</f>
        <v>3000</v>
      </c>
      <c r="P313" s="46">
        <f t="shared" ca="1" si="19"/>
        <v>5.5555555555555556E-4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input_422011!A$2</f>
        <v>422011</v>
      </c>
      <c r="B314" s="5">
        <v>1100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IFERROR(VLOOKUP(B314,input_422011!L:R,7,FALSE),VLOOKUP(tables_422011!C314,input_422011!A:H,8,FALSE))</f>
        <v>3000</v>
      </c>
      <c r="P314" s="46">
        <f t="shared" ca="1" si="19"/>
        <v>5.5555555555555556E-4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input_422011!A$2</f>
        <v>422011</v>
      </c>
      <c r="B315" s="5">
        <v>1137</v>
      </c>
      <c r="C315" s="7" t="str">
        <f t="shared" ref="C315:C319" si="20">D315&amp;J315&amp;E315&amp;F315&amp;G315</f>
        <v>PremiumSS5R5only</v>
      </c>
      <c r="D315" s="7" t="str">
        <f t="shared" ref="D315:D319" si="2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IFERROR(VLOOKUP(B315,input_422011!L:R,7,FALSE),VLOOKUP(tables_422011!C315,input_422011!A:H,8,FALSE))</f>
        <v>3000</v>
      </c>
      <c r="P315" s="46">
        <f t="shared" ref="P315:P319" ca="1" si="22">O315/SUM(O:O)</f>
        <v>5.5555555555555556E-4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input_422011!A$2</f>
        <v>422011</v>
      </c>
      <c r="B316" s="5">
        <v>1139</v>
      </c>
      <c r="C316" s="7" t="str">
        <f t="shared" si="20"/>
        <v>PremiumSS5R5only</v>
      </c>
      <c r="D316" s="7" t="str">
        <f t="shared" si="2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IFERROR(VLOOKUP(B316,input_422011!L:R,7,FALSE),VLOOKUP(tables_422011!C316,input_422011!A:H,8,FALSE))</f>
        <v>3000</v>
      </c>
      <c r="P316" s="46">
        <f t="shared" ca="1" si="22"/>
        <v>5.5555555555555556E-4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input_422011!A$2</f>
        <v>422011</v>
      </c>
      <c r="B317" s="5">
        <v>1141</v>
      </c>
      <c r="C317" s="7" t="str">
        <f t="shared" si="20"/>
        <v>PremiumSS5R5only</v>
      </c>
      <c r="D317" s="7" t="str">
        <f t="shared" si="2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IFERROR(VLOOKUP(B317,input_422011!L:R,7,FALSE),VLOOKUP(tables_422011!C317,input_422011!A:H,8,FALSE))</f>
        <v>3000</v>
      </c>
      <c r="P317" s="46">
        <f t="shared" ca="1" si="22"/>
        <v>5.5555555555555556E-4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input_422011!A$2</f>
        <v>422011</v>
      </c>
      <c r="B318" s="5">
        <v>1143</v>
      </c>
      <c r="C318" s="7" t="str">
        <f t="shared" si="20"/>
        <v>Premium4R3less</v>
      </c>
      <c r="D318" s="7" t="str">
        <f t="shared" si="2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IFERROR(VLOOKUP(B318,input_422011!L:R,7,FALSE),VLOOKUP(tables_422011!C318,input_422011!A:H,8,FALSE))</f>
        <v>55290</v>
      </c>
      <c r="P318" s="46">
        <f t="shared" ca="1" si="22"/>
        <v>1.0238888888888889E-2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input_422011!A$2</f>
        <v>422011</v>
      </c>
      <c r="B319" s="5">
        <v>1144</v>
      </c>
      <c r="C319" s="7" t="str">
        <f t="shared" si="20"/>
        <v>Premium5R3less</v>
      </c>
      <c r="D319" s="7" t="str">
        <f t="shared" si="2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IFERROR(VLOOKUP(B319,input_422011!L:R,7,FALSE),VLOOKUP(tables_422011!C319,input_422011!A:H,8,FALSE))</f>
        <v>2910</v>
      </c>
      <c r="P319" s="46">
        <f t="shared" ca="1" si="22"/>
        <v>5.3888888888888888E-4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4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VLOOKUP(L3,tables_422100!B:C,2,FALSE)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VLOOKUP(L4,tables_422100!B:C,2,FALSE)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9.2592592592592596E-4</v>
      </c>
      <c r="F5">
        <f>(COUNTIF(tables_422100!C:C,input_422100!A28)+COUNTIF(tables_422100!C:C,input_422100!A29))</f>
        <v>54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1.0555555555555556E-2</v>
      </c>
      <c r="F6">
        <f>(COUNTIF(tables_422100!C:C,input_422100!A25)+COUNTIF(tables_422100!C:C,input_422100!A18)+COUNTIF(tables_422100!C:C,input_422100!A20)+COUNTIF(tables_422100!C:C,input_422100!A22))</f>
        <v>90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COUNTIF(tables_422100!C:C,input_422100!A17)-COUNTIF(Q:Q,A17)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0.21111111111111111</v>
      </c>
      <c r="C18" s="85">
        <f t="shared" si="2"/>
        <v>0</v>
      </c>
      <c r="D18" s="74">
        <f t="shared" si="3"/>
        <v>0.21111111111111111</v>
      </c>
      <c r="E18">
        <f>COUNTIF(tables_422100!C:C,input_422100!A18)-COUNTIF(Q:Q,A18)</f>
        <v>20</v>
      </c>
      <c r="F18" s="43">
        <f>IFERROR(B18/E18,0)</f>
        <v>1.0555555555555556E-2</v>
      </c>
      <c r="G18">
        <f t="shared" si="4"/>
        <v>1140000</v>
      </c>
      <c r="H18">
        <f t="shared" si="5"/>
        <v>57000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COUNTIF(tables_422100!C:C,input_422100!A19)-COUNTIF(Q:Q,A19)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0.53375925925925927</v>
      </c>
      <c r="C20" s="85">
        <f t="shared" si="2"/>
        <v>0</v>
      </c>
      <c r="D20" s="74">
        <f t="shared" si="3"/>
        <v>0.53375925925925927</v>
      </c>
      <c r="E20">
        <f>COUNTIF(tables_422100!C:C,input_422100!A20)-COUNTIF(Q:Q,A20)</f>
        <v>52</v>
      </c>
      <c r="F20" s="43">
        <f t="shared" si="8"/>
        <v>1.026460113960114E-2</v>
      </c>
      <c r="G20">
        <f t="shared" si="4"/>
        <v>2882300</v>
      </c>
      <c r="H20">
        <f t="shared" si="5"/>
        <v>55428.846149999998</v>
      </c>
      <c r="I20">
        <f t="shared" si="6"/>
        <v>0.84614999999757856</v>
      </c>
      <c r="J20">
        <f t="shared" si="7"/>
        <v>1.1818235537468083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1.5129629629629632E-2</v>
      </c>
      <c r="C21" s="85">
        <f t="shared" si="2"/>
        <v>0</v>
      </c>
      <c r="D21" s="74">
        <f t="shared" si="3"/>
        <v>1.5129629629629632E-2</v>
      </c>
      <c r="E21">
        <f>COUNTIF(tables_422100!C:C,input_422100!A21)-COUNTIF(Q:Q,A21)</f>
        <v>52</v>
      </c>
      <c r="F21" s="43">
        <f t="shared" si="8"/>
        <v>2.9095441595441599E-4</v>
      </c>
      <c r="G21">
        <f t="shared" si="4"/>
        <v>81700.000000000015</v>
      </c>
      <c r="H21">
        <f t="shared" si="5"/>
        <v>1571.1538499999999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5">
        <f t="shared" si="2"/>
        <v>0</v>
      </c>
      <c r="D22" s="74">
        <f t="shared" si="3"/>
        <v>0.1403888888888889</v>
      </c>
      <c r="E22">
        <f>COUNTIF(tables_422100!C:C,input_422100!A22)-COUNTIF(Q:Q,A22)</f>
        <v>14</v>
      </c>
      <c r="F22" s="43">
        <f t="shared" si="8"/>
        <v>1.0027777777777778E-2</v>
      </c>
      <c r="G22">
        <f t="shared" si="4"/>
        <v>758100</v>
      </c>
      <c r="H22">
        <f t="shared" si="5"/>
        <v>54150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5">
        <f t="shared" si="2"/>
        <v>0</v>
      </c>
      <c r="D23" s="74">
        <f t="shared" si="3"/>
        <v>7.3888888888888893E-3</v>
      </c>
      <c r="E23">
        <f>COUNTIF(tables_422100!C:C,input_422100!A23)-COUNTIF(Q:Q,A23)</f>
        <v>14</v>
      </c>
      <c r="F23" s="43">
        <f t="shared" si="8"/>
        <v>5.2777777777777784E-4</v>
      </c>
      <c r="G23">
        <f t="shared" si="4"/>
        <v>39900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COUNTIF(tables_422100!C:C,input_422100!A24)-COUNTIF(Q:Q,A24)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4.0111111111111111E-2</v>
      </c>
      <c r="C25" s="85">
        <f t="shared" si="2"/>
        <v>0</v>
      </c>
      <c r="D25" s="74">
        <f t="shared" si="3"/>
        <v>4.0111111111111111E-2</v>
      </c>
      <c r="E25">
        <f>COUNTIF(tables_422100!C:C,input_422100!A25)-COUNTIF(Q:Q,A25)</f>
        <v>4</v>
      </c>
      <c r="F25" s="43">
        <f t="shared" si="8"/>
        <v>1.0027777777777778E-2</v>
      </c>
      <c r="G25">
        <f t="shared" si="4"/>
        <v>216600</v>
      </c>
      <c r="H25">
        <f t="shared" si="5"/>
        <v>54150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2"/>
        <v>0</v>
      </c>
      <c r="D26" s="74">
        <f t="shared" si="3"/>
        <v>2.1111111111111113E-3</v>
      </c>
      <c r="E26">
        <f>COUNTIF(tables_422100!C:C,input_422100!A26)-COUNTIF(Q:Q,A26)</f>
        <v>4</v>
      </c>
      <c r="F26" s="43">
        <f t="shared" si="8"/>
        <v>5.2777777777777784E-4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2.462962962962963E-2</v>
      </c>
      <c r="C27" s="85">
        <f t="shared" si="2"/>
        <v>0</v>
      </c>
      <c r="D27" s="74">
        <f t="shared" si="3"/>
        <v>2.462962962962963E-2</v>
      </c>
      <c r="E27">
        <f>COUNTIF(tables_422100!C:C,input_422100!A27)-COUNTIF(Q:Q,A27)</f>
        <v>28</v>
      </c>
      <c r="F27" s="43">
        <f>IFERROR(B27/E27,0)</f>
        <v>8.7962962962962962E-4</v>
      </c>
      <c r="G27">
        <f t="shared" si="4"/>
        <v>133000</v>
      </c>
      <c r="H27">
        <f t="shared" si="5"/>
        <v>4750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1.2962962962962965E-3</v>
      </c>
      <c r="C28" s="85">
        <f t="shared" si="2"/>
        <v>0</v>
      </c>
      <c r="D28" s="74">
        <f t="shared" si="3"/>
        <v>1.2962962962962965E-3</v>
      </c>
      <c r="E28">
        <f>COUNTIF(tables_422100!C:C,input_422100!A28)-COUNTIF(Q:Q,A28)</f>
        <v>28</v>
      </c>
      <c r="F28" s="43">
        <f t="shared" si="8"/>
        <v>4.6296296296296301E-5</v>
      </c>
      <c r="G28">
        <f t="shared" si="4"/>
        <v>7000.0000000000009</v>
      </c>
      <c r="H28">
        <f t="shared" si="5"/>
        <v>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2.4074074074074074E-2</v>
      </c>
      <c r="C29" s="85">
        <f t="shared" si="2"/>
        <v>0</v>
      </c>
      <c r="D29" s="74">
        <f t="shared" si="3"/>
        <v>2.4074074074074074E-2</v>
      </c>
      <c r="E29">
        <f>COUNTIF(tables_422100!C:C,input_422100!A29)-COUNTIF(Q:Q,A29)</f>
        <v>26</v>
      </c>
      <c r="F29" s="43">
        <f t="shared" si="8"/>
        <v>9.2592592592592596E-4</v>
      </c>
      <c r="G29">
        <f t="shared" si="4"/>
        <v>130000</v>
      </c>
      <c r="H29">
        <f t="shared" si="5"/>
        <v>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COUNTIF(tables_422100!C:C,input_422100!A30)-COUNTIF(Q:Q,A30)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COUNTIF(tables_422100!C:C,input_422100!A31)-COUNTIF(Q:Q,A31)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1.2314814814814834E-2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SUMIF(tables_422100!C:C,input_422100!A40,tables_422100!O:O)</f>
        <v>0</v>
      </c>
      <c r="C40" s="54">
        <f t="shared" ref="C40:C46" ca="1" si="9">B40/B$47</f>
        <v>0</v>
      </c>
      <c r="E40">
        <v>3</v>
      </c>
      <c r="F40">
        <f ca="1">SUMIF(tables_422100!J:J,input_422100!E40,tables_422100!O:O)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SUMIF(tables_422100!C:C,input_422100!A41,tables_422100!O:O)</f>
        <v>2882299.9998000036</v>
      </c>
      <c r="C41" s="54">
        <f t="shared" ca="1" si="9"/>
        <v>0.92857603086340212</v>
      </c>
      <c r="E41">
        <v>4</v>
      </c>
      <c r="F41">
        <f ca="1">SUMIF(tables_422100!J:J,input_422100!E41,tables_422100!O:O)</f>
        <v>5129999.999800005</v>
      </c>
      <c r="G41">
        <f ca="1">F41/A36</f>
        <v>0.94999999996296391</v>
      </c>
    </row>
    <row r="42" spans="1:7" x14ac:dyDescent="0.15">
      <c r="A42" s="33" t="s">
        <v>106</v>
      </c>
      <c r="B42">
        <f ca="1">SUMIF(tables_422100!C:C,input_422100!A42,tables_422100!O:O)</f>
        <v>133000</v>
      </c>
      <c r="C42" s="54">
        <f t="shared" ca="1" si="9"/>
        <v>4.2847938144329849E-2</v>
      </c>
      <c r="E42">
        <v>5</v>
      </c>
      <c r="F42">
        <f ca="1">SUMIF(tables_422100!J:J,input_422100!E42,tables_422100!O:O)</f>
        <v>270000.00020000007</v>
      </c>
      <c r="G42">
        <f ca="1">F42/A36</f>
        <v>5.000000003703705E-2</v>
      </c>
    </row>
    <row r="43" spans="1:7" x14ac:dyDescent="0.15">
      <c r="A43" s="33" t="s">
        <v>109</v>
      </c>
      <c r="B43">
        <f>SUMIF(tables_422100!C:C,input_422100!A43,tables_422100!O:O)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SUMIF(tables_422100!C:C,input_422100!A44,tables_422100!O:O)</f>
        <v>81700.000200000068</v>
      </c>
      <c r="C44" s="54">
        <f t="shared" ca="1" si="9"/>
        <v>2.6320876353092774E-2</v>
      </c>
      <c r="E44" t="s">
        <v>54</v>
      </c>
      <c r="F44" s="55"/>
    </row>
    <row r="45" spans="1:7" x14ac:dyDescent="0.15">
      <c r="A45" s="33" t="s">
        <v>107</v>
      </c>
      <c r="B45">
        <f ca="1">SUMIF(tables_422100!C:C,input_422100!A45,tables_422100!O:O)</f>
        <v>7000</v>
      </c>
      <c r="C45" s="54">
        <f t="shared" ca="1" si="9"/>
        <v>2.2551546391752549E-3</v>
      </c>
      <c r="E45" t="s">
        <v>204</v>
      </c>
      <c r="F45" s="55">
        <f ca="1">SUMIF(tables_422100!I:I,input_422100!E45,tables_422100!P:P)</f>
        <v>0.21111111111111122</v>
      </c>
    </row>
    <row r="46" spans="1:7" x14ac:dyDescent="0.15">
      <c r="A46" s="33" t="s">
        <v>108</v>
      </c>
      <c r="B46">
        <f>SUMIF(tables_422100!C:C,input_422100!A46,tables_422100!O:O)</f>
        <v>0</v>
      </c>
      <c r="C46" s="54">
        <f t="shared" ca="1" si="9"/>
        <v>0</v>
      </c>
      <c r="E46" t="s">
        <v>205</v>
      </c>
      <c r="F46" s="55">
        <f ca="1">SUMIF(tables_422100!I:I,input_422100!E46,tables_422100!P:P)</f>
        <v>0.21111111111111097</v>
      </c>
    </row>
    <row r="47" spans="1:7" x14ac:dyDescent="0.15">
      <c r="A47" s="39" t="s">
        <v>59</v>
      </c>
      <c r="B47">
        <f ca="1">SUM(B40:B46)</f>
        <v>3104000.0000000037</v>
      </c>
      <c r="C47" s="55">
        <f ca="1">SUM(C40:C46)</f>
        <v>1</v>
      </c>
      <c r="E47" t="s">
        <v>206</v>
      </c>
      <c r="F47" s="55">
        <f ca="1">SUMIF(tables_422100!I:I,input_422100!E47,tables_422100!P:P)</f>
        <v>0.52777777777777779</v>
      </c>
    </row>
    <row r="48" spans="1:7" x14ac:dyDescent="0.15">
      <c r="E48" t="s">
        <v>207</v>
      </c>
      <c r="F48" s="55">
        <f ca="1">SUMIF(tables_422100!I:I,input_422100!E48,tables_422100!P:P)</f>
        <v>4.7222222222222263E-2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B315" sqref="B315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input_422100!A$2</f>
        <v>422100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IFERROR(VLOOKUP(B2,input_422100!L:R,7,FALSE),VLOOKUP(tables_422100!C2,input_422100!A:H,8,FALSE))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input_422100!A$2</f>
        <v>422100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IFERROR(VLOOKUP(B3,input_422100!L:R,7,FALSE),VLOOKUP(tables_422100!C3,input_422100!A:H,8,FALSE))</f>
        <v>57000</v>
      </c>
      <c r="P3" s="46">
        <f t="shared" ca="1" si="1"/>
        <v>1.0555555555555556E-2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input_422100!A$2</f>
        <v>422100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IFERROR(VLOOKUP(B4,input_422100!L:R,7,FALSE),VLOOKUP(tables_422100!C4,input_422100!A:H,8,FALSE))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input_422100!A$2</f>
        <v>422100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IFERROR(VLOOKUP(B5,input_422100!L:R,7,FALSE),VLOOKUP(tables_422100!C5,input_422100!A:H,8,FALSE))</f>
        <v>57000</v>
      </c>
      <c r="P5" s="46">
        <f t="shared" ca="1" si="1"/>
        <v>1.0555555555555556E-2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input_422100!A$2</f>
        <v>422100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IFERROR(VLOOKUP(B6,input_422100!L:R,7,FALSE),VLOOKUP(tables_422100!C6,input_422100!A:H,8,FALSE))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input_422100!A$2</f>
        <v>422100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IFERROR(VLOOKUP(B7,input_422100!L:R,7,FALSE),VLOOKUP(tables_422100!C7,input_422100!A:H,8,FALSE))</f>
        <v>57000</v>
      </c>
      <c r="P7" s="46">
        <f t="shared" ca="1" si="1"/>
        <v>1.0555555555555556E-2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input_422100!A$2</f>
        <v>422100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IFERROR(VLOOKUP(B8,input_422100!L:R,7,FALSE),VLOOKUP(tables_422100!C8,input_422100!A:H,8,FALSE))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input_422100!A$2</f>
        <v>422100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IFERROR(VLOOKUP(B9,input_422100!L:R,7,FALSE),VLOOKUP(tables_422100!C9,input_422100!A:H,8,FALSE))</f>
        <v>57000</v>
      </c>
      <c r="P9" s="46">
        <f t="shared" ca="1" si="1"/>
        <v>1.0555555555555556E-2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input_422100!A$2</f>
        <v>422100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IFERROR(VLOOKUP(B10,input_422100!L:R,7,FALSE),VLOOKUP(tables_422100!C10,input_422100!A:H,8,FALSE))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input_422100!A$2</f>
        <v>422100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IFERROR(VLOOKUP(B11,input_422100!L:R,7,FALSE),VLOOKUP(tables_422100!C11,input_422100!A:H,8,FALSE))</f>
        <v>57000</v>
      </c>
      <c r="P11" s="46">
        <f t="shared" ca="1" si="1"/>
        <v>1.0555555555555556E-2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input_422100!A$2</f>
        <v>422100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IFERROR(VLOOKUP(B12,input_422100!L:R,7,FALSE),VLOOKUP(tables_422100!C12,input_422100!A:H,8,FALSE))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input_422100!A$2</f>
        <v>422100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IFERROR(VLOOKUP(B13,input_422100!L:R,7,FALSE),VLOOKUP(tables_422100!C13,input_422100!A:H,8,FALSE))</f>
        <v>57000</v>
      </c>
      <c r="P13" s="46">
        <f t="shared" ca="1" si="1"/>
        <v>1.0555555555555556E-2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input_422100!A$2</f>
        <v>422100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IFERROR(VLOOKUP(B14,input_422100!L:R,7,FALSE),VLOOKUP(tables_422100!C14,input_422100!A:H,8,FALSE))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input_422100!A$2</f>
        <v>422100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IFERROR(VLOOKUP(B15,input_422100!L:R,7,FALSE),VLOOKUP(tables_422100!C15,input_422100!A:H,8,FALSE))</f>
        <v>57000</v>
      </c>
      <c r="P15" s="46">
        <f t="shared" ca="1" si="1"/>
        <v>1.0555555555555556E-2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input_422100!A$2</f>
        <v>422100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IFERROR(VLOOKUP(B16,input_422100!L:R,7,FALSE),VLOOKUP(tables_422100!C16,input_422100!A:H,8,FALSE))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input_422100!A$2</f>
        <v>422100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IFERROR(VLOOKUP(B17,input_422100!L:R,7,FALSE),VLOOKUP(tables_422100!C17,input_422100!A:H,8,FALSE))</f>
        <v>57000</v>
      </c>
      <c r="P17" s="46">
        <f t="shared" ca="1" si="1"/>
        <v>1.0555555555555556E-2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input_422100!A$2</f>
        <v>422100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IFERROR(VLOOKUP(B18,input_422100!L:R,7,FALSE),VLOOKUP(tables_422100!C18,input_422100!A:H,8,FALSE))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input_422100!A$2</f>
        <v>422100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IFERROR(VLOOKUP(B19,input_422100!L:R,7,FALSE),VLOOKUP(tables_422100!C19,input_422100!A:H,8,FALSE))</f>
        <v>57000</v>
      </c>
      <c r="P19" s="46">
        <f t="shared" ca="1" si="1"/>
        <v>1.0555555555555556E-2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input_422100!A$2</f>
        <v>422100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IFERROR(VLOOKUP(B20,input_422100!L:R,7,FALSE),VLOOKUP(tables_422100!C20,input_422100!A:H,8,FALSE))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input_422100!A$2</f>
        <v>422100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IFERROR(VLOOKUP(B21,input_422100!L:R,7,FALSE),VLOOKUP(tables_422100!C21,input_422100!A:H,8,FALSE))</f>
        <v>57000</v>
      </c>
      <c r="P21" s="46">
        <f t="shared" ca="1" si="1"/>
        <v>1.0555555555555556E-2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input_422100!A$2</f>
        <v>422100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IFERROR(VLOOKUP(B22,input_422100!L:R,7,FALSE),VLOOKUP(tables_422100!C22,input_422100!A:H,8,FALSE))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input_422100!A$2</f>
        <v>422100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IFERROR(VLOOKUP(B23,input_422100!L:R,7,FALSE),VLOOKUP(tables_422100!C23,input_422100!A:H,8,FALSE))</f>
        <v>57000</v>
      </c>
      <c r="P23" s="46">
        <f t="shared" ca="1" si="1"/>
        <v>1.0555555555555556E-2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input_422100!A$2</f>
        <v>422100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IFERROR(VLOOKUP(B24,input_422100!L:R,7,FALSE),VLOOKUP(tables_422100!C24,input_422100!A:H,8,FALSE))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input_422100!A$2</f>
        <v>422100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IFERROR(VLOOKUP(B25,input_422100!L:R,7,FALSE),VLOOKUP(tables_422100!C25,input_422100!A:H,8,FALSE))</f>
        <v>57000</v>
      </c>
      <c r="P25" s="46">
        <f t="shared" ca="1" si="1"/>
        <v>1.0555555555555556E-2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input_422100!A$2</f>
        <v>422100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IFERROR(VLOOKUP(B26,input_422100!L:R,7,FALSE),VLOOKUP(tables_422100!C26,input_422100!A:H,8,FALSE))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input_422100!A$2</f>
        <v>422100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IFERROR(VLOOKUP(B27,input_422100!L:R,7,FALSE),VLOOKUP(tables_422100!C27,input_422100!A:H,8,FALSE))</f>
        <v>57000</v>
      </c>
      <c r="P27" s="46">
        <f t="shared" ca="1" si="1"/>
        <v>1.0555555555555556E-2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input_422100!A$2</f>
        <v>422100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IFERROR(VLOOKUP(B28,input_422100!L:R,7,FALSE),VLOOKUP(tables_422100!C28,input_422100!A:H,8,FALSE))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input_422100!A$2</f>
        <v>422100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IFERROR(VLOOKUP(B29,input_422100!L:R,7,FALSE),VLOOKUP(tables_422100!C29,input_422100!A:H,8,FALSE))</f>
        <v>57000</v>
      </c>
      <c r="P29" s="46">
        <f t="shared" ca="1" si="1"/>
        <v>1.0555555555555556E-2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input_422100!A$2</f>
        <v>422100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IFERROR(VLOOKUP(B30,input_422100!L:R,7,FALSE),VLOOKUP(tables_422100!C30,input_422100!A:H,8,FALSE))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input_422100!A$2</f>
        <v>422100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IFERROR(VLOOKUP(B31,input_422100!L:R,7,FALSE),VLOOKUP(tables_422100!C31,input_422100!A:H,8,FALSE))</f>
        <v>57000</v>
      </c>
      <c r="P31" s="46">
        <f t="shared" ca="1" si="1"/>
        <v>1.0555555555555556E-2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input_422100!A$2</f>
        <v>422100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IFERROR(VLOOKUP(B32,input_422100!L:R,7,FALSE),VLOOKUP(tables_422100!C32,input_422100!A:H,8,FALSE))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input_422100!A$2</f>
        <v>422100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IFERROR(VLOOKUP(B33,input_422100!L:R,7,FALSE),VLOOKUP(tables_422100!C33,input_422100!A:H,8,FALSE))</f>
        <v>57000</v>
      </c>
      <c r="P33" s="46">
        <f t="shared" ca="1" si="1"/>
        <v>1.0555555555555556E-2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input_422100!A$2</f>
        <v>422100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IFERROR(VLOOKUP(B34,input_422100!L:R,7,FALSE),VLOOKUP(tables_422100!C34,input_422100!A:H,8,FALSE))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input_422100!A$2</f>
        <v>422100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IFERROR(VLOOKUP(B35,input_422100!L:R,7,FALSE),VLOOKUP(tables_422100!C35,input_422100!A:H,8,FALSE))</f>
        <v>57000</v>
      </c>
      <c r="P35" s="46">
        <f t="shared" ca="1" si="1"/>
        <v>1.0555555555555556E-2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input_422100!A$2</f>
        <v>422100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IFERROR(VLOOKUP(B36,input_422100!L:R,7,FALSE),VLOOKUP(tables_422100!C36,input_422100!A:H,8,FALSE))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input_422100!A$2</f>
        <v>422100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IFERROR(VLOOKUP(B37,input_422100!L:R,7,FALSE),VLOOKUP(tables_422100!C37,input_422100!A:H,8,FALSE))</f>
        <v>57000</v>
      </c>
      <c r="P37" s="46">
        <f t="shared" ca="1" si="1"/>
        <v>1.0555555555555556E-2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input_422100!A$2</f>
        <v>422100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IFERROR(VLOOKUP(B38,input_422100!L:R,7,FALSE),VLOOKUP(tables_422100!C38,input_422100!A:H,8,FALSE))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input_422100!A$2</f>
        <v>422100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IFERROR(VLOOKUP(B39,input_422100!L:R,7,FALSE),VLOOKUP(tables_422100!C39,input_422100!A:H,8,FALSE))</f>
        <v>57000</v>
      </c>
      <c r="P39" s="46">
        <f t="shared" ca="1" si="1"/>
        <v>1.0555555555555556E-2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input_422100!A$2</f>
        <v>422100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IFERROR(VLOOKUP(B40,input_422100!L:R,7,FALSE),VLOOKUP(tables_422100!C40,input_422100!A:H,8,FALSE))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input_422100!A$2</f>
        <v>422100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IFERROR(VLOOKUP(B41,input_422100!L:R,7,FALSE),VLOOKUP(tables_422100!C41,input_422100!A:H,8,FALSE))</f>
        <v>57000</v>
      </c>
      <c r="P41" s="46">
        <f t="shared" ca="1" si="1"/>
        <v>1.0555555555555556E-2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input_422100!A$2</f>
        <v>422100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IFERROR(VLOOKUP(B42,input_422100!L:R,7,FALSE),VLOOKUP(tables_422100!C42,input_422100!A:H,8,FALSE))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input_422100!A$2</f>
        <v>422100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IFERROR(VLOOKUP(B43,input_422100!L:R,7,FALSE),VLOOKUP(tables_422100!C43,input_422100!A:H,8,FALSE))</f>
        <v>54150</v>
      </c>
      <c r="P43" s="46">
        <f t="shared" ca="1" si="1"/>
        <v>1.0027777777777778E-2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input_422100!A$2</f>
        <v>422100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IFERROR(VLOOKUP(B44,input_422100!L:R,7,FALSE),VLOOKUP(tables_422100!C44,input_422100!A:H,8,FALSE))</f>
        <v>2850</v>
      </c>
      <c r="P44" s="46">
        <f t="shared" ca="1" si="1"/>
        <v>5.2777777777777773E-4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input_422100!A$2</f>
        <v>422100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IFERROR(VLOOKUP(B45,input_422100!L:R,7,FALSE),VLOOKUP(tables_422100!C45,input_422100!A:H,8,FALSE))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input_422100!A$2</f>
        <v>422100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IFERROR(VLOOKUP(B46,input_422100!L:R,7,FALSE),VLOOKUP(tables_422100!C46,input_422100!A:H,8,FALSE))</f>
        <v>54150</v>
      </c>
      <c r="P46" s="46">
        <f t="shared" ca="1" si="1"/>
        <v>1.0027777777777778E-2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input_422100!A$2</f>
        <v>422100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IFERROR(VLOOKUP(B47,input_422100!L:R,7,FALSE),VLOOKUP(tables_422100!C47,input_422100!A:H,8,FALSE))</f>
        <v>2850</v>
      </c>
      <c r="P47" s="46">
        <f t="shared" ca="1" si="1"/>
        <v>5.2777777777777773E-4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input_422100!A$2</f>
        <v>422100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IFERROR(VLOOKUP(B48,input_422100!L:R,7,FALSE),VLOOKUP(tables_422100!C48,input_422100!A:H,8,FALSE))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input_422100!A$2</f>
        <v>422100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IFERROR(VLOOKUP(B49,input_422100!L:R,7,FALSE),VLOOKUP(tables_422100!C49,input_422100!A:H,8,FALSE))</f>
        <v>54150</v>
      </c>
      <c r="P49" s="46">
        <f t="shared" ca="1" si="1"/>
        <v>1.0027777777777778E-2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input_422100!A$2</f>
        <v>422100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IFERROR(VLOOKUP(B50,input_422100!L:R,7,FALSE),VLOOKUP(tables_422100!C50,input_422100!A:H,8,FALSE))</f>
        <v>2850</v>
      </c>
      <c r="P50" s="46">
        <f t="shared" ca="1" si="1"/>
        <v>5.2777777777777773E-4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input_422100!A$2</f>
        <v>422100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IFERROR(VLOOKUP(B51,input_422100!L:R,7,FALSE),VLOOKUP(tables_422100!C51,input_422100!A:H,8,FALSE))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input_422100!A$2</f>
        <v>422100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IFERROR(VLOOKUP(B52,input_422100!L:R,7,FALSE),VLOOKUP(tables_422100!C52,input_422100!A:H,8,FALSE))</f>
        <v>55428.846149999998</v>
      </c>
      <c r="P52" s="46">
        <f t="shared" ca="1" si="1"/>
        <v>1.0264601138888888E-2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input_422100!A$2</f>
        <v>422100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IFERROR(VLOOKUP(B53,input_422100!L:R,7,FALSE),VLOOKUP(tables_422100!C53,input_422100!A:H,8,FALSE))</f>
        <v>1571.1538499999999</v>
      </c>
      <c r="P53" s="46">
        <f t="shared" ca="1" si="1"/>
        <v>2.9095441666666667E-4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input_422100!A$2</f>
        <v>422100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IFERROR(VLOOKUP(B54,input_422100!L:R,7,FALSE),VLOOKUP(tables_422100!C54,input_422100!A:H,8,FALSE))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input_422100!A$2</f>
        <v>422100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IFERROR(VLOOKUP(B55,input_422100!L:R,7,FALSE),VLOOKUP(tables_422100!C55,input_422100!A:H,8,FALSE))</f>
        <v>55428.846149999998</v>
      </c>
      <c r="P55" s="46">
        <f t="shared" ca="1" si="1"/>
        <v>1.0264601138888888E-2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input_422100!A$2</f>
        <v>422100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IFERROR(VLOOKUP(B56,input_422100!L:R,7,FALSE),VLOOKUP(tables_422100!C56,input_422100!A:H,8,FALSE))</f>
        <v>1571.1538499999999</v>
      </c>
      <c r="P56" s="46">
        <f t="shared" ca="1" si="1"/>
        <v>2.9095441666666667E-4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input_422100!A$2</f>
        <v>422100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IFERROR(VLOOKUP(B57,input_422100!L:R,7,FALSE),VLOOKUP(tables_422100!C57,input_422100!A:H,8,FALSE))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input_422100!A$2</f>
        <v>422100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IFERROR(VLOOKUP(B58,input_422100!L:R,7,FALSE),VLOOKUP(tables_422100!C58,input_422100!A:H,8,FALSE))</f>
        <v>55428.846149999998</v>
      </c>
      <c r="P58" s="46">
        <f t="shared" ca="1" si="1"/>
        <v>1.0264601138888888E-2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input_422100!A$2</f>
        <v>422100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IFERROR(VLOOKUP(B59,input_422100!L:R,7,FALSE),VLOOKUP(tables_422100!C59,input_422100!A:H,8,FALSE))</f>
        <v>1571.1538499999999</v>
      </c>
      <c r="P59" s="46">
        <f t="shared" ca="1" si="1"/>
        <v>2.9095441666666667E-4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input_422100!A$2</f>
        <v>422100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IFERROR(VLOOKUP(B60,input_422100!L:R,7,FALSE),VLOOKUP(tables_422100!C60,input_422100!A:H,8,FALSE))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input_422100!A$2</f>
        <v>422100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IFERROR(VLOOKUP(B61,input_422100!L:R,7,FALSE),VLOOKUP(tables_422100!C61,input_422100!A:H,8,FALSE))</f>
        <v>55428.846149999998</v>
      </c>
      <c r="P61" s="46">
        <f t="shared" ca="1" si="1"/>
        <v>1.0264601138888888E-2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input_422100!A$2</f>
        <v>422100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IFERROR(VLOOKUP(B62,input_422100!L:R,7,FALSE),VLOOKUP(tables_422100!C62,input_422100!A:H,8,FALSE))</f>
        <v>1571.1538499999999</v>
      </c>
      <c r="P62" s="46">
        <f t="shared" ca="1" si="1"/>
        <v>2.9095441666666667E-4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input_422100!A$2</f>
        <v>422100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IFERROR(VLOOKUP(B63,input_422100!L:R,7,FALSE),VLOOKUP(tables_422100!C63,input_422100!A:H,8,FALSE))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input_422100!A$2</f>
        <v>422100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IFERROR(VLOOKUP(B64,input_422100!L:R,7,FALSE),VLOOKUP(tables_422100!C64,input_422100!A:H,8,FALSE))</f>
        <v>55428.846149999998</v>
      </c>
      <c r="P64" s="46">
        <f t="shared" ca="1" si="1"/>
        <v>1.0264601138888888E-2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input_422100!A$2</f>
        <v>422100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IFERROR(VLOOKUP(B65,input_422100!L:R,7,FALSE),VLOOKUP(tables_422100!C65,input_422100!A:H,8,FALSE))</f>
        <v>1571.1538499999999</v>
      </c>
      <c r="P65" s="46">
        <f t="shared" ca="1" si="1"/>
        <v>2.9095441666666667E-4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input_422100!A$2</f>
        <v>422100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IFERROR(VLOOKUP(B66,input_422100!L:R,7,FALSE),VLOOKUP(tables_422100!C66,input_422100!A:H,8,FALSE))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input_422100!A$2</f>
        <v>422100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IFERROR(VLOOKUP(B67,input_422100!L:R,7,FALSE),VLOOKUP(tables_422100!C67,input_422100!A:H,8,FALSE))</f>
        <v>55428.846149999998</v>
      </c>
      <c r="P67" s="46">
        <f t="shared" ca="1" si="4"/>
        <v>1.0264601138888888E-2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input_422100!A$2</f>
        <v>422100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IFERROR(VLOOKUP(B68,input_422100!L:R,7,FALSE),VLOOKUP(tables_422100!C68,input_422100!A:H,8,FALSE))</f>
        <v>1571.1538499999999</v>
      </c>
      <c r="P68" s="46">
        <f t="shared" ca="1" si="4"/>
        <v>2.9095441666666667E-4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input_422100!A$2</f>
        <v>422100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IFERROR(VLOOKUP(B69,input_422100!L:R,7,FALSE),VLOOKUP(tables_422100!C69,input_422100!A:H,8,FALSE))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input_422100!A$2</f>
        <v>422100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IFERROR(VLOOKUP(B70,input_422100!L:R,7,FALSE),VLOOKUP(tables_422100!C70,input_422100!A:H,8,FALSE))</f>
        <v>55428.846149999998</v>
      </c>
      <c r="P70" s="46">
        <f t="shared" ca="1" si="4"/>
        <v>1.0264601138888888E-2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input_422100!A$2</f>
        <v>422100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IFERROR(VLOOKUP(B71,input_422100!L:R,7,FALSE),VLOOKUP(tables_422100!C71,input_422100!A:H,8,FALSE))</f>
        <v>1571.1538499999999</v>
      </c>
      <c r="P71" s="46">
        <f t="shared" ca="1" si="4"/>
        <v>2.9095441666666667E-4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input_422100!A$2</f>
        <v>422100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IFERROR(VLOOKUP(B72,input_422100!L:R,7,FALSE),VLOOKUP(tables_422100!C72,input_422100!A:H,8,FALSE))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input_422100!A$2</f>
        <v>422100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IFERROR(VLOOKUP(B73,input_422100!L:R,7,FALSE),VLOOKUP(tables_422100!C73,input_422100!A:H,8,FALSE))</f>
        <v>55428.846149999998</v>
      </c>
      <c r="P73" s="46">
        <f t="shared" ca="1" si="4"/>
        <v>1.0264601138888888E-2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input_422100!A$2</f>
        <v>422100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IFERROR(VLOOKUP(B74,input_422100!L:R,7,FALSE),VLOOKUP(tables_422100!C74,input_422100!A:H,8,FALSE))</f>
        <v>1571.1538499999999</v>
      </c>
      <c r="P74" s="46">
        <f t="shared" ca="1" si="4"/>
        <v>2.9095441666666667E-4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input_422100!A$2</f>
        <v>422100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IFERROR(VLOOKUP(B75,input_422100!L:R,7,FALSE),VLOOKUP(tables_422100!C75,input_422100!A:H,8,FALSE))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input_422100!A$2</f>
        <v>422100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IFERROR(VLOOKUP(B76,input_422100!L:R,7,FALSE),VLOOKUP(tables_422100!C76,input_422100!A:H,8,FALSE))</f>
        <v>55428.846149999998</v>
      </c>
      <c r="P76" s="46">
        <f t="shared" ca="1" si="4"/>
        <v>1.0264601138888888E-2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input_422100!A$2</f>
        <v>422100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IFERROR(VLOOKUP(B77,input_422100!L:R,7,FALSE),VLOOKUP(tables_422100!C77,input_422100!A:H,8,FALSE))</f>
        <v>1571.1538499999999</v>
      </c>
      <c r="P77" s="46">
        <f t="shared" ca="1" si="4"/>
        <v>2.9095441666666667E-4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input_422100!A$2</f>
        <v>422100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IFERROR(VLOOKUP(B78,input_422100!L:R,7,FALSE),VLOOKUP(tables_422100!C78,input_422100!A:H,8,FALSE))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input_422100!A$2</f>
        <v>422100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IFERROR(VLOOKUP(B79,input_422100!L:R,7,FALSE),VLOOKUP(tables_422100!C79,input_422100!A:H,8,FALSE))</f>
        <v>55428.846149999998</v>
      </c>
      <c r="P79" s="46">
        <f t="shared" ca="1" si="4"/>
        <v>1.0264601138888888E-2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input_422100!A$2</f>
        <v>422100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IFERROR(VLOOKUP(B80,input_422100!L:R,7,FALSE),VLOOKUP(tables_422100!C80,input_422100!A:H,8,FALSE))</f>
        <v>1571.1538499999999</v>
      </c>
      <c r="P80" s="46">
        <f t="shared" ca="1" si="4"/>
        <v>2.9095441666666667E-4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input_422100!A$2</f>
        <v>422100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IFERROR(VLOOKUP(B81,input_422100!L:R,7,FALSE),VLOOKUP(tables_422100!C81,input_422100!A:H,8,FALSE))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input_422100!A$2</f>
        <v>422100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IFERROR(VLOOKUP(B82,input_422100!L:R,7,FALSE),VLOOKUP(tables_422100!C82,input_422100!A:H,8,FALSE))</f>
        <v>55428.846149999998</v>
      </c>
      <c r="P82" s="46">
        <f t="shared" ca="1" si="4"/>
        <v>1.0264601138888888E-2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input_422100!A$2</f>
        <v>422100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IFERROR(VLOOKUP(B83,input_422100!L:R,7,FALSE),VLOOKUP(tables_422100!C83,input_422100!A:H,8,FALSE))</f>
        <v>1571.1538499999999</v>
      </c>
      <c r="P83" s="46">
        <f t="shared" ca="1" si="4"/>
        <v>2.9095441666666667E-4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input_422100!A$2</f>
        <v>422100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IFERROR(VLOOKUP(B84,input_422100!L:R,7,FALSE),VLOOKUP(tables_422100!C84,input_422100!A:H,8,FALSE))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input_422100!A$2</f>
        <v>422100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IFERROR(VLOOKUP(B85,input_422100!L:R,7,FALSE),VLOOKUP(tables_422100!C85,input_422100!A:H,8,FALSE))</f>
        <v>55428.846149999998</v>
      </c>
      <c r="P85" s="46">
        <f t="shared" ca="1" si="4"/>
        <v>1.0264601138888888E-2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input_422100!A$2</f>
        <v>422100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IFERROR(VLOOKUP(B86,input_422100!L:R,7,FALSE),VLOOKUP(tables_422100!C86,input_422100!A:H,8,FALSE))</f>
        <v>1571.1538499999999</v>
      </c>
      <c r="P86" s="46">
        <f t="shared" ca="1" si="4"/>
        <v>2.9095441666666667E-4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input_422100!A$2</f>
        <v>422100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IFERROR(VLOOKUP(B87,input_422100!L:R,7,FALSE),VLOOKUP(tables_422100!C87,input_422100!A:H,8,FALSE))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input_422100!A$2</f>
        <v>422100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IFERROR(VLOOKUP(B88,input_422100!L:R,7,FALSE),VLOOKUP(tables_422100!C88,input_422100!A:H,8,FALSE))</f>
        <v>55428.846149999998</v>
      </c>
      <c r="P88" s="46">
        <f t="shared" ca="1" si="4"/>
        <v>1.0264601138888888E-2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input_422100!A$2</f>
        <v>422100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IFERROR(VLOOKUP(B89,input_422100!L:R,7,FALSE),VLOOKUP(tables_422100!C89,input_422100!A:H,8,FALSE))</f>
        <v>1571.1538499999999</v>
      </c>
      <c r="P89" s="46">
        <f t="shared" ca="1" si="4"/>
        <v>2.9095441666666667E-4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input_422100!A$2</f>
        <v>422100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IFERROR(VLOOKUP(B90,input_422100!L:R,7,FALSE),VLOOKUP(tables_422100!C90,input_422100!A:H,8,FALSE))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input_422100!A$2</f>
        <v>422100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IFERROR(VLOOKUP(B91,input_422100!L:R,7,FALSE),VLOOKUP(tables_422100!C91,input_422100!A:H,8,FALSE))</f>
        <v>55428.846149999998</v>
      </c>
      <c r="P91" s="46">
        <f t="shared" ca="1" si="4"/>
        <v>1.0264601138888888E-2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input_422100!A$2</f>
        <v>422100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IFERROR(VLOOKUP(B92,input_422100!L:R,7,FALSE),VLOOKUP(tables_422100!C92,input_422100!A:H,8,FALSE))</f>
        <v>1571.1538499999999</v>
      </c>
      <c r="P92" s="46">
        <f t="shared" ca="1" si="4"/>
        <v>2.9095441666666667E-4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input_422100!A$2</f>
        <v>422100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IFERROR(VLOOKUP(B93,input_422100!L:R,7,FALSE),VLOOKUP(tables_422100!C93,input_422100!A:H,8,FALSE))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input_422100!A$2</f>
        <v>422100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IFERROR(VLOOKUP(B94,input_422100!L:R,7,FALSE),VLOOKUP(tables_422100!C94,input_422100!A:H,8,FALSE))</f>
        <v>55428.846149999998</v>
      </c>
      <c r="P94" s="46">
        <f t="shared" ca="1" si="4"/>
        <v>1.0264601138888888E-2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input_422100!A$2</f>
        <v>422100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IFERROR(VLOOKUP(B95,input_422100!L:R,7,FALSE),VLOOKUP(tables_422100!C95,input_422100!A:H,8,FALSE))</f>
        <v>1571.1538499999999</v>
      </c>
      <c r="P95" s="46">
        <f t="shared" ca="1" si="4"/>
        <v>2.9095441666666667E-4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input_422100!A$2</f>
        <v>422100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IFERROR(VLOOKUP(B96,input_422100!L:R,7,FALSE),VLOOKUP(tables_422100!C96,input_422100!A:H,8,FALSE))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input_422100!A$2</f>
        <v>422100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IFERROR(VLOOKUP(B97,input_422100!L:R,7,FALSE),VLOOKUP(tables_422100!C97,input_422100!A:H,8,FALSE))</f>
        <v>55428.846149999998</v>
      </c>
      <c r="P97" s="46">
        <f t="shared" ca="1" si="4"/>
        <v>1.0264601138888888E-2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input_422100!A$2</f>
        <v>422100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IFERROR(VLOOKUP(B98,input_422100!L:R,7,FALSE),VLOOKUP(tables_422100!C98,input_422100!A:H,8,FALSE))</f>
        <v>1571.1538499999999</v>
      </c>
      <c r="P98" s="46">
        <f t="shared" ca="1" si="4"/>
        <v>2.9095441666666667E-4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input_422100!A$2</f>
        <v>422100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IFERROR(VLOOKUP(B99,input_422100!L:R,7,FALSE),VLOOKUP(tables_422100!C99,input_422100!A:H,8,FALSE))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input_422100!A$2</f>
        <v>422100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IFERROR(VLOOKUP(B100,input_422100!L:R,7,FALSE),VLOOKUP(tables_422100!C100,input_422100!A:H,8,FALSE))</f>
        <v>55428.846149999998</v>
      </c>
      <c r="P100" s="46">
        <f t="shared" ca="1" si="4"/>
        <v>1.0264601138888888E-2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input_422100!A$2</f>
        <v>422100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IFERROR(VLOOKUP(B101,input_422100!L:R,7,FALSE),VLOOKUP(tables_422100!C101,input_422100!A:H,8,FALSE))</f>
        <v>1571.1538499999999</v>
      </c>
      <c r="P101" s="46">
        <f t="shared" ca="1" si="4"/>
        <v>2.9095441666666667E-4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input_422100!A$2</f>
        <v>422100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IFERROR(VLOOKUP(B102,input_422100!L:R,7,FALSE),VLOOKUP(tables_422100!C102,input_422100!A:H,8,FALSE))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input_422100!A$2</f>
        <v>422100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IFERROR(VLOOKUP(B103,input_422100!L:R,7,FALSE),VLOOKUP(tables_422100!C103,input_422100!A:H,8,FALSE))</f>
        <v>55428.846149999998</v>
      </c>
      <c r="P103" s="46">
        <f t="shared" ca="1" si="4"/>
        <v>1.0264601138888888E-2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input_422100!A$2</f>
        <v>422100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IFERROR(VLOOKUP(B104,input_422100!L:R,7,FALSE),VLOOKUP(tables_422100!C104,input_422100!A:H,8,FALSE))</f>
        <v>1571.1538499999999</v>
      </c>
      <c r="P104" s="46">
        <f t="shared" ca="1" si="4"/>
        <v>2.9095441666666667E-4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input_422100!A$2</f>
        <v>422100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IFERROR(VLOOKUP(B105,input_422100!L:R,7,FALSE),VLOOKUP(tables_422100!C105,input_422100!A:H,8,FALSE))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input_422100!A$2</f>
        <v>422100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IFERROR(VLOOKUP(B106,input_422100!L:R,7,FALSE),VLOOKUP(tables_422100!C106,input_422100!A:H,8,FALSE))</f>
        <v>55428.846149999998</v>
      </c>
      <c r="P106" s="46">
        <f t="shared" ca="1" si="4"/>
        <v>1.0264601138888888E-2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input_422100!A$2</f>
        <v>422100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IFERROR(VLOOKUP(B107,input_422100!L:R,7,FALSE),VLOOKUP(tables_422100!C107,input_422100!A:H,8,FALSE))</f>
        <v>1571.1538499999999</v>
      </c>
      <c r="P107" s="46">
        <f t="shared" ca="1" si="4"/>
        <v>2.9095441666666667E-4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input_422100!A$2</f>
        <v>422100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IFERROR(VLOOKUP(B108,input_422100!L:R,7,FALSE),VLOOKUP(tables_422100!C108,input_422100!A:H,8,FALSE))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input_422100!A$2</f>
        <v>422100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IFERROR(VLOOKUP(B109,input_422100!L:R,7,FALSE),VLOOKUP(tables_422100!C109,input_422100!A:H,8,FALSE))</f>
        <v>55428.846149999998</v>
      </c>
      <c r="P109" s="46">
        <f t="shared" ca="1" si="4"/>
        <v>1.0264601138888888E-2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input_422100!A$2</f>
        <v>422100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IFERROR(VLOOKUP(B110,input_422100!L:R,7,FALSE),VLOOKUP(tables_422100!C110,input_422100!A:H,8,FALSE))</f>
        <v>1571.1538499999999</v>
      </c>
      <c r="P110" s="46">
        <f t="shared" ca="1" si="4"/>
        <v>2.9095441666666667E-4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input_422100!A$2</f>
        <v>422100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IFERROR(VLOOKUP(B111,input_422100!L:R,7,FALSE),VLOOKUP(tables_422100!C111,input_422100!A:H,8,FALSE))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input_422100!A$2</f>
        <v>422100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IFERROR(VLOOKUP(B112,input_422100!L:R,7,FALSE),VLOOKUP(tables_422100!C112,input_422100!A:H,8,FALSE))</f>
        <v>54150</v>
      </c>
      <c r="P112" s="46">
        <f t="shared" ca="1" si="4"/>
        <v>1.0027777777777778E-2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input_422100!A$2</f>
        <v>422100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IFERROR(VLOOKUP(B113,input_422100!L:R,7,FALSE),VLOOKUP(tables_422100!C113,input_422100!A:H,8,FALSE))</f>
        <v>2850</v>
      </c>
      <c r="P113" s="46">
        <f t="shared" ca="1" si="4"/>
        <v>5.2777777777777773E-4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input_422100!A$2</f>
        <v>422100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IFERROR(VLOOKUP(B114,input_422100!L:R,7,FALSE),VLOOKUP(tables_422100!C114,input_422100!A:H,8,FALSE))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input_422100!A$2</f>
        <v>422100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IFERROR(VLOOKUP(B115,input_422100!L:R,7,FALSE),VLOOKUP(tables_422100!C115,input_422100!A:H,8,FALSE))</f>
        <v>55428.846149999998</v>
      </c>
      <c r="P115" s="46">
        <f t="shared" ca="1" si="4"/>
        <v>1.0264601138888888E-2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input_422100!A$2</f>
        <v>422100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IFERROR(VLOOKUP(B116,input_422100!L:R,7,FALSE),VLOOKUP(tables_422100!C116,input_422100!A:H,8,FALSE))</f>
        <v>1571.1538499999999</v>
      </c>
      <c r="P116" s="46">
        <f t="shared" ca="1" si="4"/>
        <v>2.9095441666666667E-4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input_422100!A$2</f>
        <v>422100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IFERROR(VLOOKUP(B117,input_422100!L:R,7,FALSE),VLOOKUP(tables_422100!C117,input_422100!A:H,8,FALSE))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input_422100!A$2</f>
        <v>422100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IFERROR(VLOOKUP(B118,input_422100!L:R,7,FALSE),VLOOKUP(tables_422100!C118,input_422100!A:H,8,FALSE))</f>
        <v>55428.846149999998</v>
      </c>
      <c r="P118" s="46">
        <f t="shared" ca="1" si="4"/>
        <v>1.0264601138888888E-2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input_422100!A$2</f>
        <v>422100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IFERROR(VLOOKUP(B119,input_422100!L:R,7,FALSE),VLOOKUP(tables_422100!C119,input_422100!A:H,8,FALSE))</f>
        <v>1571.1538499999999</v>
      </c>
      <c r="P119" s="46">
        <f t="shared" ca="1" si="4"/>
        <v>2.9095441666666667E-4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input_422100!A$2</f>
        <v>422100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IFERROR(VLOOKUP(B120,input_422100!L:R,7,FALSE),VLOOKUP(tables_422100!C120,input_422100!A:H,8,FALSE))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input_422100!A$2</f>
        <v>422100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IFERROR(VLOOKUP(B121,input_422100!L:R,7,FALSE),VLOOKUP(tables_422100!C121,input_422100!A:H,8,FALSE))</f>
        <v>55428.846149999998</v>
      </c>
      <c r="P121" s="46">
        <f t="shared" ca="1" si="4"/>
        <v>1.0264601138888888E-2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input_422100!A$2</f>
        <v>422100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IFERROR(VLOOKUP(B122,input_422100!L:R,7,FALSE),VLOOKUP(tables_422100!C122,input_422100!A:H,8,FALSE))</f>
        <v>1571.1538499999999</v>
      </c>
      <c r="P122" s="46">
        <f t="shared" ca="1" si="4"/>
        <v>2.9095441666666667E-4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input_422100!A$2</f>
        <v>422100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IFERROR(VLOOKUP(B123,input_422100!L:R,7,FALSE),VLOOKUP(tables_422100!C123,input_422100!A:H,8,FALSE))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input_422100!A$2</f>
        <v>422100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IFERROR(VLOOKUP(B124,input_422100!L:R,7,FALSE),VLOOKUP(tables_422100!C124,input_422100!A:H,8,FALSE))</f>
        <v>55428.846149999998</v>
      </c>
      <c r="P124" s="46">
        <f t="shared" ca="1" si="4"/>
        <v>1.0264601138888888E-2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input_422100!A$2</f>
        <v>422100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IFERROR(VLOOKUP(B125,input_422100!L:R,7,FALSE),VLOOKUP(tables_422100!C125,input_422100!A:H,8,FALSE))</f>
        <v>1571.1538499999999</v>
      </c>
      <c r="P125" s="46">
        <f t="shared" ca="1" si="4"/>
        <v>2.9095441666666667E-4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input_422100!A$2</f>
        <v>422100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IFERROR(VLOOKUP(B126,input_422100!L:R,7,FALSE),VLOOKUP(tables_422100!C126,input_422100!A:H,8,FALSE))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input_422100!A$2</f>
        <v>422100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IFERROR(VLOOKUP(B127,input_422100!L:R,7,FALSE),VLOOKUP(tables_422100!C127,input_422100!A:H,8,FALSE))</f>
        <v>55428.846149999998</v>
      </c>
      <c r="P127" s="46">
        <f t="shared" ca="1" si="4"/>
        <v>1.0264601138888888E-2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input_422100!A$2</f>
        <v>422100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IFERROR(VLOOKUP(B128,input_422100!L:R,7,FALSE),VLOOKUP(tables_422100!C128,input_422100!A:H,8,FALSE))</f>
        <v>1571.1538499999999</v>
      </c>
      <c r="P128" s="46">
        <f t="shared" ca="1" si="4"/>
        <v>2.9095441666666667E-4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input_422100!A$2</f>
        <v>422100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IFERROR(VLOOKUP(B129,input_422100!L:R,7,FALSE),VLOOKUP(tables_422100!C129,input_422100!A:H,8,FALSE))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input_422100!A$2</f>
        <v>422100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IFERROR(VLOOKUP(B130,input_422100!L:R,7,FALSE),VLOOKUP(tables_422100!C130,input_422100!A:H,8,FALSE))</f>
        <v>55428.846149999998</v>
      </c>
      <c r="P130" s="46">
        <f t="shared" ref="P130:P193" ca="1" si="7">O130/SUM(O:O)</f>
        <v>1.0264601138888888E-2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input_422100!A$2</f>
        <v>422100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IFERROR(VLOOKUP(B131,input_422100!L:R,7,FALSE),VLOOKUP(tables_422100!C131,input_422100!A:H,8,FALSE))</f>
        <v>1571.1538499999999</v>
      </c>
      <c r="P131" s="46">
        <f t="shared" ca="1" si="7"/>
        <v>2.9095441666666667E-4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input_422100!A$2</f>
        <v>422100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IFERROR(VLOOKUP(B132,input_422100!L:R,7,FALSE),VLOOKUP(tables_422100!C132,input_422100!A:H,8,FALSE))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input_422100!A$2</f>
        <v>422100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IFERROR(VLOOKUP(B133,input_422100!L:R,7,FALSE),VLOOKUP(tables_422100!C133,input_422100!A:H,8,FALSE))</f>
        <v>55428.846149999998</v>
      </c>
      <c r="P133" s="46">
        <f t="shared" ca="1" si="7"/>
        <v>1.0264601138888888E-2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input_422100!A$2</f>
        <v>422100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IFERROR(VLOOKUP(B134,input_422100!L:R,7,FALSE),VLOOKUP(tables_422100!C134,input_422100!A:H,8,FALSE))</f>
        <v>1571.1538499999999</v>
      </c>
      <c r="P134" s="46">
        <f t="shared" ca="1" si="7"/>
        <v>2.9095441666666667E-4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input_422100!A$2</f>
        <v>422100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IFERROR(VLOOKUP(B135,input_422100!L:R,7,FALSE),VLOOKUP(tables_422100!C135,input_422100!A:H,8,FALSE))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input_422100!A$2</f>
        <v>422100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IFERROR(VLOOKUP(B136,input_422100!L:R,7,FALSE),VLOOKUP(tables_422100!C136,input_422100!A:H,8,FALSE))</f>
        <v>55428.846149999998</v>
      </c>
      <c r="P136" s="46">
        <f t="shared" ca="1" si="7"/>
        <v>1.0264601138888888E-2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input_422100!A$2</f>
        <v>422100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IFERROR(VLOOKUP(B137,input_422100!L:R,7,FALSE),VLOOKUP(tables_422100!C137,input_422100!A:H,8,FALSE))</f>
        <v>1571.1538499999999</v>
      </c>
      <c r="P137" s="46">
        <f t="shared" ca="1" si="7"/>
        <v>2.9095441666666667E-4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input_422100!A$2</f>
        <v>422100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IFERROR(VLOOKUP(B138,input_422100!L:R,7,FALSE),VLOOKUP(tables_422100!C138,input_422100!A:H,8,FALSE))</f>
        <v>4750</v>
      </c>
      <c r="P138" s="46">
        <f t="shared" ca="1" si="7"/>
        <v>8.7962962962962962E-4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input_422100!A$2</f>
        <v>422100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IFERROR(VLOOKUP(B139,input_422100!L:R,7,FALSE),VLOOKUP(tables_422100!C139,input_422100!A:H,8,FALSE))</f>
        <v>250</v>
      </c>
      <c r="P139" s="46">
        <f t="shared" ca="1" si="7"/>
        <v>4.6296296296296294E-5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input_422100!A$2</f>
        <v>422100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IFERROR(VLOOKUP(B140,input_422100!L:R,7,FALSE),VLOOKUP(tables_422100!C140,input_422100!A:H,8,FALSE))</f>
        <v>4750</v>
      </c>
      <c r="P140" s="46">
        <f t="shared" ca="1" si="7"/>
        <v>8.7962962962962962E-4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input_422100!A$2</f>
        <v>422100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IFERROR(VLOOKUP(B141,input_422100!L:R,7,FALSE),VLOOKUP(tables_422100!C141,input_422100!A:H,8,FALSE))</f>
        <v>250</v>
      </c>
      <c r="P141" s="46">
        <f t="shared" ca="1" si="7"/>
        <v>4.6296296296296294E-5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input_422100!A$2</f>
        <v>422100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IFERROR(VLOOKUP(B142,input_422100!L:R,7,FALSE),VLOOKUP(tables_422100!C142,input_422100!A:H,8,FALSE))</f>
        <v>4750</v>
      </c>
      <c r="P142" s="46">
        <f t="shared" ca="1" si="7"/>
        <v>8.7962962962962962E-4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input_422100!A$2</f>
        <v>422100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IFERROR(VLOOKUP(B143,input_422100!L:R,7,FALSE),VLOOKUP(tables_422100!C143,input_422100!A:H,8,FALSE))</f>
        <v>250</v>
      </c>
      <c r="P143" s="46">
        <f t="shared" ca="1" si="7"/>
        <v>4.6296296296296294E-5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input_422100!A$2</f>
        <v>422100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IFERROR(VLOOKUP(B144,input_422100!L:R,7,FALSE),VLOOKUP(tables_422100!C144,input_422100!A:H,8,FALSE))</f>
        <v>4750</v>
      </c>
      <c r="P144" s="46">
        <f t="shared" ca="1" si="7"/>
        <v>8.7962962962962962E-4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input_422100!A$2</f>
        <v>422100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IFERROR(VLOOKUP(B145,input_422100!L:R,7,FALSE),VLOOKUP(tables_422100!C145,input_422100!A:H,8,FALSE))</f>
        <v>250</v>
      </c>
      <c r="P145" s="46">
        <f t="shared" ca="1" si="7"/>
        <v>4.6296296296296294E-5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input_422100!A$2</f>
        <v>422100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IFERROR(VLOOKUP(B146,input_422100!L:R,7,FALSE),VLOOKUP(tables_422100!C146,input_422100!A:H,8,FALSE))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input_422100!A$2</f>
        <v>422100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IFERROR(VLOOKUP(B147,input_422100!L:R,7,FALSE),VLOOKUP(tables_422100!C147,input_422100!A:H,8,FALSE))</f>
        <v>55428.846149999998</v>
      </c>
      <c r="P147" s="46">
        <f t="shared" ca="1" si="7"/>
        <v>1.0264601138888888E-2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input_422100!A$2</f>
        <v>422100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IFERROR(VLOOKUP(B148,input_422100!L:R,7,FALSE),VLOOKUP(tables_422100!C148,input_422100!A:H,8,FALSE))</f>
        <v>1571.1538499999999</v>
      </c>
      <c r="P148" s="46">
        <f t="shared" ca="1" si="7"/>
        <v>2.9095441666666667E-4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input_422100!A$2</f>
        <v>422100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IFERROR(VLOOKUP(B149,input_422100!L:R,7,FALSE),VLOOKUP(tables_422100!C149,input_422100!A:H,8,FALSE))</f>
        <v>4750</v>
      </c>
      <c r="P149" s="46">
        <f t="shared" ca="1" si="7"/>
        <v>8.7962962962962962E-4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input_422100!A$2</f>
        <v>422100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IFERROR(VLOOKUP(B150,input_422100!L:R,7,FALSE),VLOOKUP(tables_422100!C150,input_422100!A:H,8,FALSE))</f>
        <v>250</v>
      </c>
      <c r="P150" s="46">
        <f t="shared" ca="1" si="7"/>
        <v>4.6296296296296294E-5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input_422100!A$2</f>
        <v>422100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IFERROR(VLOOKUP(B151,input_422100!L:R,7,FALSE),VLOOKUP(tables_422100!C151,input_422100!A:H,8,FALSE))</f>
        <v>4750</v>
      </c>
      <c r="P151" s="46">
        <f t="shared" ca="1" si="7"/>
        <v>8.7962962962962962E-4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input_422100!A$2</f>
        <v>422100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IFERROR(VLOOKUP(B152,input_422100!L:R,7,FALSE),VLOOKUP(tables_422100!C152,input_422100!A:H,8,FALSE))</f>
        <v>250</v>
      </c>
      <c r="P152" s="46">
        <f t="shared" ca="1" si="7"/>
        <v>4.6296296296296294E-5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input_422100!A$2</f>
        <v>422100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IFERROR(VLOOKUP(B153,input_422100!L:R,7,FALSE),VLOOKUP(tables_422100!C153,input_422100!A:H,8,FALSE))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input_422100!A$2</f>
        <v>422100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IFERROR(VLOOKUP(B154,input_422100!L:R,7,FALSE),VLOOKUP(tables_422100!C154,input_422100!A:H,8,FALSE))</f>
        <v>55428.846149999998</v>
      </c>
      <c r="P154" s="46">
        <f t="shared" ca="1" si="7"/>
        <v>1.0264601138888888E-2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input_422100!A$2</f>
        <v>422100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IFERROR(VLOOKUP(B155,input_422100!L:R,7,FALSE),VLOOKUP(tables_422100!C155,input_422100!A:H,8,FALSE))</f>
        <v>1571.1538499999999</v>
      </c>
      <c r="P155" s="46">
        <f t="shared" ca="1" si="7"/>
        <v>2.9095441666666667E-4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input_422100!A$2</f>
        <v>422100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IFERROR(VLOOKUP(B156,input_422100!L:R,7,FALSE),VLOOKUP(tables_422100!C156,input_422100!A:H,8,FALSE))</f>
        <v>4750</v>
      </c>
      <c r="P156" s="46">
        <f t="shared" ca="1" si="7"/>
        <v>8.7962962962962962E-4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input_422100!A$2</f>
        <v>422100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IFERROR(VLOOKUP(B157,input_422100!L:R,7,FALSE),VLOOKUP(tables_422100!C157,input_422100!A:H,8,FALSE))</f>
        <v>250</v>
      </c>
      <c r="P157" s="46">
        <f t="shared" ca="1" si="7"/>
        <v>4.6296296296296294E-5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input_422100!A$2</f>
        <v>422100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IFERROR(VLOOKUP(B158,input_422100!L:R,7,FALSE),VLOOKUP(tables_422100!C158,input_422100!A:H,8,FALSE))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input_422100!A$2</f>
        <v>422100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IFERROR(VLOOKUP(B159,input_422100!L:R,7,FALSE),VLOOKUP(tables_422100!C159,input_422100!A:H,8,FALSE))</f>
        <v>55428.846149999998</v>
      </c>
      <c r="P159" s="46">
        <f t="shared" ca="1" si="7"/>
        <v>1.0264601138888888E-2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input_422100!A$2</f>
        <v>422100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IFERROR(VLOOKUP(B160,input_422100!L:R,7,FALSE),VLOOKUP(tables_422100!C160,input_422100!A:H,8,FALSE))</f>
        <v>1571.1538499999999</v>
      </c>
      <c r="P160" s="46">
        <f t="shared" ca="1" si="7"/>
        <v>2.9095441666666667E-4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input_422100!A$2</f>
        <v>422100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IFERROR(VLOOKUP(B161,input_422100!L:R,7,FALSE),VLOOKUP(tables_422100!C161,input_422100!A:H,8,FALSE))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input_422100!A$2</f>
        <v>422100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IFERROR(VLOOKUP(B162,input_422100!L:R,7,FALSE),VLOOKUP(tables_422100!C162,input_422100!A:H,8,FALSE))</f>
        <v>55428.846149999998</v>
      </c>
      <c r="P162" s="46">
        <f t="shared" ca="1" si="7"/>
        <v>1.0264601138888888E-2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input_422100!A$2</f>
        <v>422100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IFERROR(VLOOKUP(B163,input_422100!L:R,7,FALSE),VLOOKUP(tables_422100!C163,input_422100!A:H,8,FALSE))</f>
        <v>1571.1538499999999</v>
      </c>
      <c r="P163" s="46">
        <f t="shared" ca="1" si="7"/>
        <v>2.9095441666666667E-4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input_422100!A$2</f>
        <v>422100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IFERROR(VLOOKUP(B164,input_422100!L:R,7,FALSE),VLOOKUP(tables_422100!C164,input_422100!A:H,8,FALSE))</f>
        <v>4750</v>
      </c>
      <c r="P164" s="46">
        <f t="shared" ca="1" si="7"/>
        <v>8.7962962962962962E-4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input_422100!A$2</f>
        <v>422100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IFERROR(VLOOKUP(B165,input_422100!L:R,7,FALSE),VLOOKUP(tables_422100!C165,input_422100!A:H,8,FALSE))</f>
        <v>250</v>
      </c>
      <c r="P165" s="46">
        <f t="shared" ca="1" si="7"/>
        <v>4.6296296296296294E-5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input_422100!A$2</f>
        <v>422100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IFERROR(VLOOKUP(B166,input_422100!L:R,7,FALSE),VLOOKUP(tables_422100!C166,input_422100!A:H,8,FALSE))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input_422100!A$2</f>
        <v>422100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IFERROR(VLOOKUP(B167,input_422100!L:R,7,FALSE),VLOOKUP(tables_422100!C167,input_422100!A:H,8,FALSE))</f>
        <v>55428.846149999998</v>
      </c>
      <c r="P167" s="46">
        <f t="shared" ca="1" si="7"/>
        <v>1.0264601138888888E-2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input_422100!A$2</f>
        <v>422100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IFERROR(VLOOKUP(B168,input_422100!L:R,7,FALSE),VLOOKUP(tables_422100!C168,input_422100!A:H,8,FALSE))</f>
        <v>1571.1538499999999</v>
      </c>
      <c r="P168" s="46">
        <f t="shared" ca="1" si="7"/>
        <v>2.9095441666666667E-4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input_422100!A$2</f>
        <v>422100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IFERROR(VLOOKUP(B169,input_422100!L:R,7,FALSE),VLOOKUP(tables_422100!C169,input_422100!A:H,8,FALSE))</f>
        <v>4750</v>
      </c>
      <c r="P169" s="46">
        <f t="shared" ca="1" si="7"/>
        <v>8.7962962962962962E-4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input_422100!A$2</f>
        <v>422100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IFERROR(VLOOKUP(B170,input_422100!L:R,7,FALSE),VLOOKUP(tables_422100!C170,input_422100!A:H,8,FALSE))</f>
        <v>250</v>
      </c>
      <c r="P170" s="46">
        <f t="shared" ca="1" si="7"/>
        <v>4.6296296296296294E-5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input_422100!A$2</f>
        <v>422100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IFERROR(VLOOKUP(B171,input_422100!L:R,7,FALSE),VLOOKUP(tables_422100!C171,input_422100!A:H,8,FALSE))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input_422100!A$2</f>
        <v>422100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IFERROR(VLOOKUP(B172,input_422100!L:R,7,FALSE),VLOOKUP(tables_422100!C172,input_422100!A:H,8,FALSE))</f>
        <v>55428.846149999998</v>
      </c>
      <c r="P172" s="46">
        <f t="shared" ca="1" si="7"/>
        <v>1.0264601138888888E-2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input_422100!A$2</f>
        <v>422100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IFERROR(VLOOKUP(B173,input_422100!L:R,7,FALSE),VLOOKUP(tables_422100!C173,input_422100!A:H,8,FALSE))</f>
        <v>1571.1538499999999</v>
      </c>
      <c r="P173" s="46">
        <f t="shared" ca="1" si="7"/>
        <v>2.9095441666666667E-4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input_422100!A$2</f>
        <v>422100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IFERROR(VLOOKUP(B174,input_422100!L:R,7,FALSE),VLOOKUP(tables_422100!C174,input_422100!A:H,8,FALSE))</f>
        <v>4750</v>
      </c>
      <c r="P174" s="46">
        <f t="shared" ca="1" si="7"/>
        <v>8.7962962962962962E-4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input_422100!A$2</f>
        <v>422100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IFERROR(VLOOKUP(B175,input_422100!L:R,7,FALSE),VLOOKUP(tables_422100!C175,input_422100!A:H,8,FALSE))</f>
        <v>250</v>
      </c>
      <c r="P175" s="46">
        <f t="shared" ca="1" si="7"/>
        <v>4.6296296296296294E-5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input_422100!A$2</f>
        <v>422100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IFERROR(VLOOKUP(B176,input_422100!L:R,7,FALSE),VLOOKUP(tables_422100!C176,input_422100!A:H,8,FALSE))</f>
        <v>4750</v>
      </c>
      <c r="P176" s="46">
        <f t="shared" ca="1" si="7"/>
        <v>8.7962962962962962E-4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input_422100!A$2</f>
        <v>422100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IFERROR(VLOOKUP(B177,input_422100!L:R,7,FALSE),VLOOKUP(tables_422100!C177,input_422100!A:H,8,FALSE))</f>
        <v>250</v>
      </c>
      <c r="P177" s="46">
        <f t="shared" ca="1" si="7"/>
        <v>4.6296296296296294E-5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input_422100!A$2</f>
        <v>422100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IFERROR(VLOOKUP(B178,input_422100!L:R,7,FALSE),VLOOKUP(tables_422100!C178,input_422100!A:H,8,FALSE))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input_422100!A$2</f>
        <v>422100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IFERROR(VLOOKUP(B179,input_422100!L:R,7,FALSE),VLOOKUP(tables_422100!C179,input_422100!A:H,8,FALSE))</f>
        <v>55428.846149999998</v>
      </c>
      <c r="P179" s="46">
        <f t="shared" ca="1" si="7"/>
        <v>1.0264601138888888E-2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input_422100!A$2</f>
        <v>422100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IFERROR(VLOOKUP(B180,input_422100!L:R,7,FALSE),VLOOKUP(tables_422100!C180,input_422100!A:H,8,FALSE))</f>
        <v>1571.1538499999999</v>
      </c>
      <c r="P180" s="46">
        <f t="shared" ca="1" si="7"/>
        <v>2.9095441666666667E-4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input_422100!A$2</f>
        <v>422100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IFERROR(VLOOKUP(B181,input_422100!L:R,7,FALSE),VLOOKUP(tables_422100!C181,input_422100!A:H,8,FALSE))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input_422100!A$2</f>
        <v>422100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IFERROR(VLOOKUP(B182,input_422100!L:R,7,FALSE),VLOOKUP(tables_422100!C182,input_422100!A:H,8,FALSE))</f>
        <v>55428.846149999998</v>
      </c>
      <c r="P182" s="46">
        <f t="shared" ca="1" si="7"/>
        <v>1.0264601138888888E-2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input_422100!A$2</f>
        <v>422100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IFERROR(VLOOKUP(B183,input_422100!L:R,7,FALSE),VLOOKUP(tables_422100!C183,input_422100!A:H,8,FALSE))</f>
        <v>1571.1538499999999</v>
      </c>
      <c r="P183" s="46">
        <f t="shared" ca="1" si="7"/>
        <v>2.9095441666666667E-4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input_422100!A$2</f>
        <v>422100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IFERROR(VLOOKUP(B184,input_422100!L:R,7,FALSE),VLOOKUP(tables_422100!C184,input_422100!A:H,8,FALSE))</f>
        <v>4750</v>
      </c>
      <c r="P184" s="46">
        <f t="shared" ca="1" si="7"/>
        <v>8.7962962962962962E-4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input_422100!A$2</f>
        <v>422100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IFERROR(VLOOKUP(B185,input_422100!L:R,7,FALSE),VLOOKUP(tables_422100!C185,input_422100!A:H,8,FALSE))</f>
        <v>250</v>
      </c>
      <c r="P185" s="46">
        <f t="shared" ca="1" si="7"/>
        <v>4.6296296296296294E-5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input_422100!A$2</f>
        <v>422100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IFERROR(VLOOKUP(B186,input_422100!L:R,7,FALSE),VLOOKUP(tables_422100!C186,input_422100!A:H,8,FALSE))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input_422100!A$2</f>
        <v>422100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IFERROR(VLOOKUP(B187,input_422100!L:R,7,FALSE),VLOOKUP(tables_422100!C187,input_422100!A:H,8,FALSE))</f>
        <v>55428.846149999998</v>
      </c>
      <c r="P187" s="46">
        <f t="shared" ca="1" si="7"/>
        <v>1.0264601138888888E-2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input_422100!A$2</f>
        <v>422100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IFERROR(VLOOKUP(B188,input_422100!L:R,7,FALSE),VLOOKUP(tables_422100!C188,input_422100!A:H,8,FALSE))</f>
        <v>1571.1538499999999</v>
      </c>
      <c r="P188" s="46">
        <f t="shared" ca="1" si="7"/>
        <v>2.9095441666666667E-4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input_422100!A$2</f>
        <v>422100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IFERROR(VLOOKUP(B189,input_422100!L:R,7,FALSE),VLOOKUP(tables_422100!C189,input_422100!A:H,8,FALSE))</f>
        <v>4750</v>
      </c>
      <c r="P189" s="46">
        <f t="shared" ca="1" si="7"/>
        <v>8.7962962962962962E-4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input_422100!A$2</f>
        <v>422100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IFERROR(VLOOKUP(B190,input_422100!L:R,7,FALSE),VLOOKUP(tables_422100!C190,input_422100!A:H,8,FALSE))</f>
        <v>250</v>
      </c>
      <c r="P190" s="46">
        <f t="shared" ca="1" si="7"/>
        <v>4.6296296296296294E-5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input_422100!A$2</f>
        <v>422100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IFERROR(VLOOKUP(B191,input_422100!L:R,7,FALSE),VLOOKUP(tables_422100!C191,input_422100!A:H,8,FALSE))</f>
        <v>4750</v>
      </c>
      <c r="P191" s="46">
        <f t="shared" ca="1" si="7"/>
        <v>8.7962962962962962E-4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input_422100!A$2</f>
        <v>422100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IFERROR(VLOOKUP(B192,input_422100!L:R,7,FALSE),VLOOKUP(tables_422100!C192,input_422100!A:H,8,FALSE))</f>
        <v>250</v>
      </c>
      <c r="P192" s="46">
        <f t="shared" ca="1" si="7"/>
        <v>4.6296296296296294E-5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input_422100!A$2</f>
        <v>422100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IFERROR(VLOOKUP(B193,input_422100!L:R,7,FALSE),VLOOKUP(tables_422100!C193,input_422100!A:H,8,FALSE))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input_422100!A$2</f>
        <v>422100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IFERROR(VLOOKUP(B194,input_422100!L:R,7,FALSE),VLOOKUP(tables_422100!C194,input_422100!A:H,8,FALSE))</f>
        <v>55428.846149999998</v>
      </c>
      <c r="P194" s="46">
        <f t="shared" ref="P194:P257" ca="1" si="10">O194/SUM(O:O)</f>
        <v>1.0264601138888888E-2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input_422100!A$2</f>
        <v>422100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IFERROR(VLOOKUP(B195,input_422100!L:R,7,FALSE),VLOOKUP(tables_422100!C195,input_422100!A:H,8,FALSE))</f>
        <v>1571.1538499999999</v>
      </c>
      <c r="P195" s="46">
        <f t="shared" ca="1" si="10"/>
        <v>2.9095441666666667E-4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input_422100!A$2</f>
        <v>422100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IFERROR(VLOOKUP(B196,input_422100!L:R,7,FALSE),VLOOKUP(tables_422100!C196,input_422100!A:H,8,FALSE))</f>
        <v>4750</v>
      </c>
      <c r="P196" s="46">
        <f t="shared" ca="1" si="10"/>
        <v>8.7962962962962962E-4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input_422100!A$2</f>
        <v>422100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IFERROR(VLOOKUP(B197,input_422100!L:R,7,FALSE),VLOOKUP(tables_422100!C197,input_422100!A:H,8,FALSE))</f>
        <v>250</v>
      </c>
      <c r="P197" s="46">
        <f t="shared" ca="1" si="10"/>
        <v>4.6296296296296294E-5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input_422100!A$2</f>
        <v>422100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IFERROR(VLOOKUP(B198,input_422100!L:R,7,FALSE),VLOOKUP(tables_422100!C198,input_422100!A:H,8,FALSE))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input_422100!A$2</f>
        <v>422100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IFERROR(VLOOKUP(B199,input_422100!L:R,7,FALSE),VLOOKUP(tables_422100!C199,input_422100!A:H,8,FALSE))</f>
        <v>55428.846149999998</v>
      </c>
      <c r="P199" s="46">
        <f t="shared" ca="1" si="10"/>
        <v>1.0264601138888888E-2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input_422100!A$2</f>
        <v>422100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IFERROR(VLOOKUP(B200,input_422100!L:R,7,FALSE),VLOOKUP(tables_422100!C200,input_422100!A:H,8,FALSE))</f>
        <v>1571.1538499999999</v>
      </c>
      <c r="P200" s="46">
        <f t="shared" ca="1" si="10"/>
        <v>2.9095441666666667E-4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input_422100!A$2</f>
        <v>422100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IFERROR(VLOOKUP(B201,input_422100!L:R,7,FALSE),VLOOKUP(tables_422100!C201,input_422100!A:H,8,FALSE))</f>
        <v>4750</v>
      </c>
      <c r="P201" s="46">
        <f t="shared" ca="1" si="10"/>
        <v>8.7962962962962962E-4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input_422100!A$2</f>
        <v>422100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IFERROR(VLOOKUP(B202,input_422100!L:R,7,FALSE),VLOOKUP(tables_422100!C202,input_422100!A:H,8,FALSE))</f>
        <v>250</v>
      </c>
      <c r="P202" s="46">
        <f t="shared" ca="1" si="10"/>
        <v>4.6296296296296294E-5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input_422100!A$2</f>
        <v>422100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IFERROR(VLOOKUP(B203,input_422100!L:R,7,FALSE),VLOOKUP(tables_422100!C203,input_422100!A:H,8,FALSE))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input_422100!A$2</f>
        <v>422100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IFERROR(VLOOKUP(B204,input_422100!L:R,7,FALSE),VLOOKUP(tables_422100!C204,input_422100!A:H,8,FALSE))</f>
        <v>55428.846149999998</v>
      </c>
      <c r="P204" s="46">
        <f t="shared" ca="1" si="10"/>
        <v>1.0264601138888888E-2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input_422100!A$2</f>
        <v>422100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IFERROR(VLOOKUP(B205,input_422100!L:R,7,FALSE),VLOOKUP(tables_422100!C205,input_422100!A:H,8,FALSE))</f>
        <v>1571.1538499999999</v>
      </c>
      <c r="P205" s="46">
        <f t="shared" ca="1" si="10"/>
        <v>2.9095441666666667E-4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input_422100!A$2</f>
        <v>422100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IFERROR(VLOOKUP(B206,input_422100!L:R,7,FALSE),VLOOKUP(tables_422100!C206,input_422100!A:H,8,FALSE))</f>
        <v>4750</v>
      </c>
      <c r="P206" s="46">
        <f t="shared" ca="1" si="10"/>
        <v>8.7962962962962962E-4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input_422100!A$2</f>
        <v>422100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IFERROR(VLOOKUP(B207,input_422100!L:R,7,FALSE),VLOOKUP(tables_422100!C207,input_422100!A:H,8,FALSE))</f>
        <v>250</v>
      </c>
      <c r="P207" s="46">
        <f t="shared" ca="1" si="10"/>
        <v>4.6296296296296294E-5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input_422100!A$2</f>
        <v>422100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IFERROR(VLOOKUP(B208,input_422100!L:R,7,FALSE),VLOOKUP(tables_422100!C208,input_422100!A:H,8,FALSE))</f>
        <v>4750</v>
      </c>
      <c r="P208" s="46">
        <f t="shared" ca="1" si="10"/>
        <v>8.7962962962962962E-4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input_422100!A$2</f>
        <v>422100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IFERROR(VLOOKUP(B209,input_422100!L:R,7,FALSE),VLOOKUP(tables_422100!C209,input_422100!A:H,8,FALSE))</f>
        <v>250</v>
      </c>
      <c r="P209" s="46">
        <f t="shared" ca="1" si="10"/>
        <v>4.6296296296296294E-5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input_422100!A$2</f>
        <v>422100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IFERROR(VLOOKUP(B210,input_422100!L:R,7,FALSE),VLOOKUP(tables_422100!C210,input_422100!A:H,8,FALSE))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input_422100!A$2</f>
        <v>422100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IFERROR(VLOOKUP(B211,input_422100!L:R,7,FALSE),VLOOKUP(tables_422100!C211,input_422100!A:H,8,FALSE))</f>
        <v>55428.846149999998</v>
      </c>
      <c r="P211" s="46">
        <f t="shared" ca="1" si="10"/>
        <v>1.0264601138888888E-2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input_422100!A$2</f>
        <v>422100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IFERROR(VLOOKUP(B212,input_422100!L:R,7,FALSE),VLOOKUP(tables_422100!C212,input_422100!A:H,8,FALSE))</f>
        <v>1571.1538499999999</v>
      </c>
      <c r="P212" s="46">
        <f t="shared" ca="1" si="10"/>
        <v>2.9095441666666667E-4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input_422100!A$2</f>
        <v>422100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IFERROR(VLOOKUP(B213,input_422100!L:R,7,FALSE),VLOOKUP(tables_422100!C213,input_422100!A:H,8,FALSE))</f>
        <v>4750</v>
      </c>
      <c r="P213" s="46">
        <f t="shared" ca="1" si="10"/>
        <v>8.7962962962962962E-4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input_422100!A$2</f>
        <v>422100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IFERROR(VLOOKUP(B214,input_422100!L:R,7,FALSE),VLOOKUP(tables_422100!C214,input_422100!A:H,8,FALSE))</f>
        <v>250</v>
      </c>
      <c r="P214" s="46">
        <f t="shared" ca="1" si="10"/>
        <v>4.6296296296296294E-5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input_422100!A$2</f>
        <v>422100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IFERROR(VLOOKUP(B215,input_422100!L:R,7,FALSE),VLOOKUP(tables_422100!C215,input_422100!A:H,8,FALSE))</f>
        <v>4750</v>
      </c>
      <c r="P215" s="46">
        <f t="shared" ca="1" si="10"/>
        <v>8.7962962962962962E-4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input_422100!A$2</f>
        <v>422100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IFERROR(VLOOKUP(B216,input_422100!L:R,7,FALSE),VLOOKUP(tables_422100!C216,input_422100!A:H,8,FALSE))</f>
        <v>250</v>
      </c>
      <c r="P216" s="46">
        <f t="shared" ca="1" si="10"/>
        <v>4.6296296296296294E-5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input_422100!A$2</f>
        <v>422100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IFERROR(VLOOKUP(B217,input_422100!L:R,7,FALSE),VLOOKUP(tables_422100!C217,input_422100!A:H,8,FALSE))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input_422100!A$2</f>
        <v>422100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IFERROR(VLOOKUP(B218,input_422100!L:R,7,FALSE),VLOOKUP(tables_422100!C218,input_422100!A:H,8,FALSE))</f>
        <v>55428.846149999998</v>
      </c>
      <c r="P218" s="46">
        <f t="shared" ca="1" si="10"/>
        <v>1.0264601138888888E-2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input_422100!A$2</f>
        <v>422100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IFERROR(VLOOKUP(B219,input_422100!L:R,7,FALSE),VLOOKUP(tables_422100!C219,input_422100!A:H,8,FALSE))</f>
        <v>1571.1538499999999</v>
      </c>
      <c r="P219" s="46">
        <f t="shared" ca="1" si="10"/>
        <v>2.9095441666666667E-4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input_422100!A$2</f>
        <v>422100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IFERROR(VLOOKUP(B220,input_422100!L:R,7,FALSE),VLOOKUP(tables_422100!C220,input_422100!A:H,8,FALSE))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input_422100!A$2</f>
        <v>422100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IFERROR(VLOOKUP(B221,input_422100!L:R,7,FALSE),VLOOKUP(tables_422100!C221,input_422100!A:H,8,FALSE))</f>
        <v>55428.846149999998</v>
      </c>
      <c r="P221" s="46">
        <f t="shared" ca="1" si="10"/>
        <v>1.0264601138888888E-2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input_422100!A$2</f>
        <v>422100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IFERROR(VLOOKUP(B222,input_422100!L:R,7,FALSE),VLOOKUP(tables_422100!C222,input_422100!A:H,8,FALSE))</f>
        <v>1571.1538499999999</v>
      </c>
      <c r="P222" s="46">
        <f t="shared" ca="1" si="10"/>
        <v>2.9095441666666667E-4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input_422100!A$2</f>
        <v>422100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IFERROR(VLOOKUP(B223,input_422100!L:R,7,FALSE),VLOOKUP(tables_422100!C223,input_422100!A:H,8,FALSE))</f>
        <v>4750</v>
      </c>
      <c r="P223" s="46">
        <f t="shared" ca="1" si="10"/>
        <v>8.7962962962962962E-4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input_422100!A$2</f>
        <v>422100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IFERROR(VLOOKUP(B224,input_422100!L:R,7,FALSE),VLOOKUP(tables_422100!C224,input_422100!A:H,8,FALSE))</f>
        <v>250</v>
      </c>
      <c r="P224" s="46">
        <f t="shared" ca="1" si="10"/>
        <v>4.6296296296296294E-5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input_422100!A$2</f>
        <v>422100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IFERROR(VLOOKUP(B225,input_422100!L:R,7,FALSE),VLOOKUP(tables_422100!C225,input_422100!A:H,8,FALSE))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input_422100!A$2</f>
        <v>422100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IFERROR(VLOOKUP(B226,input_422100!L:R,7,FALSE),VLOOKUP(tables_422100!C226,input_422100!A:H,8,FALSE))</f>
        <v>55428.846149999998</v>
      </c>
      <c r="P226" s="46">
        <f t="shared" ca="1" si="10"/>
        <v>1.0264601138888888E-2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input_422100!A$2</f>
        <v>422100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IFERROR(VLOOKUP(B227,input_422100!L:R,7,FALSE),VLOOKUP(tables_422100!C227,input_422100!A:H,8,FALSE))</f>
        <v>1571.1538499999999</v>
      </c>
      <c r="P227" s="46">
        <f t="shared" ca="1" si="10"/>
        <v>2.9095441666666667E-4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input_422100!A$2</f>
        <v>422100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IFERROR(VLOOKUP(B228,input_422100!L:R,7,FALSE),VLOOKUP(tables_422100!C228,input_422100!A:H,8,FALSE))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input_422100!A$2</f>
        <v>422100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IFERROR(VLOOKUP(B229,input_422100!L:R,7,FALSE),VLOOKUP(tables_422100!C229,input_422100!A:H,8,FALSE))</f>
        <v>55428.846149999998</v>
      </c>
      <c r="P229" s="46">
        <f t="shared" ca="1" si="10"/>
        <v>1.0264601138888888E-2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input_422100!A$2</f>
        <v>422100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IFERROR(VLOOKUP(B230,input_422100!L:R,7,FALSE),VLOOKUP(tables_422100!C230,input_422100!A:H,8,FALSE))</f>
        <v>1571.1538499999999</v>
      </c>
      <c r="P230" s="46">
        <f t="shared" ca="1" si="10"/>
        <v>2.9095441666666667E-4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input_422100!A$2</f>
        <v>422100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IFERROR(VLOOKUP(B231,input_422100!L:R,7,FALSE),VLOOKUP(tables_422100!C231,input_422100!A:H,8,FALSE))</f>
        <v>4750</v>
      </c>
      <c r="P231" s="46">
        <f t="shared" ca="1" si="10"/>
        <v>8.7962962962962962E-4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input_422100!A$2</f>
        <v>422100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IFERROR(VLOOKUP(B232,input_422100!L:R,7,FALSE),VLOOKUP(tables_422100!C232,input_422100!A:H,8,FALSE))</f>
        <v>250</v>
      </c>
      <c r="P232" s="46">
        <f t="shared" ca="1" si="10"/>
        <v>4.6296296296296294E-5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input_422100!A$2</f>
        <v>422100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IFERROR(VLOOKUP(B233,input_422100!L:R,7,FALSE),VLOOKUP(tables_422100!C233,input_422100!A:H,8,FALSE))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input_422100!A$2</f>
        <v>422100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IFERROR(VLOOKUP(B234,input_422100!L:R,7,FALSE),VLOOKUP(tables_422100!C234,input_422100!A:H,8,FALSE))</f>
        <v>55428.846149999998</v>
      </c>
      <c r="P234" s="46">
        <f t="shared" ca="1" si="10"/>
        <v>1.0264601138888888E-2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input_422100!A$2</f>
        <v>422100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IFERROR(VLOOKUP(B235,input_422100!L:R,7,FALSE),VLOOKUP(tables_422100!C235,input_422100!A:H,8,FALSE))</f>
        <v>1571.1538499999999</v>
      </c>
      <c r="P235" s="46">
        <f t="shared" ca="1" si="10"/>
        <v>2.9095441666666667E-4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input_422100!A$2</f>
        <v>422100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IFERROR(VLOOKUP(B236,input_422100!L:R,7,FALSE),VLOOKUP(tables_422100!C236,input_422100!A:H,8,FALSE))</f>
        <v>4750</v>
      </c>
      <c r="P236" s="46">
        <f t="shared" ca="1" si="10"/>
        <v>8.7962962962962962E-4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input_422100!A$2</f>
        <v>422100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IFERROR(VLOOKUP(B237,input_422100!L:R,7,FALSE),VLOOKUP(tables_422100!C237,input_422100!A:H,8,FALSE))</f>
        <v>250</v>
      </c>
      <c r="P237" s="46">
        <f t="shared" ca="1" si="10"/>
        <v>4.6296296296296294E-5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input_422100!A$2</f>
        <v>422100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IFERROR(VLOOKUP(B238,input_422100!L:R,7,FALSE),VLOOKUP(tables_422100!C238,input_422100!A:H,8,FALSE))</f>
        <v>4750</v>
      </c>
      <c r="P238" s="46">
        <f t="shared" ca="1" si="10"/>
        <v>8.7962962962962962E-4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input_422100!A$2</f>
        <v>422100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IFERROR(VLOOKUP(B239,input_422100!L:R,7,FALSE),VLOOKUP(tables_422100!C239,input_422100!A:H,8,FALSE))</f>
        <v>250</v>
      </c>
      <c r="P239" s="46">
        <f t="shared" ca="1" si="10"/>
        <v>4.6296296296296294E-5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input_422100!A$2</f>
        <v>422100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IFERROR(VLOOKUP(B240,input_422100!L:R,7,FALSE),VLOOKUP(tables_422100!C240,input_422100!A:H,8,FALSE))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input_422100!A$2</f>
        <v>422100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IFERROR(VLOOKUP(B241,input_422100!L:R,7,FALSE),VLOOKUP(tables_422100!C241,input_422100!A:H,8,FALSE))</f>
        <v>55428.846149999998</v>
      </c>
      <c r="P241" s="46">
        <f t="shared" ca="1" si="10"/>
        <v>1.0264601138888888E-2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input_422100!A$2</f>
        <v>422100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IFERROR(VLOOKUP(B242,input_422100!L:R,7,FALSE),VLOOKUP(tables_422100!C242,input_422100!A:H,8,FALSE))</f>
        <v>1571.1538499999999</v>
      </c>
      <c r="P242" s="46">
        <f t="shared" ca="1" si="10"/>
        <v>2.9095441666666667E-4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input_422100!A$2</f>
        <v>422100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IFERROR(VLOOKUP(B243,input_422100!L:R,7,FALSE),VLOOKUP(tables_422100!C243,input_422100!A:H,8,FALSE))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input_422100!A$2</f>
        <v>422100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IFERROR(VLOOKUP(B244,input_422100!L:R,7,FALSE),VLOOKUP(tables_422100!C244,input_422100!A:H,8,FALSE))</f>
        <v>55428.846149999998</v>
      </c>
      <c r="P244" s="46">
        <f t="shared" ca="1" si="10"/>
        <v>1.0264601138888888E-2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input_422100!A$2</f>
        <v>422100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IFERROR(VLOOKUP(B245,input_422100!L:R,7,FALSE),VLOOKUP(tables_422100!C245,input_422100!A:H,8,FALSE))</f>
        <v>1571.1538499999999</v>
      </c>
      <c r="P245" s="46">
        <f t="shared" ca="1" si="10"/>
        <v>2.9095441666666667E-4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input_422100!A$2</f>
        <v>422100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IFERROR(VLOOKUP(B246,input_422100!L:R,7,FALSE),VLOOKUP(tables_422100!C246,input_422100!A:H,8,FALSE))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input_422100!A$2</f>
        <v>422100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IFERROR(VLOOKUP(B247,input_422100!L:R,7,FALSE),VLOOKUP(tables_422100!C247,input_422100!A:H,8,FALSE))</f>
        <v>55428.846149999998</v>
      </c>
      <c r="P247" s="46">
        <f t="shared" ca="1" si="10"/>
        <v>1.0264601138888888E-2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input_422100!A$2</f>
        <v>422100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IFERROR(VLOOKUP(B248,input_422100!L:R,7,FALSE),VLOOKUP(tables_422100!C248,input_422100!A:H,8,FALSE))</f>
        <v>1571.1538499999999</v>
      </c>
      <c r="P248" s="46">
        <f t="shared" ca="1" si="10"/>
        <v>2.9095441666666667E-4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input_422100!A$2</f>
        <v>422100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IFERROR(VLOOKUP(B249,input_422100!L:R,7,FALSE),VLOOKUP(tables_422100!C249,input_422100!A:H,8,FALSE))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input_422100!A$2</f>
        <v>422100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IFERROR(VLOOKUP(B250,input_422100!L:R,7,FALSE),VLOOKUP(tables_422100!C250,input_422100!A:H,8,FALSE))</f>
        <v>55428.846149999998</v>
      </c>
      <c r="P250" s="46">
        <f t="shared" ca="1" si="10"/>
        <v>1.0264601138888888E-2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input_422100!A$2</f>
        <v>422100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IFERROR(VLOOKUP(B251,input_422100!L:R,7,FALSE),VLOOKUP(tables_422100!C251,input_422100!A:H,8,FALSE))</f>
        <v>1571.1538499999999</v>
      </c>
      <c r="P251" s="46">
        <f t="shared" ca="1" si="10"/>
        <v>2.9095441666666667E-4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input_422100!A$2</f>
        <v>422100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IFERROR(VLOOKUP(B252,input_422100!L:R,7,FALSE),VLOOKUP(tables_422100!C252,input_422100!A:H,8,FALSE))</f>
        <v>4750</v>
      </c>
      <c r="P252" s="46">
        <f t="shared" ca="1" si="10"/>
        <v>8.7962962962962962E-4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input_422100!A$2</f>
        <v>422100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IFERROR(VLOOKUP(B253,input_422100!L:R,7,FALSE),VLOOKUP(tables_422100!C253,input_422100!A:H,8,FALSE))</f>
        <v>250</v>
      </c>
      <c r="P253" s="46">
        <f t="shared" ca="1" si="10"/>
        <v>4.6296296296296294E-5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input_422100!A$2</f>
        <v>422100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IFERROR(VLOOKUP(B254,input_422100!L:R,7,FALSE),VLOOKUP(tables_422100!C254,input_422100!A:H,8,FALSE))</f>
        <v>4750</v>
      </c>
      <c r="P254" s="46">
        <f t="shared" ca="1" si="10"/>
        <v>8.7962962962962962E-4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input_422100!A$2</f>
        <v>422100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IFERROR(VLOOKUP(B255,input_422100!L:R,7,FALSE),VLOOKUP(tables_422100!C255,input_422100!A:H,8,FALSE))</f>
        <v>250</v>
      </c>
      <c r="P255" s="46">
        <f t="shared" ca="1" si="10"/>
        <v>4.6296296296296294E-5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input_422100!A$2</f>
        <v>422100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IFERROR(VLOOKUP(B256,input_422100!L:R,7,FALSE),VLOOKUP(tables_422100!C256,input_422100!A:H,8,FALSE))</f>
        <v>54150</v>
      </c>
      <c r="P256" s="46">
        <f t="shared" ca="1" si="10"/>
        <v>1.0027777777777778E-2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input_422100!A$2</f>
        <v>422100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IFERROR(VLOOKUP(B257,input_422100!L:R,7,FALSE),VLOOKUP(tables_422100!C257,input_422100!A:H,8,FALSE))</f>
        <v>2850</v>
      </c>
      <c r="P257" s="46">
        <f t="shared" ca="1" si="10"/>
        <v>5.2777777777777773E-4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input_422100!A$2</f>
        <v>422100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IFERROR(VLOOKUP(B258,input_422100!L:R,7,FALSE),VLOOKUP(tables_422100!C258,input_422100!A:H,8,FALSE))</f>
        <v>54150</v>
      </c>
      <c r="P258" s="46">
        <f t="shared" ref="P258:P294" ca="1" si="13">O258/SUM(O:O)</f>
        <v>1.0027777777777778E-2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input_422100!A$2</f>
        <v>422100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IFERROR(VLOOKUP(B259,input_422100!L:R,7,FALSE),VLOOKUP(tables_422100!C259,input_422100!A:H,8,FALSE))</f>
        <v>2850</v>
      </c>
      <c r="P259" s="46">
        <f t="shared" ca="1" si="13"/>
        <v>5.2777777777777773E-4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input_422100!A$2</f>
        <v>422100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IFERROR(VLOOKUP(B260,input_422100!L:R,7,FALSE),VLOOKUP(tables_422100!C260,input_422100!A:H,8,FALSE))</f>
        <v>5000</v>
      </c>
      <c r="P260" s="46">
        <f t="shared" ca="1" si="13"/>
        <v>9.2592592592592596E-4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input_422100!A$2</f>
        <v>422100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IFERROR(VLOOKUP(B261,input_422100!L:R,7,FALSE),VLOOKUP(tables_422100!C261,input_422100!A:H,8,FALSE))</f>
        <v>5000</v>
      </c>
      <c r="P261" s="46">
        <f t="shared" ca="1" si="13"/>
        <v>9.2592592592592596E-4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input_422100!A$2</f>
        <v>422100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IFERROR(VLOOKUP(B262,input_422100!L:R,7,FALSE),VLOOKUP(tables_422100!C262,input_422100!A:H,8,FALSE))</f>
        <v>4750</v>
      </c>
      <c r="P262" s="46">
        <f t="shared" ca="1" si="13"/>
        <v>8.7962962962962962E-4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input_422100!A$2</f>
        <v>422100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IFERROR(VLOOKUP(B263,input_422100!L:R,7,FALSE),VLOOKUP(tables_422100!C263,input_422100!A:H,8,FALSE))</f>
        <v>250</v>
      </c>
      <c r="P263" s="46">
        <f t="shared" ca="1" si="13"/>
        <v>4.6296296296296294E-5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input_422100!A$2</f>
        <v>422100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IFERROR(VLOOKUP(B264,input_422100!L:R,7,FALSE),VLOOKUP(tables_422100!C264,input_422100!A:H,8,FALSE))</f>
        <v>4750</v>
      </c>
      <c r="P264" s="46">
        <f t="shared" ca="1" si="13"/>
        <v>8.7962962962962962E-4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input_422100!A$2</f>
        <v>422100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IFERROR(VLOOKUP(B265,input_422100!L:R,7,FALSE),VLOOKUP(tables_422100!C265,input_422100!A:H,8,FALSE))</f>
        <v>250</v>
      </c>
      <c r="P265" s="46">
        <f t="shared" ca="1" si="13"/>
        <v>4.6296296296296294E-5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input_422100!A$2</f>
        <v>422100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IFERROR(VLOOKUP(B266,input_422100!L:R,7,FALSE),VLOOKUP(tables_422100!C266,input_422100!A:H,8,FALSE))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input_422100!A$2</f>
        <v>422100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IFERROR(VLOOKUP(B267,input_422100!L:R,7,FALSE),VLOOKUP(tables_422100!C267,input_422100!A:H,8,FALSE))</f>
        <v>55428.846149999998</v>
      </c>
      <c r="P267" s="46">
        <f t="shared" ca="1" si="13"/>
        <v>1.0264601138888888E-2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input_422100!A$2</f>
        <v>422100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IFERROR(VLOOKUP(B268,input_422100!L:R,7,FALSE),VLOOKUP(tables_422100!C268,input_422100!A:H,8,FALSE))</f>
        <v>1571.1538499999999</v>
      </c>
      <c r="P268" s="46">
        <f t="shared" ca="1" si="13"/>
        <v>2.9095441666666667E-4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input_422100!A$2</f>
        <v>422100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IFERROR(VLOOKUP(B269,input_422100!L:R,7,FALSE),VLOOKUP(tables_422100!C269,input_422100!A:H,8,FALSE))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input_422100!A$2</f>
        <v>422100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IFERROR(VLOOKUP(B270,input_422100!L:R,7,FALSE),VLOOKUP(tables_422100!C270,input_422100!A:H,8,FALSE))</f>
        <v>55428.846149999998</v>
      </c>
      <c r="P270" s="46">
        <f t="shared" ca="1" si="13"/>
        <v>1.0264601138888888E-2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input_422100!A$2</f>
        <v>422100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IFERROR(VLOOKUP(B271,input_422100!L:R,7,FALSE),VLOOKUP(tables_422100!C271,input_422100!A:H,8,FALSE))</f>
        <v>1571.1538499999999</v>
      </c>
      <c r="P271" s="46">
        <f t="shared" ca="1" si="13"/>
        <v>2.9095441666666667E-4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input_422100!A$2</f>
        <v>422100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IFERROR(VLOOKUP(B272,input_422100!L:R,7,FALSE),VLOOKUP(tables_422100!C272,input_422100!A:H,8,FALSE))</f>
        <v>5000</v>
      </c>
      <c r="P272" s="46">
        <f t="shared" ca="1" si="13"/>
        <v>9.2592592592592596E-4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input_422100!A$2</f>
        <v>422100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IFERROR(VLOOKUP(B273,input_422100!L:R,7,FALSE),VLOOKUP(tables_422100!C273,input_422100!A:H,8,FALSE))</f>
        <v>5000</v>
      </c>
      <c r="P273" s="46">
        <f t="shared" ca="1" si="13"/>
        <v>9.2592592592592596E-4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input_422100!A$2</f>
        <v>422100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IFERROR(VLOOKUP(B274,input_422100!L:R,7,FALSE),VLOOKUP(tables_422100!C274,input_422100!A:H,8,FALSE))</f>
        <v>54150</v>
      </c>
      <c r="P274" s="46">
        <f t="shared" ca="1" si="13"/>
        <v>1.0027777777777778E-2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input_422100!A$2</f>
        <v>422100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IFERROR(VLOOKUP(B275,input_422100!L:R,7,FALSE),VLOOKUP(tables_422100!C275,input_422100!A:H,8,FALSE))</f>
        <v>2850</v>
      </c>
      <c r="P275" s="46">
        <f t="shared" ca="1" si="13"/>
        <v>5.2777777777777773E-4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input_422100!A$2</f>
        <v>422100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IFERROR(VLOOKUP(B276,input_422100!L:R,7,FALSE),VLOOKUP(tables_422100!C276,input_422100!A:H,8,FALSE))</f>
        <v>54150</v>
      </c>
      <c r="P276" s="46">
        <f t="shared" ca="1" si="13"/>
        <v>1.0027777777777778E-2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input_422100!A$2</f>
        <v>422100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IFERROR(VLOOKUP(B277,input_422100!L:R,7,FALSE),VLOOKUP(tables_422100!C277,input_422100!A:H,8,FALSE))</f>
        <v>2850</v>
      </c>
      <c r="P277" s="46">
        <f t="shared" ca="1" si="13"/>
        <v>5.2777777777777773E-4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input_422100!A$2</f>
        <v>422100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IFERROR(VLOOKUP(B278,input_422100!L:R,7,FALSE),VLOOKUP(tables_422100!C278,input_422100!A:H,8,FALSE))</f>
        <v>54150</v>
      </c>
      <c r="P278" s="46">
        <f t="shared" ca="1" si="13"/>
        <v>1.0027777777777778E-2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input_422100!A$2</f>
        <v>422100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IFERROR(VLOOKUP(B279,input_422100!L:R,7,FALSE),VLOOKUP(tables_422100!C279,input_422100!A:H,8,FALSE))</f>
        <v>2850</v>
      </c>
      <c r="P279" s="46">
        <f t="shared" ca="1" si="13"/>
        <v>5.2777777777777773E-4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input_422100!A$2</f>
        <v>422100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IFERROR(VLOOKUP(B280,input_422100!L:R,7,FALSE),VLOOKUP(tables_422100!C280,input_422100!A:H,8,FALSE))</f>
        <v>54150</v>
      </c>
      <c r="P280" s="46">
        <f t="shared" ca="1" si="13"/>
        <v>1.0027777777777778E-2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input_422100!A$2</f>
        <v>422100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IFERROR(VLOOKUP(B281,input_422100!L:R,7,FALSE),VLOOKUP(tables_422100!C281,input_422100!A:H,8,FALSE))</f>
        <v>2850</v>
      </c>
      <c r="P281" s="46">
        <f t="shared" ca="1" si="13"/>
        <v>5.2777777777777773E-4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input_422100!A$2</f>
        <v>422100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IFERROR(VLOOKUP(B282,input_422100!L:R,7,FALSE),VLOOKUP(tables_422100!C282,input_422100!A:H,8,FALSE))</f>
        <v>5000</v>
      </c>
      <c r="P282" s="46">
        <f t="shared" ca="1" si="13"/>
        <v>9.2592592592592596E-4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input_422100!A$2</f>
        <v>422100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IFERROR(VLOOKUP(B283,input_422100!L:R,7,FALSE),VLOOKUP(tables_422100!C283,input_422100!A:H,8,FALSE))</f>
        <v>5000</v>
      </c>
      <c r="P283" s="46">
        <f t="shared" ca="1" si="13"/>
        <v>9.2592592592592596E-4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input_422100!A$2</f>
        <v>422100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IFERROR(VLOOKUP(B284,input_422100!L:R,7,FALSE),VLOOKUP(tables_422100!C284,input_422100!A:H,8,FALSE))</f>
        <v>5000</v>
      </c>
      <c r="P284" s="46">
        <f t="shared" ca="1" si="13"/>
        <v>9.2592592592592596E-4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input_422100!A$2</f>
        <v>422100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IFERROR(VLOOKUP(B285,input_422100!L:R,7,FALSE),VLOOKUP(tables_422100!C285,input_422100!A:H,8,FALSE))</f>
        <v>5000</v>
      </c>
      <c r="P285" s="46">
        <f t="shared" ca="1" si="13"/>
        <v>9.2592592592592596E-4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input_422100!A$2</f>
        <v>422100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IFERROR(VLOOKUP(B286,input_422100!L:R,7,FALSE),VLOOKUP(tables_422100!C286,input_422100!A:H,8,FALSE))</f>
        <v>54150</v>
      </c>
      <c r="P286" s="46">
        <f t="shared" ca="1" si="13"/>
        <v>1.0027777777777778E-2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input_422100!A$2</f>
        <v>422100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IFERROR(VLOOKUP(B287,input_422100!L:R,7,FALSE),VLOOKUP(tables_422100!C287,input_422100!A:H,8,FALSE))</f>
        <v>2850</v>
      </c>
      <c r="P287" s="46">
        <f t="shared" ca="1" si="13"/>
        <v>5.2777777777777773E-4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input_422100!A$2</f>
        <v>422100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IFERROR(VLOOKUP(B288,input_422100!L:R,7,FALSE),VLOOKUP(tables_422100!C288,input_422100!A:H,8,FALSE))</f>
        <v>54150</v>
      </c>
      <c r="P288" s="46">
        <f t="shared" ca="1" si="13"/>
        <v>1.0027777777777778E-2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input_422100!A$2</f>
        <v>422100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IFERROR(VLOOKUP(B289,input_422100!L:R,7,FALSE),VLOOKUP(tables_422100!C289,input_422100!A:H,8,FALSE))</f>
        <v>2850</v>
      </c>
      <c r="P289" s="46">
        <f t="shared" ca="1" si="13"/>
        <v>5.2777777777777773E-4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input_422100!A$2</f>
        <v>422100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IFERROR(VLOOKUP(B290,input_422100!L:R,7,FALSE),VLOOKUP(tables_422100!C290,input_422100!A:H,8,FALSE))</f>
        <v>5000</v>
      </c>
      <c r="P290" s="46">
        <f t="shared" ca="1" si="13"/>
        <v>9.2592592592592596E-4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input_422100!A$2</f>
        <v>422100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IFERROR(VLOOKUP(B291,input_422100!L:R,7,FALSE),VLOOKUP(tables_422100!C291,input_422100!A:H,8,FALSE))</f>
        <v>54150</v>
      </c>
      <c r="P291" s="46">
        <f t="shared" ca="1" si="13"/>
        <v>1.0027777777777778E-2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input_422100!A$2</f>
        <v>422100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IFERROR(VLOOKUP(B292,input_422100!L:R,7,FALSE),VLOOKUP(tables_422100!C292,input_422100!A:H,8,FALSE))</f>
        <v>2850</v>
      </c>
      <c r="P292" s="46">
        <f t="shared" ca="1" si="13"/>
        <v>5.2777777777777773E-4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input_422100!A$2</f>
        <v>422100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IFERROR(VLOOKUP(B293,input_422100!L:R,7,FALSE),VLOOKUP(tables_422100!C293,input_422100!A:H,8,FALSE))</f>
        <v>5000</v>
      </c>
      <c r="P293" s="46">
        <f t="shared" ca="1" si="13"/>
        <v>9.2592592592592596E-4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input_422100!A$2</f>
        <v>422100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IFERROR(VLOOKUP(B294,input_422100!L:R,7,FALSE),VLOOKUP(tables_422100!C294,input_422100!A:H,8,FALSE))</f>
        <v>5000</v>
      </c>
      <c r="P294" s="46">
        <f t="shared" ca="1" si="13"/>
        <v>9.2592592592592596E-4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input_422100!A$2</f>
        <v>422100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IFERROR(VLOOKUP(B295,input_422100!L:R,7,FALSE),VLOOKUP(tables_422100!C295,input_422100!A:H,8,FALSE))</f>
        <v>5000</v>
      </c>
      <c r="P295" s="46">
        <f t="shared" ref="P295:P299" ca="1" si="20">O295/SUM(O:O)</f>
        <v>9.2592592592592596E-4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input_422100!A$2</f>
        <v>422100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IFERROR(VLOOKUP(B296,input_422100!L:R,7,FALSE),VLOOKUP(tables_422100!C296,input_422100!A:H,8,FALSE))</f>
        <v>5000</v>
      </c>
      <c r="P296" s="46">
        <f t="shared" ca="1" si="20"/>
        <v>9.2592592592592596E-4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input_422100!A$2</f>
        <v>422100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IFERROR(VLOOKUP(B297,input_422100!L:R,7,FALSE),VLOOKUP(tables_422100!C297,input_422100!A:H,8,FALSE))</f>
        <v>54150</v>
      </c>
      <c r="P297" s="46">
        <f t="shared" ca="1" si="20"/>
        <v>1.0027777777777778E-2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input_422100!A$2</f>
        <v>422100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IFERROR(VLOOKUP(B298,input_422100!L:R,7,FALSE),VLOOKUP(tables_422100!C298,input_422100!A:H,8,FALSE))</f>
        <v>2850</v>
      </c>
      <c r="P298" s="46">
        <f t="shared" ca="1" si="20"/>
        <v>5.2777777777777773E-4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input_422100!A$2</f>
        <v>422100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IFERROR(VLOOKUP(B299,input_422100!L:R,7,FALSE),VLOOKUP(tables_422100!C299,input_422100!A:H,8,FALSE))</f>
        <v>5000</v>
      </c>
      <c r="P299" s="46">
        <f t="shared" ca="1" si="20"/>
        <v>9.2592592592592596E-4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input_422100!A$2</f>
        <v>422100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IFERROR(VLOOKUP(B300,input_422100!L:R,7,FALSE),VLOOKUP(tables_422100!C300,input_422100!A:H,8,FALSE))</f>
        <v>54150</v>
      </c>
      <c r="P300" s="46">
        <f t="shared" ref="P300:P304" ca="1" si="22">O300/SUM(O:O)</f>
        <v>1.0027777777777778E-2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input_422100!A$2</f>
        <v>422100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IFERROR(VLOOKUP(B301,input_422100!L:R,7,FALSE),VLOOKUP(tables_422100!C301,input_422100!A:H,8,FALSE))</f>
        <v>2850</v>
      </c>
      <c r="P301" s="46">
        <f t="shared" ca="1" si="22"/>
        <v>5.2777777777777773E-4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input_422100!A$2</f>
        <v>422100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IFERROR(VLOOKUP(B302,input_422100!L:R,7,FALSE),VLOOKUP(tables_422100!C302,input_422100!A:H,8,FALSE))</f>
        <v>5000</v>
      </c>
      <c r="P302" s="46">
        <f t="shared" ca="1" si="22"/>
        <v>9.2592592592592596E-4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input_422100!A$2</f>
        <v>422100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IFERROR(VLOOKUP(B303,input_422100!L:R,7,FALSE),VLOOKUP(tables_422100!C303,input_422100!A:H,8,FALSE))</f>
        <v>5000</v>
      </c>
      <c r="P303" s="46">
        <f t="shared" ca="1" si="22"/>
        <v>9.2592592592592596E-4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input_422100!A$2</f>
        <v>422100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IFERROR(VLOOKUP(B304,input_422100!L:R,7,FALSE),VLOOKUP(tables_422100!C304,input_422100!A:H,8,FALSE))</f>
        <v>5000</v>
      </c>
      <c r="P304" s="46">
        <f t="shared" ca="1" si="22"/>
        <v>9.2592592592592596E-4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input_422100!A$2</f>
        <v>422100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IFERROR(VLOOKUP(B305,input_422100!L:R,7,FALSE),VLOOKUP(tables_422100!C305,input_422100!A:H,8,FALSE))</f>
        <v>54150</v>
      </c>
      <c r="P305" s="46">
        <f t="shared" ref="P305:P308" ca="1" si="24">O305/SUM(O:O)</f>
        <v>1.0027777777777778E-2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input_422100!A$2</f>
        <v>422100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IFERROR(VLOOKUP(B306,input_422100!L:R,7,FALSE),VLOOKUP(tables_422100!C306,input_422100!A:H,8,FALSE))</f>
        <v>2850</v>
      </c>
      <c r="P306" s="46">
        <f t="shared" ca="1" si="24"/>
        <v>5.2777777777777773E-4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input_422100!A$2</f>
        <v>422100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IFERROR(VLOOKUP(B307,input_422100!L:R,7,FALSE),VLOOKUP(tables_422100!C307,input_422100!A:H,8,FALSE))</f>
        <v>5000</v>
      </c>
      <c r="P307" s="46">
        <f t="shared" ca="1" si="24"/>
        <v>9.2592592592592596E-4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input_422100!A$2</f>
        <v>422100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IFERROR(VLOOKUP(B308,input_422100!L:R,7,FALSE),VLOOKUP(tables_422100!C308,input_422100!A:H,8,FALSE))</f>
        <v>5000</v>
      </c>
      <c r="P308" s="46">
        <f t="shared" ca="1" si="24"/>
        <v>9.2592592592592596E-4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input_422100!A$2</f>
        <v>422100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IFERROR(VLOOKUP(B309,input_422100!L:R,7,FALSE),VLOOKUP(tables_422100!C309,input_422100!A:H,8,FALSE))</f>
        <v>5000</v>
      </c>
      <c r="P309" s="46">
        <f t="shared" ref="P309" ca="1" si="26">O309/SUM(O:O)</f>
        <v>9.2592592592592596E-4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input_422100!A$2</f>
        <v>422100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IFERROR(VLOOKUP(B310,input_422100!L:R,7,FALSE),VLOOKUP(tables_422100!C310,input_422100!A:H,8,FALSE))</f>
        <v>54150</v>
      </c>
      <c r="P310" s="46">
        <f t="shared" ref="P310:P314" ca="1" si="29">O310/SUM(O:O)</f>
        <v>1.0027777777777778E-2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input_422100!A$2</f>
        <v>422100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IFERROR(VLOOKUP(B311,input_422100!L:R,7,FALSE),VLOOKUP(tables_422100!C311,input_422100!A:H,8,FALSE))</f>
        <v>2850</v>
      </c>
      <c r="P311" s="46">
        <f t="shared" ca="1" si="29"/>
        <v>5.2777777777777773E-4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input_422100!A$2</f>
        <v>422100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IFERROR(VLOOKUP(B312,input_422100!L:R,7,FALSE),VLOOKUP(tables_422100!C312,input_422100!A:H,8,FALSE))</f>
        <v>5000</v>
      </c>
      <c r="P312" s="46">
        <f t="shared" ca="1" si="29"/>
        <v>9.2592592592592596E-4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input_422100!A$2</f>
        <v>422100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IFERROR(VLOOKUP(B313,input_422100!L:R,7,FALSE),VLOOKUP(tables_422100!C313,input_422100!A:H,8,FALSE))</f>
        <v>5000</v>
      </c>
      <c r="P313" s="46">
        <f t="shared" ca="1" si="29"/>
        <v>9.2592592592592596E-4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input_422100!A$2</f>
        <v>422100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IFERROR(VLOOKUP(B314,input_422100!L:R,7,FALSE),VLOOKUP(tables_422100!C314,input_422100!A:H,8,FALSE))</f>
        <v>5000</v>
      </c>
      <c r="P314" s="46">
        <f t="shared" ca="1" si="29"/>
        <v>9.2592592592592596E-4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input_422100!A$2</f>
        <v>422100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IFERROR(VLOOKUP(B315,input_422100!L:R,7,FALSE),VLOOKUP(tables_422100!C315,input_422100!A:H,8,FALSE))</f>
        <v>5000</v>
      </c>
      <c r="P315" s="46">
        <f t="shared" ref="P315:P319" ca="1" si="32">O315/SUM(O:O)</f>
        <v>9.2592592592592596E-4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input_422100!A$2</f>
        <v>422100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IFERROR(VLOOKUP(B316,input_422100!L:R,7,FALSE),VLOOKUP(tables_422100!C316,input_422100!A:H,8,FALSE))</f>
        <v>5000</v>
      </c>
      <c r="P316" s="46">
        <f t="shared" ca="1" si="32"/>
        <v>9.2592592592592596E-4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input_422100!A$2</f>
        <v>422100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IFERROR(VLOOKUP(B317,input_422100!L:R,7,FALSE),VLOOKUP(tables_422100!C317,input_422100!A:H,8,FALSE))</f>
        <v>5000</v>
      </c>
      <c r="P317" s="46">
        <f t="shared" ca="1" si="32"/>
        <v>9.2592592592592596E-4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input_422100!A$2</f>
        <v>422100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IFERROR(VLOOKUP(B318,input_422100!L:R,7,FALSE),VLOOKUP(tables_422100!C318,input_422100!A:H,8,FALSE))</f>
        <v>54150</v>
      </c>
      <c r="P318" s="46">
        <f t="shared" ca="1" si="32"/>
        <v>1.0027777777777778E-2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input_422100!A$2</f>
        <v>422100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IFERROR(VLOOKUP(B319,input_422100!L:R,7,FALSE),VLOOKUP(tables_422100!C319,input_422100!A:H,8,FALSE))</f>
        <v>2850</v>
      </c>
      <c r="P319" s="46">
        <f t="shared" ca="1" si="32"/>
        <v>5.2777777777777773E-4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C9" sqref="C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input_422100!A$2</f>
        <v>422100</v>
      </c>
      <c r="B2" s="5">
        <v>1143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黄忠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yellow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input_422100!A$2</f>
        <v>422100</v>
      </c>
      <c r="B3" s="5">
        <v>1144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白星を射る老将 黄忠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technical</v>
      </c>
      <c r="M3" s="7" t="str">
        <f>VLOOKUP(B3,[1]characters!$A:$M,13,FALSE)</f>
        <v>samurai</v>
      </c>
      <c r="N3" s="7" t="str">
        <f>VLOOKUP(B3,[1]characters!$A:$G,7,FALSE)</f>
        <v>不明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input_422100!A$2</f>
        <v>422100</v>
      </c>
      <c r="B4" s="5">
        <v>1137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諸葛亮</v>
      </c>
      <c r="I4" s="7" t="str">
        <f>VLOOKUP(B4,[1]characters!$A:$J,10,FALSE)</f>
        <v>PremiumSSW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technical</v>
      </c>
      <c r="M4" s="7" t="str">
        <f>VLOOKUP(B4,[1]characters!$A:$M,13,FALSE)</f>
        <v>samurai</v>
      </c>
      <c r="N4" s="7" t="str">
        <f>VLOOKUP(B4,[1]characters!$A:$G,7,FALSE)</f>
        <v>不明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input_422100!A$2</f>
        <v>422100</v>
      </c>
      <c r="B5" s="5">
        <v>1139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趙雲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samurai</v>
      </c>
      <c r="N5" s="7" t="str">
        <f>VLOOKUP(B5,[1]characters!$A:$G,7,FALSE)</f>
        <v>不明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input_422100!A$2</f>
        <v>422100</v>
      </c>
      <c r="B6" s="5">
        <v>1141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月英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不明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input_422010</vt:lpstr>
      <vt:lpstr>input_422011</vt:lpstr>
      <vt:lpstr>tables_422010</vt:lpstr>
      <vt:lpstr>tables_422011</vt:lpstr>
      <vt:lpstr>input_422100</vt:lpstr>
      <vt:lpstr>tables_422100</vt:lpstr>
      <vt:lpstr>tables_settle_422100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2016-09-28T07:17:14Z</dcterms:modified>
</cp:coreProperties>
</file>