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180" yWindow="800" windowWidth="35900" windowHeight="1838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enemy_habitat_S!$B$1:$AA$4</definedName>
    <definedName name="_xlnm._FilterDatabase" localSheetId="2" hidden="1">enemy_habitats!$B$1:$AJ$14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7" i="11" l="1"/>
  <c r="O90" i="9"/>
  <c r="N90" i="9"/>
  <c r="M90" i="9"/>
  <c r="L90" i="9"/>
  <c r="K90" i="9"/>
  <c r="J90" i="9"/>
  <c r="I90" i="9"/>
  <c r="H90" i="9"/>
  <c r="G90" i="9"/>
  <c r="E90" i="9"/>
  <c r="D90" i="9"/>
  <c r="A90" i="9"/>
  <c r="J46" i="11"/>
  <c r="O89" i="9"/>
  <c r="N89" i="9"/>
  <c r="M89" i="9"/>
  <c r="L89" i="9"/>
  <c r="K89" i="9"/>
  <c r="J89" i="9"/>
  <c r="I89" i="9"/>
  <c r="H89" i="9"/>
  <c r="G89" i="9"/>
  <c r="E89" i="9"/>
  <c r="D89" i="9"/>
  <c r="A89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J37" i="11"/>
  <c r="J38" i="11"/>
  <c r="J39" i="11"/>
  <c r="J40" i="11"/>
  <c r="J41" i="11"/>
  <c r="J42" i="11"/>
  <c r="J43" i="11"/>
  <c r="J44" i="11"/>
  <c r="J45" i="11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70" i="9"/>
  <c r="N70" i="9"/>
  <c r="M70" i="9"/>
  <c r="L70" i="9"/>
  <c r="K70" i="9"/>
  <c r="J70" i="9"/>
  <c r="I70" i="9"/>
  <c r="H70" i="9"/>
  <c r="G70" i="9"/>
  <c r="E70" i="9"/>
  <c r="D70" i="9"/>
  <c r="A70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93" i="9"/>
  <c r="N93" i="9"/>
  <c r="M93" i="9"/>
  <c r="L93" i="9"/>
  <c r="K93" i="9"/>
  <c r="J93" i="9"/>
  <c r="I93" i="9"/>
  <c r="H93" i="9"/>
  <c r="G93" i="9"/>
  <c r="E93" i="9"/>
  <c r="D93" i="9"/>
  <c r="A93" i="9"/>
  <c r="J36" i="11"/>
  <c r="O92" i="9"/>
  <c r="N92" i="9"/>
  <c r="M92" i="9"/>
  <c r="L92" i="9"/>
  <c r="K92" i="9"/>
  <c r="J92" i="9"/>
  <c r="I92" i="9"/>
  <c r="H92" i="9"/>
  <c r="G92" i="9"/>
  <c r="E92" i="9"/>
  <c r="D92" i="9"/>
  <c r="A92" i="9"/>
  <c r="J35" i="11"/>
  <c r="O91" i="9"/>
  <c r="N91" i="9"/>
  <c r="M91" i="9"/>
  <c r="L91" i="9"/>
  <c r="K91" i="9"/>
  <c r="J91" i="9"/>
  <c r="I91" i="9"/>
  <c r="H91" i="9"/>
  <c r="G91" i="9"/>
  <c r="E91" i="9"/>
  <c r="D91" i="9"/>
  <c r="A91" i="9"/>
  <c r="J34" i="11"/>
  <c r="O88" i="9"/>
  <c r="N88" i="9"/>
  <c r="M88" i="9"/>
  <c r="L88" i="9"/>
  <c r="K88" i="9"/>
  <c r="J88" i="9"/>
  <c r="I88" i="9"/>
  <c r="H88" i="9"/>
  <c r="G88" i="9"/>
  <c r="E88" i="9"/>
  <c r="D88" i="9"/>
  <c r="A88" i="9"/>
  <c r="J33" i="11"/>
  <c r="O87" i="9"/>
  <c r="N87" i="9"/>
  <c r="M87" i="9"/>
  <c r="L87" i="9"/>
  <c r="K87" i="9"/>
  <c r="J87" i="9"/>
  <c r="I87" i="9"/>
  <c r="H87" i="9"/>
  <c r="G87" i="9"/>
  <c r="E87" i="9"/>
  <c r="D87" i="9"/>
  <c r="A87" i="9"/>
  <c r="J32" i="11"/>
  <c r="O86" i="9"/>
  <c r="N86" i="9"/>
  <c r="M86" i="9"/>
  <c r="L86" i="9"/>
  <c r="K86" i="9"/>
  <c r="J86" i="9"/>
  <c r="I86" i="9"/>
  <c r="H86" i="9"/>
  <c r="G86" i="9"/>
  <c r="E86" i="9"/>
  <c r="D86" i="9"/>
  <c r="A86" i="9"/>
  <c r="J27" i="11"/>
  <c r="O85" i="9"/>
  <c r="N85" i="9"/>
  <c r="M85" i="9"/>
  <c r="L85" i="9"/>
  <c r="K85" i="9"/>
  <c r="J85" i="9"/>
  <c r="I85" i="9"/>
  <c r="H85" i="9"/>
  <c r="G85" i="9"/>
  <c r="E85" i="9"/>
  <c r="D85" i="9"/>
  <c r="A85" i="9"/>
  <c r="J26" i="11"/>
  <c r="O84" i="9"/>
  <c r="N84" i="9"/>
  <c r="M84" i="9"/>
  <c r="L84" i="9"/>
  <c r="K84" i="9"/>
  <c r="J84" i="9"/>
  <c r="I84" i="9"/>
  <c r="H84" i="9"/>
  <c r="G84" i="9"/>
  <c r="E84" i="9"/>
  <c r="D84" i="9"/>
  <c r="A84" i="9"/>
  <c r="J25" i="11"/>
  <c r="O83" i="9"/>
  <c r="N83" i="9"/>
  <c r="M83" i="9"/>
  <c r="L83" i="9"/>
  <c r="K83" i="9"/>
  <c r="J83" i="9"/>
  <c r="I83" i="9"/>
  <c r="H83" i="9"/>
  <c r="G83" i="9"/>
  <c r="E83" i="9"/>
  <c r="D83" i="9"/>
  <c r="A83" i="9"/>
  <c r="J24" i="11"/>
  <c r="O82" i="9"/>
  <c r="N82" i="9"/>
  <c r="M82" i="9"/>
  <c r="L82" i="9"/>
  <c r="K82" i="9"/>
  <c r="J82" i="9"/>
  <c r="I82" i="9"/>
  <c r="H82" i="9"/>
  <c r="G82" i="9"/>
  <c r="E82" i="9"/>
  <c r="D82" i="9"/>
  <c r="A82" i="9"/>
  <c r="J23" i="11"/>
  <c r="O81" i="9"/>
  <c r="N81" i="9"/>
  <c r="M81" i="9"/>
  <c r="L81" i="9"/>
  <c r="K81" i="9"/>
  <c r="J81" i="9"/>
  <c r="I81" i="9"/>
  <c r="H81" i="9"/>
  <c r="G81" i="9"/>
  <c r="E81" i="9"/>
  <c r="D81" i="9"/>
  <c r="A81" i="9"/>
  <c r="J22" i="11"/>
  <c r="O80" i="9"/>
  <c r="N80" i="9"/>
  <c r="M80" i="9"/>
  <c r="L80" i="9"/>
  <c r="K80" i="9"/>
  <c r="J80" i="9"/>
  <c r="I80" i="9"/>
  <c r="H80" i="9"/>
  <c r="G80" i="9"/>
  <c r="E80" i="9"/>
  <c r="D80" i="9"/>
  <c r="A80" i="9"/>
  <c r="J21" i="11"/>
  <c r="O79" i="9"/>
  <c r="N79" i="9"/>
  <c r="M79" i="9"/>
  <c r="L79" i="9"/>
  <c r="K79" i="9"/>
  <c r="J79" i="9"/>
  <c r="I79" i="9"/>
  <c r="H79" i="9"/>
  <c r="G79" i="9"/>
  <c r="E79" i="9"/>
  <c r="D79" i="9"/>
  <c r="A79" i="9"/>
  <c r="J20" i="11"/>
  <c r="O78" i="9"/>
  <c r="N78" i="9"/>
  <c r="M78" i="9"/>
  <c r="L78" i="9"/>
  <c r="K78" i="9"/>
  <c r="J78" i="9"/>
  <c r="I78" i="9"/>
  <c r="H78" i="9"/>
  <c r="G78" i="9"/>
  <c r="E78" i="9"/>
  <c r="D78" i="9"/>
  <c r="A78" i="9"/>
  <c r="J19" i="11"/>
  <c r="O77" i="9"/>
  <c r="N77" i="9"/>
  <c r="M77" i="9"/>
  <c r="L77" i="9"/>
  <c r="K77" i="9"/>
  <c r="J77" i="9"/>
  <c r="I77" i="9"/>
  <c r="H77" i="9"/>
  <c r="G77" i="9"/>
  <c r="E77" i="9"/>
  <c r="D77" i="9"/>
  <c r="A77" i="9"/>
  <c r="J18" i="11"/>
  <c r="O76" i="9"/>
  <c r="N76" i="9"/>
  <c r="M76" i="9"/>
  <c r="L76" i="9"/>
  <c r="K76" i="9"/>
  <c r="J76" i="9"/>
  <c r="I76" i="9"/>
  <c r="H76" i="9"/>
  <c r="G76" i="9"/>
  <c r="E76" i="9"/>
  <c r="D76" i="9"/>
  <c r="A76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J17" i="11"/>
  <c r="O49" i="9"/>
  <c r="N49" i="9"/>
  <c r="M49" i="9"/>
  <c r="L49" i="9"/>
  <c r="K49" i="9"/>
  <c r="J49" i="9"/>
  <c r="I49" i="9"/>
  <c r="H49" i="9"/>
  <c r="G49" i="9"/>
  <c r="E49" i="9"/>
  <c r="D49" i="9"/>
  <c r="A49" i="9"/>
  <c r="J16" i="11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J11" i="11"/>
  <c r="O45" i="9"/>
  <c r="N45" i="9"/>
  <c r="M45" i="9"/>
  <c r="L45" i="9"/>
  <c r="K45" i="9"/>
  <c r="J45" i="9"/>
  <c r="I45" i="9"/>
  <c r="H45" i="9"/>
  <c r="G45" i="9"/>
  <c r="E45" i="9"/>
  <c r="D45" i="9"/>
  <c r="A45" i="9"/>
  <c r="J10" i="11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AD45" i="10"/>
  <c r="AC45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AD44" i="10"/>
  <c r="AC44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AD43" i="10"/>
  <c r="AC43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AD42" i="10"/>
  <c r="AC42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AD41" i="10"/>
  <c r="AC41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AD40" i="10"/>
  <c r="AC40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AD39" i="10"/>
  <c r="AC39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AD38" i="10"/>
  <c r="AC38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AD37" i="10"/>
  <c r="AC37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AD36" i="10"/>
  <c r="AC36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L82" i="19"/>
  <c r="K82" i="19"/>
  <c r="G82" i="19"/>
  <c r="F82" i="19"/>
  <c r="D82" i="19"/>
  <c r="C82" i="19"/>
  <c r="L81" i="19"/>
  <c r="K81" i="19"/>
  <c r="G81" i="19"/>
  <c r="F81" i="19"/>
  <c r="D81" i="19"/>
  <c r="C81" i="19"/>
  <c r="L80" i="19"/>
  <c r="K80" i="19"/>
  <c r="G80" i="19"/>
  <c r="F80" i="19"/>
  <c r="D80" i="19"/>
  <c r="C80" i="19"/>
  <c r="L79" i="19"/>
  <c r="K79" i="19"/>
  <c r="G79" i="19"/>
  <c r="F79" i="19"/>
  <c r="D79" i="19"/>
  <c r="C79" i="19"/>
  <c r="L78" i="19"/>
  <c r="K78" i="19"/>
  <c r="G78" i="19"/>
  <c r="F78" i="19"/>
  <c r="D78" i="19"/>
  <c r="C78" i="19"/>
  <c r="L77" i="19"/>
  <c r="K77" i="19"/>
  <c r="G77" i="19"/>
  <c r="F77" i="19"/>
  <c r="D77" i="19"/>
  <c r="C77" i="19"/>
  <c r="L76" i="19"/>
  <c r="K76" i="19"/>
  <c r="G76" i="19"/>
  <c r="F76" i="19"/>
  <c r="D76" i="19"/>
  <c r="C76" i="19"/>
  <c r="L75" i="19"/>
  <c r="K75" i="19"/>
  <c r="G75" i="19"/>
  <c r="F75" i="19"/>
  <c r="D75" i="19"/>
  <c r="C75" i="19"/>
  <c r="L74" i="19"/>
  <c r="K74" i="19"/>
  <c r="G74" i="19"/>
  <c r="F74" i="19"/>
  <c r="D74" i="19"/>
  <c r="C74" i="19"/>
  <c r="L73" i="19"/>
  <c r="K73" i="19"/>
  <c r="G73" i="19"/>
  <c r="F73" i="19"/>
  <c r="D73" i="19"/>
  <c r="C73" i="19"/>
  <c r="L72" i="19"/>
  <c r="K72" i="19"/>
  <c r="G72" i="19"/>
  <c r="F72" i="19"/>
  <c r="D72" i="19"/>
  <c r="C72" i="19"/>
  <c r="L71" i="19"/>
  <c r="K71" i="19"/>
  <c r="G71" i="19"/>
  <c r="F71" i="19"/>
  <c r="D71" i="19"/>
  <c r="C71" i="19"/>
  <c r="L70" i="19"/>
  <c r="K70" i="19"/>
  <c r="G70" i="19"/>
  <c r="F70" i="19"/>
  <c r="D70" i="19"/>
  <c r="C70" i="19"/>
  <c r="L69" i="19"/>
  <c r="K69" i="19"/>
  <c r="G69" i="19"/>
  <c r="F69" i="19"/>
  <c r="D69" i="19"/>
  <c r="C69" i="19"/>
  <c r="L68" i="19"/>
  <c r="K68" i="19"/>
  <c r="G68" i="19"/>
  <c r="F68" i="19"/>
  <c r="D68" i="19"/>
  <c r="C68" i="19"/>
  <c r="L67" i="19"/>
  <c r="K67" i="19"/>
  <c r="G67" i="19"/>
  <c r="F67" i="19"/>
  <c r="D67" i="19"/>
  <c r="C67" i="19"/>
  <c r="L66" i="19"/>
  <c r="K66" i="19"/>
  <c r="G66" i="19"/>
  <c r="F66" i="19"/>
  <c r="D66" i="19"/>
  <c r="C66" i="19"/>
  <c r="L65" i="19"/>
  <c r="K65" i="19"/>
  <c r="G65" i="19"/>
  <c r="F65" i="19"/>
  <c r="D65" i="19"/>
  <c r="C65" i="19"/>
  <c r="L64" i="19"/>
  <c r="K64" i="19"/>
  <c r="G64" i="19"/>
  <c r="F64" i="19"/>
  <c r="D64" i="19"/>
  <c r="C64" i="19"/>
  <c r="L63" i="19"/>
  <c r="K63" i="19"/>
  <c r="G63" i="19"/>
  <c r="F63" i="19"/>
  <c r="D63" i="19"/>
  <c r="C63" i="19"/>
  <c r="L62" i="19"/>
  <c r="K62" i="19"/>
  <c r="G62" i="19"/>
  <c r="F62" i="19"/>
  <c r="D62" i="19"/>
  <c r="C62" i="19"/>
  <c r="L61" i="19"/>
  <c r="K61" i="19"/>
  <c r="G61" i="19"/>
  <c r="F61" i="19"/>
  <c r="D61" i="19"/>
  <c r="C61" i="19"/>
  <c r="L60" i="19"/>
  <c r="K60" i="19"/>
  <c r="G60" i="19"/>
  <c r="F60" i="19"/>
  <c r="D60" i="19"/>
  <c r="C60" i="19"/>
  <c r="L59" i="19"/>
  <c r="K59" i="19"/>
  <c r="G59" i="19"/>
  <c r="F59" i="19"/>
  <c r="D59" i="19"/>
  <c r="C59" i="19"/>
  <c r="L58" i="19"/>
  <c r="K58" i="19"/>
  <c r="G58" i="19"/>
  <c r="F58" i="19"/>
  <c r="D58" i="19"/>
  <c r="C58" i="19"/>
  <c r="L57" i="19"/>
  <c r="K57" i="19"/>
  <c r="G57" i="19"/>
  <c r="F57" i="19"/>
  <c r="D57" i="19"/>
  <c r="C57" i="19"/>
  <c r="L56" i="19"/>
  <c r="K56" i="19"/>
  <c r="G56" i="19"/>
  <c r="F56" i="19"/>
  <c r="D56" i="19"/>
  <c r="C56" i="19"/>
  <c r="L55" i="19"/>
  <c r="K55" i="19"/>
  <c r="G55" i="19"/>
  <c r="F55" i="19"/>
  <c r="D55" i="19"/>
  <c r="C55" i="19"/>
  <c r="L54" i="19"/>
  <c r="K54" i="19"/>
  <c r="G54" i="19"/>
  <c r="F54" i="19"/>
  <c r="D54" i="19"/>
  <c r="C54" i="19"/>
  <c r="L53" i="19"/>
  <c r="K53" i="19"/>
  <c r="G53" i="19"/>
  <c r="F53" i="19"/>
  <c r="D53" i="19"/>
  <c r="C53" i="19"/>
  <c r="L52" i="19"/>
  <c r="K52" i="19"/>
  <c r="G52" i="19"/>
  <c r="F52" i="19"/>
  <c r="D52" i="19"/>
  <c r="C52" i="19"/>
  <c r="L51" i="19"/>
  <c r="K51" i="19"/>
  <c r="G51" i="19"/>
  <c r="F51" i="19"/>
  <c r="D51" i="19"/>
  <c r="C51" i="19"/>
  <c r="L50" i="19"/>
  <c r="K50" i="19"/>
  <c r="G50" i="19"/>
  <c r="F50" i="19"/>
  <c r="D50" i="19"/>
  <c r="C50" i="19"/>
  <c r="L49" i="19"/>
  <c r="K49" i="19"/>
  <c r="G49" i="19"/>
  <c r="F49" i="19"/>
  <c r="D49" i="19"/>
  <c r="C49" i="19"/>
  <c r="L48" i="19"/>
  <c r="K48" i="19"/>
  <c r="G48" i="19"/>
  <c r="F48" i="19"/>
  <c r="D48" i="19"/>
  <c r="C48" i="19"/>
  <c r="L47" i="19"/>
  <c r="K47" i="19"/>
  <c r="G47" i="19"/>
  <c r="F47" i="19"/>
  <c r="D47" i="19"/>
  <c r="C47" i="19"/>
  <c r="L46" i="19"/>
  <c r="K46" i="19"/>
  <c r="G46" i="19"/>
  <c r="F46" i="19"/>
  <c r="D46" i="19"/>
  <c r="C46" i="19"/>
  <c r="L45" i="19"/>
  <c r="K45" i="19"/>
  <c r="G45" i="19"/>
  <c r="F45" i="19"/>
  <c r="D45" i="19"/>
  <c r="C45" i="19"/>
  <c r="L44" i="19"/>
  <c r="K44" i="19"/>
  <c r="G44" i="19"/>
  <c r="F44" i="19"/>
  <c r="D44" i="19"/>
  <c r="C44" i="19"/>
  <c r="L43" i="19"/>
  <c r="K43" i="19"/>
  <c r="G43" i="19"/>
  <c r="F43" i="19"/>
  <c r="D43" i="19"/>
  <c r="C43" i="19"/>
  <c r="L42" i="19"/>
  <c r="K42" i="19"/>
  <c r="G42" i="19"/>
  <c r="F42" i="19"/>
  <c r="D42" i="19"/>
  <c r="C42" i="19"/>
  <c r="L41" i="19"/>
  <c r="K41" i="19"/>
  <c r="G41" i="19"/>
  <c r="F41" i="19"/>
  <c r="D41" i="19"/>
  <c r="C41" i="19"/>
  <c r="L40" i="19"/>
  <c r="K40" i="19"/>
  <c r="G40" i="19"/>
  <c r="F40" i="19"/>
  <c r="D40" i="19"/>
  <c r="C40" i="19"/>
  <c r="L39" i="19"/>
  <c r="K39" i="19"/>
  <c r="G39" i="19"/>
  <c r="F39" i="19"/>
  <c r="D39" i="19"/>
  <c r="C39" i="19"/>
  <c r="L38" i="19"/>
  <c r="K38" i="19"/>
  <c r="G38" i="19"/>
  <c r="F38" i="19"/>
  <c r="D38" i="19"/>
  <c r="C38" i="19"/>
  <c r="L37" i="19"/>
  <c r="K37" i="19"/>
  <c r="G37" i="19"/>
  <c r="F37" i="19"/>
  <c r="D37" i="19"/>
  <c r="C37" i="19"/>
  <c r="L36" i="19"/>
  <c r="K36" i="19"/>
  <c r="G36" i="19"/>
  <c r="F36" i="19"/>
  <c r="D36" i="19"/>
  <c r="C36" i="19"/>
  <c r="L35" i="19"/>
  <c r="K35" i="19"/>
  <c r="G35" i="19"/>
  <c r="F35" i="19"/>
  <c r="D35" i="19"/>
  <c r="C35" i="19"/>
  <c r="L34" i="19"/>
  <c r="K34" i="19"/>
  <c r="G34" i="19"/>
  <c r="F34" i="19"/>
  <c r="D34" i="19"/>
  <c r="C34" i="19"/>
  <c r="L33" i="19"/>
  <c r="K33" i="19"/>
  <c r="G33" i="19"/>
  <c r="F33" i="19"/>
  <c r="D33" i="19"/>
  <c r="C33" i="19"/>
  <c r="L32" i="19"/>
  <c r="K32" i="19"/>
  <c r="G32" i="19"/>
  <c r="F32" i="19"/>
  <c r="D32" i="19"/>
  <c r="C32" i="19"/>
  <c r="L31" i="19"/>
  <c r="K31" i="19"/>
  <c r="G31" i="19"/>
  <c r="F31" i="19"/>
  <c r="D31" i="19"/>
  <c r="C31" i="19"/>
  <c r="L30" i="19"/>
  <c r="K30" i="19"/>
  <c r="G30" i="19"/>
  <c r="F30" i="19"/>
  <c r="D30" i="19"/>
  <c r="C30" i="19"/>
  <c r="L29" i="19"/>
  <c r="K29" i="19"/>
  <c r="G29" i="19"/>
  <c r="F29" i="19"/>
  <c r="D29" i="19"/>
  <c r="C29" i="19"/>
  <c r="L28" i="19"/>
  <c r="K28" i="19"/>
  <c r="G28" i="19"/>
  <c r="F28" i="19"/>
  <c r="D28" i="19"/>
  <c r="C28" i="19"/>
  <c r="L27" i="19"/>
  <c r="K27" i="19"/>
  <c r="G27" i="19"/>
  <c r="F27" i="19"/>
  <c r="D27" i="19"/>
  <c r="C27" i="19"/>
  <c r="L26" i="19"/>
  <c r="K26" i="19"/>
  <c r="G26" i="19"/>
  <c r="F26" i="19"/>
  <c r="D26" i="19"/>
  <c r="C26" i="19"/>
  <c r="L25" i="19"/>
  <c r="K25" i="19"/>
  <c r="G25" i="19"/>
  <c r="F25" i="19"/>
  <c r="D25" i="19"/>
  <c r="C25" i="19"/>
  <c r="L24" i="19"/>
  <c r="K24" i="19"/>
  <c r="G24" i="19"/>
  <c r="F24" i="19"/>
  <c r="D24" i="19"/>
  <c r="C24" i="19"/>
  <c r="L23" i="19"/>
  <c r="K23" i="19"/>
  <c r="G23" i="19"/>
  <c r="F23" i="19"/>
  <c r="D23" i="19"/>
  <c r="C23" i="19"/>
  <c r="L22" i="19"/>
  <c r="K22" i="19"/>
  <c r="G22" i="19"/>
  <c r="F22" i="19"/>
  <c r="D22" i="19"/>
  <c r="C22" i="19"/>
  <c r="L21" i="19"/>
  <c r="K21" i="19"/>
  <c r="G21" i="19"/>
  <c r="F21" i="19"/>
  <c r="D21" i="19"/>
  <c r="C21" i="19"/>
  <c r="L20" i="19"/>
  <c r="K20" i="19"/>
  <c r="G20" i="19"/>
  <c r="F20" i="19"/>
  <c r="D20" i="19"/>
  <c r="C20" i="19"/>
  <c r="L19" i="19"/>
  <c r="K19" i="19"/>
  <c r="G19" i="19"/>
  <c r="F19" i="19"/>
  <c r="D19" i="19"/>
  <c r="C19" i="19"/>
  <c r="L18" i="19"/>
  <c r="K18" i="19"/>
  <c r="G18" i="19"/>
  <c r="F18" i="19"/>
  <c r="D18" i="19"/>
  <c r="C18" i="19"/>
  <c r="L17" i="19"/>
  <c r="K17" i="19"/>
  <c r="G17" i="19"/>
  <c r="F17" i="19"/>
  <c r="D17" i="19"/>
  <c r="C17" i="19"/>
  <c r="L16" i="19"/>
  <c r="K16" i="19"/>
  <c r="G16" i="19"/>
  <c r="F16" i="19"/>
  <c r="D16" i="19"/>
  <c r="C16" i="19"/>
  <c r="L15" i="19"/>
  <c r="K15" i="19"/>
  <c r="G15" i="19"/>
  <c r="F15" i="19"/>
  <c r="D15" i="19"/>
  <c r="C15" i="19"/>
  <c r="L14" i="19"/>
  <c r="K14" i="19"/>
  <c r="G14" i="19"/>
  <c r="F14" i="19"/>
  <c r="D14" i="19"/>
  <c r="C14" i="19"/>
  <c r="L13" i="19"/>
  <c r="K13" i="19"/>
  <c r="G13" i="19"/>
  <c r="F13" i="19"/>
  <c r="D13" i="19"/>
  <c r="C13" i="19"/>
  <c r="L12" i="19"/>
  <c r="K12" i="19"/>
  <c r="G12" i="19"/>
  <c r="F12" i="19"/>
  <c r="D12" i="19"/>
  <c r="C12" i="19"/>
  <c r="L11" i="19"/>
  <c r="K11" i="19"/>
  <c r="G11" i="19"/>
  <c r="F11" i="19"/>
  <c r="D11" i="19"/>
  <c r="C11" i="19"/>
  <c r="L10" i="19"/>
  <c r="K10" i="19"/>
  <c r="G10" i="19"/>
  <c r="F10" i="19"/>
  <c r="D10" i="19"/>
  <c r="C10" i="19"/>
  <c r="L9" i="19"/>
  <c r="K9" i="19"/>
  <c r="G9" i="19"/>
  <c r="F9" i="19"/>
  <c r="D9" i="19"/>
  <c r="C9" i="19"/>
  <c r="L8" i="19"/>
  <c r="K8" i="19"/>
  <c r="G8" i="19"/>
  <c r="F8" i="19"/>
  <c r="D8" i="19"/>
  <c r="C8" i="19"/>
  <c r="L7" i="19"/>
  <c r="K7" i="19"/>
  <c r="G7" i="19"/>
  <c r="F7" i="19"/>
  <c r="D7" i="19"/>
  <c r="C7" i="19"/>
  <c r="L6" i="19"/>
  <c r="K6" i="19"/>
  <c r="G6" i="19"/>
  <c r="F6" i="19"/>
  <c r="D6" i="19"/>
  <c r="C6" i="19"/>
  <c r="L5" i="19"/>
  <c r="K5" i="19"/>
  <c r="G5" i="19"/>
  <c r="F5" i="19"/>
  <c r="D5" i="19"/>
  <c r="C5" i="19"/>
  <c r="L4" i="19"/>
  <c r="K4" i="19"/>
  <c r="G4" i="19"/>
  <c r="F4" i="19"/>
  <c r="D4" i="19"/>
  <c r="C4" i="19"/>
  <c r="L3" i="19"/>
  <c r="K3" i="19"/>
  <c r="G3" i="19"/>
  <c r="F3" i="19"/>
  <c r="D3" i="19"/>
  <c r="C3" i="19"/>
  <c r="L2" i="19"/>
  <c r="K2" i="19"/>
  <c r="G2" i="19"/>
  <c r="F2" i="19"/>
  <c r="D2" i="19"/>
  <c r="C2" i="19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17" i="18"/>
  <c r="D17" i="18"/>
  <c r="C22" i="18"/>
  <c r="D22" i="18"/>
  <c r="C21" i="18"/>
  <c r="D21" i="18"/>
  <c r="C20" i="18"/>
  <c r="D20" i="18"/>
  <c r="C19" i="18"/>
  <c r="D19" i="18"/>
  <c r="C18" i="18"/>
  <c r="D18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AC3" i="10"/>
  <c r="AD3" i="10"/>
  <c r="AC4" i="10"/>
  <c r="AD4" i="10"/>
  <c r="AC5" i="10"/>
  <c r="AD5" i="10"/>
  <c r="AC6" i="10"/>
  <c r="AD6" i="10"/>
  <c r="AC7" i="10"/>
  <c r="AD7" i="10"/>
  <c r="AC8" i="10"/>
  <c r="AD8" i="10"/>
  <c r="AC9" i="10"/>
  <c r="AD9" i="10"/>
  <c r="AC10" i="10"/>
  <c r="AD10" i="10"/>
  <c r="AC11" i="10"/>
  <c r="AD11" i="10"/>
  <c r="AC12" i="10"/>
  <c r="AD12" i="10"/>
  <c r="AC13" i="10"/>
  <c r="AD13" i="10"/>
  <c r="AC14" i="10"/>
  <c r="AD14" i="10"/>
  <c r="AC15" i="10"/>
  <c r="AD15" i="10"/>
  <c r="AC16" i="10"/>
  <c r="AD16" i="10"/>
  <c r="AC17" i="10"/>
  <c r="AD17" i="10"/>
  <c r="AC18" i="10"/>
  <c r="AD18" i="10"/>
  <c r="AC19" i="10"/>
  <c r="AD19" i="10"/>
  <c r="AC20" i="10"/>
  <c r="AD20" i="10"/>
  <c r="AC21" i="10"/>
  <c r="AD21" i="10"/>
  <c r="AC22" i="10"/>
  <c r="AD22" i="10"/>
  <c r="AC23" i="10"/>
  <c r="AD23" i="10"/>
  <c r="AC24" i="10"/>
  <c r="AD24" i="10"/>
  <c r="AC25" i="10"/>
  <c r="AD25" i="10"/>
  <c r="AC26" i="10"/>
  <c r="AD26" i="10"/>
  <c r="AC27" i="10"/>
  <c r="AD27" i="10"/>
  <c r="AC28" i="10"/>
  <c r="AD28" i="10"/>
  <c r="AC29" i="10"/>
  <c r="AD29" i="10"/>
  <c r="AC30" i="10"/>
  <c r="AD30" i="10"/>
  <c r="AC31" i="10"/>
  <c r="AD31" i="10"/>
  <c r="AC32" i="10"/>
  <c r="AD32" i="10"/>
  <c r="AC33" i="10"/>
  <c r="AD33" i="10"/>
  <c r="AC34" i="10"/>
  <c r="AD34" i="10"/>
  <c r="AC35" i="10"/>
  <c r="AD35" i="10"/>
  <c r="AD2" i="10"/>
  <c r="AC2" i="10"/>
  <c r="B13" i="21"/>
  <c r="I13" i="21"/>
  <c r="J13" i="21"/>
  <c r="G13" i="21"/>
  <c r="F13" i="21"/>
  <c r="D13" i="21"/>
  <c r="C13" i="21"/>
  <c r="B9" i="21"/>
  <c r="I9" i="21"/>
  <c r="J9" i="21"/>
  <c r="G9" i="21"/>
  <c r="F9" i="21"/>
  <c r="D9" i="21"/>
  <c r="C9" i="21"/>
  <c r="I5" i="21"/>
  <c r="B5" i="21"/>
  <c r="J5" i="21"/>
  <c r="G5" i="21"/>
  <c r="F5" i="21"/>
  <c r="D5" i="21"/>
  <c r="C5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J31" i="11"/>
  <c r="J30" i="11"/>
  <c r="J29" i="11"/>
  <c r="J28" i="11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O25" i="9"/>
  <c r="N25" i="9"/>
  <c r="M25" i="9"/>
  <c r="L25" i="9"/>
  <c r="K25" i="9"/>
  <c r="J25" i="9"/>
  <c r="I25" i="9"/>
  <c r="H25" i="9"/>
  <c r="G25" i="9"/>
  <c r="E25" i="9"/>
  <c r="D25" i="9"/>
  <c r="A25" i="9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Y2" i="7"/>
  <c r="W2" i="7"/>
  <c r="U2" i="7"/>
  <c r="R2" i="7"/>
  <c r="Q2" i="7"/>
  <c r="P2" i="7"/>
  <c r="O2" i="7"/>
  <c r="N2" i="7"/>
  <c r="H2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2" i="7"/>
  <c r="I2" i="7"/>
  <c r="D2" i="7"/>
  <c r="F2" i="7"/>
  <c r="E2" i="7"/>
  <c r="A2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AC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AC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AC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AC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3" i="9"/>
  <c r="D3" i="9"/>
  <c r="E3" i="9"/>
  <c r="G3" i="9"/>
  <c r="H3" i="9"/>
  <c r="I3" i="9"/>
  <c r="J3" i="9"/>
  <c r="K3" i="9"/>
  <c r="L3" i="9"/>
  <c r="M3" i="9"/>
  <c r="N3" i="9"/>
  <c r="J3" i="11"/>
  <c r="O3" i="9"/>
  <c r="A4" i="9"/>
  <c r="D4" i="9"/>
  <c r="E4" i="9"/>
  <c r="G4" i="9"/>
  <c r="H4" i="9"/>
  <c r="I4" i="9"/>
  <c r="J4" i="9"/>
  <c r="K4" i="9"/>
  <c r="L4" i="9"/>
  <c r="M4" i="9"/>
  <c r="N4" i="9"/>
  <c r="J4" i="11"/>
  <c r="O4" i="9"/>
  <c r="A5" i="9"/>
  <c r="D5" i="9"/>
  <c r="E5" i="9"/>
  <c r="G5" i="9"/>
  <c r="H5" i="9"/>
  <c r="I5" i="9"/>
  <c r="J5" i="9"/>
  <c r="K5" i="9"/>
  <c r="L5" i="9"/>
  <c r="M5" i="9"/>
  <c r="N5" i="9"/>
  <c r="J5" i="11"/>
  <c r="O5" i="9"/>
  <c r="A6" i="9"/>
  <c r="D6" i="9"/>
  <c r="E6" i="9"/>
  <c r="G6" i="9"/>
  <c r="H6" i="9"/>
  <c r="I6" i="9"/>
  <c r="J6" i="9"/>
  <c r="K6" i="9"/>
  <c r="L6" i="9"/>
  <c r="M6" i="9"/>
  <c r="N6" i="9"/>
  <c r="J6" i="11"/>
  <c r="O6" i="9"/>
  <c r="A7" i="9"/>
  <c r="D7" i="9"/>
  <c r="E7" i="9"/>
  <c r="G7" i="9"/>
  <c r="H7" i="9"/>
  <c r="I7" i="9"/>
  <c r="J7" i="9"/>
  <c r="K7" i="9"/>
  <c r="L7" i="9"/>
  <c r="M7" i="9"/>
  <c r="N7" i="9"/>
  <c r="J7" i="11"/>
  <c r="O7" i="9"/>
  <c r="A8" i="9"/>
  <c r="D8" i="9"/>
  <c r="E8" i="9"/>
  <c r="G8" i="9"/>
  <c r="H8" i="9"/>
  <c r="I8" i="9"/>
  <c r="J8" i="9"/>
  <c r="K8" i="9"/>
  <c r="L8" i="9"/>
  <c r="M8" i="9"/>
  <c r="N8" i="9"/>
  <c r="J8" i="11"/>
  <c r="O8" i="9"/>
  <c r="J9" i="11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J12" i="11"/>
  <c r="O11" i="9"/>
  <c r="A12" i="9"/>
  <c r="D12" i="9"/>
  <c r="E12" i="9"/>
  <c r="G12" i="9"/>
  <c r="H12" i="9"/>
  <c r="I12" i="9"/>
  <c r="J12" i="9"/>
  <c r="K12" i="9"/>
  <c r="L12" i="9"/>
  <c r="M12" i="9"/>
  <c r="N12" i="9"/>
  <c r="J13" i="11"/>
  <c r="O12" i="9"/>
  <c r="A13" i="9"/>
  <c r="D13" i="9"/>
  <c r="E13" i="9"/>
  <c r="G13" i="9"/>
  <c r="H13" i="9"/>
  <c r="I13" i="9"/>
  <c r="J13" i="9"/>
  <c r="K13" i="9"/>
  <c r="L13" i="9"/>
  <c r="M13" i="9"/>
  <c r="N13" i="9"/>
  <c r="J14" i="11"/>
  <c r="O13" i="9"/>
  <c r="J15" i="11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C15" i="1"/>
  <c r="A15" i="1"/>
  <c r="D15" i="1"/>
  <c r="E15" i="1"/>
  <c r="F15" i="1"/>
  <c r="H15" i="1"/>
  <c r="I15" i="1"/>
  <c r="J15" i="1"/>
  <c r="M15" i="1"/>
  <c r="N15" i="1"/>
  <c r="O15" i="1"/>
  <c r="P15" i="1"/>
  <c r="Q15" i="1"/>
  <c r="T15" i="1"/>
  <c r="V15" i="1"/>
  <c r="X15" i="1"/>
  <c r="AD15" i="1"/>
  <c r="AE15" i="1"/>
  <c r="AF15" i="1"/>
  <c r="AG15" i="1"/>
  <c r="AI15" i="1"/>
  <c r="A16" i="1"/>
  <c r="D16" i="1"/>
  <c r="E16" i="1"/>
  <c r="F16" i="1"/>
  <c r="H16" i="1"/>
  <c r="I16" i="1"/>
  <c r="J16" i="1"/>
  <c r="M16" i="1"/>
  <c r="N16" i="1"/>
  <c r="O16" i="1"/>
  <c r="P16" i="1"/>
  <c r="Q16" i="1"/>
  <c r="T16" i="1"/>
  <c r="V16" i="1"/>
  <c r="X16" i="1"/>
  <c r="AD16" i="1"/>
  <c r="AE16" i="1"/>
  <c r="AF16" i="1"/>
  <c r="AG16" i="1"/>
  <c r="AI16" i="1"/>
  <c r="AC17" i="1"/>
  <c r="A17" i="1"/>
  <c r="D17" i="1"/>
  <c r="E17" i="1"/>
  <c r="F17" i="1"/>
  <c r="H17" i="1"/>
  <c r="I17" i="1"/>
  <c r="J17" i="1"/>
  <c r="M17" i="1"/>
  <c r="N17" i="1"/>
  <c r="O17" i="1"/>
  <c r="P17" i="1"/>
  <c r="Q17" i="1"/>
  <c r="T17" i="1"/>
  <c r="V17" i="1"/>
  <c r="X17" i="1"/>
  <c r="AD17" i="1"/>
  <c r="AE17" i="1"/>
  <c r="AF17" i="1"/>
  <c r="AG17" i="1"/>
  <c r="AI17" i="1"/>
  <c r="A18" i="1"/>
  <c r="D18" i="1"/>
  <c r="E18" i="1"/>
  <c r="F18" i="1"/>
  <c r="H18" i="1"/>
  <c r="I18" i="1"/>
  <c r="J18" i="1"/>
  <c r="M18" i="1"/>
  <c r="N18" i="1"/>
  <c r="O18" i="1"/>
  <c r="P18" i="1"/>
  <c r="Q18" i="1"/>
  <c r="T18" i="1"/>
  <c r="V18" i="1"/>
  <c r="X18" i="1"/>
  <c r="AD18" i="1"/>
  <c r="AE18" i="1"/>
  <c r="AF18" i="1"/>
  <c r="AG18" i="1"/>
  <c r="AI18" i="1"/>
  <c r="A19" i="1"/>
  <c r="D19" i="1"/>
  <c r="E19" i="1"/>
  <c r="F19" i="1"/>
  <c r="H19" i="1"/>
  <c r="I19" i="1"/>
  <c r="J19" i="1"/>
  <c r="M19" i="1"/>
  <c r="N19" i="1"/>
  <c r="O19" i="1"/>
  <c r="P19" i="1"/>
  <c r="Q19" i="1"/>
  <c r="T19" i="1"/>
  <c r="V19" i="1"/>
  <c r="X19" i="1"/>
  <c r="AD19" i="1"/>
  <c r="AE19" i="1"/>
  <c r="AF19" i="1"/>
  <c r="AG19" i="1"/>
  <c r="AI19" i="1"/>
  <c r="H14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W4" i="7"/>
  <c r="U4" i="7"/>
  <c r="V14" i="1"/>
  <c r="T14" i="1"/>
  <c r="C13" i="16"/>
  <c r="E13" i="16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C3" i="16"/>
  <c r="E9" i="16"/>
  <c r="Y4" i="7"/>
  <c r="X14" i="1"/>
  <c r="R4" i="7"/>
  <c r="Q4" i="7"/>
  <c r="P4" i="7"/>
  <c r="O4" i="7"/>
  <c r="N4" i="7"/>
  <c r="AD14" i="1"/>
  <c r="AG14" i="1"/>
  <c r="AF14" i="1"/>
  <c r="AE14" i="1"/>
  <c r="Q14" i="1"/>
  <c r="P14" i="1"/>
  <c r="O14" i="1"/>
  <c r="N14" i="1"/>
  <c r="M14" i="1"/>
  <c r="AI14" i="1"/>
  <c r="H4" i="7"/>
  <c r="J4" i="7"/>
  <c r="E8" i="16"/>
  <c r="E7" i="16"/>
  <c r="E6" i="16"/>
  <c r="E5" i="16"/>
  <c r="E4" i="16"/>
  <c r="E3" i="16"/>
  <c r="E2" i="16"/>
  <c r="A14" i="1"/>
  <c r="A2" i="9"/>
  <c r="A4" i="7"/>
  <c r="I4" i="7"/>
  <c r="D4" i="7"/>
  <c r="F4" i="7"/>
  <c r="E4" i="7"/>
  <c r="J14" i="1"/>
  <c r="I14" i="1"/>
  <c r="D2" i="2"/>
  <c r="E2" i="2"/>
  <c r="H2" i="2"/>
  <c r="D14" i="1"/>
  <c r="E14" i="1"/>
  <c r="F14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<sst xmlns="http://schemas.openxmlformats.org/spreadsheetml/2006/main" count="1212" uniqueCount="412">
  <si>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</si>
  <si>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</si>
  <si>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</si>
  <si>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</si>
  <si>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</si>
  <si>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</si>
  <si>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</si>
  <si>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</si>
  <si>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</si>
  <si>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</si>
  <si>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</si>
  <si>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</si>
  <si>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</si>
  <si>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</si>
  <si>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</si>
  <si>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</si>
  <si>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</si>
  <si>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</si>
  <si>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</si>
  <si>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</si>
  <si>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</si>
  <si>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</si>
  <si>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</si>
  <si>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</si>
  <si>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</si>
  <si>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</si>
  <si>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</si>
  <si>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</si>
  <si>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</si>
  <si>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</si>
  <si>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</si>
  <si>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</si>
  <si>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</si>
  <si>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</si>
  <si>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</si>
  <si>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</si>
  <si>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</si>
  <si>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</si>
  <si>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</si>
  <si>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</si>
  <si>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</si>
  <si>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</si>
  <si>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</si>
  <si>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</si>
  <si>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</si>
  <si>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</si>
  <si>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</si>
  <si>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</si>
  <si>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</si>
  <si>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</si>
  <si>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</si>
  <si>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</si>
  <si>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</si>
  <si>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</si>
  <si>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</si>
  <si>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</si>
  <si>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</si>
  <si>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</si>
  <si>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</si>
  <si>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</si>
  <si>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</si>
  <si>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</si>
  <si>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</si>
  <si>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</si>
  <si>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</si>
  <si>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</si>
  <si>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</si>
  <si>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</si>
  <si>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</si>
  <si>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</si>
  <si>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</si>
  <si>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</si>
  <si>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</si>
  <si>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</si>
  <si>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</si>
  <si>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</si>
  <si>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</si>
  <si>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</si>
  <si>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</si>
  <si>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</si>
  <si>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</si>
  <si>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</si>
  <si>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</si>
  <si>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</si>
  <si>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</si>
  <si>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</si>
  <si>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</si>
  <si>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</si>
  <si>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</si>
  <si>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</si>
  <si>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</si>
  <si>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</si>
  <si>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</si>
  <si>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</si>
  <si>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</si>
  <si>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</si>
  <si>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</si>
  <si>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</si>
  <si>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</si>
  <si>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</si>
  <si>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</si>
  <si>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</si>
  <si>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</si>
  <si>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</si>
  <si>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</si>
  <si>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</si>
  <si>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</si>
  <si>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</si>
  <si>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</si>
  <si>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</si>
  <si>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</si>
  <si>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</si>
  <si>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</si>
  <si>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</si>
  <si>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</si>
  <si>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</si>
  <si>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</si>
  <si>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</si>
  <si>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</si>
  <si>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</si>
  <si>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</si>
  <si>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</si>
  <si>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</si>
  <si>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</si>
  <si>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</si>
  <si>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</si>
  <si>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</si>
  <si>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</si>
  <si>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</si>
  <si>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</si>
  <si>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</si>
  <si>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</si>
  <si>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</si>
  <si>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</si>
  <si>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</si>
  <si>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</si>
  <si>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</si>
  <si>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</si>
  <si>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</si>
  <si>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</si>
  <si>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</si>
  <si>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</si>
  <si>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</si>
  <si>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</si>
  <si>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</si>
  <si>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</si>
  <si>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</si>
  <si>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</si>
  <si>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</si>
  <si>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</si>
  <si>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</si>
  <si>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</si>
  <si>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</si>
  <si>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</si>
  <si>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</si>
  <si>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</si>
  <si>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</si>
  <si>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</si>
  <si>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</si>
  <si>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</si>
  <si>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</si>
  <si>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</si>
  <si>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</si>
  <si>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</si>
  <si>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</si>
  <si>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</si>
  <si>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</si>
  <si>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</si>
  <si>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</si>
  <si>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</si>
  <si>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</si>
  <si>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</si>
  <si>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</si>
  <si>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</si>
  <si>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</si>
  <si>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</si>
  <si>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</si>
  <si>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</si>
  <si>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</si>
  <si>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</si>
  <si>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</si>
  <si>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</si>
  <si>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</si>
  <si>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</si>
  <si>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</si>
  <si>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</si>
  <si>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</si>
  <si>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</si>
  <si>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</si>
  <si>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</si>
  <si>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</si>
  <si>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</si>
  <si>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</si>
  <si>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</si>
  <si>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</si>
  <si>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</si>
  <si>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</si>
  <si>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</si>
  <si>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</si>
  <si>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</si>
  <si>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</si>
  <si>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</si>
  <si>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</si>
  <si>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</si>
  <si>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</si>
  <si>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</si>
  <si>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</si>
  <si>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</si>
  <si>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</si>
  <si>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</si>
  <si>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</si>
  <si>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</si>
  <si>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</si>
  <si>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</si>
  <si>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</si>
  <si>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</si>
  <si>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</si>
  <si>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</si>
  <si>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</si>
  <si>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</si>
  <si>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</si>
  <si>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</si>
  <si>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</si>
  <si>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</si>
  <si>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</si>
  <si>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</si>
  <si>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unit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</si>
  <si>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</si>
  <si>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</si>
  <si>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</si>
  <si>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</si>
  <si>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</si>
  <si>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</si>
  <si>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</si>
  <si>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</si>
  <si>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</si>
  <si>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</si>
  <si>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</si>
  <si>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</si>
  <si>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</si>
  <si>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</si>
  <si>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</si>
  <si>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</si>
  <si>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</si>
  <si>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</si>
  <si>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</si>
  <si>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</si>
  <si>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</si>
  <si>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</si>
  <si>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</si>
  <si>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</si>
  <si>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</si>
  <si>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</si>
  <si>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単体攻撃</t>
    <rPh sb="0" eb="4">
      <t>タンタ</t>
    </rPh>
    <phoneticPr fontId="5"/>
  </si>
  <si>
    <t>全体攻撃</t>
    <rPh sb="0" eb="2">
      <t>ゼンタ</t>
    </rPh>
    <rPh sb="2" eb="4">
      <t>タンタ</t>
    </rPh>
    <phoneticPr fontId="5"/>
  </si>
  <si>
    <t>敵スリープ#enemy/味方単体持続１ターン</t>
    <phoneticPr fontId="5"/>
  </si>
  <si>
    <t>敵大攻撃</t>
    <phoneticPr fontId="5"/>
  </si>
  <si>
    <t>先制行動：次の行動まで１ターン→敵行動頻度設定</t>
    <phoneticPr fontId="5"/>
  </si>
  <si>
    <t>2回連続攻撃</t>
    <rPh sb="1" eb="2">
      <t>k</t>
    </rPh>
    <rPh sb="2" eb="4">
      <t>レンゾk</t>
    </rPh>
    <rPh sb="4" eb="6">
      <t>コウゲk</t>
    </rPh>
    <phoneticPr fontId="5"/>
  </si>
  <si>
    <t>先制行動：次の行動まで2ターン→敵行動頻度設定</t>
    <phoneticPr fontId="5"/>
  </si>
  <si>
    <t>単体攻撃</t>
    <phoneticPr fontId="5"/>
  </si>
  <si>
    <t>全体攻撃</t>
    <rPh sb="0" eb="4">
      <t>ゼンタ</t>
    </rPh>
    <phoneticPr fontId="5"/>
  </si>
  <si>
    <t>緑パネルにプロテクト(1〜2個)+単体攻撃</t>
    <phoneticPr fontId="5"/>
  </si>
  <si>
    <t>緑パネルをお邪魔に変換(1〜2個)+2回連続攻撃</t>
    <phoneticPr fontId="5"/>
  </si>
  <si>
    <t>黄色をダメージパネルに変換(1〜2個)+お邪魔パネルを吸収して攻撃</t>
    <phoneticPr fontId="5"/>
  </si>
  <si>
    <t>全体攻撃</t>
    <phoneticPr fontId="5"/>
  </si>
  <si>
    <t>ハートパネルにプロテクト(2〜3個)+単体攻撃</t>
    <phoneticPr fontId="5"/>
  </si>
  <si>
    <t>緑パネルをお邪魔に変換(2〜3個)+2回連続攻撃</t>
    <phoneticPr fontId="5"/>
  </si>
  <si>
    <t>黄色をダメージパネルに変換(2〜3個)+お邪魔パネルを吸収して攻撃</t>
    <phoneticPr fontId="5"/>
  </si>
  <si>
    <t>HP50%以下1回：お邪魔とダメージを吸収して全体攻撃</t>
    <phoneticPr fontId="5"/>
  </si>
  <si>
    <t>パーン1</t>
    <phoneticPr fontId="5"/>
  </si>
  <si>
    <t>パーン2</t>
    <phoneticPr fontId="5"/>
  </si>
  <si>
    <t>パーン3</t>
  </si>
  <si>
    <t>パーン4</t>
  </si>
  <si>
    <t>ミミ1</t>
    <phoneticPr fontId="5"/>
  </si>
  <si>
    <t>ミミ2</t>
    <phoneticPr fontId="5"/>
  </si>
  <si>
    <t>ミミ3</t>
  </si>
  <si>
    <t>ヒロ1</t>
    <phoneticPr fontId="5"/>
  </si>
  <si>
    <t>ヒロ2</t>
  </si>
  <si>
    <t>ヒロ3</t>
  </si>
  <si>
    <t>トニー1</t>
    <phoneticPr fontId="5"/>
  </si>
  <si>
    <t>トニー2</t>
  </si>
  <si>
    <t>トニー3</t>
  </si>
  <si>
    <t>トト1</t>
    <phoneticPr fontId="5"/>
  </si>
  <si>
    <t>トト2</t>
  </si>
  <si>
    <t>トト3</t>
  </si>
  <si>
    <t>スリー・ピギーズ1-1</t>
    <phoneticPr fontId="5"/>
  </si>
  <si>
    <t>スリー・ピギーズ1-2</t>
  </si>
  <si>
    <t>スリー・ピギーズ1-3</t>
  </si>
  <si>
    <t>スリー・ピギーズ1-4</t>
  </si>
  <si>
    <t>スリー・ピギーズ2-1</t>
    <phoneticPr fontId="5"/>
  </si>
  <si>
    <t>スリー・ピギーズ2-2</t>
  </si>
  <si>
    <t>スリー・ピギーズ2-3</t>
  </si>
  <si>
    <t>スリー・ピギーズ2-4</t>
  </si>
  <si>
    <t>スリー・ピギーズ2-5</t>
  </si>
  <si>
    <t>old</t>
  </si>
  <si>
    <t>HP30%以下で攻撃力アップ1.2</t>
    <phoneticPr fontId="5"/>
  </si>
  <si>
    <t>緑パネルをお邪魔に変換（2個）</t>
    <phoneticPr fontId="5"/>
  </si>
  <si>
    <t>ミミ4</t>
    <phoneticPr fontId="5"/>
  </si>
  <si>
    <t>ヒロ4</t>
    <phoneticPr fontId="5"/>
  </si>
  <si>
    <t>黄パネルをダーメジパネルに変換（2個）</t>
    <phoneticPr fontId="5"/>
  </si>
  <si>
    <t>トニー4</t>
    <phoneticPr fontId="5"/>
  </si>
  <si>
    <t>トト4</t>
    <phoneticPr fontId="5"/>
  </si>
  <si>
    <t>[effect:force_change_block, new_block:jammer, target:block_green, ignore01:block_negative, count:2, val:0]</t>
  </si>
  <si>
    <t>[effect:force_change_block, new_block:damage, target:block_yellow, ignore01:block_negative, count:2, val:0.1]</t>
    <phoneticPr fontId="5"/>
  </si>
  <si>
    <t>[effect:force_change_block, new_block:jammer, target:block_green, ignore01:block_negative, count:2, val:0]</t>
    <phoneticPr fontId="5"/>
  </si>
  <si>
    <t>やー！</t>
    <phoneticPr fontId="5"/>
  </si>
  <si>
    <t>とっしん！</t>
    <phoneticPr fontId="5"/>
  </si>
  <si>
    <t>モフモフ・スリープ</t>
    <phoneticPr fontId="5"/>
  </si>
  <si>
    <t>思いっきりいくぞー！</t>
    <phoneticPr fontId="5"/>
  </si>
  <si>
    <t>クリティカル！</t>
    <phoneticPr fontId="5"/>
  </si>
  <si>
    <t>おいらの攻撃はどうだい？</t>
    <rPh sb="4" eb="6">
      <t>コウゲk</t>
    </rPh>
    <phoneticPr fontId="5"/>
  </si>
  <si>
    <t>僕に近づかないで…</t>
    <rPh sb="0" eb="1">
      <t>ボk</t>
    </rPh>
    <rPh sb="2" eb="3">
      <t>チカズカn</t>
    </rPh>
    <phoneticPr fontId="5"/>
  </si>
  <si>
    <t>スリー・ピギーズアタック！</t>
    <phoneticPr fontId="5"/>
  </si>
  <si>
    <t>俺をナメるなよ！</t>
    <rPh sb="0" eb="1">
      <t>オr</t>
    </rPh>
    <phoneticPr fontId="5"/>
  </si>
  <si>
    <t>俺たちを本気にさせたいみたいだな！</t>
    <rPh sb="0" eb="1">
      <t>オr</t>
    </rPh>
    <rPh sb="4" eb="6">
      <t>ホn</t>
    </rPh>
    <phoneticPr fontId="5"/>
  </si>
  <si>
    <t>本気でいくぞ！</t>
    <rPh sb="0" eb="2">
      <t>ホn</t>
    </rPh>
    <phoneticPr fontId="5"/>
  </si>
  <si>
    <t>回復するヒマはないよ</t>
    <rPh sb="0" eb="2">
      <t>カイフk</t>
    </rPh>
    <phoneticPr fontId="5"/>
  </si>
  <si>
    <t>どんどんいくぜ！</t>
    <phoneticPr fontId="5"/>
  </si>
  <si>
    <t>近づくと怪我しますよ…</t>
    <rPh sb="0" eb="1">
      <t>チカズk</t>
    </rPh>
    <rPh sb="4" eb="6">
      <t>ケガ</t>
    </rPh>
    <phoneticPr fontId="5"/>
  </si>
  <si>
    <t>お邪魔パネルとダメージパネルを吸収して全体攻撃</t>
    <phoneticPr fontId="5"/>
  </si>
  <si>
    <t>照準セット</t>
  </si>
  <si>
    <t>撹乱</t>
    <phoneticPr fontId="5"/>
  </si>
  <si>
    <t>連射</t>
    <phoneticPr fontId="5"/>
  </si>
  <si>
    <t>サンダーステップ</t>
    <phoneticPr fontId="5"/>
  </si>
  <si>
    <t>放電</t>
    <phoneticPr fontId="5"/>
  </si>
  <si>
    <t>閃光ブレイク</t>
    <phoneticPr fontId="5"/>
  </si>
  <si>
    <t>スライディング</t>
    <phoneticPr fontId="5"/>
  </si>
  <si>
    <t>スピードスター</t>
    <phoneticPr fontId="5"/>
  </si>
  <si>
    <t>攻撃準備</t>
    <phoneticPr fontId="5"/>
  </si>
  <si>
    <t>地雷設置</t>
    <phoneticPr fontId="5"/>
  </si>
  <si>
    <t>一斉掃射</t>
    <phoneticPr fontId="5"/>
  </si>
  <si>
    <t>この鉄壁の要塞を落とせるものなら落としてみろ！</t>
  </si>
  <si>
    <t>おい狼！お前なんか怖くねぇぜ！</t>
    <phoneticPr fontId="5"/>
  </si>
  <si>
    <t>この鉄壁の要塞が落とされるとは…</t>
    <phoneticPr fontId="5"/>
  </si>
  <si>
    <t>狼をナメてたぜ…やっぱり敵わないのか…</t>
    <phoneticPr fontId="5"/>
  </si>
  <si>
    <t>パーンのクリティカルは強力なので
長期戦は不利になります
クラッシュスキルをうまく使って
短期決戦に挑みましょう</t>
    <phoneticPr fontId="5"/>
  </si>
  <si>
    <t>[effect:enemy_message, val1:1.2, val2:1.2],[effect:rush, count:1, val:1]</t>
    <phoneticPr fontId="5"/>
  </si>
  <si>
    <t>[effect:enemy_message, val1:1.2, val2:1.2],[effect:spread, val:0.3]</t>
    <phoneticPr fontId="5"/>
  </si>
  <si>
    <t>[effect:enemy_message, val1:1.2, val2:1.2],[effect:critical, val:1.3, animation:enemy_critical]</t>
    <phoneticPr fontId="5"/>
  </si>
  <si>
    <t>[effect:enemy_message, val1:1.2, val2:1.2],[effect:rush, count:2, val:0.8]</t>
    <phoneticPr fontId="5"/>
  </si>
  <si>
    <t>[effect:enemy_message, val1:1.2, val2:1.4],[effect:freq_turn, target:myself, turn:1, val:2, animation:enemy_freq_turn]</t>
    <phoneticPr fontId="5"/>
  </si>
  <si>
    <t>[effect:enemy_message, val1:1.3, val2:1.2],[effect:spread, val:0.5]</t>
    <phoneticPr fontId="5"/>
  </si>
  <si>
    <t>[effect:enemy_message, val1:1.3, val2:1.2],[effect:spread, val:0.3]</t>
    <phoneticPr fontId="5"/>
  </si>
  <si>
    <t>[effect:enemy_message, val1:1.7, val2:2.3],[effect:break_attack_fix, target:unit_all, val:250, lowest_val:1000, count:-1, block01:jammer, block02:damage]</t>
    <phoneticPr fontId="5"/>
  </si>
  <si>
    <t>[effect:enemy_message, val1:1.2, val2:1.2],[effect:enhance_enemy, target:myself, turn:-1, status:attack, val:0.2, calc:mul, animation:enemy_enhance_attack]</t>
    <phoneticPr fontId="5"/>
  </si>
  <si>
    <t>※表示しません</t>
    <rPh sb="1" eb="3">
      <t>ヒョウジシマs</t>
    </rPh>
    <phoneticPr fontId="5"/>
  </si>
  <si>
    <t>※表示しません</t>
    <phoneticPr fontId="5"/>
  </si>
  <si>
    <t>[effect:enemy_message, val1:2.4, val2:0]</t>
    <phoneticPr fontId="5"/>
  </si>
  <si>
    <t>[effect:enemy_message, val1:2.3, val2:0]</t>
    <phoneticPr fontId="5"/>
  </si>
  <si>
    <t>[effect:enemy_message, val1:1.5, val2:0]</t>
    <phoneticPr fontId="5"/>
  </si>
  <si>
    <t>[effect:enemy_message, val1:2.1, val2:0]</t>
    <phoneticPr fontId="5"/>
  </si>
  <si>
    <t>link</t>
    <phoneticPr fontId="5"/>
  </si>
  <si>
    <t>unit</t>
    <phoneticPr fontId="5"/>
  </si>
  <si>
    <t>unit</t>
    <phoneticPr fontId="5"/>
  </si>
  <si>
    <t>unit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</si>
  <si>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</si>
  <si>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</si>
  <si>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</si>
  <si>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</si>
  <si>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</si>
  <si>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</si>
  <si>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</si>
  <si>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</si>
  <si>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</si>
  <si>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</si>
  <si>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</si>
  <si>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</si>
  <si>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</si>
  <si>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</si>
  <si>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</si>
  <si>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</si>
  <si>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</si>
  <si>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中級</t>
    <rPh sb="0" eb="2">
      <t>チュ</t>
    </rPh>
    <phoneticPr fontId="5"/>
  </si>
  <si>
    <t>上級</t>
    <rPh sb="0" eb="2">
      <t>ｊｙ</t>
    </rPh>
    <phoneticPr fontId="5"/>
  </si>
  <si>
    <t>[effect:enemy_message, val1:1.7, val2:2.3],[effect:break_attack_fix, target:unit_all, val:100, lowest_val:500, count:-1, block01:jammer, block02:damage]</t>
    <phoneticPr fontId="5"/>
  </si>
  <si>
    <t>[effect:enemy_message, val1:1.7, val2:2.3],[effect:break_attack_fix, target:unit_all, val:200, lowest_val:800, count:-1, block01:jammer, block02:damage]</t>
    <phoneticPr fontId="5"/>
  </si>
  <si>
    <t>1ターン自身の行動頻度UP</t>
    <phoneticPr fontId="5"/>
  </si>
  <si>
    <t>このフロアではダメージパネルと
お邪魔パネルを2個ずつ変換してきます
スキルで対策できるユニットで挑みましょう</t>
    <phoneticPr fontId="5"/>
  </si>
  <si>
    <t>1ターン確率でユニット1体にスリープ</t>
    <rPh sb="4" eb="6">
      <t>カクリｔ</t>
    </rPh>
    <rPh sb="12" eb="13">
      <t>タイ</t>
    </rPh>
    <phoneticPr fontId="5"/>
  </si>
  <si>
    <t>[effect:enemy_message, val1:1.2, val2:1.8],[effect:sleep, target:unit_one, turn:1, rate:0.5, animation:sleep01]</t>
    <phoneticPr fontId="5"/>
  </si>
  <si>
    <t>スリー・ピギーズはパネルプロテクト、
お邪魔パネル変換、ダメージパネル変換の
3種のエネミースキルを使用してきます</t>
    <rPh sb="40" eb="41">
      <t>ｓｙ</t>
    </rPh>
    <phoneticPr fontId="5"/>
  </si>
  <si>
    <t>スリー・ピギーズは残りHP50%以下になると
強力な攻撃をしてきます
残りHPに気をつけて一気に倒しましょう</t>
    <phoneticPr fontId="5"/>
  </si>
  <si>
    <t>緑パネルをお邪魔パネルに最大2個変換+
単体攻撃</t>
    <rPh sb="12" eb="14">
      <t>サイダ</t>
    </rPh>
    <rPh sb="15" eb="16">
      <t>k</t>
    </rPh>
    <rPh sb="20" eb="24">
      <t>タンタ</t>
    </rPh>
    <phoneticPr fontId="5"/>
  </si>
  <si>
    <t>黄パネルを黄のダメージパネルに最大2個変換+
単体攻撃</t>
    <rPh sb="5" eb="6">
      <t>キイ</t>
    </rPh>
    <rPh sb="15" eb="17">
      <t>サイダ</t>
    </rPh>
    <rPh sb="18" eb="19">
      <t>k</t>
    </rPh>
    <phoneticPr fontId="5"/>
  </si>
  <si>
    <t>緑パネルをお邪魔パネルに最大2個変換+
2回連続攻撃</t>
    <rPh sb="12" eb="14">
      <t>サイダ</t>
    </rPh>
    <rPh sb="15" eb="16">
      <t>k</t>
    </rPh>
    <phoneticPr fontId="5"/>
  </si>
  <si>
    <t>黄パネルを黄のダメージパネルに最大2個変換+
お邪魔パネルを吸収して全体攻撃</t>
    <rPh sb="5" eb="6">
      <t>キ</t>
    </rPh>
    <rPh sb="15" eb="17">
      <t>サイダ</t>
    </rPh>
    <rPh sb="34" eb="36">
      <t>ゼンタ</t>
    </rPh>
    <phoneticPr fontId="5"/>
  </si>
  <si>
    <t>緑パネルをお邪魔パネルに最大3個変換+
2回連続攻撃</t>
    <rPh sb="12" eb="14">
      <t>サイダ</t>
    </rPh>
    <rPh sb="15" eb="16">
      <t>k</t>
    </rPh>
    <phoneticPr fontId="5"/>
  </si>
  <si>
    <t>黄パネルを黄のダメージパネルに最大3個変換+
お邪魔パネルを吸収して全体攻撃</t>
    <rPh sb="5" eb="6">
      <t>k</t>
    </rPh>
    <rPh sb="15" eb="17">
      <t>サイダ</t>
    </rPh>
    <rPh sb="18" eb="19">
      <t>k</t>
    </rPh>
    <rPh sb="34" eb="36">
      <t>ゼンタ</t>
    </rPh>
    <phoneticPr fontId="5"/>
  </si>
  <si>
    <t>[effect:enemy_message, val1:1.2, val2:1.3],[effect:freq_turn, target:myself, turn:1, val:1, animation:enemy_freq_turn]</t>
    <phoneticPr fontId="5"/>
  </si>
  <si>
    <t>攻撃力UP</t>
    <rPh sb="0" eb="3">
      <t>コウゲk</t>
    </rPh>
    <phoneticPr fontId="5"/>
  </si>
  <si>
    <t>黄パネルを黄のダメージパネルに最大2個変換+
単体攻撃</t>
    <rPh sb="5" eb="6">
      <t>k</t>
    </rPh>
    <rPh sb="15" eb="17">
      <t>サイダ</t>
    </rPh>
    <rPh sb="18" eb="19">
      <t>k</t>
    </rPh>
    <phoneticPr fontId="5"/>
  </si>
  <si>
    <t>黄パネルを黄のダメージパネルに最大2個変換+
単体攻撃</t>
    <rPh sb="5" eb="6">
      <t>キ</t>
    </rPh>
    <rPh sb="15" eb="17">
      <t>サイダ</t>
    </rPh>
    <rPh sb="18" eb="19">
      <t>k</t>
    </rPh>
    <rPh sb="23" eb="27">
      <t>タンタ</t>
    </rPh>
    <phoneticPr fontId="5"/>
  </si>
  <si>
    <t>黄パネルを黄のダメージパネルに最大2個変換+
お邪魔パネルを吸収して全体攻撃</t>
    <rPh sb="5" eb="6">
      <t>k</t>
    </rPh>
    <rPh sb="15" eb="17">
      <t>サイダ</t>
    </rPh>
    <rPh sb="34" eb="36">
      <t>ゼンタ</t>
    </rPh>
    <phoneticPr fontId="5"/>
  </si>
  <si>
    <t>黄パネルを黄のダメージパネルに最大3個変換+
お邪魔パネルを吸収して全体攻撃</t>
    <rPh sb="5" eb="6">
      <t>キ</t>
    </rPh>
    <rPh sb="15" eb="17">
      <t>サイダ</t>
    </rPh>
    <rPh sb="18" eb="19">
      <t>k</t>
    </rPh>
    <rPh sb="34" eb="36">
      <t>ゼンタ</t>
    </rPh>
    <phoneticPr fontId="5"/>
  </si>
  <si>
    <t>緑パネルプロテクト(最大4個)+
単体攻撃</t>
    <rPh sb="10" eb="12">
      <t>サイダ</t>
    </rPh>
    <rPh sb="13" eb="14">
      <t>k</t>
    </rPh>
    <phoneticPr fontId="5"/>
  </si>
  <si>
    <t>ハートパネルプロテクト(最大4個)+
単体攻撃</t>
    <rPh sb="12" eb="14">
      <t>サイダ</t>
    </rPh>
    <rPh sb="15" eb="16">
      <t>コ</t>
    </rPh>
    <phoneticPr fontId="5"/>
  </si>
  <si>
    <t>[effect:enemy_message, val1:1.2, val2:2.3],[effect:force_change_block, new_block:jammer, target:block_green, ignore01:block_negative, count:2, val:0],[effect:rush, count:1, val:1]</t>
    <phoneticPr fontId="5"/>
  </si>
  <si>
    <t>[effect:enemy_message, val1:1.2, val2:2.6],[effect:force_change_block, new_block:damage, target:block_yellow, ignore01:block_negative, count:2, val:0.1],[effect:rush, count:1, val:1]</t>
    <phoneticPr fontId="5"/>
  </si>
  <si>
    <t>[effect:enemy_message, val1:1.2, val2:2.0],[effect:panel_freeze, target:normal, color:block_green, count:4],[effect:rush, count:1, val:1]</t>
    <phoneticPr fontId="5"/>
  </si>
  <si>
    <t>[effect:enemy_message, val1:1.2, val2:2.5],[effect:force_change_block, new_block:jammer, target:block_green, ignore01:block_negative, count:2, val:0],[effect:rush, count:2, val:0.8]</t>
    <phoneticPr fontId="5"/>
  </si>
  <si>
    <t>[effect:enemy_message, val1:1.2, val2:3.7],[effect:force_change_block, new_block:damage, target:block_yellow, ignore01:block_negative, count:2, val:0.1],[effect:break_attack_fix, target:unit_all, val:250, lowest_val:1000, count:-1, block01:jammer]</t>
    <phoneticPr fontId="5"/>
  </si>
  <si>
    <t>[effect:enemy_message, val1:1.2, val2:2.2],[effect:panel_freeze, target:normal, color:block_heart, count:4],[effect:rush, count:1, val:1]</t>
    <phoneticPr fontId="5"/>
  </si>
  <si>
    <t>[effect:enemy_message, val1:1.2, val2:2.5],[effect:force_change_block, new_block:jammer, target:block_green, ignore01:block_negative, count:3, val:0],[effect:rush, count:2, val:0.8]</t>
    <phoneticPr fontId="5"/>
  </si>
  <si>
    <t>[effect:enemy_message, val1:1.2, val2:3.7],[effect:force_change_block, new_block:damage, target:block_yellow, ignore01:block_negative, count:3, val:0.1],[effect:break_attack_fix, target:unit_all, val:250, lowest_val:1000, count:-1, block01:jammer]</t>
    <phoneticPr fontId="5"/>
  </si>
  <si>
    <t>[effect:enemy_message, val1:1.2, val2:1.3],[effect:freq_turn, target:myself, turn:1, val:2, animation:enemy_freq_turn]</t>
    <phoneticPr fontId="5"/>
  </si>
  <si>
    <t>[effect:enemy_message, val1:1.2, val2:2.6],[effect:force_change_block, new_block:damage, target:block_yellow, ignore01:block_negative, count:2, val:0.05],[effect:rush, count:1, val:1]</t>
    <phoneticPr fontId="5"/>
  </si>
  <si>
    <t>[effect:enemy_message, val1:1.2, val2:3.7],[effect:force_change_block, new_block:damage, target:block_yellow, ignore01:block_negative, count:2, val:0.05],[effect:break_attack_fix, target:unit_all, val:100, lowest_val:500, count:-1, block01:jammer]</t>
    <phoneticPr fontId="5"/>
  </si>
  <si>
    <t>[effect:enemy_message, val1:1.2, val2:3.7],[effect:force_change_block, new_block:damage, target:block_yellow, ignore01:block_negative, count:3, val:0.05],[effect:break_attack_fix, target:unit_all, val:100, lowest_val:500, count:-1, block01:jammer]</t>
    <phoneticPr fontId="5"/>
  </si>
  <si>
    <t>[effect:enemy_message, val1:1.2, val2:2.6],[effect:force_change_block, new_block:damage, target:block_yellow, ignore01:block_negative, count:2, val:0.08],[effect:rush, count:1, val:1]</t>
    <phoneticPr fontId="5"/>
  </si>
  <si>
    <t>[effect:enemy_message, val1:1.2, val2:3.7],[effect:force_change_block, new_block:damage, target:block_yellow, ignore01:block_negative, count:2, val:0.08],[effect:break_attack_fix, target:unit_all, val:200, lowest_val:800, count:-1, block01:jammer]</t>
    <phoneticPr fontId="5"/>
  </si>
  <si>
    <t>[effect:enemy_message, val1:1.2, val2:3.7],[effect:force_change_block, new_block:damage, target:block_yellow, ignore01:block_negative, count:3, val:0.08],[effect:break_attack_fix, target:unit_all, val:200, lowest_val:800, count:-1, block01:jammer]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</si>
</sst>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ajor"/>
    </font>
    <font>
      <sz val="1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ajor"/>
    </font>
    <font>
      <sz val="10"/>
      <color rgb="FF000000"/>
      <name val="ＭＳ Ｐゴシック"/>
      <family val="3"/>
      <charset val="128"/>
      <scheme val="major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52" fillId="0" borderId="7" xfId="0" applyFont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52" fillId="39" borderId="0" xfId="0" applyFont="1" applyFill="1"/>
    <xf numFmtId="0" fontId="16" fillId="39" borderId="7" xfId="0" applyFont="1" applyFill="1" applyBorder="1" applyAlignment="1">
      <alignment horizontal="left" vertical="center"/>
    </xf>
    <xf numFmtId="0" fontId="16" fillId="39" borderId="7" xfId="0" applyFont="1" applyFill="1" applyBorder="1" applyAlignment="1">
      <alignment horizontal="left" vertical="center" wrapText="1"/>
    </xf>
    <xf numFmtId="0" fontId="52" fillId="39" borderId="7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54" fillId="0" borderId="7" xfId="0" applyFont="1" applyFill="1" applyBorder="1" applyAlignment="1">
      <alignment vertical="center"/>
    </xf>
    <xf numFmtId="0" fontId="53" fillId="0" borderId="7" xfId="0" applyFont="1" applyFill="1" applyBorder="1" applyAlignment="1">
      <alignment horizontal="left" vertical="center"/>
    </xf>
    <xf numFmtId="0" fontId="53" fillId="0" borderId="7" xfId="0" applyFont="1" applyFill="1" applyBorder="1" applyAlignment="1">
      <alignment horizontal="left" vertical="center" wrapText="1"/>
    </xf>
    <xf numFmtId="0" fontId="55" fillId="0" borderId="0" xfId="0" applyFont="1"/>
    <xf numFmtId="0" fontId="52" fillId="0" borderId="0" xfId="0" applyFont="1"/>
    <xf numFmtId="38" fontId="16" fillId="0" borderId="7" xfId="628" applyFont="1" applyFill="1" applyBorder="1" applyAlignment="1">
      <alignment wrapText="1"/>
    </xf>
    <xf numFmtId="0" fontId="52" fillId="0" borderId="7" xfId="0" applyFont="1" applyBorder="1"/>
    <xf numFmtId="0" fontId="53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53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40" borderId="7" xfId="0" applyFont="1" applyFill="1" applyBorder="1" applyAlignment="1">
      <alignment vertical="center"/>
    </xf>
    <xf numFmtId="0" fontId="53" fillId="36" borderId="7" xfId="0" applyFont="1" applyFill="1" applyBorder="1" applyAlignment="1">
      <alignment horizontal="left" vertical="center"/>
    </xf>
    <xf numFmtId="0" fontId="53" fillId="32" borderId="7" xfId="0" applyFont="1" applyFill="1" applyBorder="1" applyAlignment="1">
      <alignment horizontal="left" vertical="center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47013</v>
          </cell>
        </row>
        <row r="282">
          <cell r="A282">
            <v>49001</v>
          </cell>
        </row>
        <row r="283">
          <cell r="A283">
            <v>49002</v>
          </cell>
        </row>
        <row r="284">
          <cell r="A284">
            <v>49003</v>
          </cell>
        </row>
        <row r="285">
          <cell r="A285">
            <v>49004</v>
          </cell>
        </row>
        <row r="286">
          <cell r="A286">
            <v>49005</v>
          </cell>
        </row>
        <row r="287">
          <cell r="A287">
            <v>49006</v>
          </cell>
        </row>
        <row r="288">
          <cell r="A288">
            <v>49007</v>
          </cell>
        </row>
        <row r="289">
          <cell r="A289">
            <v>49008</v>
          </cell>
        </row>
        <row r="290">
          <cell r="A290">
            <v>49009</v>
          </cell>
        </row>
        <row r="291">
          <cell r="A291">
            <v>49010</v>
          </cell>
        </row>
        <row r="292">
          <cell r="A292">
            <v>49011</v>
          </cell>
        </row>
        <row r="293">
          <cell r="A293">
            <v>49012</v>
          </cell>
        </row>
        <row r="294">
          <cell r="A294">
            <v>49013</v>
          </cell>
        </row>
        <row r="295">
          <cell r="A295">
            <v>49014</v>
          </cell>
        </row>
        <row r="296">
          <cell r="A296">
            <v>49015</v>
          </cell>
        </row>
        <row r="297">
          <cell r="A297">
            <v>50001</v>
          </cell>
        </row>
        <row r="298">
          <cell r="A298">
            <v>50002</v>
          </cell>
        </row>
        <row r="299">
          <cell r="A299">
            <v>50003</v>
          </cell>
        </row>
        <row r="300">
          <cell r="A300">
            <v>50004</v>
          </cell>
        </row>
        <row r="301">
          <cell r="A301">
            <v>50005</v>
          </cell>
        </row>
        <row r="302">
          <cell r="A302">
            <v>50006</v>
          </cell>
        </row>
        <row r="303">
          <cell r="A303">
            <v>50007</v>
          </cell>
        </row>
        <row r="304">
          <cell r="A304">
            <v>50008</v>
          </cell>
        </row>
        <row r="305">
          <cell r="A305">
            <v>50009</v>
          </cell>
        </row>
        <row r="306">
          <cell r="A306">
            <v>50010</v>
          </cell>
        </row>
        <row r="307">
          <cell r="A307">
            <v>50011</v>
          </cell>
        </row>
        <row r="308">
          <cell r="A308">
            <v>50012</v>
          </cell>
        </row>
        <row r="309">
          <cell r="A309">
            <v>50013</v>
          </cell>
        </row>
        <row r="310">
          <cell r="A310">
            <v>50014</v>
          </cell>
        </row>
        <row r="311">
          <cell r="A311">
            <v>50015</v>
          </cell>
        </row>
        <row r="312">
          <cell r="A312">
            <v>51001</v>
          </cell>
        </row>
        <row r="313">
          <cell r="A313">
            <v>51002</v>
          </cell>
        </row>
        <row r="314">
          <cell r="A314">
            <v>58001</v>
          </cell>
        </row>
        <row r="315">
          <cell r="A315">
            <v>59001</v>
          </cell>
        </row>
        <row r="316">
          <cell r="A316">
            <v>59002</v>
          </cell>
        </row>
        <row r="317">
          <cell r="A317">
            <v>60001</v>
          </cell>
        </row>
        <row r="318">
          <cell r="A318">
            <v>60002</v>
          </cell>
        </row>
        <row r="319">
          <cell r="A319">
            <v>60003</v>
          </cell>
        </row>
        <row r="320">
          <cell r="A320">
            <v>60004</v>
          </cell>
        </row>
        <row r="321">
          <cell r="A321">
            <v>60005</v>
          </cell>
        </row>
        <row r="322">
          <cell r="A322">
            <v>60006</v>
          </cell>
        </row>
        <row r="323">
          <cell r="A323">
            <v>60007</v>
          </cell>
        </row>
        <row r="324">
          <cell r="A324">
            <v>60010</v>
          </cell>
        </row>
        <row r="325">
          <cell r="A325">
            <v>60011</v>
          </cell>
        </row>
        <row r="326">
          <cell r="A326">
            <v>61011</v>
          </cell>
        </row>
        <row r="327">
          <cell r="A327">
            <v>60012</v>
          </cell>
        </row>
        <row r="328">
          <cell r="A328">
            <v>60013</v>
          </cell>
        </row>
        <row r="329">
          <cell r="A329">
            <v>60014</v>
          </cell>
        </row>
        <row r="330">
          <cell r="A330">
            <v>60015</v>
          </cell>
        </row>
        <row r="331">
          <cell r="A331">
            <v>60016</v>
          </cell>
        </row>
        <row r="332">
          <cell r="A332">
            <v>60017</v>
          </cell>
        </row>
        <row r="333">
          <cell r="A333">
            <v>60018</v>
          </cell>
        </row>
        <row r="334">
          <cell r="A334">
            <v>60019</v>
          </cell>
        </row>
        <row r="335">
          <cell r="A335">
            <v>60020</v>
          </cell>
        </row>
        <row r="336">
          <cell r="A336">
            <v>60025</v>
          </cell>
        </row>
        <row r="337">
          <cell r="A337">
            <v>60026</v>
          </cell>
        </row>
        <row r="338">
          <cell r="A338">
            <v>60027</v>
          </cell>
        </row>
        <row r="339">
          <cell r="A339">
            <v>60028</v>
          </cell>
        </row>
        <row r="340">
          <cell r="A340">
            <v>60029</v>
          </cell>
        </row>
        <row r="341">
          <cell r="A341">
            <v>65523</v>
          </cell>
        </row>
        <row r="342">
          <cell r="A342">
            <v>65524</v>
          </cell>
        </row>
        <row r="343">
          <cell r="A343">
            <v>65525</v>
          </cell>
        </row>
        <row r="344">
          <cell r="A344">
            <v>65526</v>
          </cell>
        </row>
        <row r="345">
          <cell r="A345">
            <v>65527</v>
          </cell>
        </row>
        <row r="346">
          <cell r="A346">
            <v>65528</v>
          </cell>
        </row>
        <row r="347">
          <cell r="A347">
            <v>65529</v>
          </cell>
        </row>
        <row r="348">
          <cell r="A348">
            <v>65530</v>
          </cell>
        </row>
        <row r="349">
          <cell r="A349">
            <v>65531</v>
          </cell>
        </row>
        <row r="350">
          <cell r="A350">
            <v>65532</v>
          </cell>
        </row>
        <row r="351">
          <cell r="A351">
            <v>65533</v>
          </cell>
        </row>
        <row r="352">
          <cell r="A352">
            <v>65534</v>
          </cell>
        </row>
        <row r="353">
          <cell r="A353">
            <v>65535</v>
          </cell>
        </row>
        <row r="354">
          <cell r="A354">
            <v>60021</v>
          </cell>
        </row>
        <row r="355">
          <cell r="A355">
            <v>60022</v>
          </cell>
        </row>
        <row r="356">
          <cell r="A356">
            <v>60023</v>
          </cell>
        </row>
        <row r="357">
          <cell r="A35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47013_1</v>
          </cell>
        </row>
        <row r="862">
          <cell r="A862" t="str">
            <v>47013_2</v>
          </cell>
        </row>
        <row r="863">
          <cell r="A863" t="str">
            <v>48001_1</v>
          </cell>
        </row>
        <row r="864">
          <cell r="A864" t="str">
            <v>48002_1</v>
          </cell>
        </row>
        <row r="865">
          <cell r="A865" t="str">
            <v>48002_2</v>
          </cell>
        </row>
        <row r="866">
          <cell r="A866" t="str">
            <v>48002_3</v>
          </cell>
        </row>
        <row r="867">
          <cell r="A867" t="str">
            <v>48003_1</v>
          </cell>
        </row>
        <row r="868">
          <cell r="A868" t="str">
            <v>48003_2</v>
          </cell>
        </row>
        <row r="869">
          <cell r="A869" t="str">
            <v>48004_1</v>
          </cell>
        </row>
        <row r="870">
          <cell r="A870" t="str">
            <v>48004_2</v>
          </cell>
        </row>
        <row r="871">
          <cell r="A871" t="str">
            <v>48005_1</v>
          </cell>
        </row>
        <row r="872">
          <cell r="A872" t="str">
            <v>48005_2</v>
          </cell>
        </row>
        <row r="873">
          <cell r="A873" t="str">
            <v>48006_1</v>
          </cell>
        </row>
        <row r="874">
          <cell r="A874" t="str">
            <v>48006_2</v>
          </cell>
        </row>
        <row r="875">
          <cell r="A875" t="str">
            <v>48007_1</v>
          </cell>
        </row>
        <row r="876">
          <cell r="A876" t="str">
            <v>48007_2</v>
          </cell>
        </row>
        <row r="877">
          <cell r="A877" t="str">
            <v>48008_1</v>
          </cell>
        </row>
        <row r="878">
          <cell r="A878" t="str">
            <v>48008_2</v>
          </cell>
        </row>
        <row r="879">
          <cell r="A879" t="str">
            <v>48009_1</v>
          </cell>
        </row>
        <row r="880">
          <cell r="A880" t="str">
            <v>48009_2</v>
          </cell>
        </row>
        <row r="881">
          <cell r="A881" t="str">
            <v>48010_1</v>
          </cell>
        </row>
        <row r="882">
          <cell r="A882" t="str">
            <v>48011_1</v>
          </cell>
        </row>
        <row r="883">
          <cell r="A883" t="str">
            <v>48011_2</v>
          </cell>
        </row>
        <row r="884">
          <cell r="A884" t="str">
            <v>48012_1</v>
          </cell>
        </row>
        <row r="885">
          <cell r="A885" t="str">
            <v>48012_2</v>
          </cell>
        </row>
        <row r="886">
          <cell r="A886" t="str">
            <v>48501_1</v>
          </cell>
        </row>
        <row r="887">
          <cell r="A887" t="str">
            <v>48501_2</v>
          </cell>
        </row>
        <row r="888">
          <cell r="A888" t="str">
            <v>48502_1</v>
          </cell>
        </row>
        <row r="889">
          <cell r="A889" t="str">
            <v>48502_2</v>
          </cell>
        </row>
        <row r="890">
          <cell r="A890" t="str">
            <v>48701_1</v>
          </cell>
        </row>
        <row r="891">
          <cell r="A891" t="str">
            <v>48701_2</v>
          </cell>
        </row>
        <row r="892">
          <cell r="A892" t="str">
            <v>48702_1</v>
          </cell>
        </row>
        <row r="893">
          <cell r="A893" t="str">
            <v>48702_2</v>
          </cell>
        </row>
        <row r="894">
          <cell r="A894" t="str">
            <v>49001_1</v>
          </cell>
        </row>
        <row r="895">
          <cell r="A895" t="str">
            <v>49002_1</v>
          </cell>
        </row>
        <row r="896">
          <cell r="A896" t="str">
            <v>49002_2</v>
          </cell>
        </row>
        <row r="897">
          <cell r="A897" t="str">
            <v>49003_1</v>
          </cell>
        </row>
        <row r="898">
          <cell r="A898" t="str">
            <v>49003_2</v>
          </cell>
        </row>
        <row r="899">
          <cell r="A899" t="str">
            <v>49004_1</v>
          </cell>
        </row>
        <row r="900">
          <cell r="A900" t="str">
            <v>49004_2</v>
          </cell>
        </row>
        <row r="901">
          <cell r="A901" t="str">
            <v>49004_3</v>
          </cell>
        </row>
        <row r="902">
          <cell r="A902" t="str">
            <v>49005_1</v>
          </cell>
        </row>
        <row r="903">
          <cell r="A903" t="str">
            <v>49006_1</v>
          </cell>
        </row>
        <row r="904">
          <cell r="A904" t="str">
            <v>49006_2</v>
          </cell>
        </row>
        <row r="905">
          <cell r="A905" t="str">
            <v>49007_1</v>
          </cell>
        </row>
        <row r="906">
          <cell r="A906" t="str">
            <v>49007_2</v>
          </cell>
        </row>
        <row r="907">
          <cell r="A907" t="str">
            <v>49007_3</v>
          </cell>
        </row>
        <row r="908">
          <cell r="A908" t="str">
            <v>49008_1</v>
          </cell>
        </row>
        <row r="909">
          <cell r="A909" t="str">
            <v>49009_1</v>
          </cell>
        </row>
        <row r="910">
          <cell r="A910" t="str">
            <v>49010_1</v>
          </cell>
        </row>
        <row r="911">
          <cell r="A911" t="str">
            <v>49011_1</v>
          </cell>
        </row>
        <row r="912">
          <cell r="A912" t="str">
            <v>49012_1</v>
          </cell>
        </row>
        <row r="913">
          <cell r="A913" t="str">
            <v>49013_1</v>
          </cell>
        </row>
        <row r="914">
          <cell r="A914" t="str">
            <v>49014_1</v>
          </cell>
        </row>
        <row r="915">
          <cell r="A915" t="str">
            <v>49014_2</v>
          </cell>
        </row>
        <row r="916">
          <cell r="A916" t="str">
            <v>49015_1</v>
          </cell>
        </row>
        <row r="917">
          <cell r="A917" t="str">
            <v>49015_2</v>
          </cell>
        </row>
        <row r="918">
          <cell r="A918" t="str">
            <v>49015_3</v>
          </cell>
        </row>
        <row r="919">
          <cell r="A919" t="str">
            <v>50001_1</v>
          </cell>
        </row>
        <row r="920">
          <cell r="A920" t="str">
            <v>50002_1</v>
          </cell>
        </row>
        <row r="921">
          <cell r="A921" t="str">
            <v>50003_1</v>
          </cell>
        </row>
        <row r="922">
          <cell r="A922" t="str">
            <v>50004_1</v>
          </cell>
        </row>
        <row r="923">
          <cell r="A923" t="str">
            <v>50005_1</v>
          </cell>
        </row>
        <row r="924">
          <cell r="A924" t="str">
            <v>50006_1</v>
          </cell>
        </row>
        <row r="925">
          <cell r="A925" t="str">
            <v>50007_1</v>
          </cell>
        </row>
        <row r="926">
          <cell r="A926" t="str">
            <v>50008_1</v>
          </cell>
        </row>
        <row r="927">
          <cell r="A927" t="str">
            <v>50009_1</v>
          </cell>
        </row>
        <row r="928">
          <cell r="A928" t="str">
            <v>50010_1</v>
          </cell>
        </row>
        <row r="929">
          <cell r="A929" t="str">
            <v>50011_1</v>
          </cell>
        </row>
        <row r="930">
          <cell r="A930" t="str">
            <v>50012_1</v>
          </cell>
        </row>
        <row r="931">
          <cell r="A931" t="str">
            <v>50013_1</v>
          </cell>
        </row>
        <row r="932">
          <cell r="A932" t="str">
            <v>50014_1</v>
          </cell>
        </row>
        <row r="933">
          <cell r="A933" t="str">
            <v>50015_1</v>
          </cell>
        </row>
        <row r="934">
          <cell r="A934" t="str">
            <v>51001_1</v>
          </cell>
        </row>
        <row r="935">
          <cell r="A935" t="str">
            <v>51002_1</v>
          </cell>
        </row>
        <row r="936">
          <cell r="A936" t="str">
            <v>58001_1</v>
          </cell>
        </row>
        <row r="937">
          <cell r="A937" t="str">
            <v>59001_1</v>
          </cell>
        </row>
        <row r="938">
          <cell r="A938" t="str">
            <v>59002_1</v>
          </cell>
        </row>
        <row r="939">
          <cell r="A939" t="str">
            <v>60001_1</v>
          </cell>
        </row>
        <row r="940">
          <cell r="A940" t="str">
            <v>60002_1</v>
          </cell>
        </row>
        <row r="941">
          <cell r="A941" t="str">
            <v>60002_2</v>
          </cell>
        </row>
        <row r="942">
          <cell r="A942" t="str">
            <v>60003_1</v>
          </cell>
        </row>
        <row r="943">
          <cell r="A943" t="str">
            <v>60003_2</v>
          </cell>
        </row>
        <row r="944">
          <cell r="A944" t="str">
            <v>60003_3</v>
          </cell>
        </row>
        <row r="945">
          <cell r="A945" t="str">
            <v>60004_1</v>
          </cell>
        </row>
        <row r="946">
          <cell r="A946" t="str">
            <v>60005_1</v>
          </cell>
        </row>
        <row r="947">
          <cell r="A947" t="str">
            <v>60006_1</v>
          </cell>
        </row>
        <row r="948">
          <cell r="A948" t="str">
            <v>60006_2</v>
          </cell>
        </row>
        <row r="949">
          <cell r="A949" t="str">
            <v>60006_3</v>
          </cell>
        </row>
        <row r="950">
          <cell r="A950" t="str">
            <v>60007_1</v>
          </cell>
        </row>
        <row r="951">
          <cell r="A951" t="str">
            <v>60007_2</v>
          </cell>
        </row>
        <row r="952">
          <cell r="A952" t="str">
            <v>60007_3</v>
          </cell>
        </row>
        <row r="953">
          <cell r="A953" t="str">
            <v>60010_1</v>
          </cell>
        </row>
        <row r="954">
          <cell r="A954" t="str">
            <v>60011_1</v>
          </cell>
        </row>
        <row r="955">
          <cell r="A955" t="str">
            <v>60011_2</v>
          </cell>
        </row>
        <row r="956">
          <cell r="A956" t="str">
            <v>60012_1</v>
          </cell>
        </row>
        <row r="957">
          <cell r="A957" t="str">
            <v>60013_1</v>
          </cell>
        </row>
        <row r="958">
          <cell r="A958" t="str">
            <v>60013_2</v>
          </cell>
        </row>
        <row r="959">
          <cell r="A959" t="str">
            <v>60013_3</v>
          </cell>
        </row>
        <row r="960">
          <cell r="A960" t="str">
            <v>60014_1</v>
          </cell>
        </row>
        <row r="961">
          <cell r="A961" t="str">
            <v>60015_1</v>
          </cell>
        </row>
        <row r="962">
          <cell r="A962" t="str">
            <v>60016_1</v>
          </cell>
        </row>
        <row r="963">
          <cell r="A963" t="str">
            <v>60017_1</v>
          </cell>
        </row>
        <row r="964">
          <cell r="A964" t="str">
            <v>60018_1</v>
          </cell>
        </row>
        <row r="965">
          <cell r="A965" t="str">
            <v>60019_1</v>
          </cell>
        </row>
        <row r="966">
          <cell r="A966" t="str">
            <v>60020_1</v>
          </cell>
        </row>
        <row r="967">
          <cell r="A967" t="str">
            <v>60021_3</v>
          </cell>
        </row>
        <row r="968">
          <cell r="A968" t="str">
            <v>60022_3</v>
          </cell>
        </row>
        <row r="969">
          <cell r="A969" t="str">
            <v>60023_3</v>
          </cell>
        </row>
        <row r="970">
          <cell r="A970" t="str">
            <v>60024_3</v>
          </cell>
        </row>
        <row r="971">
          <cell r="A971" t="str">
            <v>60025_1</v>
          </cell>
        </row>
        <row r="972">
          <cell r="A972" t="str">
            <v>60026_1</v>
          </cell>
        </row>
        <row r="973">
          <cell r="A973" t="str">
            <v>61011_1</v>
          </cell>
        </row>
        <row r="974">
          <cell r="A974" t="str">
            <v>60027_1</v>
          </cell>
        </row>
        <row r="975">
          <cell r="A975" t="str">
            <v>60028_1</v>
          </cell>
        </row>
        <row r="976">
          <cell r="A976" t="str">
            <v>60029_1</v>
          </cell>
        </row>
        <row r="977">
          <cell r="A977" t="str">
            <v>65523_1</v>
          </cell>
        </row>
        <row r="978">
          <cell r="A978" t="str">
            <v>65523_2</v>
          </cell>
        </row>
        <row r="979">
          <cell r="A979" t="str">
            <v>65523_3</v>
          </cell>
        </row>
        <row r="980">
          <cell r="A980" t="str">
            <v>65524_1</v>
          </cell>
        </row>
        <row r="981">
          <cell r="A981" t="str">
            <v>65524_2</v>
          </cell>
        </row>
        <row r="982">
          <cell r="A982" t="str">
            <v>65525_1</v>
          </cell>
        </row>
        <row r="983">
          <cell r="A983" t="str">
            <v>65526_1</v>
          </cell>
        </row>
        <row r="984">
          <cell r="A984" t="str">
            <v>65526_2</v>
          </cell>
        </row>
        <row r="985">
          <cell r="A985" t="str">
            <v>65527_1</v>
          </cell>
        </row>
        <row r="986">
          <cell r="A986" t="str">
            <v>65528_1</v>
          </cell>
        </row>
        <row r="987">
          <cell r="A987" t="str">
            <v>65529_1</v>
          </cell>
        </row>
        <row r="988">
          <cell r="A988" t="str">
            <v>65530_1</v>
          </cell>
        </row>
        <row r="989">
          <cell r="A989" t="str">
            <v>65531_1</v>
          </cell>
        </row>
        <row r="990">
          <cell r="A990" t="str">
            <v>65531_2</v>
          </cell>
        </row>
        <row r="991">
          <cell r="A991" t="str">
            <v>65532_1</v>
          </cell>
        </row>
        <row r="992">
          <cell r="A992" t="str">
            <v>65532_2</v>
          </cell>
        </row>
        <row r="993">
          <cell r="A993" t="str">
            <v>65533_1</v>
          </cell>
        </row>
        <row r="994">
          <cell r="A994" t="str">
            <v>65533_2</v>
          </cell>
        </row>
        <row r="995">
          <cell r="A995" t="str">
            <v>65534_1</v>
          </cell>
        </row>
        <row r="996">
          <cell r="A996" t="str">
            <v>65534_2</v>
          </cell>
        </row>
        <row r="997">
          <cell r="A997" t="str">
            <v>65535_1</v>
          </cell>
        </row>
        <row r="998">
          <cell r="A998" t="str">
            <v>65535_2</v>
          </cell>
        </row>
        <row r="999">
          <cell r="A999" t="str">
            <v>65535_3</v>
          </cell>
        </row>
        <row r="1000">
          <cell r="A1000" t="str">
            <v>65535_4</v>
          </cell>
        </row>
        <row r="1001">
          <cell r="A1001" t="str">
            <v>65535_5</v>
          </cell>
        </row>
        <row r="1002">
          <cell r="A1002" t="str">
            <v>65535_6</v>
          </cell>
        </row>
        <row r="1003">
          <cell r="A1003" t="str">
            <v>65535_7</v>
          </cell>
        </row>
        <row r="1004">
          <cell r="A1004" t="str">
            <v>65535_8</v>
          </cell>
        </row>
        <row r="1005">
          <cell r="A1005" t="str">
            <v>65535_9</v>
          </cell>
        </row>
        <row r="1006">
          <cell r="A100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1427</v>
          </cell>
        </row>
        <row r="1419">
          <cell r="A1419">
            <v>1428</v>
          </cell>
        </row>
        <row r="1420">
          <cell r="A1420">
            <v>1431</v>
          </cell>
        </row>
        <row r="1421">
          <cell r="A1421">
            <v>1432</v>
          </cell>
        </row>
        <row r="1422">
          <cell r="A1422">
            <v>1433</v>
          </cell>
        </row>
        <row r="1423">
          <cell r="A1423">
            <v>1434</v>
          </cell>
        </row>
        <row r="1424">
          <cell r="A1424">
            <v>1435</v>
          </cell>
        </row>
        <row r="1425">
          <cell r="A1425">
            <v>1452</v>
          </cell>
        </row>
        <row r="1426">
          <cell r="A1426">
            <v>1453</v>
          </cell>
        </row>
        <row r="1427">
          <cell r="A1427">
            <v>1454</v>
          </cell>
        </row>
        <row r="1428">
          <cell r="A1428">
            <v>1455</v>
          </cell>
        </row>
        <row r="1429">
          <cell r="A1429">
            <v>1456</v>
          </cell>
        </row>
        <row r="1430">
          <cell r="A1430">
            <v>1457</v>
          </cell>
        </row>
        <row r="1431">
          <cell r="A1431">
            <v>1458</v>
          </cell>
        </row>
        <row r="1432">
          <cell r="A1432">
            <v>1459</v>
          </cell>
        </row>
        <row r="1433">
          <cell r="A1433">
            <v>1460</v>
          </cell>
        </row>
        <row r="1434">
          <cell r="A1434">
            <v>1461</v>
          </cell>
        </row>
        <row r="1435">
          <cell r="A1435">
            <v>1462</v>
          </cell>
        </row>
        <row r="1436">
          <cell r="A1436">
            <v>1463</v>
          </cell>
        </row>
        <row r="1437">
          <cell r="A1437">
            <v>1464</v>
          </cell>
        </row>
        <row r="1438">
          <cell r="A1438">
            <v>1465</v>
          </cell>
        </row>
        <row r="1439">
          <cell r="A1439">
            <v>1466</v>
          </cell>
        </row>
        <row r="1440">
          <cell r="A1440">
            <v>1467</v>
          </cell>
        </row>
        <row r="1441">
          <cell r="A1441">
            <v>1468</v>
          </cell>
        </row>
        <row r="1442">
          <cell r="A1442">
            <v>1469</v>
          </cell>
        </row>
        <row r="1443">
          <cell r="A1443">
            <v>1470</v>
          </cell>
        </row>
        <row r="1444">
          <cell r="A1444">
            <v>1471</v>
          </cell>
        </row>
        <row r="1445">
          <cell r="A1445">
            <v>1488</v>
          </cell>
        </row>
        <row r="1446">
          <cell r="A1446">
            <v>1489</v>
          </cell>
        </row>
        <row r="1447">
          <cell r="A1447">
            <v>1490</v>
          </cell>
        </row>
        <row r="1448">
          <cell r="A1448">
            <v>1491</v>
          </cell>
        </row>
        <row r="1449">
          <cell r="A1449">
            <v>1495</v>
          </cell>
        </row>
        <row r="1450">
          <cell r="A1450">
            <v>1496</v>
          </cell>
        </row>
        <row r="1451">
          <cell r="A1451">
            <v>1497</v>
          </cell>
        </row>
        <row r="1452">
          <cell r="A1452">
            <v>1498</v>
          </cell>
        </row>
        <row r="1453">
          <cell r="A1453">
            <v>1499</v>
          </cell>
        </row>
        <row r="1454">
          <cell r="A1454">
            <v>1500</v>
          </cell>
        </row>
        <row r="1455">
          <cell r="A1455">
            <v>1501</v>
          </cell>
        </row>
        <row r="1456">
          <cell r="A1456">
            <v>1502</v>
          </cell>
        </row>
        <row r="1457">
          <cell r="A1457">
            <v>1503</v>
          </cell>
        </row>
        <row r="1458">
          <cell r="A1458">
            <v>1504</v>
          </cell>
        </row>
        <row r="1459">
          <cell r="A1459">
            <v>1505</v>
          </cell>
        </row>
        <row r="1460">
          <cell r="A1460">
            <v>1506</v>
          </cell>
        </row>
        <row r="1461">
          <cell r="A1461">
            <v>1507</v>
          </cell>
        </row>
        <row r="1462">
          <cell r="A1462">
            <v>1508</v>
          </cell>
        </row>
        <row r="1463">
          <cell r="A1463">
            <v>1509</v>
          </cell>
        </row>
        <row r="1464">
          <cell r="A1464">
            <v>1510</v>
          </cell>
        </row>
        <row r="1465">
          <cell r="A1465">
            <v>1511</v>
          </cell>
        </row>
        <row r="1466">
          <cell r="A1466">
            <v>1512</v>
          </cell>
        </row>
        <row r="1467">
          <cell r="A1467">
            <v>1513</v>
          </cell>
        </row>
        <row r="1468">
          <cell r="A1468">
            <v>1514</v>
          </cell>
        </row>
        <row r="1469">
          <cell r="A1469">
            <v>1515</v>
          </cell>
        </row>
        <row r="1470">
          <cell r="A1470">
            <v>1516</v>
          </cell>
        </row>
        <row r="1471">
          <cell r="A1471">
            <v>1517</v>
          </cell>
        </row>
        <row r="1472">
          <cell r="A1472">
            <v>1518</v>
          </cell>
        </row>
        <row r="1473">
          <cell r="A1473">
            <v>1519</v>
          </cell>
        </row>
        <row r="1474">
          <cell r="A1474">
            <v>1520</v>
          </cell>
        </row>
        <row r="1475">
          <cell r="A1475">
            <v>1521</v>
          </cell>
        </row>
        <row r="1476">
          <cell r="A1476">
            <v>1522</v>
          </cell>
        </row>
        <row r="1477">
          <cell r="A1477">
            <v>1523</v>
          </cell>
        </row>
        <row r="1478">
          <cell r="A1478">
            <v>1524</v>
          </cell>
        </row>
        <row r="1479">
          <cell r="A1479">
            <v>1525</v>
          </cell>
        </row>
        <row r="1480">
          <cell r="A1480">
            <v>1526</v>
          </cell>
        </row>
        <row r="1481">
          <cell r="A1481">
            <v>1527</v>
          </cell>
        </row>
        <row r="1482">
          <cell r="A1482">
            <v>1528</v>
          </cell>
        </row>
        <row r="1483">
          <cell r="A1483">
            <v>1529</v>
          </cell>
        </row>
        <row r="1484">
          <cell r="A1484">
            <v>1530</v>
          </cell>
        </row>
        <row r="1485">
          <cell r="A1485">
            <v>1531</v>
          </cell>
        </row>
        <row r="1486">
          <cell r="A1486">
            <v>1532</v>
          </cell>
        </row>
        <row r="1487">
          <cell r="A1487">
            <v>1533</v>
          </cell>
        </row>
        <row r="1488">
          <cell r="A1488">
            <v>1534</v>
          </cell>
        </row>
        <row r="1489">
          <cell r="A1489">
            <v>1535</v>
          </cell>
        </row>
        <row r="1490">
          <cell r="A1490">
            <v>1536</v>
          </cell>
        </row>
        <row r="1491">
          <cell r="A1491">
            <v>1537</v>
          </cell>
        </row>
        <row r="1492">
          <cell r="A1492">
            <v>1538</v>
          </cell>
        </row>
        <row r="1493">
          <cell r="A1493">
            <v>1539</v>
          </cell>
        </row>
        <row r="1494">
          <cell r="A1494">
            <v>1540</v>
          </cell>
        </row>
        <row r="1495">
          <cell r="A1495">
            <v>1541</v>
          </cell>
        </row>
        <row r="1496">
          <cell r="A1496">
            <v>1542</v>
          </cell>
        </row>
        <row r="1497">
          <cell r="A1497">
            <v>1543</v>
          </cell>
        </row>
        <row r="1498">
          <cell r="A1498">
            <v>1544</v>
          </cell>
        </row>
        <row r="1499">
          <cell r="A1499">
            <v>1545</v>
          </cell>
        </row>
        <row r="1500">
          <cell r="A1500">
            <v>1546</v>
          </cell>
        </row>
        <row r="1501">
          <cell r="A1501">
            <v>1547</v>
          </cell>
        </row>
        <row r="1502">
          <cell r="A1502">
            <v>1548</v>
          </cell>
        </row>
        <row r="1503">
          <cell r="A1503">
            <v>1549</v>
          </cell>
        </row>
        <row r="1504">
          <cell r="A1504">
            <v>1550</v>
          </cell>
        </row>
        <row r="1505">
          <cell r="A1505">
            <v>1551</v>
          </cell>
        </row>
        <row r="1506">
          <cell r="A1506">
            <v>1552</v>
          </cell>
        </row>
        <row r="1507">
          <cell r="A1507">
            <v>1553</v>
          </cell>
        </row>
        <row r="1508">
          <cell r="A1508">
            <v>1554</v>
          </cell>
        </row>
        <row r="1509">
          <cell r="A1509">
            <v>1555</v>
          </cell>
        </row>
        <row r="1510">
          <cell r="A1510">
            <v>1556</v>
          </cell>
        </row>
        <row r="1511">
          <cell r="A1511">
            <v>1557</v>
          </cell>
        </row>
        <row r="1512">
          <cell r="A1512">
            <v>1558</v>
          </cell>
        </row>
        <row r="1513">
          <cell r="A1513">
            <v>1559</v>
          </cell>
        </row>
        <row r="1514">
          <cell r="A1514">
            <v>1560</v>
          </cell>
        </row>
        <row r="1515">
          <cell r="A1515">
            <v>1561</v>
          </cell>
        </row>
        <row r="1516">
          <cell r="A1516">
            <v>1562</v>
          </cell>
        </row>
        <row r="1517">
          <cell r="A1517">
            <v>1563</v>
          </cell>
        </row>
        <row r="1518">
          <cell r="A1518">
            <v>1564</v>
          </cell>
        </row>
        <row r="1519">
          <cell r="A1519">
            <v>1565</v>
          </cell>
        </row>
        <row r="1520">
          <cell r="A1520">
            <v>1566</v>
          </cell>
        </row>
        <row r="1521">
          <cell r="A1521">
            <v>1567</v>
          </cell>
        </row>
        <row r="1522">
          <cell r="A1522">
            <v>1568</v>
          </cell>
        </row>
        <row r="1523">
          <cell r="A1523">
            <v>1569</v>
          </cell>
        </row>
        <row r="1524">
          <cell r="A1524">
            <v>1570</v>
          </cell>
        </row>
        <row r="1525">
          <cell r="A1525">
            <v>1571</v>
          </cell>
        </row>
        <row r="1526">
          <cell r="A1526">
            <v>1572</v>
          </cell>
        </row>
        <row r="1527">
          <cell r="A1527">
            <v>1573</v>
          </cell>
        </row>
        <row r="1528">
          <cell r="A1528">
            <v>1574</v>
          </cell>
        </row>
        <row r="1529">
          <cell r="A1529">
            <v>1575</v>
          </cell>
        </row>
        <row r="1530">
          <cell r="A1530">
            <v>1576</v>
          </cell>
        </row>
        <row r="1531">
          <cell r="A1531">
            <v>1577</v>
          </cell>
        </row>
        <row r="1532">
          <cell r="A1532">
            <v>1578</v>
          </cell>
        </row>
        <row r="1533">
          <cell r="A1533">
            <v>1579</v>
          </cell>
        </row>
        <row r="1534">
          <cell r="A1534">
            <v>1580</v>
          </cell>
        </row>
        <row r="1535">
          <cell r="A1535">
            <v>1581</v>
          </cell>
        </row>
        <row r="1536">
          <cell r="A1536">
            <v>1582</v>
          </cell>
        </row>
        <row r="1537">
          <cell r="A1537">
            <v>1583</v>
          </cell>
        </row>
        <row r="1538">
          <cell r="A1538">
            <v>1584</v>
          </cell>
        </row>
        <row r="1539">
          <cell r="A1539">
            <v>1585</v>
          </cell>
        </row>
        <row r="1540">
          <cell r="A1540">
            <v>1586</v>
          </cell>
        </row>
        <row r="1541">
          <cell r="A1541">
            <v>1587</v>
          </cell>
        </row>
        <row r="1542">
          <cell r="A1542">
            <v>1588</v>
          </cell>
        </row>
        <row r="1543">
          <cell r="A1543">
            <v>1613</v>
          </cell>
        </row>
        <row r="1544">
          <cell r="A1544">
            <v>1614</v>
          </cell>
        </row>
        <row r="1545">
          <cell r="A1545">
            <v>5001</v>
          </cell>
        </row>
        <row r="1546">
          <cell r="A1546">
            <v>5002</v>
          </cell>
        </row>
        <row r="1547">
          <cell r="A1547">
            <v>5003</v>
          </cell>
        </row>
        <row r="1548">
          <cell r="A1548">
            <v>5004</v>
          </cell>
        </row>
        <row r="1549">
          <cell r="A1549">
            <v>5005</v>
          </cell>
        </row>
        <row r="1550">
          <cell r="A1550">
            <v>5006</v>
          </cell>
        </row>
        <row r="1551">
          <cell r="A1551">
            <v>5007</v>
          </cell>
        </row>
        <row r="1552">
          <cell r="A1552">
            <v>5008</v>
          </cell>
        </row>
        <row r="1553">
          <cell r="A1553">
            <v>6001</v>
          </cell>
        </row>
        <row r="1554">
          <cell r="A1554">
            <v>6002</v>
          </cell>
        </row>
        <row r="1555">
          <cell r="A1555">
            <v>6003</v>
          </cell>
        </row>
        <row r="1556">
          <cell r="A1556">
            <v>6004</v>
          </cell>
        </row>
        <row r="1557">
          <cell r="A1557">
            <v>6005</v>
          </cell>
        </row>
        <row r="1558">
          <cell r="A1558">
            <v>6006</v>
          </cell>
        </row>
        <row r="1559">
          <cell r="A1559">
            <v>6007</v>
          </cell>
        </row>
        <row r="1560">
          <cell r="A1560">
            <v>6008</v>
          </cell>
        </row>
        <row r="1561">
          <cell r="A1561">
            <v>6009</v>
          </cell>
        </row>
        <row r="1562">
          <cell r="A1562">
            <v>6010</v>
          </cell>
        </row>
        <row r="1563">
          <cell r="A1563">
            <v>6011</v>
          </cell>
        </row>
        <row r="1564">
          <cell r="A1564">
            <v>6012</v>
          </cell>
        </row>
        <row r="1565">
          <cell r="A1565">
            <v>6013</v>
          </cell>
        </row>
        <row r="1566">
          <cell r="A1566">
            <v>6014</v>
          </cell>
        </row>
        <row r="1567">
          <cell r="A1567">
            <v>6015</v>
          </cell>
        </row>
        <row r="1568">
          <cell r="A1568">
            <v>6016</v>
          </cell>
        </row>
        <row r="1569">
          <cell r="A1569">
            <v>6017</v>
          </cell>
        </row>
        <row r="1570">
          <cell r="A1570">
            <v>6018</v>
          </cell>
        </row>
        <row r="1571">
          <cell r="A1571">
            <v>6019</v>
          </cell>
        </row>
        <row r="1572">
          <cell r="A1572">
            <v>6020</v>
          </cell>
        </row>
        <row r="1573">
          <cell r="A1573">
            <v>8001</v>
          </cell>
        </row>
        <row r="1574">
          <cell r="A1574">
            <v>8002</v>
          </cell>
        </row>
        <row r="1575">
          <cell r="A1575">
            <v>8003</v>
          </cell>
        </row>
        <row r="1576">
          <cell r="A1576">
            <v>8004</v>
          </cell>
        </row>
        <row r="1577">
          <cell r="A1577">
            <v>8005</v>
          </cell>
        </row>
        <row r="1578">
          <cell r="A1578">
            <v>8006</v>
          </cell>
        </row>
        <row r="1579">
          <cell r="A1579">
            <v>8007</v>
          </cell>
        </row>
        <row r="1580">
          <cell r="A1580">
            <v>8008</v>
          </cell>
        </row>
        <row r="1581">
          <cell r="A1581">
            <v>8009</v>
          </cell>
        </row>
        <row r="1582">
          <cell r="A1582">
            <v>8010</v>
          </cell>
        </row>
        <row r="1583">
          <cell r="A1583">
            <v>8011</v>
          </cell>
        </row>
        <row r="1584">
          <cell r="A1584">
            <v>8012</v>
          </cell>
        </row>
        <row r="1585">
          <cell r="A1585">
            <v>8013</v>
          </cell>
        </row>
        <row r="1586">
          <cell r="A1586">
            <v>8014</v>
          </cell>
        </row>
        <row r="1587">
          <cell r="A1587">
            <v>8015</v>
          </cell>
        </row>
        <row r="1588">
          <cell r="A1588">
            <v>8016</v>
          </cell>
        </row>
        <row r="1589">
          <cell r="A1589">
            <v>8017</v>
          </cell>
        </row>
        <row r="1590">
          <cell r="A1590">
            <v>8018</v>
          </cell>
        </row>
        <row r="1591">
          <cell r="A1591">
            <v>8019</v>
          </cell>
        </row>
        <row r="1592">
          <cell r="A1592">
            <v>8020</v>
          </cell>
        </row>
        <row r="1593">
          <cell r="A1593">
            <v>8021</v>
          </cell>
        </row>
        <row r="1594">
          <cell r="A1594">
            <v>8022</v>
          </cell>
        </row>
        <row r="1595">
          <cell r="A1595">
            <v>8023</v>
          </cell>
        </row>
        <row r="1596">
          <cell r="A1596">
            <v>8024</v>
          </cell>
        </row>
        <row r="1597">
          <cell r="A1597">
            <v>8025</v>
          </cell>
        </row>
        <row r="1598">
          <cell r="A1598">
            <v>8026</v>
          </cell>
        </row>
        <row r="1599">
          <cell r="A1599">
            <v>8027</v>
          </cell>
        </row>
        <row r="1600">
          <cell r="A1600">
            <v>8028</v>
          </cell>
        </row>
        <row r="1601">
          <cell r="A1601">
            <v>8029</v>
          </cell>
        </row>
        <row r="1602">
          <cell r="A1602">
            <v>8030</v>
          </cell>
        </row>
        <row r="1603">
          <cell r="A1603">
            <v>8031</v>
          </cell>
        </row>
        <row r="1604">
          <cell r="A1604">
            <v>8032</v>
          </cell>
        </row>
        <row r="1605">
          <cell r="A1605">
            <v>8033</v>
          </cell>
        </row>
        <row r="1606">
          <cell r="A1606">
            <v>8034</v>
          </cell>
        </row>
        <row r="1607">
          <cell r="A1607">
            <v>8035</v>
          </cell>
        </row>
        <row r="1608">
          <cell r="A1608">
            <v>8036</v>
          </cell>
        </row>
        <row r="1609">
          <cell r="A1609">
            <v>8037</v>
          </cell>
        </row>
        <row r="1610">
          <cell r="A1610">
            <v>8038</v>
          </cell>
        </row>
        <row r="1611">
          <cell r="A1611">
            <v>8039</v>
          </cell>
        </row>
        <row r="1612">
          <cell r="A1612">
            <v>8040</v>
          </cell>
        </row>
        <row r="1613">
          <cell r="A1613">
            <v>8041</v>
          </cell>
        </row>
        <row r="1614">
          <cell r="A1614">
            <v>8042</v>
          </cell>
        </row>
        <row r="1615">
          <cell r="A1615">
            <v>8043</v>
          </cell>
        </row>
        <row r="1616">
          <cell r="A1616">
            <v>8044</v>
          </cell>
        </row>
        <row r="1617">
          <cell r="A1617">
            <v>8045</v>
          </cell>
        </row>
        <row r="1618">
          <cell r="A1618">
            <v>8046</v>
          </cell>
        </row>
        <row r="1619">
          <cell r="A1619">
            <v>8047</v>
          </cell>
        </row>
        <row r="1620">
          <cell r="A1620">
            <v>8048</v>
          </cell>
        </row>
        <row r="1621">
          <cell r="A1621">
            <v>8049</v>
          </cell>
        </row>
        <row r="1622">
          <cell r="A1622">
            <v>8050</v>
          </cell>
        </row>
        <row r="1623">
          <cell r="A1623">
            <v>8051</v>
          </cell>
        </row>
        <row r="1624">
          <cell r="A1624">
            <v>8052</v>
          </cell>
        </row>
        <row r="1625">
          <cell r="A1625">
            <v>8053</v>
          </cell>
        </row>
        <row r="1626">
          <cell r="A1626">
            <v>8054</v>
          </cell>
        </row>
        <row r="1627">
          <cell r="A1627">
            <v>8055</v>
          </cell>
        </row>
        <row r="1628">
          <cell r="A1628">
            <v>8056</v>
          </cell>
        </row>
        <row r="1629">
          <cell r="A1629">
            <v>8057</v>
          </cell>
        </row>
        <row r="1630">
          <cell r="A1630">
            <v>8058</v>
          </cell>
        </row>
        <row r="1631">
          <cell r="A1631">
            <v>8059</v>
          </cell>
        </row>
        <row r="1632">
          <cell r="A1632">
            <v>8060</v>
          </cell>
        </row>
        <row r="1633">
          <cell r="A1633">
            <v>8061</v>
          </cell>
        </row>
        <row r="1634">
          <cell r="A1634">
            <v>8062</v>
          </cell>
        </row>
        <row r="1635">
          <cell r="A1635">
            <v>8063</v>
          </cell>
        </row>
        <row r="1636">
          <cell r="A1636">
            <v>8064</v>
          </cell>
        </row>
        <row r="1637">
          <cell r="A1637">
            <v>8065</v>
          </cell>
        </row>
        <row r="1638">
          <cell r="A1638">
            <v>8066</v>
          </cell>
        </row>
        <row r="1639">
          <cell r="A1639">
            <v>8067</v>
          </cell>
        </row>
        <row r="1640">
          <cell r="A1640">
            <v>8068</v>
          </cell>
        </row>
        <row r="1641">
          <cell r="A1641">
            <v>8069</v>
          </cell>
        </row>
        <row r="1642">
          <cell r="A1642">
            <v>8070</v>
          </cell>
        </row>
        <row r="1643">
          <cell r="A1643">
            <v>8071</v>
          </cell>
        </row>
        <row r="1644">
          <cell r="A1644">
            <v>8072</v>
          </cell>
        </row>
        <row r="1645">
          <cell r="A1645">
            <v>8073</v>
          </cell>
        </row>
        <row r="1646">
          <cell r="A1646">
            <v>8074</v>
          </cell>
        </row>
        <row r="1647">
          <cell r="A1647">
            <v>8075</v>
          </cell>
        </row>
        <row r="1648">
          <cell r="A1648">
            <v>8076</v>
          </cell>
        </row>
        <row r="1649">
          <cell r="A1649">
            <v>8077</v>
          </cell>
        </row>
        <row r="1650">
          <cell r="A1650">
            <v>8078</v>
          </cell>
        </row>
        <row r="1651">
          <cell r="A1651">
            <v>8079</v>
          </cell>
        </row>
        <row r="1652">
          <cell r="A1652">
            <v>8080</v>
          </cell>
        </row>
        <row r="1653">
          <cell r="A1653">
            <v>8081</v>
          </cell>
        </row>
        <row r="1654">
          <cell r="A1654">
            <v>8082</v>
          </cell>
        </row>
        <row r="1655">
          <cell r="A1655">
            <v>8083</v>
          </cell>
        </row>
        <row r="1656">
          <cell r="A1656">
            <v>8084</v>
          </cell>
        </row>
        <row r="1657">
          <cell r="A1657">
            <v>8085</v>
          </cell>
        </row>
        <row r="1658">
          <cell r="A1658">
            <v>8086</v>
          </cell>
        </row>
        <row r="1659">
          <cell r="A1659">
            <v>8087</v>
          </cell>
        </row>
        <row r="1660">
          <cell r="A1660">
            <v>8088</v>
          </cell>
        </row>
        <row r="1661">
          <cell r="A1661">
            <v>8089</v>
          </cell>
        </row>
        <row r="1662">
          <cell r="A1662">
            <v>8090</v>
          </cell>
        </row>
        <row r="1663">
          <cell r="A1663">
            <v>8095</v>
          </cell>
        </row>
        <row r="1664">
          <cell r="A1664">
            <v>8096</v>
          </cell>
        </row>
        <row r="1665">
          <cell r="A1665">
            <v>8097</v>
          </cell>
        </row>
        <row r="1666">
          <cell r="A1666">
            <v>8098</v>
          </cell>
        </row>
        <row r="1667">
          <cell r="A1667">
            <v>8099</v>
          </cell>
        </row>
        <row r="1668">
          <cell r="A1668">
            <v>8100</v>
          </cell>
        </row>
        <row r="1669">
          <cell r="A1669">
            <v>8101</v>
          </cell>
        </row>
        <row r="1670">
          <cell r="A1670">
            <v>8102</v>
          </cell>
        </row>
        <row r="1671">
          <cell r="A1671">
            <v>8103</v>
          </cell>
        </row>
        <row r="1672">
          <cell r="A1672">
            <v>8104</v>
          </cell>
        </row>
        <row r="1673">
          <cell r="A1673">
            <v>8105</v>
          </cell>
        </row>
        <row r="1674">
          <cell r="A1674">
            <v>8106</v>
          </cell>
        </row>
        <row r="1675">
          <cell r="A1675">
            <v>9001</v>
          </cell>
        </row>
        <row r="1676">
          <cell r="A1676">
            <v>9002</v>
          </cell>
        </row>
        <row r="1677">
          <cell r="A1677">
            <v>9003</v>
          </cell>
        </row>
        <row r="1678">
          <cell r="A1678">
            <v>9004</v>
          </cell>
        </row>
        <row r="1679">
          <cell r="A1679">
            <v>9005</v>
          </cell>
        </row>
        <row r="1680">
          <cell r="A1680">
            <v>9006</v>
          </cell>
        </row>
        <row r="1681">
          <cell r="A1681">
            <v>9007</v>
          </cell>
        </row>
        <row r="1682">
          <cell r="A1682">
            <v>9008</v>
          </cell>
        </row>
        <row r="1683">
          <cell r="A1683">
            <v>10001</v>
          </cell>
        </row>
        <row r="1684">
          <cell r="A1684">
            <v>10002</v>
          </cell>
        </row>
        <row r="1685">
          <cell r="A1685">
            <v>10003</v>
          </cell>
        </row>
        <row r="1686">
          <cell r="A1686">
            <v>10004</v>
          </cell>
        </row>
        <row r="1687">
          <cell r="A1687">
            <v>10005</v>
          </cell>
        </row>
        <row r="1688">
          <cell r="A1688">
            <v>10006</v>
          </cell>
        </row>
        <row r="1689">
          <cell r="A1689">
            <v>10007</v>
          </cell>
        </row>
        <row r="1690">
          <cell r="A1690">
            <v>10008</v>
          </cell>
        </row>
        <row r="1691">
          <cell r="A1691">
            <v>10009</v>
          </cell>
        </row>
        <row r="1692">
          <cell r="A1692">
            <v>10010</v>
          </cell>
        </row>
        <row r="1693">
          <cell r="A1693">
            <v>10011</v>
          </cell>
        </row>
        <row r="1694">
          <cell r="A1694">
            <v>10012</v>
          </cell>
        </row>
        <row r="1695">
          <cell r="A1695">
            <v>10013</v>
          </cell>
        </row>
        <row r="1696">
          <cell r="A1696">
            <v>10014</v>
          </cell>
        </row>
        <row r="1697">
          <cell r="A1697">
            <v>10015</v>
          </cell>
        </row>
        <row r="1698">
          <cell r="A1698">
            <v>10016</v>
          </cell>
        </row>
        <row r="1699">
          <cell r="A1699">
            <v>10017</v>
          </cell>
        </row>
        <row r="1700">
          <cell r="A1700">
            <v>10018</v>
          </cell>
        </row>
        <row r="1701">
          <cell r="A1701">
            <v>10019</v>
          </cell>
        </row>
        <row r="1702">
          <cell r="A1702">
            <v>10020</v>
          </cell>
        </row>
        <row r="1703">
          <cell r="A1703">
            <v>10021</v>
          </cell>
        </row>
        <row r="1704">
          <cell r="A1704">
            <v>10022</v>
          </cell>
        </row>
        <row r="1705">
          <cell r="A1705">
            <v>10023</v>
          </cell>
        </row>
        <row r="1706">
          <cell r="A1706">
            <v>10024</v>
          </cell>
        </row>
        <row r="1707">
          <cell r="A1707">
            <v>10025</v>
          </cell>
        </row>
        <row r="1708">
          <cell r="A1708">
            <v>10026</v>
          </cell>
        </row>
        <row r="1709">
          <cell r="A1709">
            <v>10027</v>
          </cell>
        </row>
        <row r="1710">
          <cell r="A1710">
            <v>10028</v>
          </cell>
        </row>
        <row r="1711">
          <cell r="A1711">
            <v>10029</v>
          </cell>
        </row>
        <row r="1712">
          <cell r="A1712">
            <v>10030</v>
          </cell>
        </row>
        <row r="1713">
          <cell r="A1713">
            <v>10031</v>
          </cell>
        </row>
        <row r="1714">
          <cell r="A1714">
            <v>10032</v>
          </cell>
        </row>
        <row r="1715">
          <cell r="A1715">
            <v>10033</v>
          </cell>
        </row>
        <row r="1716">
          <cell r="A1716">
            <v>10034</v>
          </cell>
        </row>
        <row r="1717">
          <cell r="A1717">
            <v>10035</v>
          </cell>
        </row>
        <row r="1718">
          <cell r="A1718">
            <v>10036</v>
          </cell>
        </row>
        <row r="1719">
          <cell r="A1719">
            <v>10037</v>
          </cell>
        </row>
        <row r="1720">
          <cell r="A1720">
            <v>10038</v>
          </cell>
        </row>
        <row r="1721">
          <cell r="A1721">
            <v>10039</v>
          </cell>
        </row>
        <row r="1722">
          <cell r="A1722">
            <v>10040</v>
          </cell>
        </row>
        <row r="1723">
          <cell r="A1723">
            <v>10041</v>
          </cell>
        </row>
        <row r="1724">
          <cell r="A1724">
            <v>10042</v>
          </cell>
        </row>
        <row r="1725">
          <cell r="A1725">
            <v>10043</v>
          </cell>
        </row>
        <row r="1726">
          <cell r="A1726">
            <v>10044</v>
          </cell>
        </row>
        <row r="1727">
          <cell r="A1727">
            <v>10045</v>
          </cell>
        </row>
        <row r="1728">
          <cell r="A1728">
            <v>10046</v>
          </cell>
        </row>
        <row r="1729">
          <cell r="A1729">
            <v>10047</v>
          </cell>
        </row>
        <row r="1730">
          <cell r="A1730">
            <v>10048</v>
          </cell>
        </row>
        <row r="1731">
          <cell r="A1731">
            <v>10049</v>
          </cell>
        </row>
        <row r="1732">
          <cell r="A1732">
            <v>10050</v>
          </cell>
        </row>
        <row r="1733">
          <cell r="A1733">
            <v>10051</v>
          </cell>
        </row>
        <row r="1734">
          <cell r="A1734">
            <v>10052</v>
          </cell>
        </row>
        <row r="1735">
          <cell r="A1735">
            <v>10053</v>
          </cell>
        </row>
        <row r="1736">
          <cell r="A1736">
            <v>10054</v>
          </cell>
        </row>
        <row r="1737">
          <cell r="A1737">
            <v>10055</v>
          </cell>
        </row>
        <row r="1738">
          <cell r="A1738">
            <v>10056</v>
          </cell>
        </row>
        <row r="1739">
          <cell r="A1739">
            <v>10057</v>
          </cell>
        </row>
        <row r="1740">
          <cell r="A1740">
            <v>10058</v>
          </cell>
        </row>
        <row r="1741">
          <cell r="A1741">
            <v>10059</v>
          </cell>
        </row>
        <row r="1742">
          <cell r="A1742">
            <v>10060</v>
          </cell>
        </row>
        <row r="1743">
          <cell r="A1743">
            <v>10061</v>
          </cell>
        </row>
        <row r="1744">
          <cell r="A1744">
            <v>10062</v>
          </cell>
        </row>
        <row r="1745">
          <cell r="A1745">
            <v>10063</v>
          </cell>
        </row>
        <row r="1746">
          <cell r="A1746">
            <v>10064</v>
          </cell>
        </row>
        <row r="1747">
          <cell r="A1747">
            <v>10065</v>
          </cell>
        </row>
        <row r="1748">
          <cell r="A1748">
            <v>10066</v>
          </cell>
        </row>
        <row r="1749">
          <cell r="A1749">
            <v>10067</v>
          </cell>
        </row>
        <row r="1750">
          <cell r="A1750">
            <v>10068</v>
          </cell>
        </row>
        <row r="1751">
          <cell r="A1751">
            <v>10069</v>
          </cell>
        </row>
        <row r="1752">
          <cell r="A1752">
            <v>10070</v>
          </cell>
        </row>
        <row r="1753">
          <cell r="A1753">
            <v>10071</v>
          </cell>
        </row>
        <row r="1754">
          <cell r="A1754">
            <v>10072</v>
          </cell>
        </row>
        <row r="1755">
          <cell r="A1755">
            <v>10073</v>
          </cell>
        </row>
        <row r="1756">
          <cell r="A1756">
            <v>10074</v>
          </cell>
        </row>
        <row r="1757">
          <cell r="A1757">
            <v>10075</v>
          </cell>
        </row>
        <row r="1758">
          <cell r="A1758">
            <v>10076</v>
          </cell>
        </row>
        <row r="1759">
          <cell r="A1759">
            <v>10077</v>
          </cell>
        </row>
        <row r="1760">
          <cell r="A1760">
            <v>10078</v>
          </cell>
        </row>
        <row r="1761">
          <cell r="A1761">
            <v>10079</v>
          </cell>
        </row>
        <row r="1762">
          <cell r="A1762">
            <v>10080</v>
          </cell>
        </row>
        <row r="1763">
          <cell r="A1763">
            <v>10081</v>
          </cell>
        </row>
        <row r="1764">
          <cell r="A1764">
            <v>10082</v>
          </cell>
        </row>
        <row r="1765">
          <cell r="A1765">
            <v>10083</v>
          </cell>
        </row>
        <row r="1766">
          <cell r="A1766">
            <v>10084</v>
          </cell>
        </row>
        <row r="1767">
          <cell r="A1767">
            <v>10085</v>
          </cell>
        </row>
        <row r="1768">
          <cell r="A1768">
            <v>10086</v>
          </cell>
        </row>
        <row r="1769">
          <cell r="A1769">
            <v>10087</v>
          </cell>
        </row>
        <row r="1770">
          <cell r="A1770">
            <v>10088</v>
          </cell>
        </row>
        <row r="1771">
          <cell r="A1771">
            <v>10089</v>
          </cell>
        </row>
        <row r="1772">
          <cell r="A1772">
            <v>10090</v>
          </cell>
        </row>
        <row r="1773">
          <cell r="A1773">
            <v>10101</v>
          </cell>
        </row>
        <row r="1774">
          <cell r="A1774">
            <v>10102</v>
          </cell>
        </row>
        <row r="1775">
          <cell r="A17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21" sqref="B21:B2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295</v>
      </c>
      <c r="B2" s="57" t="s">
        <v>106</v>
      </c>
      <c r="C2" s="62">
        <v>30049</v>
      </c>
      <c r="D2" s="57" t="s">
        <v>107</v>
      </c>
      <c r="E2" s="56" t="str">
        <f>B2&amp;C2&amp;D2</f>
        <v>floors_30049.tmp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295</v>
      </c>
      <c r="B3" s="57" t="s">
        <v>109</v>
      </c>
      <c r="C3" s="62">
        <f>C$2</f>
        <v>30049</v>
      </c>
      <c r="D3" s="57" t="s">
        <v>107</v>
      </c>
      <c r="E3" s="56" t="str">
        <f>B3&amp;C3&amp;D3</f>
        <v>enemy_habitats_30049.tmp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295</v>
      </c>
      <c r="B4" s="57" t="s">
        <v>111</v>
      </c>
      <c r="C4" s="62">
        <f t="shared" ref="C4:C13" si="0">C$2</f>
        <v>30049</v>
      </c>
      <c r="D4" s="57" t="s">
        <v>107</v>
      </c>
      <c r="E4" s="56" t="str">
        <f>B4&amp;C4&amp;D4</f>
        <v>enemy_habitat_S_30049.tmp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295</v>
      </c>
      <c r="B5" s="57" t="s">
        <v>113</v>
      </c>
      <c r="C5" s="62">
        <f t="shared" si="0"/>
        <v>30049</v>
      </c>
      <c r="D5" s="57" t="s">
        <v>107</v>
      </c>
      <c r="E5" s="56" t="str">
        <f>B5&amp;C5&amp;D5</f>
        <v>enemy_skill_sets_30049.tmp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295</v>
      </c>
      <c r="B6" s="57" t="s">
        <v>115</v>
      </c>
      <c r="C6" s="62">
        <f t="shared" si="0"/>
        <v>30049</v>
      </c>
      <c r="D6" s="57" t="s">
        <v>116</v>
      </c>
      <c r="E6" s="56" t="str">
        <f t="shared" ref="E6:E10" si="1">B6&amp;C6&amp;D6</f>
        <v>enemy_skills_tmp_30049.tmp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295</v>
      </c>
      <c r="B7" s="57" t="s">
        <v>117</v>
      </c>
      <c r="C7" s="62">
        <f t="shared" si="0"/>
        <v>30049</v>
      </c>
      <c r="D7" s="57" t="s">
        <v>107</v>
      </c>
      <c r="E7" s="56" t="str">
        <f>B7&amp;C7&amp;D7</f>
        <v>enemy_skills_i18n_30049.tmp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295</v>
      </c>
      <c r="B8" s="57" t="s">
        <v>119</v>
      </c>
      <c r="C8" s="62">
        <f t="shared" si="0"/>
        <v>30049</v>
      </c>
      <c r="D8" s="57" t="s">
        <v>120</v>
      </c>
      <c r="E8" s="56" t="str">
        <f t="shared" si="1"/>
        <v>enemy_skill_triggers_30049.tmp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295</v>
      </c>
      <c r="B9" s="67" t="s">
        <v>178</v>
      </c>
      <c r="C9" s="62">
        <f t="shared" si="0"/>
        <v>30049</v>
      </c>
      <c r="D9" s="67" t="s">
        <v>172</v>
      </c>
      <c r="E9" s="68" t="str">
        <f t="shared" si="1"/>
        <v>stage_bug_bonuses_30049.tmp</v>
      </c>
      <c r="F9" s="67" t="s">
        <v>173</v>
      </c>
      <c r="G9" s="64" t="s">
        <v>150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295</v>
      </c>
      <c r="B10" s="67" t="s">
        <v>201</v>
      </c>
      <c r="C10" s="62">
        <f>C$2</f>
        <v>30049</v>
      </c>
      <c r="D10" s="67" t="s">
        <v>181</v>
      </c>
      <c r="E10" s="68" t="str">
        <f t="shared" si="1"/>
        <v>stage_hints_data_c_30049.tmp</v>
      </c>
      <c r="F10" s="67" t="s">
        <v>209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66" t="s">
        <v>185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5" customFormat="1" x14ac:dyDescent="0.15">
      <c r="A11" s="61" t="s">
        <v>295</v>
      </c>
      <c r="B11" s="67" t="s">
        <v>202</v>
      </c>
      <c r="C11" s="62">
        <f t="shared" si="0"/>
        <v>30049</v>
      </c>
      <c r="D11" s="67" t="s">
        <v>172</v>
      </c>
      <c r="E11" s="68" t="str">
        <f t="shared" ref="E11:E13" si="2">B11&amp;C11&amp;D11</f>
        <v>stage_hints_data_f_30049.tmp</v>
      </c>
      <c r="F11" s="67" t="s">
        <v>210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66" t="s">
        <v>185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5" customFormat="1" x14ac:dyDescent="0.15">
      <c r="A12" s="61" t="s">
        <v>295</v>
      </c>
      <c r="B12" s="67" t="s">
        <v>203</v>
      </c>
      <c r="C12" s="62">
        <f t="shared" si="0"/>
        <v>30049</v>
      </c>
      <c r="D12" s="67" t="s">
        <v>172</v>
      </c>
      <c r="E12" s="68" t="str">
        <f t="shared" si="2"/>
        <v>stage_hints_i18n_30049.tmp</v>
      </c>
      <c r="F12" s="67" t="s">
        <v>211</v>
      </c>
      <c r="G12" s="74" t="s">
        <v>204</v>
      </c>
      <c r="H12" s="95" t="s">
        <v>205</v>
      </c>
      <c r="I12" s="73" t="s">
        <v>206</v>
      </c>
      <c r="J12" s="100" t="s">
        <v>207</v>
      </c>
      <c r="K12" s="66" t="s">
        <v>208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5" customFormat="1" x14ac:dyDescent="0.15">
      <c r="A13" s="67" t="s">
        <v>248</v>
      </c>
      <c r="B13" s="67" t="s">
        <v>247</v>
      </c>
      <c r="C13" s="62">
        <f t="shared" si="0"/>
        <v>30049</v>
      </c>
      <c r="D13" s="67" t="s">
        <v>228</v>
      </c>
      <c r="E13" s="68" t="str">
        <f t="shared" si="2"/>
        <v>stage_bonuses_30049.tmp</v>
      </c>
      <c r="F13" s="67" t="s">
        <v>227</v>
      </c>
      <c r="G13" s="73" t="s">
        <v>229</v>
      </c>
      <c r="H13" s="73" t="s">
        <v>230</v>
      </c>
      <c r="I13" s="73" t="s">
        <v>231</v>
      </c>
      <c r="J13" s="73" t="s">
        <v>232</v>
      </c>
      <c r="K13" s="73" t="s">
        <v>233</v>
      </c>
      <c r="L13" s="73" t="s">
        <v>234</v>
      </c>
      <c r="M13" s="73" t="s">
        <v>235</v>
      </c>
      <c r="N13" s="73" t="s">
        <v>236</v>
      </c>
      <c r="O13" s="73" t="s">
        <v>237</v>
      </c>
      <c r="P13" s="73" t="s">
        <v>238</v>
      </c>
      <c r="Q13" s="73" t="s">
        <v>239</v>
      </c>
      <c r="R13" s="73" t="s">
        <v>240</v>
      </c>
      <c r="S13" s="73" t="s">
        <v>241</v>
      </c>
      <c r="T13" s="73" t="s">
        <v>242</v>
      </c>
      <c r="U13" s="73" t="s">
        <v>243</v>
      </c>
      <c r="V13" s="73" t="s">
        <v>244</v>
      </c>
      <c r="W13" s="73" t="s">
        <v>245</v>
      </c>
      <c r="X13" s="73" t="s">
        <v>246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I5" sqref="I5:J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30049_1-1</v>
      </c>
      <c r="B2" s="16" t="str">
        <f>IF(COUNTIF(enemy_habitats!$H:$H,A2),"OK","NG")</f>
        <v>OK</v>
      </c>
      <c r="C2" s="7">
        <v>30049</v>
      </c>
      <c r="D2" s="11" t="str">
        <f ca="1">VLOOKUP($C2,OFFSET([2]quests!$A$1,0,0,COUNTA([2]quests!$A:$A),MATCH(D$1,[2]quests!$1:$1,0)-MATCH($C$1,[2]quests!$1:$1,0)+1),MATCH(D$1,[2]quests!$1:$1,0)-MATCH($C$1,[2]quests!$1:$1,0)+1,FALSE)</f>
        <v>鉄壁の子豚要塞</v>
      </c>
      <c r="E2" s="18" t="str">
        <f ca="1">VLOOKUP($C2,OFFSET([2]quests!$A$1,0,0,COUNTA([2]quests!$A:$A),MATCH(E$1,[2]quests!$1:$1,0)-MATCH($C$1,[2]quests!$1:$1,0)+1),MATCH(E$1,[2]quests!$1:$1,0)-MATCH($C$1,[2]quests!$1:$1,0)+1,FALSE)</f>
        <v>童話シリーズ　超級</v>
      </c>
      <c r="F2" s="21">
        <v>1</v>
      </c>
      <c r="G2" s="23" t="str">
        <f>C2&amp;"_"&amp;F2</f>
        <v>30049_1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【中級】鉄壁の子豚要塞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ref="A3:A10" si="0">G3&amp;"-"&amp;I3</f>
        <v>30049_1-2</v>
      </c>
      <c r="B3" s="16" t="str">
        <f>IF(COUNTIF(enemy_habitats!$H:$H,A3),"OK","NG")</f>
        <v>OK</v>
      </c>
      <c r="C3" s="7">
        <v>30049</v>
      </c>
      <c r="D3" s="11" t="str">
        <f ca="1">VLOOKUP($C3,OFFSET([2]quests!$A$1,0,0,COUNTA([2]quests!$A:$A),MATCH(D$1,[2]quests!$1:$1,0)-MATCH($C$1,[2]quests!$1:$1,0)+1),MATCH(D$1,[2]quests!$1:$1,0)-MATCH($C$1,[2]quests!$1:$1,0)+1,FALSE)</f>
        <v>鉄壁の子豚要塞</v>
      </c>
      <c r="E3" s="18" t="str">
        <f ca="1">VLOOKUP($C3,OFFSET([2]quests!$A$1,0,0,COUNTA([2]quests!$A:$A),MATCH(E$1,[2]quests!$1:$1,0)-MATCH($C$1,[2]quests!$1:$1,0)+1),MATCH(E$1,[2]quests!$1:$1,0)-MATCH($C$1,[2]quests!$1:$1,0)+1,FALSE)</f>
        <v>童話シリーズ　超級</v>
      </c>
      <c r="F3" s="21">
        <v>1</v>
      </c>
      <c r="G3" s="23" t="str">
        <f t="shared" ref="G3:G10" si="1">C3&amp;"_"&amp;F3</f>
        <v>30049_1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【中級】鉄壁の子豚要塞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30049_1-3</v>
      </c>
      <c r="B4" s="16" t="str">
        <f>IF(COUNTIF(enemy_habitats!$H:$H,A4),"OK","NG")</f>
        <v>OK</v>
      </c>
      <c r="C4" s="7">
        <v>30049</v>
      </c>
      <c r="D4" s="11" t="str">
        <f ca="1">VLOOKUP($C4,OFFSET([2]quests!$A$1,0,0,COUNTA([2]quests!$A:$A),MATCH(D$1,[2]quests!$1:$1,0)-MATCH($C$1,[2]quests!$1:$1,0)+1),MATCH(D$1,[2]quests!$1:$1,0)-MATCH($C$1,[2]quests!$1:$1,0)+1,FALSE)</f>
        <v>鉄壁の子豚要塞</v>
      </c>
      <c r="E4" s="18" t="str">
        <f ca="1">VLOOKUP($C4,OFFSET([2]quests!$A$1,0,0,COUNTA([2]quests!$A:$A),MATCH(E$1,[2]quests!$1:$1,0)-MATCH($C$1,[2]quests!$1:$1,0)+1),MATCH(E$1,[2]quests!$1:$1,0)-MATCH($C$1,[2]quests!$1:$1,0)+1,FALSE)</f>
        <v>童話シリーズ　超級</v>
      </c>
      <c r="F4" s="21">
        <v>1</v>
      </c>
      <c r="G4" s="23" t="str">
        <f t="shared" si="1"/>
        <v>30049_1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【中級】鉄壁の子豚要塞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30049_2-1</v>
      </c>
      <c r="B5" s="16" t="str">
        <f>IF(COUNTIF(enemy_habitats!$H:$H,A5),"OK","NG")</f>
        <v>OK</v>
      </c>
      <c r="C5" s="7">
        <v>30049</v>
      </c>
      <c r="D5" s="11" t="str">
        <f ca="1">VLOOKUP($C5,OFFSET([2]quests!$A$1,0,0,COUNTA([2]quests!$A:$A),MATCH(D$1,[2]quests!$1:$1,0)-MATCH($C$1,[2]quests!$1:$1,0)+1),MATCH(D$1,[2]quests!$1:$1,0)-MATCH($C$1,[2]quests!$1:$1,0)+1,FALSE)</f>
        <v>鉄壁の子豚要塞</v>
      </c>
      <c r="E5" s="18" t="str">
        <f ca="1">VLOOKUP($C5,OFFSET([2]quests!$A$1,0,0,COUNTA([2]quests!$A:$A),MATCH(E$1,[2]quests!$1:$1,0)-MATCH($C$1,[2]quests!$1:$1,0)+1),MATCH(E$1,[2]quests!$1:$1,0)-MATCH($C$1,[2]quests!$1:$1,0)+1,FALSE)</f>
        <v>童話シリーズ　超級</v>
      </c>
      <c r="F5" s="21">
        <v>2</v>
      </c>
      <c r="G5" s="23" t="str">
        <f t="shared" si="1"/>
        <v>30049_2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【上級】鉄壁の子豚要塞</v>
      </c>
      <c r="I5" s="21">
        <v>1</v>
      </c>
      <c r="J5" s="12">
        <v>30</v>
      </c>
      <c r="K5" s="12">
        <v>30</v>
      </c>
    </row>
    <row r="6" spans="1:11" ht="21" customHeight="1" x14ac:dyDescent="0.15">
      <c r="A6" s="16" t="str">
        <f t="shared" si="0"/>
        <v>30049_2-2</v>
      </c>
      <c r="B6" s="16" t="str">
        <f>IF(COUNTIF(enemy_habitats!$H:$H,A6),"OK","NG")</f>
        <v>OK</v>
      </c>
      <c r="C6" s="7">
        <v>30049</v>
      </c>
      <c r="D6" s="11" t="str">
        <f ca="1">VLOOKUP($C6,OFFSET([2]quests!$A$1,0,0,COUNTA([2]quests!$A:$A),MATCH(D$1,[2]quests!$1:$1,0)-MATCH($C$1,[2]quests!$1:$1,0)+1),MATCH(D$1,[2]quests!$1:$1,0)-MATCH($C$1,[2]quests!$1:$1,0)+1,FALSE)</f>
        <v>鉄壁の子豚要塞</v>
      </c>
      <c r="E6" s="18" t="str">
        <f ca="1">VLOOKUP($C6,OFFSET([2]quests!$A$1,0,0,COUNTA([2]quests!$A:$A),MATCH(E$1,[2]quests!$1:$1,0)-MATCH($C$1,[2]quests!$1:$1,0)+1),MATCH(E$1,[2]quests!$1:$1,0)-MATCH($C$1,[2]quests!$1:$1,0)+1,FALSE)</f>
        <v>童話シリーズ　超級</v>
      </c>
      <c r="F6" s="21">
        <v>2</v>
      </c>
      <c r="G6" s="23" t="str">
        <f t="shared" si="1"/>
        <v>30049_2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【上級】鉄壁の子豚要塞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30049_2-3</v>
      </c>
      <c r="B7" s="16" t="str">
        <f>IF(COUNTIF(enemy_habitats!$H:$H,A7),"OK","NG")</f>
        <v>OK</v>
      </c>
      <c r="C7" s="7">
        <v>30049</v>
      </c>
      <c r="D7" s="11" t="str">
        <f ca="1">VLOOKUP($C7,OFFSET([2]quests!$A$1,0,0,COUNTA([2]quests!$A:$A),MATCH(D$1,[2]quests!$1:$1,0)-MATCH($C$1,[2]quests!$1:$1,0)+1),MATCH(D$1,[2]quests!$1:$1,0)-MATCH($C$1,[2]quests!$1:$1,0)+1,FALSE)</f>
        <v>鉄壁の子豚要塞</v>
      </c>
      <c r="E7" s="18" t="str">
        <f ca="1">VLOOKUP($C7,OFFSET([2]quests!$A$1,0,0,COUNTA([2]quests!$A:$A),MATCH(E$1,[2]quests!$1:$1,0)-MATCH($C$1,[2]quests!$1:$1,0)+1),MATCH(E$1,[2]quests!$1:$1,0)-MATCH($C$1,[2]quests!$1:$1,0)+1,FALSE)</f>
        <v>童話シリーズ　超級</v>
      </c>
      <c r="F7" s="21">
        <v>2</v>
      </c>
      <c r="G7" s="23" t="str">
        <f t="shared" si="1"/>
        <v>30049_2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【上級】鉄壁の子豚要塞</v>
      </c>
      <c r="I7" s="21">
        <v>3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30049_3-1</v>
      </c>
      <c r="B8" s="16" t="str">
        <f>IF(COUNTIF(enemy_habitats!$H:$H,A8),"OK","NG")</f>
        <v>OK</v>
      </c>
      <c r="C8" s="7">
        <v>30049</v>
      </c>
      <c r="D8" s="11" t="str">
        <f ca="1">VLOOKUP($C8,OFFSET([2]quests!$A$1,0,0,COUNTA([2]quests!$A:$A),MATCH(D$1,[2]quests!$1:$1,0)-MATCH($C$1,[2]quests!$1:$1,0)+1),MATCH(D$1,[2]quests!$1:$1,0)-MATCH($C$1,[2]quests!$1:$1,0)+1,FALSE)</f>
        <v>鉄壁の子豚要塞</v>
      </c>
      <c r="E8" s="18" t="str">
        <f ca="1">VLOOKUP($C8,OFFSET([2]quests!$A$1,0,0,COUNTA([2]quests!$A:$A),MATCH(E$1,[2]quests!$1:$1,0)-MATCH($C$1,[2]quests!$1:$1,0)+1),MATCH(E$1,[2]quests!$1:$1,0)-MATCH($C$1,[2]quests!$1:$1,0)+1,FALSE)</f>
        <v>童話シリーズ　超級</v>
      </c>
      <c r="F8" s="21">
        <v>3</v>
      </c>
      <c r="G8" s="23" t="str">
        <f t="shared" si="1"/>
        <v>30049_3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【超級】鉄壁の子豚要塞</v>
      </c>
      <c r="I8" s="21">
        <v>1</v>
      </c>
      <c r="J8" s="12">
        <v>30</v>
      </c>
      <c r="K8" s="12">
        <v>30</v>
      </c>
    </row>
    <row r="9" spans="1:11" ht="21" customHeight="1" x14ac:dyDescent="0.15">
      <c r="A9" s="16" t="str">
        <f t="shared" si="0"/>
        <v>30049_3-2</v>
      </c>
      <c r="B9" s="16" t="str">
        <f>IF(COUNTIF(enemy_habitats!$H:$H,A9),"OK","NG")</f>
        <v>OK</v>
      </c>
      <c r="C9" s="7">
        <v>30049</v>
      </c>
      <c r="D9" s="11" t="str">
        <f ca="1">VLOOKUP($C9,OFFSET([2]quests!$A$1,0,0,COUNTA([2]quests!$A:$A),MATCH(D$1,[2]quests!$1:$1,0)-MATCH($C$1,[2]quests!$1:$1,0)+1),MATCH(D$1,[2]quests!$1:$1,0)-MATCH($C$1,[2]quests!$1:$1,0)+1,FALSE)</f>
        <v>鉄壁の子豚要塞</v>
      </c>
      <c r="E9" s="18" t="str">
        <f ca="1">VLOOKUP($C9,OFFSET([2]quests!$A$1,0,0,COUNTA([2]quests!$A:$A),MATCH(E$1,[2]quests!$1:$1,0)-MATCH($C$1,[2]quests!$1:$1,0)+1),MATCH(E$1,[2]quests!$1:$1,0)-MATCH($C$1,[2]quests!$1:$1,0)+1,FALSE)</f>
        <v>童話シリーズ　超級</v>
      </c>
      <c r="F9" s="21">
        <v>3</v>
      </c>
      <c r="G9" s="23" t="str">
        <f t="shared" si="1"/>
        <v>30049_3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【超級】鉄壁の子豚要塞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30049_3-3</v>
      </c>
      <c r="B10" s="16" t="str">
        <f>IF(COUNTIF(enemy_habitats!$H:$H,A10),"OK","NG")</f>
        <v>OK</v>
      </c>
      <c r="C10" s="7">
        <v>30049</v>
      </c>
      <c r="D10" s="11" t="str">
        <f ca="1">VLOOKUP($C10,OFFSET([2]quests!$A$1,0,0,COUNTA([2]quests!$A:$A),MATCH(D$1,[2]quests!$1:$1,0)-MATCH($C$1,[2]quests!$1:$1,0)+1),MATCH(D$1,[2]quests!$1:$1,0)-MATCH($C$1,[2]quests!$1:$1,0)+1,FALSE)</f>
        <v>鉄壁の子豚要塞</v>
      </c>
      <c r="E10" s="18" t="str">
        <f ca="1">VLOOKUP($C10,OFFSET([2]quests!$A$1,0,0,COUNTA([2]quests!$A:$A),MATCH(E$1,[2]quests!$1:$1,0)-MATCH($C$1,[2]quests!$1:$1,0)+1),MATCH(E$1,[2]quests!$1:$1,0)-MATCH($C$1,[2]quests!$1:$1,0)+1,FALSE)</f>
        <v>童話シリーズ　超級</v>
      </c>
      <c r="F10" s="21">
        <v>3</v>
      </c>
      <c r="G10" s="23" t="str">
        <f t="shared" si="1"/>
        <v>30049_3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【超級】鉄壁の子豚要塞</v>
      </c>
      <c r="I10" s="21">
        <v>3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Y13" sqref="Y1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249</v>
      </c>
      <c r="U1" s="26" t="s">
        <v>50</v>
      </c>
      <c r="V1" s="101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>B2&amp;"_"&amp;C2&amp;"-"&amp;G2&amp;"/"&amp;L2&amp;"&lt;lv"&amp;R2&amp;"&gt;s"&amp;AC2</f>
        <v>30049_1-1/748&lt;lv25&gt;s2</v>
      </c>
      <c r="B2" s="22">
        <v>30049</v>
      </c>
      <c r="C2" s="21">
        <v>1</v>
      </c>
      <c r="D2" s="2" t="str">
        <f>B2&amp;"_"&amp;C2</f>
        <v>30049_1</v>
      </c>
      <c r="E2" s="4" t="str">
        <f ca="1">VLOOKUP($B2,OFFSET([2]quests!$A$1,0,0,COUNTA([2]quests!$A:$A),MATCH(E$1,[2]quests!$1:$1,0)-MATCH($B$1,[2]quests!$1:$1,0)+1),MATCH(E$1,[2]quests!$1:$1,0)-MATCH($B$1,[2]quests!$1:$1,0)+1,FALSE)</f>
        <v>鉄壁の子豚要塞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【中級】鉄壁の子豚要塞</v>
      </c>
      <c r="G2" s="21">
        <v>1</v>
      </c>
      <c r="H2" s="15" t="str">
        <f>B2&amp;"_"&amp;C2&amp;"-"&amp;G2</f>
        <v>30049_1-1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748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パーン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25</v>
      </c>
      <c r="S2" s="25">
        <v>1.66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44834.939999999995</v>
      </c>
      <c r="U2" s="25">
        <v>1.24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2887.96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30049001</v>
      </c>
      <c r="Z2" s="6">
        <v>1</v>
      </c>
      <c r="AA2" s="6">
        <v>100</v>
      </c>
      <c r="AB2" s="6">
        <v>0</v>
      </c>
      <c r="AC2" s="17">
        <v>2</v>
      </c>
      <c r="AD2" s="24">
        <f>L2</f>
        <v>748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パーン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4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ref="A3:A7" ca="1" si="0">B3&amp;"_"&amp;C3&amp;"-"&amp;G3&amp;"/"&amp;L3&amp;"&lt;lv"&amp;R3&amp;"&gt;s"&amp;AC3</f>
        <v>30049_1-2/13&lt;lv25&gt;s2</v>
      </c>
      <c r="B3" s="22">
        <v>30049</v>
      </c>
      <c r="C3" s="21">
        <v>1</v>
      </c>
      <c r="D3" s="2" t="str">
        <f t="shared" ref="D3:D7" si="1">B3&amp;"_"&amp;C3</f>
        <v>30049_1</v>
      </c>
      <c r="E3" s="4" t="str">
        <f ca="1">VLOOKUP($B3,OFFSET([2]quests!$A$1,0,0,COUNTA([2]quests!$A:$A),MATCH(E$1,[2]quests!$1:$1,0)-MATCH($B$1,[2]quests!$1:$1,0)+1),MATCH(E$1,[2]quests!$1:$1,0)-MATCH($B$1,[2]quests!$1:$1,0)+1,FALSE)</f>
        <v>鉄壁の子豚要塞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【中級】鉄壁の子豚要塞</v>
      </c>
      <c r="G3" s="21">
        <v>2</v>
      </c>
      <c r="H3" s="15" t="str">
        <f t="shared" ref="H3:H7" si="2">B3&amp;"_"&amp;C3&amp;"-"&amp;G3</f>
        <v>30049_1-2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13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ミミ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25</v>
      </c>
      <c r="S3" s="25">
        <v>1.85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9608.9</v>
      </c>
      <c r="U3" s="25">
        <v>0.28000000000000003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657.72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">
        <v>30049002</v>
      </c>
      <c r="Z3" s="6">
        <v>1</v>
      </c>
      <c r="AA3" s="6">
        <v>100</v>
      </c>
      <c r="AB3" s="6">
        <v>0</v>
      </c>
      <c r="AC3" s="17">
        <f ca="1">VLOOKUP($L3,OFFSET([3]enemies!$A$1,0,0,COUNTA([3]enemies!$A:$A),MATCH(AC$1,[3]enemies!$1:$1,0)-MATCH($L$1,[3]enemies!$1:$1,0)+1),MATCH(AC$1,[3]enemies!$1:$1,0)-MATCH($L$1,[3]enemies!$1:$1,0)+1,FALSE)</f>
        <v>2</v>
      </c>
      <c r="AD3" s="24">
        <f t="shared" ref="AD3:AD7" si="3">L3</f>
        <v>13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ミミ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Drop1W</v>
      </c>
      <c r="AH3" s="7">
        <v>1</v>
      </c>
      <c r="AI3" s="24">
        <f t="shared" ref="AI3:AI7" ca="1" si="4">AF3</f>
        <v>1</v>
      </c>
      <c r="AJ3" s="8">
        <v>60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30049_1-2/47&lt;lv25&gt;s2</v>
      </c>
      <c r="B4" s="22">
        <v>30049</v>
      </c>
      <c r="C4" s="21">
        <v>1</v>
      </c>
      <c r="D4" s="2" t="str">
        <f t="shared" si="1"/>
        <v>30049_1</v>
      </c>
      <c r="E4" s="4" t="str">
        <f ca="1">VLOOKUP($B4,OFFSET([2]quests!$A$1,0,0,COUNTA([2]quests!$A:$A),MATCH(E$1,[2]quests!$1:$1,0)-MATCH($B$1,[2]quests!$1:$1,0)+1),MATCH(E$1,[2]quests!$1:$1,0)-MATCH($B$1,[2]quests!$1:$1,0)+1,FALSE)</f>
        <v>鉄壁の子豚要塞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【中級】鉄壁の子豚要塞</v>
      </c>
      <c r="G4" s="21">
        <v>2</v>
      </c>
      <c r="H4" s="15" t="str">
        <f t="shared" si="2"/>
        <v>30049_1-2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47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ヒロ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25</v>
      </c>
      <c r="S4" s="25">
        <v>1.85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9608.9</v>
      </c>
      <c r="U4" s="25">
        <v>0.28000000000000003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657.72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">
        <v>30049103</v>
      </c>
      <c r="Z4" s="6">
        <v>1</v>
      </c>
      <c r="AA4" s="6">
        <v>100</v>
      </c>
      <c r="AB4" s="6">
        <v>0</v>
      </c>
      <c r="AC4" s="17">
        <v>2</v>
      </c>
      <c r="AD4" s="24">
        <f t="shared" si="3"/>
        <v>47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ヒロ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f t="shared" ca="1" si="4"/>
        <v>2</v>
      </c>
      <c r="AJ4" s="8">
        <v>60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ca="1" si="0"/>
        <v>30049_1-2/63&lt;lv25&gt;s2</v>
      </c>
      <c r="B5" s="22">
        <v>30049</v>
      </c>
      <c r="C5" s="21">
        <v>1</v>
      </c>
      <c r="D5" s="2" t="str">
        <f t="shared" si="1"/>
        <v>30049_1</v>
      </c>
      <c r="E5" s="4" t="str">
        <f ca="1">VLOOKUP($B5,OFFSET([2]quests!$A$1,0,0,COUNTA([2]quests!$A:$A),MATCH(E$1,[2]quests!$1:$1,0)-MATCH($B$1,[2]quests!$1:$1,0)+1),MATCH(E$1,[2]quests!$1:$1,0)-MATCH($B$1,[2]quests!$1:$1,0)+1,FALSE)</f>
        <v>鉄壁の子豚要塞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【中級】鉄壁の子豚要塞</v>
      </c>
      <c r="G5" s="21">
        <v>2</v>
      </c>
      <c r="H5" s="15" t="str">
        <f t="shared" si="2"/>
        <v>30049_1-2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63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トニー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25</v>
      </c>
      <c r="S5" s="25">
        <v>2.1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9817.5</v>
      </c>
      <c r="U5" s="25">
        <v>0.41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651.9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">
        <v>30049004</v>
      </c>
      <c r="Z5" s="6">
        <v>1</v>
      </c>
      <c r="AA5" s="6">
        <v>100</v>
      </c>
      <c r="AB5" s="6">
        <v>0</v>
      </c>
      <c r="AC5" s="17">
        <f ca="1">VLOOKUP($L5,OFFSET([3]enemies!$A$1,0,0,COUNTA([3]enemies!$A:$A),MATCH(AC$1,[3]enemies!$1:$1,0)-MATCH($L$1,[3]enemies!$1:$1,0)+1),MATCH(AC$1,[3]enemies!$1:$1,0)-MATCH($L$1,[3]enemies!$1:$1,0)+1,FALSE)</f>
        <v>2</v>
      </c>
      <c r="AD5" s="24">
        <f t="shared" si="3"/>
        <v>63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4">
        <f t="shared" ca="1" si="4"/>
        <v>2</v>
      </c>
      <c r="AJ5" s="8">
        <v>60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30049_1-2/366&lt;lv25&gt;s2</v>
      </c>
      <c r="B6" s="22">
        <v>30049</v>
      </c>
      <c r="C6" s="21">
        <v>1</v>
      </c>
      <c r="D6" s="2" t="str">
        <f t="shared" si="1"/>
        <v>30049_1</v>
      </c>
      <c r="E6" s="4" t="str">
        <f ca="1">VLOOKUP($B6,OFFSET([2]quests!$A$1,0,0,COUNTA([2]quests!$A:$A),MATCH(E$1,[2]quests!$1:$1,0)-MATCH($B$1,[2]quests!$1:$1,0)+1),MATCH(E$1,[2]quests!$1:$1,0)-MATCH($B$1,[2]quests!$1:$1,0)+1,FALSE)</f>
        <v>鉄壁の子豚要塞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【中級】鉄壁の子豚要塞</v>
      </c>
      <c r="G6" s="21">
        <v>2</v>
      </c>
      <c r="H6" s="15" t="str">
        <f t="shared" si="2"/>
        <v>30049_1-2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366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トト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25</v>
      </c>
      <c r="S6" s="25">
        <v>1.85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9608.9</v>
      </c>
      <c r="U6" s="25">
        <v>0.38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671.08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">
        <v>30049105</v>
      </c>
      <c r="Z6" s="6">
        <v>1</v>
      </c>
      <c r="AA6" s="6">
        <v>100</v>
      </c>
      <c r="AB6" s="6">
        <v>0</v>
      </c>
      <c r="AC6" s="17">
        <v>2</v>
      </c>
      <c r="AD6" s="24">
        <f t="shared" si="3"/>
        <v>366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トト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Drop1S</v>
      </c>
      <c r="AH6" s="7">
        <v>1</v>
      </c>
      <c r="AI6" s="24">
        <f t="shared" ca="1" si="4"/>
        <v>2</v>
      </c>
      <c r="AJ6" s="8">
        <v>60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30049_1-3/1373&lt;lv25&gt;s2</v>
      </c>
      <c r="B7" s="22">
        <v>30049</v>
      </c>
      <c r="C7" s="21">
        <v>1</v>
      </c>
      <c r="D7" s="2" t="str">
        <f t="shared" si="1"/>
        <v>30049_1</v>
      </c>
      <c r="E7" s="4" t="str">
        <f ca="1">VLOOKUP($B7,OFFSET([2]quests!$A$1,0,0,COUNTA([2]quests!$A:$A),MATCH(E$1,[2]quests!$1:$1,0)-MATCH($B$1,[2]quests!$1:$1,0)+1),MATCH(E$1,[2]quests!$1:$1,0)-MATCH($B$1,[2]quests!$1:$1,0)+1,FALSE)</f>
        <v>鉄壁の子豚要塞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【中級】鉄壁の子豚要塞</v>
      </c>
      <c r="G7" s="21">
        <v>3</v>
      </c>
      <c r="H7" s="15" t="str">
        <f t="shared" si="2"/>
        <v>30049_1-3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1373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スリー・ピギーズ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25</v>
      </c>
      <c r="S7" s="25">
        <v>2.84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127942</v>
      </c>
      <c r="U7" s="25">
        <v>0.74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3195.32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">
        <v>30049106</v>
      </c>
      <c r="Z7" s="6">
        <v>1</v>
      </c>
      <c r="AA7" s="6">
        <v>100</v>
      </c>
      <c r="AB7" s="6">
        <v>0</v>
      </c>
      <c r="AC7" s="17">
        <v>2</v>
      </c>
      <c r="AD7" s="24">
        <f t="shared" si="3"/>
        <v>1373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スリー・ピギーズ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4"/>
        <v>4</v>
      </c>
      <c r="AJ7" s="8">
        <v>20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>B8&amp;"_"&amp;C8&amp;"-"&amp;G8&amp;"/"&amp;L8&amp;"&lt;lv"&amp;R8&amp;"&gt;s"&amp;AC8</f>
        <v>30049_2-1/748&lt;lv35&gt;s2</v>
      </c>
      <c r="B8" s="22">
        <v>30049</v>
      </c>
      <c r="C8" s="21">
        <v>2</v>
      </c>
      <c r="D8" s="2" t="str">
        <f>B8&amp;"_"&amp;C8</f>
        <v>30049_2</v>
      </c>
      <c r="E8" s="4" t="str">
        <f ca="1">VLOOKUP($B8,OFFSET([2]quests!$A$1,0,0,COUNTA([2]quests!$A:$A),MATCH(E$1,[2]quests!$1:$1,0)-MATCH($B$1,[2]quests!$1:$1,0)+1),MATCH(E$1,[2]quests!$1:$1,0)-MATCH($B$1,[2]quests!$1:$1,0)+1,FALSE)</f>
        <v>鉄壁の子豚要塞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【上級】鉄壁の子豚要塞</v>
      </c>
      <c r="G8" s="21">
        <v>1</v>
      </c>
      <c r="H8" s="15" t="str">
        <f>B8&amp;"_"&amp;C8&amp;"-"&amp;G8</f>
        <v>30049_2-1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38" t="s">
        <v>53</v>
      </c>
      <c r="L8" s="20">
        <v>748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パーン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35</v>
      </c>
      <c r="S8" s="25">
        <v>1.66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61753.659999999996</v>
      </c>
      <c r="U8" s="25">
        <v>1.24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3976.68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">
        <v>30049001</v>
      </c>
      <c r="Z8" s="6">
        <v>1</v>
      </c>
      <c r="AA8" s="6">
        <v>100</v>
      </c>
      <c r="AB8" s="6">
        <v>0</v>
      </c>
      <c r="AC8" s="17">
        <v>2</v>
      </c>
      <c r="AD8" s="24">
        <f>L8</f>
        <v>748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パーン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4">
        <f ca="1">AF8</f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ref="A9:A13" ca="1" si="5">B9&amp;"_"&amp;C9&amp;"-"&amp;G9&amp;"/"&amp;L9&amp;"&lt;lv"&amp;R9&amp;"&gt;s"&amp;AC9</f>
        <v>30049_2-2/13&lt;lv35&gt;s2</v>
      </c>
      <c r="B9" s="22">
        <v>30049</v>
      </c>
      <c r="C9" s="21">
        <v>2</v>
      </c>
      <c r="D9" s="2" t="str">
        <f t="shared" ref="D9:D13" si="6">B9&amp;"_"&amp;C9</f>
        <v>30049_2</v>
      </c>
      <c r="E9" s="4" t="str">
        <f ca="1">VLOOKUP($B9,OFFSET([2]quests!$A$1,0,0,COUNTA([2]quests!$A:$A),MATCH(E$1,[2]quests!$1:$1,0)-MATCH($B$1,[2]quests!$1:$1,0)+1),MATCH(E$1,[2]quests!$1:$1,0)-MATCH($B$1,[2]quests!$1:$1,0)+1,FALSE)</f>
        <v>鉄壁の子豚要塞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【上級】鉄壁の子豚要塞</v>
      </c>
      <c r="G9" s="21">
        <v>2</v>
      </c>
      <c r="H9" s="15" t="str">
        <f t="shared" ref="H9:H13" si="7">B9&amp;"_"&amp;C9&amp;"-"&amp;G9</f>
        <v>30049_2-2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13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ミミ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35</v>
      </c>
      <c r="S9" s="25">
        <v>1.85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13234.900000000001</v>
      </c>
      <c r="U9" s="25">
        <v>0.28000000000000003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906.08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">
        <v>30049002</v>
      </c>
      <c r="Z9" s="6">
        <v>1</v>
      </c>
      <c r="AA9" s="6">
        <v>100</v>
      </c>
      <c r="AB9" s="6">
        <v>0</v>
      </c>
      <c r="AC9" s="17">
        <f ca="1">VLOOKUP($L9,OFFSET([3]enemies!$A$1,0,0,COUNTA([3]enemies!$A:$A),MATCH(AC$1,[3]enemies!$1:$1,0)-MATCH($L$1,[3]enemies!$1:$1,0)+1),MATCH(AC$1,[3]enemies!$1:$1,0)-MATCH($L$1,[3]enemies!$1:$1,0)+1,FALSE)</f>
        <v>2</v>
      </c>
      <c r="AD9" s="24">
        <f t="shared" ref="AD9:AD13" si="8">L9</f>
        <v>13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ミミ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1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Drop1W</v>
      </c>
      <c r="AH9" s="7">
        <v>1</v>
      </c>
      <c r="AI9" s="24">
        <f t="shared" ref="AI9:AI13" ca="1" si="9">AF9</f>
        <v>1</v>
      </c>
      <c r="AJ9" s="8">
        <v>60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5"/>
        <v>30049_2-2/47&lt;lv35&gt;s2</v>
      </c>
      <c r="B10" s="22">
        <v>30049</v>
      </c>
      <c r="C10" s="21">
        <v>2</v>
      </c>
      <c r="D10" s="2" t="str">
        <f t="shared" si="6"/>
        <v>30049_2</v>
      </c>
      <c r="E10" s="4" t="str">
        <f ca="1">VLOOKUP($B10,OFFSET([2]quests!$A$1,0,0,COUNTA([2]quests!$A:$A),MATCH(E$1,[2]quests!$1:$1,0)-MATCH($B$1,[2]quests!$1:$1,0)+1),MATCH(E$1,[2]quests!$1:$1,0)-MATCH($B$1,[2]quests!$1:$1,0)+1,FALSE)</f>
        <v>鉄壁の子豚要塞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【上級】鉄壁の子豚要塞</v>
      </c>
      <c r="G10" s="21">
        <v>2</v>
      </c>
      <c r="H10" s="15" t="str">
        <f t="shared" si="7"/>
        <v>30049_2-2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47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ヒロ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35</v>
      </c>
      <c r="S10" s="25">
        <v>1.85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13234.900000000001</v>
      </c>
      <c r="U10" s="25">
        <v>0.28000000000000003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906.08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4">
        <v>30049203</v>
      </c>
      <c r="Z10" s="6">
        <v>1</v>
      </c>
      <c r="AA10" s="6">
        <v>100</v>
      </c>
      <c r="AB10" s="6">
        <v>0</v>
      </c>
      <c r="AC10" s="17">
        <v>2</v>
      </c>
      <c r="AD10" s="24">
        <f t="shared" si="8"/>
        <v>47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ヒロ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7">
        <v>1</v>
      </c>
      <c r="AI10" s="24">
        <f t="shared" ca="1" si="9"/>
        <v>2</v>
      </c>
      <c r="AJ10" s="8">
        <v>60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ca="1" si="5"/>
        <v>30049_2-2/63&lt;lv35&gt;s2</v>
      </c>
      <c r="B11" s="22">
        <v>30049</v>
      </c>
      <c r="C11" s="21">
        <v>2</v>
      </c>
      <c r="D11" s="2" t="str">
        <f t="shared" si="6"/>
        <v>30049_2</v>
      </c>
      <c r="E11" s="4" t="str">
        <f ca="1">VLOOKUP($B11,OFFSET([2]quests!$A$1,0,0,COUNTA([2]quests!$A:$A),MATCH(E$1,[2]quests!$1:$1,0)-MATCH($B$1,[2]quests!$1:$1,0)+1),MATCH(E$1,[2]quests!$1:$1,0)-MATCH($B$1,[2]quests!$1:$1,0)+1,FALSE)</f>
        <v>鉄壁の子豚要塞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【上級】鉄壁の子豚要塞</v>
      </c>
      <c r="G11" s="21">
        <v>2</v>
      </c>
      <c r="H11" s="15" t="str">
        <f t="shared" si="7"/>
        <v>30049_2-2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63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トニー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35</v>
      </c>
      <c r="S11" s="25">
        <v>2.1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13521.900000000001</v>
      </c>
      <c r="U11" s="25">
        <v>0.41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897.9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4">
        <v>30049004</v>
      </c>
      <c r="Z11" s="6">
        <v>1</v>
      </c>
      <c r="AA11" s="6">
        <v>100</v>
      </c>
      <c r="AB11" s="6">
        <v>0</v>
      </c>
      <c r="AC11" s="17">
        <f ca="1">VLOOKUP($L11,OFFSET([3]enemies!$A$1,0,0,COUNTA([3]enemies!$A:$A),MATCH(AC$1,[3]enemies!$1:$1,0)-MATCH($L$1,[3]enemies!$1:$1,0)+1),MATCH(AC$1,[3]enemies!$1:$1,0)-MATCH($L$1,[3]enemies!$1:$1,0)+1,FALSE)</f>
        <v>2</v>
      </c>
      <c r="AD11" s="24">
        <f t="shared" si="8"/>
        <v>63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Drop1N</v>
      </c>
      <c r="AH11" s="7">
        <v>1</v>
      </c>
      <c r="AI11" s="24">
        <f t="shared" ca="1" si="9"/>
        <v>2</v>
      </c>
      <c r="AJ11" s="8">
        <v>60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5"/>
        <v>30049_2-2/366&lt;lv35&gt;s2</v>
      </c>
      <c r="B12" s="22">
        <v>30049</v>
      </c>
      <c r="C12" s="21">
        <v>2</v>
      </c>
      <c r="D12" s="2" t="str">
        <f t="shared" si="6"/>
        <v>30049_2</v>
      </c>
      <c r="E12" s="4" t="str">
        <f ca="1">VLOOKUP($B12,OFFSET([2]quests!$A$1,0,0,COUNTA([2]quests!$A:$A),MATCH(E$1,[2]quests!$1:$1,0)-MATCH($B$1,[2]quests!$1:$1,0)+1),MATCH(E$1,[2]quests!$1:$1,0)-MATCH($B$1,[2]quests!$1:$1,0)+1,FALSE)</f>
        <v>鉄壁の子豚要塞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【上級】鉄壁の子豚要塞</v>
      </c>
      <c r="G12" s="21">
        <v>2</v>
      </c>
      <c r="H12" s="15" t="str">
        <f t="shared" si="7"/>
        <v>30049_2-2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366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トト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35</v>
      </c>
      <c r="S12" s="25">
        <v>1.85</v>
      </c>
      <c r="T12" s="10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13234.900000000001</v>
      </c>
      <c r="U12" s="25">
        <v>0.38</v>
      </c>
      <c r="V12" s="10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924.54</v>
      </c>
      <c r="W12" s="5">
        <v>0</v>
      </c>
      <c r="X12" s="4" t="e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2" s="4">
        <v>30049205</v>
      </c>
      <c r="Z12" s="6">
        <v>1</v>
      </c>
      <c r="AA12" s="6">
        <v>100</v>
      </c>
      <c r="AB12" s="6">
        <v>0</v>
      </c>
      <c r="AC12" s="17">
        <v>2</v>
      </c>
      <c r="AD12" s="24">
        <f t="shared" si="8"/>
        <v>366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トト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Drop1S</v>
      </c>
      <c r="AH12" s="7">
        <v>1</v>
      </c>
      <c r="AI12" s="24">
        <f t="shared" ca="1" si="9"/>
        <v>2</v>
      </c>
      <c r="AJ12" s="8">
        <v>60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5"/>
        <v>30049_2-3/1373&lt;lv35&gt;s2</v>
      </c>
      <c r="B13" s="22">
        <v>30049</v>
      </c>
      <c r="C13" s="21">
        <v>2</v>
      </c>
      <c r="D13" s="2" t="str">
        <f t="shared" si="6"/>
        <v>30049_2</v>
      </c>
      <c r="E13" s="4" t="str">
        <f ca="1">VLOOKUP($B13,OFFSET([2]quests!$A$1,0,0,COUNTA([2]quests!$A:$A),MATCH(E$1,[2]quests!$1:$1,0)-MATCH($B$1,[2]quests!$1:$1,0)+1),MATCH(E$1,[2]quests!$1:$1,0)-MATCH($B$1,[2]quests!$1:$1,0)+1,FALSE)</f>
        <v>鉄壁の子豚要塞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【上級】鉄壁の子豚要塞</v>
      </c>
      <c r="G13" s="21">
        <v>3</v>
      </c>
      <c r="H13" s="15" t="str">
        <f t="shared" si="7"/>
        <v>30049_2-3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2</v>
      </c>
      <c r="L13" s="20">
        <v>1373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スリー・ピギーズ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35</v>
      </c>
      <c r="S13" s="25">
        <v>2.84</v>
      </c>
      <c r="T13" s="10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176222</v>
      </c>
      <c r="U13" s="25">
        <v>0.74</v>
      </c>
      <c r="V13" s="10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4401.5199999999995</v>
      </c>
      <c r="W13" s="5">
        <v>0</v>
      </c>
      <c r="X13" s="4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3" s="4">
        <v>30049206</v>
      </c>
      <c r="Z13" s="6">
        <v>1</v>
      </c>
      <c r="AA13" s="6">
        <v>100</v>
      </c>
      <c r="AB13" s="6">
        <v>0</v>
      </c>
      <c r="AC13" s="17">
        <v>2</v>
      </c>
      <c r="AD13" s="24">
        <f t="shared" si="8"/>
        <v>1373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スリー・ピギーズ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7">
        <v>1</v>
      </c>
      <c r="AI13" s="24">
        <f t="shared" ca="1" si="9"/>
        <v>4</v>
      </c>
      <c r="AJ13" s="8">
        <v>50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>B14&amp;"_"&amp;C14&amp;"-"&amp;G14&amp;"/"&amp;L14&amp;"&lt;lv"&amp;R14&amp;"&gt;s"&amp;AC14</f>
        <v>30049_3-1/748&lt;lv40&gt;s2</v>
      </c>
      <c r="B14" s="22">
        <v>30049</v>
      </c>
      <c r="C14" s="21">
        <v>3</v>
      </c>
      <c r="D14" s="2" t="str">
        <f>B14&amp;"_"&amp;C14</f>
        <v>30049_3</v>
      </c>
      <c r="E14" s="4" t="str">
        <f ca="1">VLOOKUP($B14,OFFSET([2]quests!$A$1,0,0,COUNTA([2]quests!$A:$A),MATCH(E$1,[2]quests!$1:$1,0)-MATCH($B$1,[2]quests!$1:$1,0)+1),MATCH(E$1,[2]quests!$1:$1,0)-MATCH($B$1,[2]quests!$1:$1,0)+1,FALSE)</f>
        <v>鉄壁の子豚要塞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【超級】鉄壁の子豚要塞</v>
      </c>
      <c r="G14" s="21">
        <v>1</v>
      </c>
      <c r="H14" s="15" t="str">
        <f>B14&amp;"_"&amp;C14&amp;"-"&amp;G14</f>
        <v>30049_3-1</v>
      </c>
      <c r="I14" s="4">
        <f ca="1">VLOOKUP($H14,OFFSET(floors!$A$1,0,0,COUNTA(floors!$A:$A),MATCH(I$1,floors!$1:$1,0)-MATCH($H$1,floors!$1:$1,0)+1),MATCH(I$1,floors!$1:$1,0)-MATCH($H$1,floors!$1:$1,0)+1,FALSE)</f>
        <v>30</v>
      </c>
      <c r="J14" s="4">
        <f ca="1">VLOOKUP($H14,OFFSET(floors!$A$1,0,0,COUNTA(floors!$A:$A),MATCH(J$1,floors!$1:$1,0)-MATCH($H$1,floors!$1:$1,0)+1),MATCH(J$1,floors!$1:$1,0)-MATCH($H$1,floors!$1:$1,0)+1,FALSE)</f>
        <v>30</v>
      </c>
      <c r="K14" s="38" t="s">
        <v>53</v>
      </c>
      <c r="L14" s="20">
        <v>748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パーン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40</v>
      </c>
      <c r="S14" s="25">
        <v>1.66</v>
      </c>
      <c r="T14" s="102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70213.01999999999</v>
      </c>
      <c r="U14" s="25">
        <v>1.24</v>
      </c>
      <c r="V14" s="102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4522.28</v>
      </c>
      <c r="W14" s="5">
        <v>0</v>
      </c>
      <c r="X14" s="4" t="e">
        <f ca="1">VLOOKUP($Y14,OFFSET([5]enemy_skill_sets!$B$1,0,0,COUNTA([5]enemy_skill_sets!$B:$B),MATCH(M$1,[5]enemy_skill_sets!$1:$1,0)-MATCH($Y$1,[5]enemy_skill_sets!$1:$1,0)+2),MATCH(M$1,[5]enemy_skill_sets!$1:$1,0)-MATCH($Y$1,[5]enemy_skill_sets!$1:$1,0)+2,FALSE)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4" s="4">
        <v>30049001</v>
      </c>
      <c r="Z14" s="6">
        <v>1</v>
      </c>
      <c r="AA14" s="6">
        <v>100</v>
      </c>
      <c r="AB14" s="6">
        <v>0</v>
      </c>
      <c r="AC14" s="17">
        <v>2</v>
      </c>
      <c r="AD14" s="24">
        <f>L14</f>
        <v>748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パーン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4" s="7">
        <v>1</v>
      </c>
      <c r="AI14" s="24">
        <f ca="1">AF14</f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ref="A15:A19" ca="1" si="10">B15&amp;"_"&amp;C15&amp;"-"&amp;G15&amp;"/"&amp;L15&amp;"&lt;lv"&amp;R15&amp;"&gt;s"&amp;AC15</f>
        <v>30049_3-2/13&lt;lv40&gt;s2</v>
      </c>
      <c r="B15" s="22">
        <v>30049</v>
      </c>
      <c r="C15" s="21">
        <v>3</v>
      </c>
      <c r="D15" s="2" t="str">
        <f t="shared" ref="D15:D19" si="11">B15&amp;"_"&amp;C15</f>
        <v>30049_3</v>
      </c>
      <c r="E15" s="4" t="str">
        <f ca="1">VLOOKUP($B15,OFFSET([2]quests!$A$1,0,0,COUNTA([2]quests!$A:$A),MATCH(E$1,[2]quests!$1:$1,0)-MATCH($B$1,[2]quests!$1:$1,0)+1),MATCH(E$1,[2]quests!$1:$1,0)-MATCH($B$1,[2]quests!$1:$1,0)+1,FALSE)</f>
        <v>鉄壁の子豚要塞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【超級】鉄壁の子豚要塞</v>
      </c>
      <c r="G15" s="21">
        <v>2</v>
      </c>
      <c r="H15" s="15" t="str">
        <f t="shared" ref="H15:H19" si="12">B15&amp;"_"&amp;C15&amp;"-"&amp;G15</f>
        <v>30049_3-2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13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ミミ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40</v>
      </c>
      <c r="S15" s="25">
        <v>1.85</v>
      </c>
      <c r="T15" s="102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15047.900000000001</v>
      </c>
      <c r="U15" s="25">
        <v>0.28000000000000003</v>
      </c>
      <c r="V15" s="102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1030.1200000000001</v>
      </c>
      <c r="W15" s="5">
        <v>0</v>
      </c>
      <c r="X15" s="4" t="e">
        <f ca="1">VLOOKUP($Y15,OFFSET([5]enemy_skill_sets!$B$1,0,0,COUNTA([5]enemy_skill_sets!$B:$B),MATCH(M$1,[5]enemy_skill_sets!$1:$1,0)-MATCH($Y$1,[5]enemy_skill_sets!$1:$1,0)+2),MATCH(M$1,[5]enemy_skill_sets!$1:$1,0)-MATCH($Y$1,[5]enemy_skill_sets!$1:$1,0)+2,FALSE)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5" s="4">
        <v>30049002</v>
      </c>
      <c r="Z15" s="6">
        <v>1</v>
      </c>
      <c r="AA15" s="6">
        <v>100</v>
      </c>
      <c r="AB15" s="6">
        <v>0</v>
      </c>
      <c r="AC15" s="17">
        <f ca="1">VLOOKUP($L15,OFFSET([3]enemies!$A$1,0,0,COUNTA([3]enemies!$A:$A),MATCH(AC$1,[3]enemies!$1:$1,0)-MATCH($L$1,[3]enemies!$1:$1,0)+1),MATCH(AC$1,[3]enemies!$1:$1,0)-MATCH($L$1,[3]enemies!$1:$1,0)+1,FALSE)</f>
        <v>2</v>
      </c>
      <c r="AD15" s="24">
        <f t="shared" ref="AD15:AD19" si="13">L15</f>
        <v>13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ミミ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Drop1W</v>
      </c>
      <c r="AH15" s="7">
        <v>1</v>
      </c>
      <c r="AI15" s="24">
        <f t="shared" ref="AI15:AI19" ca="1" si="14">AF15</f>
        <v>1</v>
      </c>
      <c r="AJ15" s="8">
        <v>60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6" spans="1:42" ht="21" customHeight="1" x14ac:dyDescent="0.15">
      <c r="A16" s="16" t="str">
        <f t="shared" si="10"/>
        <v>30049_3-2/47&lt;lv40&gt;s2</v>
      </c>
      <c r="B16" s="22">
        <v>30049</v>
      </c>
      <c r="C16" s="21">
        <v>3</v>
      </c>
      <c r="D16" s="2" t="str">
        <f t="shared" si="11"/>
        <v>30049_3</v>
      </c>
      <c r="E16" s="4" t="str">
        <f ca="1">VLOOKUP($B16,OFFSET([2]quests!$A$1,0,0,COUNTA([2]quests!$A:$A),MATCH(E$1,[2]quests!$1:$1,0)-MATCH($B$1,[2]quests!$1:$1,0)+1),MATCH(E$1,[2]quests!$1:$1,0)-MATCH($B$1,[2]quests!$1:$1,0)+1,FALSE)</f>
        <v>鉄壁の子豚要塞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【超級】鉄壁の子豚要塞</v>
      </c>
      <c r="G16" s="21">
        <v>2</v>
      </c>
      <c r="H16" s="15" t="str">
        <f t="shared" si="12"/>
        <v>30049_3-2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47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ヒロ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40</v>
      </c>
      <c r="S16" s="25">
        <v>1.85</v>
      </c>
      <c r="T16" s="102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15047.900000000001</v>
      </c>
      <c r="U16" s="25">
        <v>0.28000000000000003</v>
      </c>
      <c r="V16" s="102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1030.1200000000001</v>
      </c>
      <c r="W16" s="5">
        <v>0</v>
      </c>
      <c r="X16" s="4" t="e">
        <f ca="1">VLOOKUP($Y16,OFFSET([5]enemy_skill_sets!$B$1,0,0,COUNTA([5]enemy_skill_sets!$B:$B),MATCH(M$1,[5]enemy_skill_sets!$1:$1,0)-MATCH($Y$1,[5]enemy_skill_sets!$1:$1,0)+2),MATCH(M$1,[5]enemy_skill_sets!$1:$1,0)-MATCH($Y$1,[5]enemy_skill_sets!$1:$1,0)+2,FALSE)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6" s="4">
        <v>30049003</v>
      </c>
      <c r="Z16" s="6">
        <v>1</v>
      </c>
      <c r="AA16" s="6">
        <v>100</v>
      </c>
      <c r="AB16" s="6">
        <v>0</v>
      </c>
      <c r="AC16" s="17">
        <v>2</v>
      </c>
      <c r="AD16" s="24">
        <f t="shared" si="13"/>
        <v>47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ヒロ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Drop1N</v>
      </c>
      <c r="AH16" s="7">
        <v>1</v>
      </c>
      <c r="AI16" s="24">
        <f t="shared" ca="1" si="14"/>
        <v>2</v>
      </c>
      <c r="AJ16" s="8">
        <v>60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9">
        <v>1</v>
      </c>
    </row>
    <row r="17" spans="1:42" ht="21" customHeight="1" x14ac:dyDescent="0.15">
      <c r="A17" s="16" t="str">
        <f t="shared" ca="1" si="10"/>
        <v>30049_3-2/63&lt;lv40&gt;s2</v>
      </c>
      <c r="B17" s="22">
        <v>30049</v>
      </c>
      <c r="C17" s="21">
        <v>3</v>
      </c>
      <c r="D17" s="2" t="str">
        <f t="shared" si="11"/>
        <v>30049_3</v>
      </c>
      <c r="E17" s="4" t="str">
        <f ca="1">VLOOKUP($B17,OFFSET([2]quests!$A$1,0,0,COUNTA([2]quests!$A:$A),MATCH(E$1,[2]quests!$1:$1,0)-MATCH($B$1,[2]quests!$1:$1,0)+1),MATCH(E$1,[2]quests!$1:$1,0)-MATCH($B$1,[2]quests!$1:$1,0)+1,FALSE)</f>
        <v>鉄壁の子豚要塞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【超級】鉄壁の子豚要塞</v>
      </c>
      <c r="G17" s="21">
        <v>2</v>
      </c>
      <c r="H17" s="15" t="str">
        <f t="shared" si="12"/>
        <v>30049_3-2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63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トニー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40</v>
      </c>
      <c r="S17" s="25">
        <v>2.1</v>
      </c>
      <c r="T17" s="102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15374.1</v>
      </c>
      <c r="U17" s="25">
        <v>0.41</v>
      </c>
      <c r="V17" s="102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1020.9</v>
      </c>
      <c r="W17" s="5">
        <v>0</v>
      </c>
      <c r="X17" s="4" t="e">
        <f ca="1">VLOOKUP($Y17,OFFSET([5]enemy_skill_sets!$B$1,0,0,COUNTA([5]enemy_skill_sets!$B:$B),MATCH(M$1,[5]enemy_skill_sets!$1:$1,0)-MATCH($Y$1,[5]enemy_skill_sets!$1:$1,0)+2),MATCH(M$1,[5]enemy_skill_sets!$1:$1,0)-MATCH($Y$1,[5]enemy_skill_sets!$1:$1,0)+2,FALSE)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7" s="4">
        <v>30049004</v>
      </c>
      <c r="Z17" s="6">
        <v>1</v>
      </c>
      <c r="AA17" s="6">
        <v>100</v>
      </c>
      <c r="AB17" s="6">
        <v>0</v>
      </c>
      <c r="AC17" s="17">
        <f ca="1">VLOOKUP($L17,OFFSET([3]enemies!$A$1,0,0,COUNTA([3]enemies!$A:$A),MATCH(AC$1,[3]enemies!$1:$1,0)-MATCH($L$1,[3]enemies!$1:$1,0)+1),MATCH(AC$1,[3]enemies!$1:$1,0)-MATCH($L$1,[3]enemies!$1:$1,0)+1,FALSE)</f>
        <v>2</v>
      </c>
      <c r="AD17" s="24">
        <f t="shared" si="13"/>
        <v>63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2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Drop1N</v>
      </c>
      <c r="AH17" s="7">
        <v>1</v>
      </c>
      <c r="AI17" s="24">
        <f t="shared" ca="1" si="14"/>
        <v>2</v>
      </c>
      <c r="AJ17" s="8">
        <v>60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9">
        <v>1</v>
      </c>
    </row>
    <row r="18" spans="1:42" ht="21" customHeight="1" x14ac:dyDescent="0.15">
      <c r="A18" s="16" t="str">
        <f t="shared" si="10"/>
        <v>30049_3-2/366&lt;lv40&gt;s2</v>
      </c>
      <c r="B18" s="22">
        <v>30049</v>
      </c>
      <c r="C18" s="21">
        <v>3</v>
      </c>
      <c r="D18" s="2" t="str">
        <f t="shared" si="11"/>
        <v>30049_3</v>
      </c>
      <c r="E18" s="4" t="str">
        <f ca="1">VLOOKUP($B18,OFFSET([2]quests!$A$1,0,0,COUNTA([2]quests!$A:$A),MATCH(E$1,[2]quests!$1:$1,0)-MATCH($B$1,[2]quests!$1:$1,0)+1),MATCH(E$1,[2]quests!$1:$1,0)-MATCH($B$1,[2]quests!$1:$1,0)+1,FALSE)</f>
        <v>鉄壁の子豚要塞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【超級】鉄壁の子豚要塞</v>
      </c>
      <c r="G18" s="21">
        <v>2</v>
      </c>
      <c r="H18" s="15" t="str">
        <f t="shared" si="12"/>
        <v>30049_3-2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366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トト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40</v>
      </c>
      <c r="S18" s="25">
        <v>1.85</v>
      </c>
      <c r="T18" s="102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15047.900000000001</v>
      </c>
      <c r="U18" s="25">
        <v>0.38</v>
      </c>
      <c r="V18" s="102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1051.08</v>
      </c>
      <c r="W18" s="5">
        <v>0</v>
      </c>
      <c r="X18" s="4" t="e">
        <f ca="1">VLOOKUP($Y18,OFFSET([5]enemy_skill_sets!$B$1,0,0,COUNTA([5]enemy_skill_sets!$B:$B),MATCH(M$1,[5]enemy_skill_sets!$1:$1,0)-MATCH($Y$1,[5]enemy_skill_sets!$1:$1,0)+2),MATCH(M$1,[5]enemy_skill_sets!$1:$1,0)-MATCH($Y$1,[5]enemy_skill_sets!$1:$1,0)+2,FALSE)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8" s="4">
        <v>30049005</v>
      </c>
      <c r="Z18" s="6">
        <v>1</v>
      </c>
      <c r="AA18" s="6">
        <v>100</v>
      </c>
      <c r="AB18" s="6">
        <v>0</v>
      </c>
      <c r="AC18" s="17">
        <v>2</v>
      </c>
      <c r="AD18" s="24">
        <f t="shared" si="13"/>
        <v>366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トト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2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Drop1S</v>
      </c>
      <c r="AH18" s="7">
        <v>1</v>
      </c>
      <c r="AI18" s="24">
        <f t="shared" ca="1" si="14"/>
        <v>2</v>
      </c>
      <c r="AJ18" s="8">
        <v>60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9">
        <v>1</v>
      </c>
    </row>
    <row r="19" spans="1:42" ht="21" customHeight="1" x14ac:dyDescent="0.15">
      <c r="A19" s="16" t="str">
        <f t="shared" si="10"/>
        <v>30049_3-3/1373&lt;lv40&gt;s2</v>
      </c>
      <c r="B19" s="22">
        <v>30049</v>
      </c>
      <c r="C19" s="21">
        <v>3</v>
      </c>
      <c r="D19" s="2" t="str">
        <f t="shared" si="11"/>
        <v>30049_3</v>
      </c>
      <c r="E19" s="4" t="str">
        <f ca="1">VLOOKUP($B19,OFFSET([2]quests!$A$1,0,0,COUNTA([2]quests!$A:$A),MATCH(E$1,[2]quests!$1:$1,0)-MATCH($B$1,[2]quests!$1:$1,0)+1),MATCH(E$1,[2]quests!$1:$1,0)-MATCH($B$1,[2]quests!$1:$1,0)+1,FALSE)</f>
        <v>鉄壁の子豚要塞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【超級】鉄壁の子豚要塞</v>
      </c>
      <c r="G19" s="21">
        <v>3</v>
      </c>
      <c r="H19" s="15" t="str">
        <f t="shared" si="12"/>
        <v>30049_3-3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3</v>
      </c>
      <c r="L19" s="20">
        <v>1373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スリー・ピギーズ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40</v>
      </c>
      <c r="S19" s="25">
        <v>2.84</v>
      </c>
      <c r="T19" s="102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200362</v>
      </c>
      <c r="U19" s="25">
        <v>0.74</v>
      </c>
      <c r="V19" s="102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5004.62</v>
      </c>
      <c r="W19" s="5">
        <v>0</v>
      </c>
      <c r="X19" s="4" t="e">
        <f ca="1">VLOOKUP($Y19,OFFSET([5]enemy_skill_sets!$B$1,0,0,COUNTA([5]enemy_skill_sets!$B:$B),MATCH(M$1,[5]enemy_skill_sets!$1:$1,0)-MATCH($Y$1,[5]enemy_skill_sets!$1:$1,0)+2),MATCH(M$1,[5]enemy_skill_sets!$1:$1,0)-MATCH($Y$1,[5]enemy_skill_sets!$1:$1,0)+2,FALSE)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9" s="4">
        <v>30049006</v>
      </c>
      <c r="Z19" s="6">
        <v>1</v>
      </c>
      <c r="AA19" s="6">
        <v>100</v>
      </c>
      <c r="AB19" s="6">
        <v>0</v>
      </c>
      <c r="AC19" s="17">
        <v>2</v>
      </c>
      <c r="AD19" s="24">
        <f t="shared" si="13"/>
        <v>1373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スリー・ピギーズ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Drop2N</v>
      </c>
      <c r="AH19" s="7">
        <v>1</v>
      </c>
      <c r="AI19" s="24">
        <f t="shared" ca="1" si="14"/>
        <v>4</v>
      </c>
      <c r="AJ19" s="8">
        <v>100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9">
        <v>1</v>
      </c>
    </row>
  </sheetData>
  <sheetProtection selectLockedCells="1" selectUnlockedCells="1"/>
  <autoFilter ref="B1:AJ14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workbookViewId="0">
      <pane xSplit="18" ySplit="1" topLeftCell="X2" activePane="bottomRight" state="frozen"/>
      <selection activeCell="E25" sqref="E25"/>
      <selection pane="topRight" activeCell="E25" sqref="E25"/>
      <selection pane="bottomLeft" activeCell="E25" sqref="E25"/>
      <selection pane="bottomRight" activeCell="X8" sqref="X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249</v>
      </c>
      <c r="V1" s="26" t="s">
        <v>50</v>
      </c>
      <c r="W1" s="101" t="s">
        <v>250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30049_1-3/1374&lt;lv25&gt;sq1st2</v>
      </c>
      <c r="B2" s="22">
        <v>30049</v>
      </c>
      <c r="C2" s="21">
        <v>1</v>
      </c>
      <c r="D2" s="2" t="str">
        <f>B2&amp;"_"&amp;C2</f>
        <v>30049_1</v>
      </c>
      <c r="E2" s="4" t="str">
        <f ca="1">VLOOKUP($B2,OFFSET([2]quests!$A$1,0,0,COUNTA([2]quests!$A:$A),MATCH(E$1,[2]quests!$1:$1,0)-MATCH($B$1,[2]quests!$1:$1,0)+1),MATCH(E$1,[2]quests!$1:$1,0)-MATCH($B$1,[2]quests!$1:$1,0)+1,FALSE)</f>
        <v>鉄壁の子豚要塞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【中級】鉄壁の子豚要塞</v>
      </c>
      <c r="G2" s="21">
        <v>3</v>
      </c>
      <c r="H2" s="15" t="str">
        <f>B2&amp;"_"&amp;C2&amp;"-"&amp;G2</f>
        <v>30049_1-3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1374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一級建築兄弟 スリー・ピギーズ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25</v>
      </c>
      <c r="T2" s="25">
        <v>2.84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127942</v>
      </c>
      <c r="V2" s="25">
        <v>0.6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2590.7999999999997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30049107</v>
      </c>
      <c r="AA2" s="70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30049_2-3/1374&lt;lv35&gt;sq2st2</v>
      </c>
      <c r="B3" s="22">
        <v>30049</v>
      </c>
      <c r="C3" s="21">
        <v>2</v>
      </c>
      <c r="D3" s="2" t="str">
        <f>B3&amp;"_"&amp;C3</f>
        <v>30049_2</v>
      </c>
      <c r="E3" s="4" t="str">
        <f ca="1">VLOOKUP($B3,OFFSET([2]quests!$A$1,0,0,COUNTA([2]quests!$A:$A),MATCH(E$1,[2]quests!$1:$1,0)-MATCH($B$1,[2]quests!$1:$1,0)+1),MATCH(E$1,[2]quests!$1:$1,0)-MATCH($B$1,[2]quests!$1:$1,0)+1,FALSE)</f>
        <v>鉄壁の子豚要塞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【上級】鉄壁の子豚要塞</v>
      </c>
      <c r="G3" s="21">
        <v>3</v>
      </c>
      <c r="H3" s="15" t="str">
        <f>B3&amp;"_"&amp;C3&amp;"-"&amp;G3</f>
        <v>30049_2-3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1374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一級建築兄弟 スリー・ピギーズ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35</v>
      </c>
      <c r="T3" s="25">
        <v>2.84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176222</v>
      </c>
      <c r="V3" s="25">
        <v>0.6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3568.7999999999997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30049207</v>
      </c>
      <c r="AA3" s="70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30049_3-3/1374&lt;lv40&gt;sq3st2</v>
      </c>
      <c r="B4" s="22">
        <v>30049</v>
      </c>
      <c r="C4" s="21">
        <v>3</v>
      </c>
      <c r="D4" s="2" t="str">
        <f>B4&amp;"_"&amp;C4</f>
        <v>30049_3</v>
      </c>
      <c r="E4" s="4" t="str">
        <f ca="1">VLOOKUP($B4,OFFSET([2]quests!$A$1,0,0,COUNTA([2]quests!$A:$A),MATCH(E$1,[2]quests!$1:$1,0)-MATCH($B$1,[2]quests!$1:$1,0)+1),MATCH(E$1,[2]quests!$1:$1,0)-MATCH($B$1,[2]quests!$1:$1,0)+1,FALSE)</f>
        <v>鉄壁の子豚要塞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【超級】鉄壁の子豚要塞</v>
      </c>
      <c r="G4" s="21">
        <v>3</v>
      </c>
      <c r="H4" s="15" t="str">
        <f>B4&amp;"_"&amp;C4&amp;"-"&amp;G4</f>
        <v>30049_3-3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1374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一級建築兄弟 スリー・ピギーズ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40</v>
      </c>
      <c r="T4" s="25">
        <v>2.84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200362</v>
      </c>
      <c r="V4" s="25">
        <v>0.6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4057.7999999999997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30049007</v>
      </c>
      <c r="AA4" s="70">
        <v>1</v>
      </c>
    </row>
  </sheetData>
  <sheetProtection selectLockedCells="1" selectUnlockedCells="1"/>
  <autoFilter ref="B1:AA4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1"/>
  <sheetViews>
    <sheetView showGridLines="0" tabSelected="1" workbookViewId="0">
      <pane xSplit="5" ySplit="1" topLeftCell="F12" activePane="bottomRight" state="frozen"/>
      <selection pane="topRight"/>
      <selection pane="bottomLeft"/>
      <selection pane="bottomRight" activeCell="F27" sqref="F2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customWidth="1" outlineLevel="1"/>
    <col min="8" max="9" width="12.83203125" style="49" customWidth="1" outlineLevel="1"/>
    <col min="10" max="10" width="17.6640625" style="49" customWidth="1" outlineLevel="1"/>
    <col min="11" max="15" width="12.83203125" style="49" customWidth="1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30049001_30049001</v>
      </c>
      <c r="B2" s="47">
        <v>30049001</v>
      </c>
      <c r="C2" s="47">
        <v>30049001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やー！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単体攻撃</v>
      </c>
      <c r="F2" s="47">
        <v>30049001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24" si="1">B3&amp;"_"&amp;C3</f>
        <v>30049001_30049002</v>
      </c>
      <c r="B3" s="47">
        <v>30049001</v>
      </c>
      <c r="C3" s="47">
        <v>30049002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とっしん！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7">
        <v>30049002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30049001_30049003</v>
      </c>
      <c r="B4" s="47">
        <v>30049001</v>
      </c>
      <c r="C4" s="47">
        <v>30049003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モフモフ・スリープ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1ターン確率でユニット1体にスリープ</v>
      </c>
      <c r="F4" s="47">
        <v>30049003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30049001_30049004</v>
      </c>
      <c r="B5" s="47">
        <v>30049001</v>
      </c>
      <c r="C5" s="47">
        <v>30049004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思いっきりいくぞー！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" s="47">
        <v>30049004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30049002_30049005</v>
      </c>
      <c r="B6" s="47">
        <v>30049002</v>
      </c>
      <c r="C6" s="47">
        <v>30049005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照準セット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1ターン自身の行動頻度UP</v>
      </c>
      <c r="F6" s="47">
        <v>30049005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30049002_30049006</v>
      </c>
      <c r="B7" s="47">
        <v>30049002</v>
      </c>
      <c r="C7" s="47">
        <v>30049006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撹乱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緑パネルをお邪魔パネルに最大2個変換+_x000D_単体攻撃</v>
      </c>
      <c r="F7" s="47">
        <v>30049006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30049002_30049007</v>
      </c>
      <c r="B8" s="47">
        <v>30049002</v>
      </c>
      <c r="C8" s="47">
        <v>30049007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連射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8" s="47">
        <v>30049007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30049003_30049009</v>
      </c>
      <c r="B9" s="47">
        <v>30049003</v>
      </c>
      <c r="C9" s="47">
        <v>30049009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放電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黄パネルを黄のダメージパネルに最大2個変換+_x000D_単体攻撃</v>
      </c>
      <c r="F9" s="47">
        <v>30049009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30049003_30049010</v>
      </c>
      <c r="B10" s="47">
        <v>30049003</v>
      </c>
      <c r="C10" s="47">
        <v>30049010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閃光ブレイク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" s="47">
        <v>30049010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30049004_30049011</v>
      </c>
      <c r="B11" s="47">
        <v>30049004</v>
      </c>
      <c r="C11" s="47">
        <v>30049011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スライディング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1ターン自身の行動頻度UP</v>
      </c>
      <c r="F11" s="47">
        <v>30049011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30049004_30049012</v>
      </c>
      <c r="B12" s="47">
        <v>30049004</v>
      </c>
      <c r="C12" s="47">
        <v>30049012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撹乱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緑パネルをお邪魔パネルに最大2個変換+_x000D_単体攻撃</v>
      </c>
      <c r="F12" s="47">
        <v>30049012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30049004_30049013</v>
      </c>
      <c r="B13" s="47">
        <v>30049004</v>
      </c>
      <c r="C13" s="47">
        <v>30049013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スピードスター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3" s="47">
        <v>30049013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30049005_30049015</v>
      </c>
      <c r="B14" s="47">
        <v>30049005</v>
      </c>
      <c r="C14" s="47">
        <v>30049015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地雷設置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黄パネルを黄のダメージパネルに最大2個変換+_x000D_単体攻撃</v>
      </c>
      <c r="F14" s="47">
        <v>30049015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30049005_30049016</v>
      </c>
      <c r="B15" s="47">
        <v>30049005</v>
      </c>
      <c r="C15" s="47">
        <v>30049016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一斉掃射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5" s="47">
        <v>30049016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30049006_30049017</v>
      </c>
      <c r="B16" s="47">
        <v>30049006</v>
      </c>
      <c r="C16" s="47">
        <v>30049017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おいらの攻撃はどうだい？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緑パネルプロテクト(最大4個)+_x000D_単体攻撃</v>
      </c>
      <c r="F16" s="47">
        <v>30049017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30049006_30049018</v>
      </c>
      <c r="B17" s="47">
        <v>30049006</v>
      </c>
      <c r="C17" s="47">
        <v>30049018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僕に近づかないで…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緑パネルをお邪魔パネルに最大2個変換+_x000D_2回連続攻撃</v>
      </c>
      <c r="F17" s="47">
        <v>30049018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30049006_30049019</v>
      </c>
      <c r="B18" s="47">
        <v>30049006</v>
      </c>
      <c r="C18" s="47">
        <v>30049019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俺をナメるなよ！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黄パネルを黄のダメージパネルに最大2個変換+_x000D_お邪魔パネルを吸収して全体攻撃</v>
      </c>
      <c r="F18" s="47">
        <v>30049019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30049006_30049020</v>
      </c>
      <c r="B19" s="47">
        <v>30049006</v>
      </c>
      <c r="C19" s="47">
        <v>30049020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スリー・ピギーズアタック！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47">
        <v>30049020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30049007_30049021</v>
      </c>
      <c r="B20" s="47">
        <v>30049007</v>
      </c>
      <c r="C20" s="47">
        <v>30049021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回復するヒマはないよ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ハートパネルプロテクト(最大4個)+_x000D_単体攻撃</v>
      </c>
      <c r="F20" s="47">
        <v>30049021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30049007_30049022</v>
      </c>
      <c r="B21" s="47">
        <v>30049007</v>
      </c>
      <c r="C21" s="47">
        <v>30049022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近づくと怪我しますよ…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緑パネルをお邪魔パネルに最大3個変換+_x000D_2回連続攻撃</v>
      </c>
      <c r="F21" s="47">
        <v>30049022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30049007_30049023</v>
      </c>
      <c r="B22" s="47">
        <v>30049007</v>
      </c>
      <c r="C22" s="47">
        <v>30049023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どんどんいくぜ！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黄パネルを黄のダメージパネルに最大3個変換+_x000D_お邪魔パネルを吸収して全体攻撃</v>
      </c>
      <c r="F22" s="47">
        <v>30049023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30049007_30049024</v>
      </c>
      <c r="B23" s="47">
        <v>30049007</v>
      </c>
      <c r="C23" s="47">
        <v>30049024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スリー・ピギーズアタック！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47">
        <v>30049024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30049007_30049025</v>
      </c>
      <c r="B24" s="47">
        <v>30049007</v>
      </c>
      <c r="C24" s="47">
        <v>30049025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俺たちを本気にさせたいみたいだな！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お邪魔パネルとダメージパネルを吸収して全体攻撃</v>
      </c>
      <c r="F24" s="47">
        <v>30049025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ref="A25" si="2">B25&amp;"_"&amp;C25</f>
        <v>30049007_30049026</v>
      </c>
      <c r="B25" s="47">
        <v>30049007</v>
      </c>
      <c r="C25" s="47">
        <v>30049026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本気でいくぞ！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攻撃力UP</v>
      </c>
      <c r="F25" s="47">
        <v>30049026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:A43" si="3">B26&amp;"_"&amp;C26</f>
        <v>30049006_30049031</v>
      </c>
      <c r="B26" s="47">
        <v>30049006</v>
      </c>
      <c r="C26" s="47">
        <v>30049031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この鉄壁の要塞を落とせるものなら落としてみろ！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26" s="47">
        <v>30049031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3"/>
        <v>30049006_30049032</v>
      </c>
      <c r="B27" s="47">
        <v>30049006</v>
      </c>
      <c r="C27" s="47">
        <v>30049032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おい狼！お前なんか怖くねぇぜ！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27" s="47">
        <v>30049032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3"/>
        <v>30049006_30049032</v>
      </c>
      <c r="B28" s="47">
        <v>30049006</v>
      </c>
      <c r="C28" s="47">
        <v>30049032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おい狼！お前なんか怖くねぇぜ！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28" s="47">
        <v>30049033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ref="A29:A30" si="4">B29&amp;"_"&amp;C29</f>
        <v>30049006_30049032</v>
      </c>
      <c r="B29" s="47">
        <v>30049006</v>
      </c>
      <c r="C29" s="47">
        <v>30049032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おい狼！お前なんか怖くねぇぜ！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29" s="47">
        <v>30049045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142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4"/>
        <v>30049006_30049032</v>
      </c>
      <c r="B30" s="47">
        <v>30049006</v>
      </c>
      <c r="C30" s="47">
        <v>30049032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おい狼！お前なんか怖くねぇぜ！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0" s="47">
        <v>30049046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128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3"/>
        <v>30049007_30049033</v>
      </c>
      <c r="B31" s="47">
        <v>30049007</v>
      </c>
      <c r="C31" s="47">
        <v>30049033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この鉄壁の要塞が落とされるとは…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1" s="47">
        <v>30049034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3"/>
        <v>30049007_30049034</v>
      </c>
      <c r="B32" s="47">
        <v>30049007</v>
      </c>
      <c r="C32" s="47">
        <v>30049034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2" s="47">
        <v>30049035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3"/>
        <v>30049007_30049034</v>
      </c>
      <c r="B33" s="47">
        <v>30049007</v>
      </c>
      <c r="C33" s="47">
        <v>30049034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3" s="47">
        <v>30049036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295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:A37" si="5">B34&amp;"_"&amp;C34</f>
        <v>30049007_30049034</v>
      </c>
      <c r="B34" s="47">
        <v>30049007</v>
      </c>
      <c r="C34" s="47">
        <v>30049034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4" s="47">
        <v>30049037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5"/>
        <v>30049007_30049034</v>
      </c>
      <c r="B35" s="47">
        <v>30049007</v>
      </c>
      <c r="C35" s="47">
        <v>30049034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5" s="47">
        <v>30049038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131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131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5"/>
        <v>30049007_30049034</v>
      </c>
      <c r="B36" s="47">
        <v>30049007</v>
      </c>
      <c r="C36" s="47">
        <v>30049034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6" s="47">
        <v>30049039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132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562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5"/>
        <v>30049007_30049034</v>
      </c>
      <c r="B37" s="47">
        <v>30049007</v>
      </c>
      <c r="C37" s="47">
        <v>30049034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7" s="47">
        <v>30049040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142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ref="A38:A39" si="6">B38&amp;"_"&amp;C38</f>
        <v>30049007_30049034</v>
      </c>
      <c r="B38" s="47">
        <v>30049007</v>
      </c>
      <c r="C38" s="47">
        <v>30049034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8" s="47">
        <v>30049041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141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143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6"/>
        <v>30049007_30049034</v>
      </c>
      <c r="B39" s="47">
        <v>30049007</v>
      </c>
      <c r="C39" s="47">
        <v>30049034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9" s="47">
        <v>30049042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128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ref="A40:A41" si="7">B40&amp;"_"&amp;C40</f>
        <v>30049007_30049034</v>
      </c>
      <c r="B40" s="47">
        <v>30049007</v>
      </c>
      <c r="C40" s="47">
        <v>30049034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40" s="47">
        <v>30049043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151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129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7"/>
        <v>30049007_30049034</v>
      </c>
      <c r="B41" s="47">
        <v>30049007</v>
      </c>
      <c r="C41" s="47">
        <v>30049034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41" s="47">
        <v>30049044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152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561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3"/>
        <v>30049103_30049100</v>
      </c>
      <c r="B42" s="131">
        <v>30049103</v>
      </c>
      <c r="C42" s="125">
        <v>30049100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放電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黄パネルを黄のダメージパネルに最大2個変換+_x000D_単体攻撃</v>
      </c>
      <c r="F42" s="47">
        <v>30049009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2" customHeight="1" x14ac:dyDescent="0.15">
      <c r="A43" s="39" t="str">
        <f t="shared" si="3"/>
        <v>30049103_30049010</v>
      </c>
      <c r="B43" s="131">
        <v>30049103</v>
      </c>
      <c r="C43" s="47">
        <v>30049010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閃光ブレイク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3" s="47">
        <v>30049010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ref="A44:A67" si="8">B44&amp;"_"&amp;C44</f>
        <v>30049203_30049200</v>
      </c>
      <c r="B44" s="104">
        <v>30049203</v>
      </c>
      <c r="C44" s="128">
        <v>30049200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放電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黄パネルを黄のダメージパネルに最大2個変換+_x000D_単体攻撃</v>
      </c>
      <c r="F44" s="47">
        <v>30049009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8"/>
        <v>30049203_30049010</v>
      </c>
      <c r="B45" s="104">
        <v>30049203</v>
      </c>
      <c r="C45" s="47">
        <v>30049010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閃光ブレイク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5" s="47">
        <v>30049010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8"/>
        <v>30049105_30049101</v>
      </c>
      <c r="B46" s="131">
        <v>30049105</v>
      </c>
      <c r="C46" s="125">
        <v>30049101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地雷設置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黄パネルを黄のダメージパネルに最大2個変換+_x000D_単体攻撃</v>
      </c>
      <c r="F46" s="47">
        <v>30049015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8"/>
        <v>30049105_30049016</v>
      </c>
      <c r="B47" s="131">
        <v>30049105</v>
      </c>
      <c r="C47" s="47">
        <v>30049016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一斉掃射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7" s="47">
        <v>30049016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8"/>
        <v>30049205_30049201</v>
      </c>
      <c r="B48" s="104">
        <v>30049205</v>
      </c>
      <c r="C48" s="128">
        <v>30049201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地雷設置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黄パネルを黄のダメージパネルに最大2個変換+_x000D_単体攻撃</v>
      </c>
      <c r="F48" s="47">
        <v>30049015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8"/>
        <v>30049205_30049016</v>
      </c>
      <c r="B49" s="104">
        <v>30049205</v>
      </c>
      <c r="C49" s="47">
        <v>30049016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一斉掃射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9" s="47">
        <v>30049016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8"/>
        <v>30049106_30049017</v>
      </c>
      <c r="B50" s="131">
        <v>30049106</v>
      </c>
      <c r="C50" s="47">
        <v>30049017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おいらの攻撃はどうだい？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緑パネルプロテクト(最大4個)+_x000D_単体攻撃</v>
      </c>
      <c r="F50" s="47">
        <v>30049017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 t="s">
        <v>373</v>
      </c>
    </row>
    <row r="51" spans="1:18" ht="21" customHeight="1" x14ac:dyDescent="0.15">
      <c r="A51" s="39" t="str">
        <f t="shared" si="8"/>
        <v>30049106_30049018</v>
      </c>
      <c r="B51" s="131">
        <v>30049106</v>
      </c>
      <c r="C51" s="47">
        <v>30049018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僕に近づかないで…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緑パネルをお邪魔パネルに最大2個変換+_x000D_2回連続攻撃</v>
      </c>
      <c r="F51" s="47">
        <v>30049018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8"/>
        <v>30049106_30049102</v>
      </c>
      <c r="B52" s="131">
        <v>30049106</v>
      </c>
      <c r="C52" s="125">
        <v>30049102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俺をナメるなよ！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黄パネルを黄のダメージパネルに最大2個変換+_x000D_お邪魔パネルを吸収して全体攻撃</v>
      </c>
      <c r="F52" s="47">
        <v>30049019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8"/>
        <v>30049106_30049020</v>
      </c>
      <c r="B53" s="131">
        <v>30049106</v>
      </c>
      <c r="C53" s="47">
        <v>30049020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スリー・ピギーズアタック！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3" s="47">
        <v>30049020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8"/>
        <v>30049107_30049021</v>
      </c>
      <c r="B54" s="131">
        <v>30049107</v>
      </c>
      <c r="C54" s="47">
        <v>30049021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回復するヒマはないよ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ハートパネルプロテクト(最大4個)+_x000D_単体攻撃</v>
      </c>
      <c r="F54" s="47">
        <v>30049021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 t="s">
        <v>373</v>
      </c>
    </row>
    <row r="55" spans="1:18" ht="21" customHeight="1" x14ac:dyDescent="0.15">
      <c r="A55" s="39" t="str">
        <f t="shared" si="8"/>
        <v>30049107_30049022</v>
      </c>
      <c r="B55" s="131">
        <v>30049107</v>
      </c>
      <c r="C55" s="47">
        <v>30049022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近づくと怪我しますよ…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緑パネルをお邪魔パネルに最大3個変換+_x000D_2回連続攻撃</v>
      </c>
      <c r="F55" s="47">
        <v>30049022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8"/>
        <v>30049107_30049103</v>
      </c>
      <c r="B56" s="131">
        <v>30049107</v>
      </c>
      <c r="C56" s="125">
        <v>30049103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どんどんいくぜ！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黄パネルを黄のダメージパネルに最大3個変換+_x000D_お邪魔パネルを吸収して全体攻撃</v>
      </c>
      <c r="F56" s="47">
        <v>30049023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8"/>
        <v>30049107_30049024</v>
      </c>
      <c r="B57" s="131">
        <v>30049107</v>
      </c>
      <c r="C57" s="47">
        <v>30049024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スリー・ピギーズアタック！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7" s="47">
        <v>30049024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8"/>
        <v>30049107_30049104</v>
      </c>
      <c r="B58" s="131">
        <v>30049107</v>
      </c>
      <c r="C58" s="125">
        <v>30049104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俺たちを本気にさせたいみたいだな！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お邪魔パネルとダメージパネルを吸収して全体攻撃</v>
      </c>
      <c r="F58" s="47">
        <v>30049025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8"/>
        <v>30049107_30049026</v>
      </c>
      <c r="B59" s="131">
        <v>30049107</v>
      </c>
      <c r="C59" s="47">
        <v>30049026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本気でいくぞ！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攻撃力UP</v>
      </c>
      <c r="F59" s="47">
        <v>30049026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8"/>
        <v>30049106_30049031</v>
      </c>
      <c r="B60" s="131">
        <v>30049106</v>
      </c>
      <c r="C60" s="47">
        <v>30049031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この鉄壁の要塞を落とせるものなら落としてみろ！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0" s="47">
        <v>30049031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8"/>
        <v>30049106_30049032</v>
      </c>
      <c r="B61" s="131">
        <v>30049106</v>
      </c>
      <c r="C61" s="47">
        <v>30049032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おい狼！お前なんか怖くねぇぜ！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1" s="47">
        <v>30049032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8"/>
        <v>30049106_30049032</v>
      </c>
      <c r="B62" s="131">
        <v>30049106</v>
      </c>
      <c r="C62" s="47">
        <v>30049032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おい狼！お前なんか怖くねぇぜ！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2" s="47">
        <v>30049033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8"/>
        <v>30049106_30049032</v>
      </c>
      <c r="B63" s="131">
        <v>30049106</v>
      </c>
      <c r="C63" s="47">
        <v>30049032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おい狼！お前なんか怖くねぇぜ！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3" s="47">
        <v>30049045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142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8"/>
        <v>30049106_30049032</v>
      </c>
      <c r="B64" s="131">
        <v>30049106</v>
      </c>
      <c r="C64" s="47">
        <v>30049032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おい狼！お前なんか怖くねぇぜ！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4" s="47">
        <v>30049046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128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8"/>
        <v>30049107_30049033</v>
      </c>
      <c r="B65" s="131">
        <v>30049107</v>
      </c>
      <c r="C65" s="47">
        <v>30049033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この鉄壁の要塞が落とされるとは…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5" s="47">
        <v>30049034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8"/>
        <v>30049107_30049034</v>
      </c>
      <c r="B66" s="131">
        <v>30049107</v>
      </c>
      <c r="C66" s="47">
        <v>30049034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6" s="47">
        <v>30049035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8"/>
        <v>30049107_30049034</v>
      </c>
      <c r="B67" s="131">
        <v>30049107</v>
      </c>
      <c r="C67" s="47">
        <v>30049034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7" s="47">
        <v>30049036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295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ref="A68" si="9">B68&amp;"_"&amp;C68</f>
        <v>30049107_30049034</v>
      </c>
      <c r="B68" s="131">
        <v>30049107</v>
      </c>
      <c r="C68" s="47">
        <v>30049034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8" s="47">
        <v>30049037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ref="A69" si="10">B69&amp;"_"&amp;C69</f>
        <v>30049107_30049034</v>
      </c>
      <c r="B69" s="131">
        <v>30049107</v>
      </c>
      <c r="C69" s="47">
        <v>30049034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9" s="47">
        <v>30049038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131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131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ref="A70:A74" si="11">B70&amp;"_"&amp;C70</f>
        <v>30049107_30049034</v>
      </c>
      <c r="B70" s="131">
        <v>30049107</v>
      </c>
      <c r="C70" s="47">
        <v>30049034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70" s="47">
        <v>30049039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132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562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1"/>
        <v>30049107_30049034</v>
      </c>
      <c r="B71" s="131">
        <v>30049107</v>
      </c>
      <c r="C71" s="47">
        <v>30049034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71" s="47">
        <v>30049040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142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1"/>
        <v>30049107_30049034</v>
      </c>
      <c r="B72" s="131">
        <v>30049107</v>
      </c>
      <c r="C72" s="47">
        <v>30049034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72" s="47">
        <v>30049041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141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143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1"/>
        <v>30049107_30049034</v>
      </c>
      <c r="B73" s="131">
        <v>30049107</v>
      </c>
      <c r="C73" s="47">
        <v>30049034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73" s="47">
        <v>30049042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128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1"/>
        <v>30049107_30049034</v>
      </c>
      <c r="B74" s="131">
        <v>30049107</v>
      </c>
      <c r="C74" s="47">
        <v>30049034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74" s="47">
        <v>30049043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151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129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ref="A75" si="12">B75&amp;"_"&amp;C75</f>
        <v>30049107_30049034</v>
      </c>
      <c r="B75" s="131">
        <v>30049107</v>
      </c>
      <c r="C75" s="47">
        <v>30049034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75" s="47">
        <v>30049044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152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561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ref="A76:A93" si="13">B76&amp;"_"&amp;C76</f>
        <v>30049206_30049017</v>
      </c>
      <c r="B76" s="104">
        <v>30049206</v>
      </c>
      <c r="C76" s="47">
        <v>30049017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おいらの攻撃はどうだい？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緑パネルプロテクト(最大4個)+_x000D_単体攻撃</v>
      </c>
      <c r="F76" s="47">
        <v>30049017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 t="s">
        <v>374</v>
      </c>
    </row>
    <row r="77" spans="1:18" ht="21" customHeight="1" x14ac:dyDescent="0.15">
      <c r="A77" s="39" t="str">
        <f t="shared" si="13"/>
        <v>30049206_30049018</v>
      </c>
      <c r="B77" s="104">
        <v>30049206</v>
      </c>
      <c r="C77" s="47">
        <v>30049018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僕に近づかないで…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緑パネルをお邪魔パネルに最大2個変換+_x000D_2回連続攻撃</v>
      </c>
      <c r="F77" s="47">
        <v>30049018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3"/>
        <v>30049206_30049202</v>
      </c>
      <c r="B78" s="104">
        <v>30049206</v>
      </c>
      <c r="C78" s="128">
        <v>30049202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俺をナメるなよ！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黄パネルを黄のダメージパネルに最大2個変換+_x000D_お邪魔パネルを吸収して全体攻撃</v>
      </c>
      <c r="F78" s="47">
        <v>30049019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3"/>
        <v>30049206_30049020</v>
      </c>
      <c r="B79" s="104">
        <v>30049206</v>
      </c>
      <c r="C79" s="47">
        <v>30049020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スリー・ピギーズアタック！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9" s="47">
        <v>30049020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3"/>
        <v>30049207_30049021</v>
      </c>
      <c r="B80" s="104">
        <v>30049207</v>
      </c>
      <c r="C80" s="47">
        <v>30049021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回復するヒマはないよ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ハートパネルプロテクト(最大4個)+_x000D_単体攻撃</v>
      </c>
      <c r="F80" s="47">
        <v>30049021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 t="s">
        <v>374</v>
      </c>
    </row>
    <row r="81" spans="1:18" ht="21" customHeight="1" x14ac:dyDescent="0.15">
      <c r="A81" s="39" t="str">
        <f t="shared" si="13"/>
        <v>30049207_30049022</v>
      </c>
      <c r="B81" s="104">
        <v>30049207</v>
      </c>
      <c r="C81" s="47">
        <v>30049022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近づくと怪我しますよ…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緑パネルをお邪魔パネルに最大3個変換+_x000D_2回連続攻撃</v>
      </c>
      <c r="F81" s="47">
        <v>30049022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3"/>
        <v>30049207_30049203</v>
      </c>
      <c r="B82" s="104">
        <v>30049207</v>
      </c>
      <c r="C82" s="128">
        <v>30049203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どんどんいくぜ！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黄パネルを黄のダメージパネルに最大3個変換+_x000D_お邪魔パネルを吸収して全体攻撃</v>
      </c>
      <c r="F82" s="47">
        <v>30049023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13"/>
        <v>30049207_30049024</v>
      </c>
      <c r="B83" s="104">
        <v>30049207</v>
      </c>
      <c r="C83" s="47">
        <v>30049024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スリー・ピギーズアタック！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3" s="47">
        <v>30049024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3"/>
        <v>30049207_30049204</v>
      </c>
      <c r="B84" s="104">
        <v>30049207</v>
      </c>
      <c r="C84" s="128">
        <v>30049204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俺たちを本気にさせたいみたいだな！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お邪魔パネルとダメージパネルを吸収して全体攻撃</v>
      </c>
      <c r="F84" s="47">
        <v>30049025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3"/>
        <v>30049207_30049026</v>
      </c>
      <c r="B85" s="104">
        <v>30049207</v>
      </c>
      <c r="C85" s="47">
        <v>30049026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本気でいくぞ！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攻撃力UP</v>
      </c>
      <c r="F85" s="47">
        <v>30049026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3"/>
        <v>30049206_30049031</v>
      </c>
      <c r="B86" s="104">
        <v>30049206</v>
      </c>
      <c r="C86" s="47">
        <v>30049031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この鉄壁の要塞を落とせるものなら落としてみろ！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86" s="47">
        <v>30049031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3"/>
        <v>30049206_30049032</v>
      </c>
      <c r="B87" s="104">
        <v>30049206</v>
      </c>
      <c r="C87" s="47">
        <v>30049032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おい狼！お前なんか怖くねぇぜ！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87" s="47">
        <v>30049032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3"/>
        <v>30049206_30049032</v>
      </c>
      <c r="B88" s="104">
        <v>30049206</v>
      </c>
      <c r="C88" s="47">
        <v>30049032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おい狼！お前なんか怖くねぇぜ！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88" s="47">
        <v>30049033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ref="A89:A90" si="14">B89&amp;"_"&amp;C89</f>
        <v>30049206_30049032</v>
      </c>
      <c r="B89" s="104">
        <v>30049206</v>
      </c>
      <c r="C89" s="47">
        <v>30049032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おい狼！お前なんか怖くねぇぜ！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89" s="47">
        <v>30049045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142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4"/>
        <v>30049206_30049032</v>
      </c>
      <c r="B90" s="104">
        <v>30049206</v>
      </c>
      <c r="C90" s="47">
        <v>30049032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おい狼！お前なんか怖くねぇぜ！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0" s="47">
        <v>30049046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128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13"/>
        <v>30049207_30049033</v>
      </c>
      <c r="B91" s="104">
        <v>30049207</v>
      </c>
      <c r="C91" s="47">
        <v>30049033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この鉄壁の要塞が落とされるとは…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1" s="47">
        <v>30049034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3"/>
        <v>30049207_30049034</v>
      </c>
      <c r="B92" s="104">
        <v>30049207</v>
      </c>
      <c r="C92" s="47">
        <v>30049034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2" s="47">
        <v>30049035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13"/>
        <v>30049207_30049034</v>
      </c>
      <c r="B93" s="104">
        <v>30049207</v>
      </c>
      <c r="C93" s="47">
        <v>30049034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3" s="47">
        <v>30049036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295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ref="A94:A101" si="15">B94&amp;"_"&amp;C94</f>
        <v>30049207_30049034</v>
      </c>
      <c r="B94" s="104">
        <v>30049207</v>
      </c>
      <c r="C94" s="47">
        <v>30049034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4" s="47">
        <v>30049037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15"/>
        <v>30049207_30049034</v>
      </c>
      <c r="B95" s="104">
        <v>30049207</v>
      </c>
      <c r="C95" s="47">
        <v>30049034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5" s="47">
        <v>30049038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131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131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15"/>
        <v>30049207_30049034</v>
      </c>
      <c r="B96" s="104">
        <v>30049207</v>
      </c>
      <c r="C96" s="47">
        <v>30049034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6" s="47">
        <v>30049039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132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562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15"/>
        <v>30049207_30049034</v>
      </c>
      <c r="B97" s="104">
        <v>30049207</v>
      </c>
      <c r="C97" s="47">
        <v>30049034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7" s="47">
        <v>30049040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142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15"/>
        <v>30049207_30049034</v>
      </c>
      <c r="B98" s="104">
        <v>30049207</v>
      </c>
      <c r="C98" s="47">
        <v>30049034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8" s="47">
        <v>30049041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141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143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15"/>
        <v>30049207_30049034</v>
      </c>
      <c r="B99" s="104">
        <v>30049207</v>
      </c>
      <c r="C99" s="47">
        <v>30049034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9" s="47">
        <v>30049042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128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15"/>
        <v>30049207_30049034</v>
      </c>
      <c r="B100" s="104">
        <v>30049207</v>
      </c>
      <c r="C100" s="47">
        <v>30049034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100" s="47">
        <v>30049043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151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129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15"/>
        <v>30049207_30049034</v>
      </c>
      <c r="B101" s="104">
        <v>30049207</v>
      </c>
      <c r="C101" s="47">
        <v>30049034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狼をナメてたぜ…やっぱり敵わないのか…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101" s="47">
        <v>30049044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152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561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45"/>
  <sheetViews>
    <sheetView showGridLines="0" zoomScale="110" zoomScaleNormal="110" zoomScalePageLayoutView="110" workbookViewId="0">
      <pane ySplit="1" topLeftCell="A21" activePane="bottomLeft" state="frozenSplit"/>
      <selection pane="bottomLeft" activeCell="A36" sqref="A3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30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30" ht="21" customHeight="1" x14ac:dyDescent="0.15">
      <c r="A2" s="47">
        <v>30049001</v>
      </c>
      <c r="B2" s="47" t="s">
        <v>337</v>
      </c>
      <c r="C2" s="50">
        <v>3</v>
      </c>
      <c r="D2" s="50" t="s">
        <v>127</v>
      </c>
      <c r="E2" s="51" t="s">
        <v>306</v>
      </c>
      <c r="F2" s="51" t="s">
        <v>253</v>
      </c>
      <c r="G2" s="63" t="str">
        <f t="shared" ref="G2:G26" si="0">IFERROR(LEFT(B2,FIND("],",B2)),B2)</f>
        <v>[effect:enemy_message, val1:1.2, val2:1.2]</v>
      </c>
      <c r="H2" s="63">
        <f t="shared" ref="H2:H26" si="1">FIND("effect:",G2)+7</f>
        <v>9</v>
      </c>
      <c r="I2" s="63">
        <f t="shared" ref="I2:I26" si="2">IFERROR(FIND(",",G2),LEN(G2))</f>
        <v>22</v>
      </c>
      <c r="J2" s="63" t="e">
        <f t="shared" ref="J2:J26" si="3">FIND("target:",G2)+7</f>
        <v>#VALUE!</v>
      </c>
      <c r="K2" s="63">
        <f t="shared" ref="K2:K26" si="4"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 t="shared" ref="M2:M26" si="5">IFERROR(RIGHT(B2,LEN(B2)-FIND("],",B2)-1),"none")</f>
        <v>[effect:rush, count:1, val:1]</v>
      </c>
      <c r="N2" s="48" t="str">
        <f t="shared" ref="N2:N8" si="6">IFERROR(LEFT(M2,FIND("],",M2)+S12),M2)</f>
        <v>[effect:rush, count:1, val:1]</v>
      </c>
      <c r="O2" s="63">
        <f t="shared" ref="O2:O26" si="7">FIND("effect:",N2)+7</f>
        <v>9</v>
      </c>
      <c r="P2" s="63">
        <f t="shared" ref="P2:P26" si="8">IFERROR(FIND(",",N2),LEN(N2))</f>
        <v>13</v>
      </c>
      <c r="Q2" s="63" t="e">
        <f t="shared" ref="Q2:Q26" si="9">FIND("target:",N2)+7</f>
        <v>#VALUE!</v>
      </c>
      <c r="R2" s="63">
        <f t="shared" ref="R2:R26" si="10">FIND(",",N2,P2+1)</f>
        <v>22</v>
      </c>
      <c r="S2" s="63" t="str">
        <f>IFERROR(VLOOKUP(MID(N2,Q2,R2-Q2),[6]skilldef!$C:$D,2,FALSE),"-") &amp; " / " &amp; IFERROR(VLOOKUP(MID(N2,O2,P2-O2),[6]skilldef!$A:$B,2,FALSE),"-")</f>
        <v>- / 連続攻撃</v>
      </c>
      <c r="T2" s="48" t="str">
        <f t="shared" ref="T2:T26" si="11">IFERROR(RIGHT(M2,LEN(M2)-FIND("],",M2)-1),"none")</f>
        <v>none</v>
      </c>
      <c r="U2" s="63" t="e">
        <f t="shared" ref="U2:U26" si="12">FIND("effect:",T2)+7</f>
        <v>#VALUE!</v>
      </c>
      <c r="V2" s="63">
        <f t="shared" ref="V2:V26" si="13">IFERROR(FIND(",",T2),LEN(T2))</f>
        <v>4</v>
      </c>
      <c r="W2" s="63" t="e">
        <f t="shared" ref="W2:W26" si="14">FIND("target:",T2)+7</f>
        <v>#VALUE!</v>
      </c>
      <c r="X2" s="63" t="e">
        <f t="shared" ref="X2:X26" si="15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  <c r="AC2" s="49">
        <f>LEN(E2)</f>
        <v>3</v>
      </c>
      <c r="AD2" s="49">
        <f>LEN(F2)</f>
        <v>4</v>
      </c>
    </row>
    <row r="3" spans="1:30" ht="21" customHeight="1" x14ac:dyDescent="0.15">
      <c r="A3" s="47">
        <v>30049002</v>
      </c>
      <c r="B3" s="47" t="s">
        <v>338</v>
      </c>
      <c r="C3" s="50">
        <v>3</v>
      </c>
      <c r="D3" s="50" t="s">
        <v>127</v>
      </c>
      <c r="E3" s="51" t="s">
        <v>307</v>
      </c>
      <c r="F3" s="51" t="s">
        <v>254</v>
      </c>
      <c r="G3" s="63" t="str">
        <f t="shared" si="0"/>
        <v>[effect:enemy_message, val1:1.2, val2:1.2]</v>
      </c>
      <c r="H3" s="63">
        <f t="shared" si="1"/>
        <v>9</v>
      </c>
      <c r="I3" s="63">
        <f t="shared" si="2"/>
        <v>22</v>
      </c>
      <c r="J3" s="63" t="e">
        <f t="shared" si="3"/>
        <v>#VALUE!</v>
      </c>
      <c r="K3" s="63">
        <f t="shared" si="4"/>
        <v>32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si="5"/>
        <v>[effect:spread, val:0.3]</v>
      </c>
      <c r="N3" s="48" t="str">
        <f t="shared" si="6"/>
        <v>[effect:spread, val:0.3]</v>
      </c>
      <c r="O3" s="63">
        <f t="shared" si="7"/>
        <v>9</v>
      </c>
      <c r="P3" s="63">
        <f t="shared" si="8"/>
        <v>15</v>
      </c>
      <c r="Q3" s="63" t="e">
        <f t="shared" si="9"/>
        <v>#VALUE!</v>
      </c>
      <c r="R3" s="63" t="e">
        <f t="shared" si="10"/>
        <v>#VALUE!</v>
      </c>
      <c r="S3" s="63" t="str">
        <f>IFERROR(VLOOKUP(MID(N3,Q3,R3-Q3),[6]skilldef!$C:$D,2,FALSE),"-") &amp; " / " &amp; IFERROR(VLOOKUP(MID(N3,O3,P3-O3),[6]skilldef!$A:$B,2,FALSE),"-")</f>
        <v>- / 全体攻撃</v>
      </c>
      <c r="T3" s="48" t="str">
        <f t="shared" si="11"/>
        <v>none</v>
      </c>
      <c r="U3" s="63" t="e">
        <f t="shared" si="12"/>
        <v>#VALUE!</v>
      </c>
      <c r="V3" s="63">
        <f t="shared" si="13"/>
        <v>4</v>
      </c>
      <c r="W3" s="63" t="e">
        <f t="shared" si="14"/>
        <v>#VALUE!</v>
      </c>
      <c r="X3" s="63" t="e">
        <f t="shared" si="15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  <c r="AC3" s="49">
        <f t="shared" ref="AC3:AC35" si="16">LEN(E3)</f>
        <v>5</v>
      </c>
      <c r="AD3" s="49">
        <f t="shared" ref="AD3:AD35" si="17">LEN(F3)</f>
        <v>4</v>
      </c>
    </row>
    <row r="4" spans="1:30" ht="21" customHeight="1" x14ac:dyDescent="0.15">
      <c r="A4" s="47">
        <v>30049003</v>
      </c>
      <c r="B4" s="47" t="s">
        <v>380</v>
      </c>
      <c r="C4" s="50">
        <v>3</v>
      </c>
      <c r="D4" s="50" t="s">
        <v>127</v>
      </c>
      <c r="E4" s="51" t="s">
        <v>308</v>
      </c>
      <c r="F4" s="51" t="s">
        <v>379</v>
      </c>
      <c r="G4" s="63" t="str">
        <f t="shared" si="0"/>
        <v>[effect:enemy_message, val1:1.2, val2:1.8]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>[effect:sleep, target:unit_one, turn:1, rate:0.5, animation:sleep01]</v>
      </c>
      <c r="N4" s="48" t="str">
        <f t="shared" si="6"/>
        <v>[effect:sleep, target:unit_one, turn:1, rate:0.5, animation:sleep01]</v>
      </c>
      <c r="O4" s="63">
        <f t="shared" si="7"/>
        <v>9</v>
      </c>
      <c r="P4" s="63">
        <f t="shared" si="8"/>
        <v>14</v>
      </c>
      <c r="Q4" s="63">
        <f t="shared" si="9"/>
        <v>23</v>
      </c>
      <c r="R4" s="63">
        <f t="shared" si="10"/>
        <v>31</v>
      </c>
      <c r="S4" s="63" t="str">
        <f>IFERROR(VLOOKUP(MID(N4,Q4,R4-Q4),[6]skilldef!$C:$D,2,FALSE),"-") &amp; " / " &amp; IFERROR(VLOOKUP(MID(N4,O4,P4-O4),[6]skilldef!$A:$B,2,FALSE),"-")</f>
        <v>味方単体に / スリープ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  <c r="AC4" s="49">
        <f t="shared" si="16"/>
        <v>9</v>
      </c>
      <c r="AD4" s="49">
        <f t="shared" si="17"/>
        <v>18</v>
      </c>
    </row>
    <row r="5" spans="1:30" ht="21" customHeight="1" x14ac:dyDescent="0.15">
      <c r="A5" s="47">
        <v>30049004</v>
      </c>
      <c r="B5" s="47" t="s">
        <v>339</v>
      </c>
      <c r="C5" s="50">
        <v>3</v>
      </c>
      <c r="D5" s="50" t="s">
        <v>127</v>
      </c>
      <c r="E5" s="51" t="s">
        <v>309</v>
      </c>
      <c r="F5" s="51" t="s">
        <v>310</v>
      </c>
      <c r="G5" s="63" t="str">
        <f t="shared" si="0"/>
        <v>[effect:enemy_message, val1:1.2, val2:1.2]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5"/>
        <v>[effect:critical, val:1.3, animation:enemy_critical]</v>
      </c>
      <c r="N5" s="48" t="str">
        <f t="shared" si="6"/>
        <v>[effect:critical, val:1.3, animation:enemy_critical]</v>
      </c>
      <c r="O5" s="63">
        <f t="shared" si="7"/>
        <v>9</v>
      </c>
      <c r="P5" s="63">
        <f t="shared" si="8"/>
        <v>17</v>
      </c>
      <c r="Q5" s="63" t="e">
        <f t="shared" si="9"/>
        <v>#VALUE!</v>
      </c>
      <c r="R5" s="63">
        <f t="shared" si="10"/>
        <v>26</v>
      </c>
      <c r="S5" s="63" t="str">
        <f>IFERROR(VLOOKUP(MID(N5,Q5,R5-Q5),[6]skilldef!$C:$D,2,FALSE),"-") &amp; " / " &amp; IFERROR(VLOOKUP(MID(N5,O5,P5-O5),[6]skilldef!$A:$B,2,FALSE),"-")</f>
        <v>- / 大攻撃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  <c r="AC5" s="49">
        <f t="shared" si="16"/>
        <v>10</v>
      </c>
      <c r="AD5" s="49">
        <f t="shared" si="17"/>
        <v>7</v>
      </c>
    </row>
    <row r="6" spans="1:30" ht="21" customHeight="1" x14ac:dyDescent="0.15">
      <c r="A6" s="47">
        <v>30049005</v>
      </c>
      <c r="B6" s="47" t="s">
        <v>389</v>
      </c>
      <c r="C6" s="50">
        <v>3</v>
      </c>
      <c r="D6" s="50" t="s">
        <v>127</v>
      </c>
      <c r="E6" s="121" t="s">
        <v>321</v>
      </c>
      <c r="F6" s="51" t="s">
        <v>377</v>
      </c>
      <c r="G6" s="63" t="str">
        <f t="shared" si="0"/>
        <v>[effect:enemy_message, val1:1.2, val2:1.3]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32</v>
      </c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si="5"/>
        <v>[effect:freq_turn, target:myself, turn:1, val:1, animation:enemy_freq_turn]</v>
      </c>
      <c r="N6" s="48" t="str">
        <f t="shared" si="6"/>
        <v>[effect:freq_turn, target:myself, turn:1, val:1, animation:enemy_freq_turn]</v>
      </c>
      <c r="O6" s="63">
        <f t="shared" si="7"/>
        <v>9</v>
      </c>
      <c r="P6" s="63">
        <f t="shared" si="8"/>
        <v>18</v>
      </c>
      <c r="Q6" s="63">
        <f t="shared" si="9"/>
        <v>27</v>
      </c>
      <c r="R6" s="63">
        <f t="shared" si="10"/>
        <v>33</v>
      </c>
      <c r="S6" s="63" t="str">
        <f>IFERROR(VLOOKUP(MID(N6,Q6,R6-Q6),[6]skilldef!$C:$D,2,FALSE),"-") &amp; " / " &amp; IFERROR(VLOOKUP(MID(N6,O6,P6-O6),[6]skilldef!$A:$B,2,FALSE),"-")</f>
        <v>自分自身に / 攻撃頻度がUP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  <c r="AC6" s="49">
        <f t="shared" si="16"/>
        <v>5</v>
      </c>
      <c r="AD6" s="49">
        <f t="shared" si="17"/>
        <v>13</v>
      </c>
    </row>
    <row r="7" spans="1:30" ht="21" customHeight="1" x14ac:dyDescent="0.15">
      <c r="A7" s="47">
        <v>30049006</v>
      </c>
      <c r="B7" s="47" t="s">
        <v>397</v>
      </c>
      <c r="C7" s="50">
        <v>3</v>
      </c>
      <c r="D7" s="50" t="s">
        <v>127</v>
      </c>
      <c r="E7" s="51" t="s">
        <v>322</v>
      </c>
      <c r="F7" s="51" t="s">
        <v>383</v>
      </c>
      <c r="G7" s="63" t="str">
        <f t="shared" si="0"/>
        <v>[effect:enemy_message, val1:1.2, val2:2.3]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>[effect:force_change_block, new_block:jammer, target:block_green, ignore01:block_negative, count:2, val:0],[effect:rush, count:1, val:1]</v>
      </c>
      <c r="N7" s="48" t="str">
        <f t="shared" si="6"/>
        <v>[effect:force_change_block, new_block:jammer, target:block_green, ignore01:block_negative, count:2, val:0],[effect:rush, count:1, val:1]</v>
      </c>
      <c r="O7" s="63">
        <f t="shared" si="7"/>
        <v>9</v>
      </c>
      <c r="P7" s="63">
        <f t="shared" si="8"/>
        <v>27</v>
      </c>
      <c r="Q7" s="63">
        <f t="shared" si="9"/>
        <v>54</v>
      </c>
      <c r="R7" s="63">
        <f t="shared" si="10"/>
        <v>45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[effect:rush, count:1, val:1]</v>
      </c>
      <c r="U7" s="63">
        <f t="shared" si="12"/>
        <v>9</v>
      </c>
      <c r="V7" s="63">
        <f t="shared" si="13"/>
        <v>13</v>
      </c>
      <c r="W7" s="63" t="e">
        <f t="shared" si="14"/>
        <v>#VALUE!</v>
      </c>
      <c r="X7" s="63">
        <f t="shared" si="15"/>
        <v>22</v>
      </c>
      <c r="Y7" s="63" t="str">
        <f>IFERROR(VLOOKUP(MID(T7,W7,X7-W7),[6]skilldef!$C:$D,2,FALSE),"-") &amp; " / " &amp; IFERROR(VLOOKUP(MID(T7,U7,V7-U7),[6]skilldef!$A:$B,2,FALSE),"-")</f>
        <v>- / 連続攻撃</v>
      </c>
      <c r="Z7" s="50"/>
      <c r="AA7" s="52"/>
      <c r="AB7" s="50"/>
      <c r="AC7" s="49">
        <f t="shared" si="16"/>
        <v>2</v>
      </c>
      <c r="AD7" s="49">
        <f t="shared" si="17"/>
        <v>24</v>
      </c>
    </row>
    <row r="8" spans="1:30" ht="21" customHeight="1" x14ac:dyDescent="0.15">
      <c r="A8" s="47">
        <v>30049007</v>
      </c>
      <c r="B8" s="47" t="s">
        <v>340</v>
      </c>
      <c r="C8" s="50">
        <v>3</v>
      </c>
      <c r="D8" s="50" t="s">
        <v>127</v>
      </c>
      <c r="E8" s="51" t="s">
        <v>323</v>
      </c>
      <c r="F8" s="51" t="s">
        <v>258</v>
      </c>
      <c r="G8" s="63" t="str">
        <f t="shared" si="0"/>
        <v>[effect:enemy_message, val1:1.2, val2:1.2]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>[effect:rush, count:2, val:0.8]</v>
      </c>
      <c r="N8" s="48" t="str">
        <f t="shared" si="6"/>
        <v>[effect:rush, count:2, val:0.8]</v>
      </c>
      <c r="O8" s="63">
        <f t="shared" si="7"/>
        <v>9</v>
      </c>
      <c r="P8" s="63">
        <f t="shared" si="8"/>
        <v>13</v>
      </c>
      <c r="Q8" s="63" t="e">
        <f t="shared" si="9"/>
        <v>#VALUE!</v>
      </c>
      <c r="R8" s="63">
        <f t="shared" si="10"/>
        <v>22</v>
      </c>
      <c r="S8" s="63" t="str">
        <f>IFERROR(VLOOKUP(MID(N8,Q8,R8-Q8),[6]skilldef!$C:$D,2,FALSE),"-") &amp; " / " &amp; IFERROR(VLOOKUP(MID(N8,O8,P8-O8),[6]skilldef!$A:$B,2,FALSE),"-")</f>
        <v>- / 連続攻撃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  <c r="AC8" s="49">
        <f t="shared" si="16"/>
        <v>2</v>
      </c>
      <c r="AD8" s="49">
        <f t="shared" si="17"/>
        <v>6</v>
      </c>
    </row>
    <row r="9" spans="1:30" ht="21" customHeight="1" x14ac:dyDescent="0.15">
      <c r="A9" s="47">
        <v>30049008</v>
      </c>
      <c r="B9" s="47" t="s">
        <v>341</v>
      </c>
      <c r="C9" s="50">
        <v>3</v>
      </c>
      <c r="D9" s="50" t="s">
        <v>127</v>
      </c>
      <c r="E9" s="51" t="s">
        <v>324</v>
      </c>
      <c r="F9" s="51" t="s">
        <v>377</v>
      </c>
      <c r="G9" s="63" t="str">
        <f t="shared" si="0"/>
        <v>[effect:enemy_message, val1:1.2, val2:1.4]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si="5"/>
        <v>[effect:freq_turn, target:myself, turn:1, val:2, animation:enemy_freq_turn]</v>
      </c>
      <c r="N9" s="48" t="str">
        <f t="shared" ref="N9:N23" si="18">IFERROR(LEFT(M9,FIND("],",M9)+S19),M9)</f>
        <v>[effect:freq_turn, target:myself, turn:1, val:2, animation:enemy_freq_turn]</v>
      </c>
      <c r="O9" s="63">
        <f t="shared" si="7"/>
        <v>9</v>
      </c>
      <c r="P9" s="63">
        <f t="shared" si="8"/>
        <v>18</v>
      </c>
      <c r="Q9" s="63">
        <f t="shared" si="9"/>
        <v>27</v>
      </c>
      <c r="R9" s="63">
        <f t="shared" si="10"/>
        <v>33</v>
      </c>
      <c r="S9" s="63" t="str">
        <f>IFERROR(VLOOKUP(MID(N9,Q9,R9-Q9),[6]skilldef!$C:$D,2,FALSE),"-") &amp; " / " &amp; IFERROR(VLOOKUP(MID(N9,O9,P9-O9),[6]skilldef!$A:$B,2,FALSE),"-")</f>
        <v>自分自身に / 攻撃頻度がUP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  <c r="AC9" s="49">
        <f t="shared" si="16"/>
        <v>8</v>
      </c>
      <c r="AD9" s="49">
        <f t="shared" si="17"/>
        <v>13</v>
      </c>
    </row>
    <row r="10" spans="1:30" ht="21" customHeight="1" x14ac:dyDescent="0.15">
      <c r="A10" s="47">
        <v>30049009</v>
      </c>
      <c r="B10" s="47" t="s">
        <v>398</v>
      </c>
      <c r="C10" s="50">
        <v>3</v>
      </c>
      <c r="D10" s="50" t="s">
        <v>127</v>
      </c>
      <c r="E10" s="51" t="s">
        <v>325</v>
      </c>
      <c r="F10" s="51" t="s">
        <v>384</v>
      </c>
      <c r="G10" s="63" t="str">
        <f t="shared" si="0"/>
        <v>[effect:enemy_message, val1:1.2, val2:2.6]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32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[effect:force_change_block, new_block:damage, target:block_yellow, ignore01:block_negative, count:2, val:0.1],[effect:rush, count:1, val:1]</v>
      </c>
      <c r="N10" s="48" t="str">
        <f t="shared" si="18"/>
        <v>[effect:force_change_block, new_block:damage, target:block_yellow, ignore01:block_negative, count:2, val:0.1],[effect:rush, count:1, val:1]</v>
      </c>
      <c r="O10" s="63">
        <f t="shared" si="7"/>
        <v>9</v>
      </c>
      <c r="P10" s="63">
        <f t="shared" si="8"/>
        <v>27</v>
      </c>
      <c r="Q10" s="63">
        <f t="shared" si="9"/>
        <v>54</v>
      </c>
      <c r="R10" s="63">
        <f t="shared" si="10"/>
        <v>45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[effect:rush, count:1, val:1]</v>
      </c>
      <c r="U10" s="63">
        <f t="shared" si="12"/>
        <v>9</v>
      </c>
      <c r="V10" s="63">
        <f t="shared" si="13"/>
        <v>13</v>
      </c>
      <c r="W10" s="63" t="e">
        <f t="shared" si="14"/>
        <v>#VALUE!</v>
      </c>
      <c r="X10" s="63">
        <f t="shared" si="15"/>
        <v>22</v>
      </c>
      <c r="Y10" s="63" t="str">
        <f>IFERROR(VLOOKUP(MID(T10,W10,X10-W10),[6]skilldef!$C:$D,2,FALSE),"-") &amp; " / " &amp; IFERROR(VLOOKUP(MID(T10,U10,V10-U10),[6]skilldef!$A:$B,2,FALSE),"-")</f>
        <v>- / 連続攻撃</v>
      </c>
      <c r="Z10" s="50"/>
      <c r="AA10" s="52"/>
      <c r="AB10" s="50"/>
      <c r="AC10" s="49">
        <f t="shared" si="16"/>
        <v>2</v>
      </c>
      <c r="AD10" s="49">
        <f t="shared" si="17"/>
        <v>27</v>
      </c>
    </row>
    <row r="11" spans="1:30" ht="21" customHeight="1" x14ac:dyDescent="0.15">
      <c r="A11" s="47">
        <v>30049010</v>
      </c>
      <c r="B11" s="47" t="s">
        <v>338</v>
      </c>
      <c r="C11" s="50">
        <v>3</v>
      </c>
      <c r="D11" s="50" t="s">
        <v>127</v>
      </c>
      <c r="E11" s="51" t="s">
        <v>326</v>
      </c>
      <c r="F11" s="51" t="s">
        <v>261</v>
      </c>
      <c r="G11" s="63" t="str">
        <f t="shared" si="0"/>
        <v>[effect:enemy_message, val1:1.2, val2:1.2]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[effect:spread, val:0.3]</v>
      </c>
      <c r="N11" s="48" t="str">
        <f t="shared" si="18"/>
        <v>[effect:spread, val:0.3]</v>
      </c>
      <c r="O11" s="63">
        <f t="shared" si="7"/>
        <v>9</v>
      </c>
      <c r="P11" s="63">
        <f t="shared" si="8"/>
        <v>15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全体攻撃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  <c r="AC11" s="49">
        <f t="shared" si="16"/>
        <v>6</v>
      </c>
      <c r="AD11" s="49">
        <f t="shared" si="17"/>
        <v>4</v>
      </c>
    </row>
    <row r="12" spans="1:30" ht="21" customHeight="1" x14ac:dyDescent="0.15">
      <c r="A12" s="47">
        <v>30049011</v>
      </c>
      <c r="B12" s="47" t="s">
        <v>389</v>
      </c>
      <c r="C12" s="50">
        <v>3</v>
      </c>
      <c r="D12" s="50" t="s">
        <v>127</v>
      </c>
      <c r="E12" s="51" t="s">
        <v>327</v>
      </c>
      <c r="F12" s="51" t="s">
        <v>377</v>
      </c>
      <c r="G12" s="63" t="str">
        <f t="shared" si="0"/>
        <v>[effect:enemy_message, val1:1.2, val2:1.3]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32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5"/>
        <v>[effect:freq_turn, target:myself, turn:1, val:1, animation:enemy_freq_turn]</v>
      </c>
      <c r="N12" s="48" t="str">
        <f t="shared" si="18"/>
        <v>[effect:freq_turn, target:myself, turn:1, val:1, animation:enemy_freq_turn]</v>
      </c>
      <c r="O12" s="63">
        <f t="shared" si="7"/>
        <v>9</v>
      </c>
      <c r="P12" s="63">
        <f t="shared" si="8"/>
        <v>18</v>
      </c>
      <c r="Q12" s="63">
        <f t="shared" si="9"/>
        <v>27</v>
      </c>
      <c r="R12" s="63">
        <f t="shared" si="10"/>
        <v>33</v>
      </c>
      <c r="S12" s="63" t="str">
        <f>IFERROR(VLOOKUP(MID(N12,Q12,R12-Q12),[6]skilldef!$C:$D,2,FALSE),"-") &amp; " / " &amp; IFERROR(VLOOKUP(MID(N12,O12,P12-O12),[6]skilldef!$A:$B,2,FALSE),"-")</f>
        <v>自分自身に / 攻撃頻度がUP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  <c r="AC12" s="49">
        <f t="shared" si="16"/>
        <v>7</v>
      </c>
      <c r="AD12" s="49">
        <f t="shared" si="17"/>
        <v>13</v>
      </c>
    </row>
    <row r="13" spans="1:30" ht="21" customHeight="1" x14ac:dyDescent="0.15">
      <c r="A13" s="47">
        <v>30049012</v>
      </c>
      <c r="B13" s="47" t="s">
        <v>397</v>
      </c>
      <c r="C13" s="50">
        <v>3</v>
      </c>
      <c r="D13" s="50" t="s">
        <v>127</v>
      </c>
      <c r="E13" s="51" t="s">
        <v>322</v>
      </c>
      <c r="F13" s="51" t="s">
        <v>383</v>
      </c>
      <c r="G13" s="63" t="str">
        <f t="shared" si="0"/>
        <v>[effect:enemy_message, val1:1.2, val2:2.3]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5"/>
        <v>[effect:force_change_block, new_block:jammer, target:block_green, ignore01:block_negative, count:2, val:0],[effect:rush, count:1, val:1]</v>
      </c>
      <c r="N13" s="48" t="str">
        <f t="shared" si="18"/>
        <v>[effect:force_change_block, new_block:jammer, target:block_green, ignore01:block_negative, count:2, val:0],[effect:rush, count:1, val:1]</v>
      </c>
      <c r="O13" s="63">
        <f t="shared" si="7"/>
        <v>9</v>
      </c>
      <c r="P13" s="63">
        <f t="shared" si="8"/>
        <v>27</v>
      </c>
      <c r="Q13" s="63">
        <f t="shared" si="9"/>
        <v>54</v>
      </c>
      <c r="R13" s="63">
        <f t="shared" si="10"/>
        <v>45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[effect:rush, count:1, val:1]</v>
      </c>
      <c r="U13" s="63">
        <f t="shared" si="12"/>
        <v>9</v>
      </c>
      <c r="V13" s="63">
        <f t="shared" si="13"/>
        <v>13</v>
      </c>
      <c r="W13" s="63" t="e">
        <f t="shared" si="14"/>
        <v>#VALUE!</v>
      </c>
      <c r="X13" s="63">
        <f t="shared" si="15"/>
        <v>22</v>
      </c>
      <c r="Y13" s="63" t="str">
        <f>IFERROR(VLOOKUP(MID(T13,W13,X13-W13),[6]skilldef!$C:$D,2,FALSE),"-") &amp; " / " &amp; IFERROR(VLOOKUP(MID(T13,U13,V13-U13),[6]skilldef!$A:$B,2,FALSE),"-")</f>
        <v>- / 連続攻撃</v>
      </c>
      <c r="Z13" s="50"/>
      <c r="AA13" s="52"/>
      <c r="AB13" s="50"/>
      <c r="AC13" s="49">
        <f t="shared" si="16"/>
        <v>2</v>
      </c>
      <c r="AD13" s="49">
        <f t="shared" si="17"/>
        <v>24</v>
      </c>
    </row>
    <row r="14" spans="1:30" ht="21" customHeight="1" x14ac:dyDescent="0.15">
      <c r="A14" s="47">
        <v>30049013</v>
      </c>
      <c r="B14" s="47" t="s">
        <v>340</v>
      </c>
      <c r="C14" s="50">
        <v>3</v>
      </c>
      <c r="D14" s="50" t="s">
        <v>127</v>
      </c>
      <c r="E14" s="51" t="s">
        <v>328</v>
      </c>
      <c r="F14" s="51" t="s">
        <v>258</v>
      </c>
      <c r="G14" s="63" t="str">
        <f t="shared" si="0"/>
        <v>[effect:enemy_message, val1:1.2, val2:1.2]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"/>
        <v>[effect:rush, count:2, val:0.8]</v>
      </c>
      <c r="N14" s="48" t="str">
        <f t="shared" si="18"/>
        <v>[effect:rush, count:2, val:0.8]</v>
      </c>
      <c r="O14" s="63">
        <f t="shared" si="7"/>
        <v>9</v>
      </c>
      <c r="P14" s="63">
        <f t="shared" si="8"/>
        <v>13</v>
      </c>
      <c r="Q14" s="63" t="e">
        <f t="shared" si="9"/>
        <v>#VALUE!</v>
      </c>
      <c r="R14" s="63">
        <f t="shared" si="10"/>
        <v>22</v>
      </c>
      <c r="S14" s="63" t="str">
        <f>IFERROR(VLOOKUP(MID(N14,Q14,R14-Q14),[6]skilldef!$C:$D,2,FALSE),"-") &amp; " / " &amp; IFERROR(VLOOKUP(MID(N14,O14,P14-O14),[6]skilldef!$A:$B,2,FALSE),"-")</f>
        <v>- / 連続攻撃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  <c r="AC14" s="49">
        <f t="shared" si="16"/>
        <v>7</v>
      </c>
      <c r="AD14" s="49">
        <f t="shared" si="17"/>
        <v>6</v>
      </c>
    </row>
    <row r="15" spans="1:30" ht="21" customHeight="1" x14ac:dyDescent="0.15">
      <c r="A15" s="47">
        <v>30049014</v>
      </c>
      <c r="B15" s="47" t="s">
        <v>405</v>
      </c>
      <c r="C15" s="50">
        <v>3</v>
      </c>
      <c r="D15" s="50" t="s">
        <v>127</v>
      </c>
      <c r="E15" s="51" t="s">
        <v>329</v>
      </c>
      <c r="F15" s="51" t="s">
        <v>377</v>
      </c>
      <c r="G15" s="63" t="str">
        <f t="shared" si="0"/>
        <v>[effect:enemy_message, val1:1.2, val2:1.3]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32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[effect:freq_turn, target:myself, turn:1, val:2, animation:enemy_freq_turn]</v>
      </c>
      <c r="N15" s="48" t="str">
        <f t="shared" si="18"/>
        <v>[effect:freq_turn, target:myself, turn:1, val:2, animation:enemy_freq_turn]</v>
      </c>
      <c r="O15" s="63">
        <f t="shared" si="7"/>
        <v>9</v>
      </c>
      <c r="P15" s="63">
        <f t="shared" si="8"/>
        <v>18</v>
      </c>
      <c r="Q15" s="63">
        <f t="shared" si="9"/>
        <v>27</v>
      </c>
      <c r="R15" s="63">
        <f t="shared" si="10"/>
        <v>33</v>
      </c>
      <c r="S15" s="63" t="str">
        <f>IFERROR(VLOOKUP(MID(N15,Q15,R15-Q15),[6]skilldef!$C:$D,2,FALSE),"-") &amp; " / " &amp; IFERROR(VLOOKUP(MID(N15,O15,P15-O15),[6]skilldef!$A:$B,2,FALSE),"-")</f>
        <v>自分自身に / 攻撃頻度がUP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  <c r="AC15" s="49">
        <f t="shared" si="16"/>
        <v>4</v>
      </c>
      <c r="AD15" s="49">
        <f t="shared" si="17"/>
        <v>13</v>
      </c>
    </row>
    <row r="16" spans="1:30" ht="21" customHeight="1" x14ac:dyDescent="0.15">
      <c r="A16" s="47">
        <v>30049015</v>
      </c>
      <c r="B16" s="47" t="s">
        <v>398</v>
      </c>
      <c r="C16" s="50">
        <v>3</v>
      </c>
      <c r="D16" s="50" t="s">
        <v>127</v>
      </c>
      <c r="E16" s="51" t="s">
        <v>330</v>
      </c>
      <c r="F16" s="51" t="s">
        <v>384</v>
      </c>
      <c r="G16" s="63" t="str">
        <f t="shared" si="0"/>
        <v>[effect:enemy_message, val1:1.2, val2:2.6]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[effect:force_change_block, new_block:damage, target:block_yellow, ignore01:block_negative, count:2, val:0.1],[effect:rush, count:1, val:1]</v>
      </c>
      <c r="N16" s="48" t="str">
        <f t="shared" si="18"/>
        <v>[effect:force_change_block, new_block:damage, target:block_yellow, ignore01:block_negative, count:2, val:0.1],[effect:rush, count:1, val:1]</v>
      </c>
      <c r="O16" s="63">
        <f t="shared" si="7"/>
        <v>9</v>
      </c>
      <c r="P16" s="63">
        <f t="shared" si="8"/>
        <v>27</v>
      </c>
      <c r="Q16" s="63">
        <f t="shared" si="9"/>
        <v>54</v>
      </c>
      <c r="R16" s="63">
        <f t="shared" si="10"/>
        <v>45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[effect:rush, count:1, val:1]</v>
      </c>
      <c r="U16" s="63">
        <f t="shared" si="12"/>
        <v>9</v>
      </c>
      <c r="V16" s="63">
        <f t="shared" si="13"/>
        <v>13</v>
      </c>
      <c r="W16" s="63" t="e">
        <f t="shared" si="14"/>
        <v>#VALUE!</v>
      </c>
      <c r="X16" s="63">
        <f t="shared" si="15"/>
        <v>22</v>
      </c>
      <c r="Y16" s="63" t="str">
        <f>IFERROR(VLOOKUP(MID(T16,W16,X16-W16),[6]skilldef!$C:$D,2,FALSE),"-") &amp; " / " &amp; IFERROR(VLOOKUP(MID(T16,U16,V16-U16),[6]skilldef!$A:$B,2,FALSE),"-")</f>
        <v>- / 連続攻撃</v>
      </c>
      <c r="Z16" s="50"/>
      <c r="AA16" s="52"/>
      <c r="AB16" s="50"/>
      <c r="AC16" s="49">
        <f t="shared" si="16"/>
        <v>4</v>
      </c>
      <c r="AD16" s="49">
        <f t="shared" si="17"/>
        <v>27</v>
      </c>
    </row>
    <row r="17" spans="1:30" ht="21" customHeight="1" x14ac:dyDescent="0.15">
      <c r="A17" s="47">
        <v>30049016</v>
      </c>
      <c r="B17" s="47" t="s">
        <v>338</v>
      </c>
      <c r="C17" s="50">
        <v>3</v>
      </c>
      <c r="D17" s="50" t="s">
        <v>127</v>
      </c>
      <c r="E17" s="51" t="s">
        <v>331</v>
      </c>
      <c r="F17" s="51" t="s">
        <v>254</v>
      </c>
      <c r="G17" s="63" t="str">
        <f t="shared" si="0"/>
        <v>[effect:enemy_message, val1:1.2, val2:1.2]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>[effect:spread, val:0.3]</v>
      </c>
      <c r="N17" s="48" t="str">
        <f t="shared" si="18"/>
        <v>[effect:spread, val:0.3]</v>
      </c>
      <c r="O17" s="63">
        <f t="shared" si="7"/>
        <v>9</v>
      </c>
      <c r="P17" s="63">
        <f t="shared" si="8"/>
        <v>15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全体攻撃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  <c r="AC17" s="49">
        <f t="shared" si="16"/>
        <v>4</v>
      </c>
      <c r="AD17" s="49">
        <f t="shared" si="17"/>
        <v>4</v>
      </c>
    </row>
    <row r="18" spans="1:30" ht="21" customHeight="1" x14ac:dyDescent="0.15">
      <c r="A18" s="47">
        <v>30049017</v>
      </c>
      <c r="B18" s="47" t="s">
        <v>399</v>
      </c>
      <c r="C18" s="50">
        <v>3</v>
      </c>
      <c r="D18" s="50" t="s">
        <v>127</v>
      </c>
      <c r="E18" s="51" t="s">
        <v>311</v>
      </c>
      <c r="F18" s="51" t="s">
        <v>395</v>
      </c>
      <c r="G18" s="63" t="str">
        <f t="shared" si="0"/>
        <v>[effect:enemy_message, val1:1.2, val2:2.0]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5"/>
        <v>[effect:panel_freeze, target:normal, color:block_green, count:4],[effect:rush, count:1, val:1]</v>
      </c>
      <c r="N18" s="48" t="str">
        <f t="shared" si="18"/>
        <v>[effect:panel_freeze, target:normal, color:block_green, count:4],[effect:rush, count:1, val:1]</v>
      </c>
      <c r="O18" s="63">
        <f t="shared" si="7"/>
        <v>9</v>
      </c>
      <c r="P18" s="63">
        <f t="shared" si="8"/>
        <v>21</v>
      </c>
      <c r="Q18" s="63">
        <f t="shared" si="9"/>
        <v>30</v>
      </c>
      <c r="R18" s="63">
        <f t="shared" si="10"/>
        <v>36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[effect:rush, count:1, val:1]</v>
      </c>
      <c r="U18" s="63">
        <f t="shared" si="12"/>
        <v>9</v>
      </c>
      <c r="V18" s="63">
        <f t="shared" si="13"/>
        <v>13</v>
      </c>
      <c r="W18" s="63" t="e">
        <f t="shared" si="14"/>
        <v>#VALUE!</v>
      </c>
      <c r="X18" s="63">
        <f t="shared" si="15"/>
        <v>22</v>
      </c>
      <c r="Y18" s="63" t="str">
        <f>IFERROR(VLOOKUP(MID(T18,W18,X18-W18),[6]skilldef!$C:$D,2,FALSE),"-") &amp; " / " &amp; IFERROR(VLOOKUP(MID(T18,U18,V18-U18),[6]skilldef!$A:$B,2,FALSE),"-")</f>
        <v>- / 連続攻撃</v>
      </c>
      <c r="Z18" s="50"/>
      <c r="AA18" s="52"/>
      <c r="AB18" s="50"/>
      <c r="AC18" s="49">
        <f t="shared" si="16"/>
        <v>12</v>
      </c>
      <c r="AD18" s="49">
        <f t="shared" si="17"/>
        <v>21</v>
      </c>
    </row>
    <row r="19" spans="1:30" ht="21" customHeight="1" x14ac:dyDescent="0.15">
      <c r="A19" s="47">
        <v>30049018</v>
      </c>
      <c r="B19" s="47" t="s">
        <v>400</v>
      </c>
      <c r="C19" s="50">
        <v>3</v>
      </c>
      <c r="D19" s="50" t="s">
        <v>127</v>
      </c>
      <c r="E19" s="51" t="s">
        <v>312</v>
      </c>
      <c r="F19" s="51" t="s">
        <v>385</v>
      </c>
      <c r="G19" s="63" t="str">
        <f t="shared" si="0"/>
        <v>[effect:enemy_message, val1:1.2, val2:2.5]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5"/>
        <v>[effect:force_change_block, new_block:jammer, target:block_green, ignore01:block_negative, count:2, val:0],[effect:rush, count:2, val:0.8]</v>
      </c>
      <c r="N19" s="48" t="str">
        <f t="shared" si="18"/>
        <v>[effect:force_change_block, new_block:jammer, target:block_green, ignore01:block_negative, count:2, val:0],[effect:rush, count:2, val:0.8]</v>
      </c>
      <c r="O19" s="63">
        <f t="shared" si="7"/>
        <v>9</v>
      </c>
      <c r="P19" s="63">
        <f t="shared" si="8"/>
        <v>27</v>
      </c>
      <c r="Q19" s="63">
        <f t="shared" si="9"/>
        <v>54</v>
      </c>
      <c r="R19" s="63">
        <f t="shared" si="10"/>
        <v>45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[effect:rush, count:2, val:0.8]</v>
      </c>
      <c r="U19" s="63">
        <f t="shared" si="12"/>
        <v>9</v>
      </c>
      <c r="V19" s="63">
        <f t="shared" si="13"/>
        <v>13</v>
      </c>
      <c r="W19" s="63" t="e">
        <f t="shared" si="14"/>
        <v>#VALUE!</v>
      </c>
      <c r="X19" s="63">
        <f t="shared" si="15"/>
        <v>22</v>
      </c>
      <c r="Y19" s="63" t="str">
        <f>IFERROR(VLOOKUP(MID(T19,W19,X19-W19),[6]skilldef!$C:$D,2,FALSE),"-") &amp; " / " &amp; IFERROR(VLOOKUP(MID(T19,U19,V19-U19),[6]skilldef!$A:$B,2,FALSE),"-")</f>
        <v>- / 連続攻撃</v>
      </c>
      <c r="Z19" s="50"/>
      <c r="AA19" s="52"/>
      <c r="AB19" s="50"/>
      <c r="AC19" s="49">
        <f t="shared" si="16"/>
        <v>9</v>
      </c>
      <c r="AD19" s="49">
        <f t="shared" si="17"/>
        <v>26</v>
      </c>
    </row>
    <row r="20" spans="1:30" ht="21" customHeight="1" x14ac:dyDescent="0.15">
      <c r="A20" s="47">
        <v>30049019</v>
      </c>
      <c r="B20" s="47" t="s">
        <v>401</v>
      </c>
      <c r="C20" s="50">
        <v>3</v>
      </c>
      <c r="D20" s="50" t="s">
        <v>127</v>
      </c>
      <c r="E20" s="51" t="s">
        <v>314</v>
      </c>
      <c r="F20" s="51" t="s">
        <v>386</v>
      </c>
      <c r="G20" s="63" t="str">
        <f t="shared" si="0"/>
        <v>[effect:enemy_message, val1:1.2, val2:3.7]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[effect:force_change_block, new_block:damage, target:block_yellow, ignore01:block_negative, count:2, val:0.1],[effect:break_attack_fix, target:unit_all, val:250, lowest_val:1000, count:-1, block01:jammer]</v>
      </c>
      <c r="N20" s="48" t="str">
        <f t="shared" si="18"/>
        <v>[effect:force_change_block, new_block:damage, target:block_yellow, ignore01:block_negative, count:2, val:0.1],[effect:break_attack_fix, target:unit_all, val:250, lowest_val:1000, count:-1, block01:jammer]</v>
      </c>
      <c r="O20" s="63">
        <f t="shared" si="7"/>
        <v>9</v>
      </c>
      <c r="P20" s="63">
        <f t="shared" si="8"/>
        <v>27</v>
      </c>
      <c r="Q20" s="63">
        <f t="shared" si="9"/>
        <v>54</v>
      </c>
      <c r="R20" s="63">
        <f t="shared" si="10"/>
        <v>45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[effect:break_attack_fix, target:unit_all, val:250, lowest_val:1000, count:-1, block01:jammer]</v>
      </c>
      <c r="U20" s="63">
        <f t="shared" si="12"/>
        <v>9</v>
      </c>
      <c r="V20" s="63">
        <f t="shared" si="13"/>
        <v>25</v>
      </c>
      <c r="W20" s="63">
        <f t="shared" si="14"/>
        <v>34</v>
      </c>
      <c r="X20" s="63">
        <f t="shared" si="15"/>
        <v>42</v>
      </c>
      <c r="Y20" s="63" t="str">
        <f>IFERROR(VLOOKUP(MID(T20,W20,X20-W20),[6]skilldef!$C:$D,2,FALSE),"-") &amp; " / " &amp; IFERROR(VLOOKUP(MID(T20,U20,V20-U20),[6]skilldef!$A:$B,2,FALSE),"-")</f>
        <v>味方全体に / -</v>
      </c>
      <c r="Z20" s="50"/>
      <c r="AA20" s="52"/>
      <c r="AB20" s="50"/>
      <c r="AC20" s="49">
        <f t="shared" si="16"/>
        <v>8</v>
      </c>
      <c r="AD20" s="49">
        <f t="shared" si="17"/>
        <v>38</v>
      </c>
    </row>
    <row r="21" spans="1:30" ht="21" customHeight="1" x14ac:dyDescent="0.15">
      <c r="A21" s="47">
        <v>30049020</v>
      </c>
      <c r="B21" s="47" t="s">
        <v>342</v>
      </c>
      <c r="C21" s="50">
        <v>3</v>
      </c>
      <c r="D21" s="50" t="s">
        <v>127</v>
      </c>
      <c r="E21" s="51" t="s">
        <v>313</v>
      </c>
      <c r="F21" s="51" t="s">
        <v>265</v>
      </c>
      <c r="G21" s="63" t="str">
        <f t="shared" si="0"/>
        <v>[effect:enemy_message, val1:1.3, val2:1.2]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5"/>
        <v>[effect:spread, val:0.5]</v>
      </c>
      <c r="N21" s="48" t="str">
        <f t="shared" si="18"/>
        <v>[effect:spread, val:0.5]</v>
      </c>
      <c r="O21" s="63">
        <f t="shared" si="7"/>
        <v>9</v>
      </c>
      <c r="P21" s="63">
        <f t="shared" si="8"/>
        <v>15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全体攻撃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  <c r="AC21" s="49">
        <f t="shared" si="16"/>
        <v>13</v>
      </c>
      <c r="AD21" s="49">
        <f t="shared" si="17"/>
        <v>4</v>
      </c>
    </row>
    <row r="22" spans="1:30" ht="21" customHeight="1" x14ac:dyDescent="0.15">
      <c r="A22" s="47">
        <v>30049021</v>
      </c>
      <c r="B22" s="47" t="s">
        <v>402</v>
      </c>
      <c r="C22" s="50">
        <v>3</v>
      </c>
      <c r="D22" s="50" t="s">
        <v>127</v>
      </c>
      <c r="E22" s="51" t="s">
        <v>317</v>
      </c>
      <c r="F22" s="51" t="s">
        <v>396</v>
      </c>
      <c r="G22" s="63" t="str">
        <f t="shared" si="0"/>
        <v>[effect:enemy_message, val1:1.2, val2:2.2]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[effect:panel_freeze, target:normal, color:block_heart, count:4],[effect:rush, count:1, val:1]</v>
      </c>
      <c r="N22" s="48" t="str">
        <f t="shared" si="18"/>
        <v>[effect:panel_freeze, target:normal, color:block_heart, count:4],[effect:rush, count:1, val:1]</v>
      </c>
      <c r="O22" s="63">
        <f t="shared" si="7"/>
        <v>9</v>
      </c>
      <c r="P22" s="63">
        <f t="shared" si="8"/>
        <v>21</v>
      </c>
      <c r="Q22" s="63">
        <f t="shared" si="9"/>
        <v>30</v>
      </c>
      <c r="R22" s="63">
        <f t="shared" si="10"/>
        <v>36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[effect:rush, count:1, val:1]</v>
      </c>
      <c r="U22" s="63">
        <f t="shared" si="12"/>
        <v>9</v>
      </c>
      <c r="V22" s="63">
        <f t="shared" si="13"/>
        <v>13</v>
      </c>
      <c r="W22" s="63" t="e">
        <f t="shared" si="14"/>
        <v>#VALUE!</v>
      </c>
      <c r="X22" s="63">
        <f t="shared" si="15"/>
        <v>22</v>
      </c>
      <c r="Y22" s="63" t="str">
        <f>IFERROR(VLOOKUP(MID(T22,W22,X22-W22),[6]skilldef!$C:$D,2,FALSE),"-") &amp; " / " &amp; IFERROR(VLOOKUP(MID(T22,U22,V22-U22),[6]skilldef!$A:$B,2,FALSE),"-")</f>
        <v>- / 連続攻撃</v>
      </c>
      <c r="Z22" s="50"/>
      <c r="AA22" s="52"/>
      <c r="AB22" s="50"/>
      <c r="AC22" s="49">
        <f t="shared" si="16"/>
        <v>10</v>
      </c>
      <c r="AD22" s="49">
        <f t="shared" si="17"/>
        <v>23</v>
      </c>
    </row>
    <row r="23" spans="1:30" ht="21" customHeight="1" x14ac:dyDescent="0.15">
      <c r="A23" s="47">
        <v>30049022</v>
      </c>
      <c r="B23" s="47" t="s">
        <v>403</v>
      </c>
      <c r="C23" s="50">
        <v>3</v>
      </c>
      <c r="D23" s="50" t="s">
        <v>127</v>
      </c>
      <c r="E23" s="51" t="s">
        <v>319</v>
      </c>
      <c r="F23" s="51" t="s">
        <v>387</v>
      </c>
      <c r="G23" s="63" t="str">
        <f t="shared" si="0"/>
        <v>[effect:enemy_message, val1:1.2, val2:2.5]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5"/>
        <v>[effect:force_change_block, new_block:jammer, target:block_green, ignore01:block_negative, count:3, val:0],[effect:rush, count:2, val:0.8]</v>
      </c>
      <c r="N23" s="48" t="str">
        <f t="shared" si="18"/>
        <v>[effect:force_change_block, new_block:jammer, target:block_green, ignore01:block_negative, count:3, val:0],[effect:rush, count:2, val:0.8]</v>
      </c>
      <c r="O23" s="63">
        <f t="shared" si="7"/>
        <v>9</v>
      </c>
      <c r="P23" s="63">
        <f t="shared" si="8"/>
        <v>27</v>
      </c>
      <c r="Q23" s="63">
        <f t="shared" si="9"/>
        <v>54</v>
      </c>
      <c r="R23" s="63">
        <f t="shared" si="10"/>
        <v>45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[effect:rush, count:2, val:0.8]</v>
      </c>
      <c r="U23" s="63">
        <f t="shared" si="12"/>
        <v>9</v>
      </c>
      <c r="V23" s="63">
        <f t="shared" si="13"/>
        <v>13</v>
      </c>
      <c r="W23" s="63" t="e">
        <f t="shared" si="14"/>
        <v>#VALUE!</v>
      </c>
      <c r="X23" s="63">
        <f t="shared" si="15"/>
        <v>22</v>
      </c>
      <c r="Y23" s="63" t="str">
        <f>IFERROR(VLOOKUP(MID(T23,W23,X23-W23),[6]skilldef!$C:$D,2,FALSE),"-") &amp; " / " &amp; IFERROR(VLOOKUP(MID(T23,U23,V23-U23),[6]skilldef!$A:$B,2,FALSE),"-")</f>
        <v>- / 連続攻撃</v>
      </c>
      <c r="Z23" s="50"/>
      <c r="AA23" s="52"/>
      <c r="AB23" s="50"/>
      <c r="AC23" s="49">
        <f t="shared" si="16"/>
        <v>11</v>
      </c>
      <c r="AD23" s="49">
        <f t="shared" si="17"/>
        <v>26</v>
      </c>
    </row>
    <row r="24" spans="1:30" ht="21" customHeight="1" x14ac:dyDescent="0.15">
      <c r="A24" s="47">
        <v>30049023</v>
      </c>
      <c r="B24" s="47" t="s">
        <v>404</v>
      </c>
      <c r="C24" s="50">
        <v>3</v>
      </c>
      <c r="D24" s="50" t="s">
        <v>127</v>
      </c>
      <c r="E24" s="51" t="s">
        <v>318</v>
      </c>
      <c r="F24" s="51" t="s">
        <v>388</v>
      </c>
      <c r="G24" s="63" t="str">
        <f t="shared" si="0"/>
        <v>[effect:enemy_message, val1:1.2, val2:3.7]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5"/>
        <v>[effect:force_change_block, new_block:damage, target:block_yellow, ignore01:block_negative, count:3, val:0.1],[effect:break_attack_fix, target:unit_all, val:250, lowest_val:1000, count:-1, block01:jammer]</v>
      </c>
      <c r="N24" s="48" t="str">
        <f>IFERROR(LEFT(M24,FIND("],",M24)+#REF!),M24)</f>
        <v>[effect:force_change_block, new_block:damage, target:block_yellow, ignore01:block_negative, count:3, val:0.1],[effect:break_attack_fix, target:unit_all, val:250, lowest_val:1000, count:-1, block01:jammer]</v>
      </c>
      <c r="O24" s="63">
        <f t="shared" si="7"/>
        <v>9</v>
      </c>
      <c r="P24" s="63">
        <f t="shared" si="8"/>
        <v>27</v>
      </c>
      <c r="Q24" s="63">
        <f t="shared" si="9"/>
        <v>54</v>
      </c>
      <c r="R24" s="63">
        <f t="shared" si="10"/>
        <v>45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[effect:break_attack_fix, target:unit_all, val:250, lowest_val:1000, count:-1, block01:jammer]</v>
      </c>
      <c r="U24" s="63">
        <f t="shared" si="12"/>
        <v>9</v>
      </c>
      <c r="V24" s="63">
        <f t="shared" si="13"/>
        <v>25</v>
      </c>
      <c r="W24" s="63">
        <f t="shared" si="14"/>
        <v>34</v>
      </c>
      <c r="X24" s="63">
        <f t="shared" si="15"/>
        <v>42</v>
      </c>
      <c r="Y24" s="63" t="str">
        <f>IFERROR(VLOOKUP(MID(T24,W24,X24-W24),[6]skilldef!$C:$D,2,FALSE),"-") &amp; " / " &amp; IFERROR(VLOOKUP(MID(T24,U24,V24-U24),[6]skilldef!$A:$B,2,FALSE),"-")</f>
        <v>味方全体に / -</v>
      </c>
      <c r="Z24" s="50"/>
      <c r="AA24" s="52"/>
      <c r="AB24" s="50"/>
      <c r="AC24" s="49">
        <f t="shared" si="16"/>
        <v>8</v>
      </c>
      <c r="AD24" s="49">
        <f t="shared" si="17"/>
        <v>38</v>
      </c>
    </row>
    <row r="25" spans="1:30" ht="21" customHeight="1" x14ac:dyDescent="0.15">
      <c r="A25" s="47">
        <v>30049024</v>
      </c>
      <c r="B25" s="47" t="s">
        <v>343</v>
      </c>
      <c r="C25" s="50">
        <v>3</v>
      </c>
      <c r="D25" s="50" t="s">
        <v>127</v>
      </c>
      <c r="E25" s="51" t="s">
        <v>313</v>
      </c>
      <c r="F25" s="51" t="s">
        <v>265</v>
      </c>
      <c r="G25" s="63" t="str">
        <f t="shared" si="0"/>
        <v>[effect:enemy_message, val1:1.3, val2:1.2]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5"/>
        <v>[effect:spread, val:0.3]</v>
      </c>
      <c r="N25" s="48" t="str">
        <f>IFERROR(LEFT(M25,FIND("],",M25)+S34),M25)</f>
        <v>[effect:spread, val:0.3]</v>
      </c>
      <c r="O25" s="63">
        <f t="shared" si="7"/>
        <v>9</v>
      </c>
      <c r="P25" s="63">
        <f t="shared" si="8"/>
        <v>15</v>
      </c>
      <c r="Q25" s="63" t="e">
        <f t="shared" si="9"/>
        <v>#VALUE!</v>
      </c>
      <c r="R25" s="63" t="e">
        <f t="shared" si="10"/>
        <v>#VALUE!</v>
      </c>
      <c r="S25" s="63" t="str">
        <f>IFERROR(VLOOKUP(MID(N25,Q25,R25-Q25),[6]skilldef!$C:$D,2,FALSE),"-") &amp; " / " &amp; IFERROR(VLOOKUP(MID(N25,O25,P25-O25),[6]skilldef!$A:$B,2,FALSE),"-")</f>
        <v>- / 全体攻撃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  <c r="AC25" s="49">
        <f t="shared" si="16"/>
        <v>13</v>
      </c>
      <c r="AD25" s="49">
        <f t="shared" si="17"/>
        <v>4</v>
      </c>
    </row>
    <row r="26" spans="1:30" ht="21" customHeight="1" x14ac:dyDescent="0.15">
      <c r="A26" s="47">
        <v>30049025</v>
      </c>
      <c r="B26" s="47" t="s">
        <v>344</v>
      </c>
      <c r="C26" s="50">
        <v>3</v>
      </c>
      <c r="D26" s="50" t="s">
        <v>127</v>
      </c>
      <c r="E26" s="51" t="s">
        <v>315</v>
      </c>
      <c r="F26" s="51" t="s">
        <v>320</v>
      </c>
      <c r="G26" s="63" t="str">
        <f t="shared" si="0"/>
        <v>[effect:enemy_message, val1:1.7, val2:2.3]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si="5"/>
        <v>[effect:break_attack_fix, target:unit_all, val:250, lowest_val:1000, count:-1, block01:jammer, block02:damage]</v>
      </c>
      <c r="N26" s="48" t="str">
        <f>IFERROR(LEFT(M26,FIND("],",M26)+S35),M26)</f>
        <v>[effect:break_attack_fix, target:unit_all, val:250, lowest_val:1000, count:-1, block01:jammer, block02:damage]</v>
      </c>
      <c r="O26" s="63">
        <f t="shared" si="7"/>
        <v>9</v>
      </c>
      <c r="P26" s="63">
        <f t="shared" si="8"/>
        <v>25</v>
      </c>
      <c r="Q26" s="63">
        <f t="shared" si="9"/>
        <v>34</v>
      </c>
      <c r="R26" s="63">
        <f t="shared" si="10"/>
        <v>42</v>
      </c>
      <c r="S26" s="63" t="str">
        <f>IFERROR(VLOOKUP(MID(N26,Q26,R26-Q26),[6]skilldef!$C:$D,2,FALSE),"-") &amp; " / " &amp; IFERROR(VLOOKUP(MID(N26,O26,P26-O26),[6]skilldef!$A:$B,2,FALSE),"-")</f>
        <v>味方全体に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  <c r="AC26" s="49">
        <f t="shared" si="16"/>
        <v>17</v>
      </c>
      <c r="AD26" s="49">
        <f t="shared" si="17"/>
        <v>23</v>
      </c>
    </row>
    <row r="27" spans="1:30" ht="21" customHeight="1" x14ac:dyDescent="0.15">
      <c r="A27" s="47">
        <v>30049026</v>
      </c>
      <c r="B27" s="111" t="s">
        <v>345</v>
      </c>
      <c r="C27" s="50">
        <v>3</v>
      </c>
      <c r="D27" s="50" t="s">
        <v>127</v>
      </c>
      <c r="E27" s="51" t="s">
        <v>316</v>
      </c>
      <c r="F27" s="51" t="s">
        <v>390</v>
      </c>
      <c r="G27" s="63" t="str">
        <f t="shared" ref="G27" si="19">IFERROR(LEFT(B27,FIND("],",B27)),B27)</f>
        <v>[effect:enemy_message, val1:1.2, val2:1.2]</v>
      </c>
      <c r="H27" s="63">
        <f t="shared" ref="H27" si="20">FIND("effect:",G27)+7</f>
        <v>9</v>
      </c>
      <c r="I27" s="63">
        <f t="shared" ref="I27" si="21">IFERROR(FIND(",",G27),LEN(G27))</f>
        <v>22</v>
      </c>
      <c r="J27" s="63" t="e">
        <f t="shared" ref="J27" si="22">FIND("target:",G27)+7</f>
        <v>#VALUE!</v>
      </c>
      <c r="K27" s="63">
        <f t="shared" ref="K27" si="23">FIND(",",G27,I27+1)</f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ref="M27" si="24">IFERROR(RIGHT(B27,LEN(B27)-FIND("],",B27)-1),"none")</f>
        <v>[effect:enhance_enemy, target:myself, turn:-1, status:attack, val:0.2, calc:mul, animation:enemy_enhance_attack]</v>
      </c>
      <c r="N27" s="48" t="str">
        <f>IFERROR(LEFT(M27,FIND("],",M27)+#REF!),M27)</f>
        <v>[effect:enhance_enemy, target:myself, turn:-1, status:attack, val:0.2, calc:mul, animation:enemy_enhance_attack]</v>
      </c>
      <c r="O27" s="63">
        <f t="shared" ref="O27" si="25">FIND("effect:",N27)+7</f>
        <v>9</v>
      </c>
      <c r="P27" s="63">
        <f t="shared" ref="P27" si="26">IFERROR(FIND(",",N27),LEN(N27))</f>
        <v>22</v>
      </c>
      <c r="Q27" s="63">
        <f t="shared" ref="Q27" si="27">FIND("target:",N27)+7</f>
        <v>31</v>
      </c>
      <c r="R27" s="63">
        <f t="shared" ref="R27" si="28">FIND(",",N27,P27+1)</f>
        <v>37</v>
      </c>
      <c r="S27" s="63" t="str">
        <f>IFERROR(VLOOKUP(MID(N27,Q27,R27-Q27),[6]skilldef!$C:$D,2,FALSE),"-") &amp; " / " &amp; IFERROR(VLOOKUP(MID(N27,O27,P27-O27),[6]skilldef!$A:$B,2,FALSE),"-")</f>
        <v>自分自身に / ステータス強化</v>
      </c>
      <c r="T27" s="48" t="str">
        <f t="shared" ref="T27" si="29">IFERROR(RIGHT(M27,LEN(M27)-FIND("],",M27)-1),"none")</f>
        <v>none</v>
      </c>
      <c r="U27" s="63" t="e">
        <f t="shared" ref="U27" si="30">FIND("effect:",T27)+7</f>
        <v>#VALUE!</v>
      </c>
      <c r="V27" s="63">
        <f t="shared" ref="V27" si="31">IFERROR(FIND(",",T27),LEN(T27))</f>
        <v>4</v>
      </c>
      <c r="W27" s="63" t="e">
        <f t="shared" ref="W27" si="32">FIND("target:",T27)+7</f>
        <v>#VALUE!</v>
      </c>
      <c r="X27" s="63" t="e">
        <f t="shared" ref="X27" si="33">FIND(",",T27,V27+1)</f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  <c r="AC27" s="49">
        <f t="shared" si="16"/>
        <v>7</v>
      </c>
      <c r="AD27" s="49">
        <f t="shared" si="17"/>
        <v>5</v>
      </c>
    </row>
    <row r="28" spans="1:30" ht="21" customHeight="1" x14ac:dyDescent="0.15">
      <c r="A28" s="112">
        <v>30049027</v>
      </c>
      <c r="B28" s="113" t="s">
        <v>305</v>
      </c>
      <c r="C28" s="114">
        <v>1</v>
      </c>
      <c r="D28" s="114" t="s">
        <v>127</v>
      </c>
      <c r="E28" s="115" t="s">
        <v>298</v>
      </c>
      <c r="F28" s="115" t="s">
        <v>297</v>
      </c>
      <c r="G28" s="63" t="str">
        <f t="shared" ref="G28" si="34">IFERROR(LEFT(B28,FIND("],",B28)),B28)</f>
        <v>[effect:force_change_block, new_block:jammer, target:block_green, ignore01:block_negative, count:2, val:0]</v>
      </c>
      <c r="H28" s="63">
        <f t="shared" ref="H28" si="35">FIND("effect:",G28)+7</f>
        <v>9</v>
      </c>
      <c r="I28" s="63">
        <f t="shared" ref="I28" si="36">IFERROR(FIND(",",G28),LEN(G28))</f>
        <v>27</v>
      </c>
      <c r="J28" s="63">
        <f t="shared" ref="J28" si="37">FIND("target:",G28)+7</f>
        <v>54</v>
      </c>
      <c r="K28" s="63">
        <f t="shared" ref="K28" si="38">FIND(",",G28,I28+1)</f>
        <v>45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 t="shared" ref="M28" si="39">IFERROR(RIGHT(B28,LEN(B28)-FIND("],",B28)-1),"none")</f>
        <v>none</v>
      </c>
      <c r="N28" s="48" t="str">
        <f>IFERROR(LEFT(M28,FIND("],",M28)+S36),M28)</f>
        <v>none</v>
      </c>
      <c r="O28" s="63" t="e">
        <f t="shared" ref="O28" si="40">FIND("effect:",N28)+7</f>
        <v>#VALUE!</v>
      </c>
      <c r="P28" s="63">
        <f t="shared" ref="P28" si="41">IFERROR(FIND(",",N28),LEN(N28))</f>
        <v>4</v>
      </c>
      <c r="Q28" s="63" t="e">
        <f t="shared" ref="Q28" si="42">FIND("target:",N28)+7</f>
        <v>#VALUE!</v>
      </c>
      <c r="R28" s="63" t="e">
        <f t="shared" ref="R28" si="43">FIND(",",N28,P28+1)</f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ref="T28" si="44">IFERROR(RIGHT(M28,LEN(M28)-FIND("],",M28)-1),"none")</f>
        <v>none</v>
      </c>
      <c r="U28" s="63" t="e">
        <f t="shared" ref="U28" si="45">FIND("effect:",T28)+7</f>
        <v>#VALUE!</v>
      </c>
      <c r="V28" s="63">
        <f t="shared" ref="V28" si="46">IFERROR(FIND(",",T28),LEN(T28))</f>
        <v>4</v>
      </c>
      <c r="W28" s="63" t="e">
        <f t="shared" ref="W28" si="47">FIND("target:",T28)+7</f>
        <v>#VALUE!</v>
      </c>
      <c r="X28" s="63" t="e">
        <f t="shared" ref="X28" si="48">FIND(",",T28,V28+1)</f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  <c r="AC28" s="49">
        <f t="shared" si="16"/>
        <v>3</v>
      </c>
      <c r="AD28" s="49">
        <f t="shared" si="17"/>
        <v>15</v>
      </c>
    </row>
    <row r="29" spans="1:30" ht="21" customHeight="1" x14ac:dyDescent="0.15">
      <c r="A29" s="112">
        <v>30049028</v>
      </c>
      <c r="B29" s="116" t="s">
        <v>304</v>
      </c>
      <c r="C29" s="114">
        <v>1</v>
      </c>
      <c r="D29" s="114" t="s">
        <v>127</v>
      </c>
      <c r="E29" s="115" t="s">
        <v>299</v>
      </c>
      <c r="F29" s="115" t="s">
        <v>300</v>
      </c>
      <c r="G29" s="63" t="str">
        <f t="shared" ref="G29" si="49">IFERROR(LEFT(B29,FIND("],",B29)),B29)</f>
        <v>[effect:force_change_block, new_block:damage, target:block_yellow, ignore01:block_negative, count:2, val:0.1]</v>
      </c>
      <c r="H29" s="63">
        <f t="shared" ref="H29" si="50">FIND("effect:",G29)+7</f>
        <v>9</v>
      </c>
      <c r="I29" s="63">
        <f t="shared" ref="I29" si="51">IFERROR(FIND(",",G29),LEN(G29))</f>
        <v>27</v>
      </c>
      <c r="J29" s="63">
        <f t="shared" ref="J29" si="52">FIND("target:",G29)+7</f>
        <v>54</v>
      </c>
      <c r="K29" s="63">
        <f t="shared" ref="K29" si="53">FIND(",",G29,I29+1)</f>
        <v>45</v>
      </c>
      <c r="L29" s="63" t="str">
        <f>IFERROR(VLOOKUP(MID(G29,J29,K29-J29),[6]skilldef!$C:$D,2,FALSE),"-") &amp; " / " &amp; IFERROR(VLOOKUP(MID(G29,H29,I29-H29),[6]skilldef!$A:$B,2,FALSE),"-")</f>
        <v>- / -</v>
      </c>
      <c r="M29" s="63" t="str">
        <f t="shared" ref="M29" si="54">IFERROR(RIGHT(B29,LEN(B29)-FIND("],",B29)-1),"none")</f>
        <v>none</v>
      </c>
      <c r="N29" s="48" t="str">
        <f>IFERROR(LEFT(M29,FIND("],",M29)+S37),M29)</f>
        <v>none</v>
      </c>
      <c r="O29" s="63" t="e">
        <f t="shared" ref="O29" si="55">FIND("effect:",N29)+7</f>
        <v>#VALUE!</v>
      </c>
      <c r="P29" s="63">
        <f t="shared" ref="P29" si="56">IFERROR(FIND(",",N29),LEN(N29))</f>
        <v>4</v>
      </c>
      <c r="Q29" s="63" t="e">
        <f t="shared" ref="Q29" si="57">FIND("target:",N29)+7</f>
        <v>#VALUE!</v>
      </c>
      <c r="R29" s="63" t="e">
        <f t="shared" ref="R29" si="58">FIND(",",N29,P29+1)</f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ref="T29" si="59">IFERROR(RIGHT(M29,LEN(M29)-FIND("],",M29)-1),"none")</f>
        <v>none</v>
      </c>
      <c r="U29" s="63" t="e">
        <f t="shared" ref="U29" si="60">FIND("effect:",T29)+7</f>
        <v>#VALUE!</v>
      </c>
      <c r="V29" s="63">
        <f t="shared" ref="V29" si="61">IFERROR(FIND(",",T29),LEN(T29))</f>
        <v>4</v>
      </c>
      <c r="W29" s="63" t="e">
        <f t="shared" ref="W29" si="62">FIND("target:",T29)+7</f>
        <v>#VALUE!</v>
      </c>
      <c r="X29" s="63" t="e">
        <f t="shared" ref="X29" si="63">FIND(",",T29,V29+1)</f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  <c r="AC29" s="49">
        <f t="shared" si="16"/>
        <v>3</v>
      </c>
      <c r="AD29" s="49">
        <f t="shared" si="17"/>
        <v>19</v>
      </c>
    </row>
    <row r="30" spans="1:30" ht="21" customHeight="1" x14ac:dyDescent="0.15">
      <c r="A30" s="112">
        <v>30049029</v>
      </c>
      <c r="B30" s="113" t="s">
        <v>303</v>
      </c>
      <c r="C30" s="114">
        <v>1</v>
      </c>
      <c r="D30" s="114" t="s">
        <v>127</v>
      </c>
      <c r="E30" s="115" t="s">
        <v>301</v>
      </c>
      <c r="F30" s="115" t="s">
        <v>297</v>
      </c>
      <c r="G30" s="63" t="str">
        <f t="shared" ref="G30" si="64">IFERROR(LEFT(B30,FIND("],",B30)),B30)</f>
        <v>[effect:force_change_block, new_block:jammer, target:block_green, ignore01:block_negative, count:2, val:0]</v>
      </c>
      <c r="H30" s="63">
        <f t="shared" ref="H30" si="65">FIND("effect:",G30)+7</f>
        <v>9</v>
      </c>
      <c r="I30" s="63">
        <f t="shared" ref="I30" si="66">IFERROR(FIND(",",G30),LEN(G30))</f>
        <v>27</v>
      </c>
      <c r="J30" s="63">
        <f t="shared" ref="J30" si="67">FIND("target:",G30)+7</f>
        <v>54</v>
      </c>
      <c r="K30" s="63">
        <f t="shared" ref="K30" si="68">FIND(",",G30,I30+1)</f>
        <v>45</v>
      </c>
      <c r="L30" s="63" t="str">
        <f>IFERROR(VLOOKUP(MID(G30,J30,K30-J30),[6]skilldef!$C:$D,2,FALSE),"-") &amp; " / " &amp; IFERROR(VLOOKUP(MID(G30,H30,I30-H30),[6]skilldef!$A:$B,2,FALSE),"-")</f>
        <v>- / -</v>
      </c>
      <c r="M30" s="63" t="str">
        <f t="shared" ref="M30" si="69">IFERROR(RIGHT(B30,LEN(B30)-FIND("],",B30)-1),"none")</f>
        <v>none</v>
      </c>
      <c r="N30" s="48" t="str">
        <f>IFERROR(LEFT(M30,FIND("],",M30)+S38),M30)</f>
        <v>none</v>
      </c>
      <c r="O30" s="63" t="e">
        <f t="shared" ref="O30" si="70">FIND("effect:",N30)+7</f>
        <v>#VALUE!</v>
      </c>
      <c r="P30" s="63">
        <f t="shared" ref="P30" si="71">IFERROR(FIND(",",N30),LEN(N30))</f>
        <v>4</v>
      </c>
      <c r="Q30" s="63" t="e">
        <f t="shared" ref="Q30" si="72">FIND("target:",N30)+7</f>
        <v>#VALUE!</v>
      </c>
      <c r="R30" s="63" t="e">
        <f t="shared" ref="R30" si="73">FIND(",",N30,P30+1)</f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ref="T30" si="74">IFERROR(RIGHT(M30,LEN(M30)-FIND("],",M30)-1),"none")</f>
        <v>none</v>
      </c>
      <c r="U30" s="63" t="e">
        <f t="shared" ref="U30" si="75">FIND("effect:",T30)+7</f>
        <v>#VALUE!</v>
      </c>
      <c r="V30" s="63">
        <f t="shared" ref="V30" si="76">IFERROR(FIND(",",T30),LEN(T30))</f>
        <v>4</v>
      </c>
      <c r="W30" s="63" t="e">
        <f t="shared" ref="W30" si="77">FIND("target:",T30)+7</f>
        <v>#VALUE!</v>
      </c>
      <c r="X30" s="63" t="e">
        <f t="shared" ref="X30" si="78">FIND(",",T30,V30+1)</f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  <c r="AC30" s="49">
        <f t="shared" si="16"/>
        <v>4</v>
      </c>
      <c r="AD30" s="49">
        <f t="shared" si="17"/>
        <v>15</v>
      </c>
    </row>
    <row r="31" spans="1:30" ht="21" customHeight="1" x14ac:dyDescent="0.15">
      <c r="A31" s="112">
        <v>30049030</v>
      </c>
      <c r="B31" s="116" t="s">
        <v>304</v>
      </c>
      <c r="C31" s="114">
        <v>1</v>
      </c>
      <c r="D31" s="114" t="s">
        <v>127</v>
      </c>
      <c r="E31" s="115" t="s">
        <v>302</v>
      </c>
      <c r="F31" s="115" t="s">
        <v>300</v>
      </c>
      <c r="G31" s="63" t="str">
        <f t="shared" ref="G31" si="79">IFERROR(LEFT(B31,FIND("],",B31)),B31)</f>
        <v>[effect:force_change_block, new_block:damage, target:block_yellow, ignore01:block_negative, count:2, val:0.1]</v>
      </c>
      <c r="H31" s="63">
        <f t="shared" ref="H31" si="80">FIND("effect:",G31)+7</f>
        <v>9</v>
      </c>
      <c r="I31" s="63">
        <f t="shared" ref="I31" si="81">IFERROR(FIND(",",G31),LEN(G31))</f>
        <v>27</v>
      </c>
      <c r="J31" s="63">
        <f t="shared" ref="J31" si="82">FIND("target:",G31)+7</f>
        <v>54</v>
      </c>
      <c r="K31" s="63">
        <f t="shared" ref="K31" si="83">FIND(",",G31,I31+1)</f>
        <v>45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ref="M31" si="84">IFERROR(RIGHT(B31,LEN(B31)-FIND("],",B31)-1),"none")</f>
        <v>none</v>
      </c>
      <c r="N31" s="48" t="str">
        <f>IFERROR(LEFT(M31,FIND("],",M31)+S39),M31)</f>
        <v>none</v>
      </c>
      <c r="O31" s="63" t="e">
        <f t="shared" ref="O31" si="85">FIND("effect:",N31)+7</f>
        <v>#VALUE!</v>
      </c>
      <c r="P31" s="63">
        <f t="shared" ref="P31" si="86">IFERROR(FIND(",",N31),LEN(N31))</f>
        <v>4</v>
      </c>
      <c r="Q31" s="63" t="e">
        <f t="shared" ref="Q31" si="87">FIND("target:",N31)+7</f>
        <v>#VALUE!</v>
      </c>
      <c r="R31" s="63" t="e">
        <f t="shared" ref="R31" si="88">FIND(",",N31,P31+1)</f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ref="T31" si="89">IFERROR(RIGHT(M31,LEN(M31)-FIND("],",M31)-1),"none")</f>
        <v>none</v>
      </c>
      <c r="U31" s="63" t="e">
        <f t="shared" ref="U31" si="90">FIND("effect:",T31)+7</f>
        <v>#VALUE!</v>
      </c>
      <c r="V31" s="63">
        <f t="shared" ref="V31" si="91">IFERROR(FIND(",",T31),LEN(T31))</f>
        <v>4</v>
      </c>
      <c r="W31" s="63" t="e">
        <f t="shared" ref="W31" si="92">FIND("target:",T31)+7</f>
        <v>#VALUE!</v>
      </c>
      <c r="X31" s="63" t="e">
        <f t="shared" ref="X31" si="93">FIND(",",T31,V31+1)</f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  <c r="AC31" s="49">
        <f t="shared" si="16"/>
        <v>3</v>
      </c>
      <c r="AD31" s="49">
        <f t="shared" si="17"/>
        <v>19</v>
      </c>
    </row>
    <row r="32" spans="1:30" ht="21" customHeight="1" x14ac:dyDescent="0.15">
      <c r="A32" s="117">
        <v>30049031</v>
      </c>
      <c r="B32" s="118" t="s">
        <v>349</v>
      </c>
      <c r="C32" s="119">
        <v>3</v>
      </c>
      <c r="D32" s="119" t="s">
        <v>127</v>
      </c>
      <c r="E32" s="122" t="s">
        <v>332</v>
      </c>
      <c r="F32" s="124" t="s">
        <v>346</v>
      </c>
      <c r="G32" s="63" t="str">
        <f t="shared" ref="G32:G34" si="94">IFERROR(LEFT(B32,FIND("],",B32)),B32)</f>
        <v>[effect:enemy_message, val1:2.3, val2:0]</v>
      </c>
      <c r="H32" s="63">
        <f t="shared" ref="H32:H34" si="95">FIND("effect:",G32)+7</f>
        <v>9</v>
      </c>
      <c r="I32" s="63">
        <f t="shared" ref="I32:I34" si="96">IFERROR(FIND(",",G32),LEN(G32))</f>
        <v>22</v>
      </c>
      <c r="J32" s="63" t="e">
        <f t="shared" ref="J32:J34" si="97">FIND("target:",G32)+7</f>
        <v>#VALUE!</v>
      </c>
      <c r="K32" s="63">
        <f t="shared" ref="K32:K34" si="98">FIND(",",G32,I32+1)</f>
        <v>32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ref="M32:M34" si="99">IFERROR(RIGHT(B32,LEN(B32)-FIND("],",B32)-1),"none")</f>
        <v>none</v>
      </c>
      <c r="N32" s="48" t="str">
        <f>IFERROR(LEFT(M32,FIND("],",M32)+S40),M32)</f>
        <v>none</v>
      </c>
      <c r="O32" s="63" t="e">
        <f t="shared" ref="O32:O34" si="100">FIND("effect:",N32)+7</f>
        <v>#VALUE!</v>
      </c>
      <c r="P32" s="63">
        <f t="shared" ref="P32:P34" si="101">IFERROR(FIND(",",N32),LEN(N32))</f>
        <v>4</v>
      </c>
      <c r="Q32" s="63" t="e">
        <f t="shared" ref="Q32:Q34" si="102">FIND("target:",N32)+7</f>
        <v>#VALUE!</v>
      </c>
      <c r="R32" s="63" t="e">
        <f t="shared" ref="R32:R34" si="103">FIND(",",N32,P32+1)</f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ref="T32:T34" si="104">IFERROR(RIGHT(M32,LEN(M32)-FIND("],",M32)-1),"none")</f>
        <v>none</v>
      </c>
      <c r="U32" s="63" t="e">
        <f t="shared" ref="U32:U34" si="105">FIND("effect:",T32)+7</f>
        <v>#VALUE!</v>
      </c>
      <c r="V32" s="63">
        <f t="shared" ref="V32:V34" si="106">IFERROR(FIND(",",T32),LEN(T32))</f>
        <v>4</v>
      </c>
      <c r="W32" s="63" t="e">
        <f t="shared" ref="W32:W34" si="107">FIND("target:",T32)+7</f>
        <v>#VALUE!</v>
      </c>
      <c r="X32" s="63" t="e">
        <f t="shared" ref="X32:X34" si="108">FIND(",",T32,V32+1)</f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  <c r="AC32" s="49">
        <f t="shared" si="16"/>
        <v>23</v>
      </c>
      <c r="AD32" s="49">
        <f t="shared" si="17"/>
        <v>7</v>
      </c>
    </row>
    <row r="33" spans="1:30" ht="21" customHeight="1" x14ac:dyDescent="0.15">
      <c r="A33" s="117">
        <v>30049032</v>
      </c>
      <c r="B33" s="118" t="s">
        <v>350</v>
      </c>
      <c r="C33" s="119">
        <v>3</v>
      </c>
      <c r="D33" s="119" t="s">
        <v>127</v>
      </c>
      <c r="E33" s="120" t="s">
        <v>333</v>
      </c>
      <c r="F33" s="120" t="s">
        <v>347</v>
      </c>
      <c r="G33" s="63" t="str">
        <f t="shared" si="94"/>
        <v>[effect:enemy_message, val1:1.5, val2:0]</v>
      </c>
      <c r="H33" s="63">
        <f t="shared" si="95"/>
        <v>9</v>
      </c>
      <c r="I33" s="63">
        <f t="shared" si="96"/>
        <v>22</v>
      </c>
      <c r="J33" s="63" t="e">
        <f t="shared" si="97"/>
        <v>#VALUE!</v>
      </c>
      <c r="K33" s="63">
        <f t="shared" si="98"/>
        <v>32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si="99"/>
        <v>none</v>
      </c>
      <c r="N33" s="48" t="str">
        <f>IFERROR(LEFT(M33,FIND("],",M33)+S41),M33)</f>
        <v>none</v>
      </c>
      <c r="O33" s="63" t="e">
        <f t="shared" si="100"/>
        <v>#VALUE!</v>
      </c>
      <c r="P33" s="63">
        <f t="shared" si="101"/>
        <v>4</v>
      </c>
      <c r="Q33" s="63" t="e">
        <f t="shared" si="102"/>
        <v>#VALUE!</v>
      </c>
      <c r="R33" s="63" t="e">
        <f t="shared" si="103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04"/>
        <v>none</v>
      </c>
      <c r="U33" s="63" t="e">
        <f t="shared" si="105"/>
        <v>#VALUE!</v>
      </c>
      <c r="V33" s="63">
        <f t="shared" si="106"/>
        <v>4</v>
      </c>
      <c r="W33" s="63" t="e">
        <f t="shared" si="107"/>
        <v>#VALUE!</v>
      </c>
      <c r="X33" s="63" t="e">
        <f t="shared" si="108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  <c r="AC33" s="49">
        <f t="shared" si="16"/>
        <v>15</v>
      </c>
      <c r="AD33" s="49">
        <f t="shared" si="17"/>
        <v>7</v>
      </c>
    </row>
    <row r="34" spans="1:30" ht="21" customHeight="1" x14ac:dyDescent="0.15">
      <c r="A34" s="117">
        <v>30049033</v>
      </c>
      <c r="B34" s="118" t="s">
        <v>351</v>
      </c>
      <c r="C34" s="119">
        <v>3</v>
      </c>
      <c r="D34" s="119" t="s">
        <v>127</v>
      </c>
      <c r="E34" s="120" t="s">
        <v>334</v>
      </c>
      <c r="F34" s="120" t="s">
        <v>347</v>
      </c>
      <c r="G34" s="63" t="str">
        <f t="shared" si="94"/>
        <v>[effect:enemy_message, val1:2.1, val2:0]</v>
      </c>
      <c r="H34" s="63">
        <f t="shared" si="95"/>
        <v>9</v>
      </c>
      <c r="I34" s="63">
        <f t="shared" si="96"/>
        <v>22</v>
      </c>
      <c r="J34" s="63" t="e">
        <f t="shared" si="97"/>
        <v>#VALUE!</v>
      </c>
      <c r="K34" s="63">
        <f t="shared" si="98"/>
        <v>32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si="99"/>
        <v>none</v>
      </c>
      <c r="N34" s="48" t="str">
        <f>IFERROR(LEFT(M34,FIND("],",M34)+S43),M34)</f>
        <v>none</v>
      </c>
      <c r="O34" s="63" t="e">
        <f t="shared" si="100"/>
        <v>#VALUE!</v>
      </c>
      <c r="P34" s="63">
        <f t="shared" si="101"/>
        <v>4</v>
      </c>
      <c r="Q34" s="63" t="e">
        <f t="shared" si="102"/>
        <v>#VALUE!</v>
      </c>
      <c r="R34" s="63" t="e">
        <f t="shared" si="103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04"/>
        <v>none</v>
      </c>
      <c r="U34" s="63" t="e">
        <f t="shared" si="105"/>
        <v>#VALUE!</v>
      </c>
      <c r="V34" s="63">
        <f t="shared" si="106"/>
        <v>4</v>
      </c>
      <c r="W34" s="63" t="e">
        <f t="shared" si="107"/>
        <v>#VALUE!</v>
      </c>
      <c r="X34" s="63" t="e">
        <f t="shared" si="108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  <c r="AC34" s="49">
        <f t="shared" si="16"/>
        <v>16</v>
      </c>
      <c r="AD34" s="49">
        <f t="shared" si="17"/>
        <v>7</v>
      </c>
    </row>
    <row r="35" spans="1:30" ht="21" customHeight="1" x14ac:dyDescent="0.15">
      <c r="A35" s="117">
        <v>30049034</v>
      </c>
      <c r="B35" s="118" t="s">
        <v>348</v>
      </c>
      <c r="C35" s="119">
        <v>3</v>
      </c>
      <c r="D35" s="119" t="s">
        <v>127</v>
      </c>
      <c r="E35" s="120" t="s">
        <v>335</v>
      </c>
      <c r="F35" s="120" t="s">
        <v>347</v>
      </c>
      <c r="G35" s="63" t="str">
        <f t="shared" ref="G35" si="109">IFERROR(LEFT(B35,FIND("],",B35)),B35)</f>
        <v>[effect:enemy_message, val1:2.4, val2:0]</v>
      </c>
      <c r="H35" s="63">
        <f t="shared" ref="H35" si="110">FIND("effect:",G35)+7</f>
        <v>9</v>
      </c>
      <c r="I35" s="63">
        <f t="shared" ref="I35" si="111">IFERROR(FIND(",",G35),LEN(G35))</f>
        <v>22</v>
      </c>
      <c r="J35" s="63" t="e">
        <f t="shared" ref="J35" si="112">FIND("target:",G35)+7</f>
        <v>#VALUE!</v>
      </c>
      <c r="K35" s="63">
        <f t="shared" ref="K35" si="113">FIND(",",G35,I35+1)</f>
        <v>32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ref="M35" si="114">IFERROR(RIGHT(B35,LEN(B35)-FIND("],",B35)-1),"none")</f>
        <v>none</v>
      </c>
      <c r="N35" s="48" t="str">
        <f>IFERROR(LEFT(M35,FIND("],",M35)+S44),M35)</f>
        <v>none</v>
      </c>
      <c r="O35" s="63" t="e">
        <f t="shared" ref="O35" si="115">FIND("effect:",N35)+7</f>
        <v>#VALUE!</v>
      </c>
      <c r="P35" s="63">
        <f t="shared" ref="P35" si="116">IFERROR(FIND(",",N35),LEN(N35))</f>
        <v>4</v>
      </c>
      <c r="Q35" s="63" t="e">
        <f t="shared" ref="Q35" si="117">FIND("target:",N35)+7</f>
        <v>#VALUE!</v>
      </c>
      <c r="R35" s="63" t="e">
        <f t="shared" ref="R35" si="118">FIND(",",N35,P35+1)</f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ref="T35" si="119">IFERROR(RIGHT(M35,LEN(M35)-FIND("],",M35)-1),"none")</f>
        <v>none</v>
      </c>
      <c r="U35" s="63" t="e">
        <f t="shared" ref="U35" si="120">FIND("effect:",T35)+7</f>
        <v>#VALUE!</v>
      </c>
      <c r="V35" s="63">
        <f t="shared" ref="V35" si="121">IFERROR(FIND(",",T35),LEN(T35))</f>
        <v>4</v>
      </c>
      <c r="W35" s="63" t="e">
        <f t="shared" ref="W35" si="122">FIND("target:",T35)+7</f>
        <v>#VALUE!</v>
      </c>
      <c r="X35" s="63" t="e">
        <f t="shared" ref="X35" si="123">FIND(",",T35,V35+1)</f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  <c r="AC35" s="49">
        <f t="shared" si="16"/>
        <v>19</v>
      </c>
      <c r="AD35" s="49">
        <f t="shared" si="17"/>
        <v>7</v>
      </c>
    </row>
    <row r="36" spans="1:30" ht="21" customHeight="1" x14ac:dyDescent="0.15">
      <c r="A36" s="125">
        <v>30049100</v>
      </c>
      <c r="B36" s="104" t="s">
        <v>406</v>
      </c>
      <c r="C36" s="133">
        <v>3</v>
      </c>
      <c r="D36" s="126" t="s">
        <v>127</v>
      </c>
      <c r="E36" s="127" t="s">
        <v>325</v>
      </c>
      <c r="F36" s="127" t="s">
        <v>391</v>
      </c>
      <c r="G36" s="63" t="str">
        <f t="shared" ref="G36" si="124">IFERROR(LEFT(B36,FIND("],",B36)),B36)</f>
        <v>[effect:enemy_message, val1:1.2, val2:2.6]</v>
      </c>
      <c r="H36" s="63">
        <f t="shared" ref="H36" si="125">FIND("effect:",G36)+7</f>
        <v>9</v>
      </c>
      <c r="I36" s="63">
        <f t="shared" ref="I36" si="126">IFERROR(FIND(",",G36),LEN(G36))</f>
        <v>22</v>
      </c>
      <c r="J36" s="63" t="e">
        <f t="shared" ref="J36" si="127">FIND("target:",G36)+7</f>
        <v>#VALUE!</v>
      </c>
      <c r="K36" s="63">
        <f t="shared" ref="K36" si="128">FIND(",",G36,I36+1)</f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ref="M36" si="129">IFERROR(RIGHT(B36,LEN(B36)-FIND("],",B36)-1),"none")</f>
        <v>[effect:force_change_block, new_block:damage, target:block_yellow, ignore01:block_negative, count:2, val:0.05],[effect:rush, count:1, val:1]</v>
      </c>
      <c r="N36" s="48" t="str">
        <f t="shared" ref="N36" si="130">IFERROR(LEFT(M36,FIND("],",M36)+S46),M36)</f>
        <v>[effect:force_change_block, new_block:damage, target:block_yellow, ignore01:block_negative, count:2, val:0.05]</v>
      </c>
      <c r="O36" s="63">
        <f t="shared" ref="O36" si="131">FIND("effect:",N36)+7</f>
        <v>9</v>
      </c>
      <c r="P36" s="63">
        <f t="shared" ref="P36" si="132">IFERROR(FIND(",",N36),LEN(N36))</f>
        <v>27</v>
      </c>
      <c r="Q36" s="63">
        <f t="shared" ref="Q36" si="133">FIND("target:",N36)+7</f>
        <v>54</v>
      </c>
      <c r="R36" s="63">
        <f t="shared" ref="R36" si="134">FIND(",",N36,P36+1)</f>
        <v>45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ref="T36" si="135">IFERROR(RIGHT(M36,LEN(M36)-FIND("],",M36)-1),"none")</f>
        <v>[effect:rush, count:1, val:1]</v>
      </c>
      <c r="U36" s="63">
        <f t="shared" ref="U36" si="136">FIND("effect:",T36)+7</f>
        <v>9</v>
      </c>
      <c r="V36" s="63">
        <f t="shared" ref="V36" si="137">IFERROR(FIND(",",T36),LEN(T36))</f>
        <v>13</v>
      </c>
      <c r="W36" s="63" t="e">
        <f t="shared" ref="W36" si="138">FIND("target:",T36)+7</f>
        <v>#VALUE!</v>
      </c>
      <c r="X36" s="63">
        <f t="shared" ref="X36" si="139">FIND(",",T36,V36+1)</f>
        <v>22</v>
      </c>
      <c r="Y36" s="63" t="str">
        <f>IFERROR(VLOOKUP(MID(T36,W36,X36-W36),[6]skilldef!$C:$D,2,FALSE),"-") &amp; " / " &amp; IFERROR(VLOOKUP(MID(T36,U36,V36-U36),[6]skilldef!$A:$B,2,FALSE),"-")</f>
        <v>- / 連続攻撃</v>
      </c>
      <c r="Z36" s="50"/>
      <c r="AA36" s="52"/>
      <c r="AB36" s="50" t="s">
        <v>373</v>
      </c>
      <c r="AC36" s="49">
        <f t="shared" ref="AC36" si="140">LEN(E36)</f>
        <v>2</v>
      </c>
      <c r="AD36" s="49">
        <f t="shared" ref="AD36" si="141">LEN(F36)</f>
        <v>27</v>
      </c>
    </row>
    <row r="37" spans="1:30" ht="21" customHeight="1" x14ac:dyDescent="0.15">
      <c r="A37" s="125">
        <v>30049101</v>
      </c>
      <c r="B37" s="104" t="s">
        <v>406</v>
      </c>
      <c r="C37" s="133">
        <v>3</v>
      </c>
      <c r="D37" s="126" t="s">
        <v>127</v>
      </c>
      <c r="E37" s="127" t="s">
        <v>330</v>
      </c>
      <c r="F37" s="127" t="s">
        <v>392</v>
      </c>
      <c r="G37" s="63" t="str">
        <f t="shared" ref="G37:G45" si="142">IFERROR(LEFT(B37,FIND("],",B37)),B37)</f>
        <v>[effect:enemy_message, val1:1.2, val2:2.6]</v>
      </c>
      <c r="H37" s="63">
        <f t="shared" ref="H37:H45" si="143">FIND("effect:",G37)+7</f>
        <v>9</v>
      </c>
      <c r="I37" s="63">
        <f t="shared" ref="I37:I45" si="144">IFERROR(FIND(",",G37),LEN(G37))</f>
        <v>22</v>
      </c>
      <c r="J37" s="63" t="e">
        <f t="shared" ref="J37:J45" si="145">FIND("target:",G37)+7</f>
        <v>#VALUE!</v>
      </c>
      <c r="K37" s="63">
        <f t="shared" ref="K37:K45" si="146">FIND(",",G37,I37+1)</f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ref="M37:M45" si="147">IFERROR(RIGHT(B37,LEN(B37)-FIND("],",B37)-1),"none")</f>
        <v>[effect:force_change_block, new_block:damage, target:block_yellow, ignore01:block_negative, count:2, val:0.05],[effect:rush, count:1, val:1]</v>
      </c>
      <c r="N37" s="48" t="str">
        <f t="shared" ref="N37:N45" si="148">IFERROR(LEFT(M37,FIND("],",M37)+S47),M37)</f>
        <v>[effect:force_change_block, new_block:damage, target:block_yellow, ignore01:block_negative, count:2, val:0.05]</v>
      </c>
      <c r="O37" s="63">
        <f t="shared" ref="O37:O45" si="149">FIND("effect:",N37)+7</f>
        <v>9</v>
      </c>
      <c r="P37" s="63">
        <f t="shared" ref="P37:P45" si="150">IFERROR(FIND(",",N37),LEN(N37))</f>
        <v>27</v>
      </c>
      <c r="Q37" s="63">
        <f t="shared" ref="Q37:Q45" si="151">FIND("target:",N37)+7</f>
        <v>54</v>
      </c>
      <c r="R37" s="63">
        <f t="shared" ref="R37:R45" si="152">FIND(",",N37,P37+1)</f>
        <v>45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ref="T37:T45" si="153">IFERROR(RIGHT(M37,LEN(M37)-FIND("],",M37)-1),"none")</f>
        <v>[effect:rush, count:1, val:1]</v>
      </c>
      <c r="U37" s="63">
        <f t="shared" ref="U37:U45" si="154">FIND("effect:",T37)+7</f>
        <v>9</v>
      </c>
      <c r="V37" s="63">
        <f t="shared" ref="V37:V45" si="155">IFERROR(FIND(",",T37),LEN(T37))</f>
        <v>13</v>
      </c>
      <c r="W37" s="63" t="e">
        <f t="shared" ref="W37:W45" si="156">FIND("target:",T37)+7</f>
        <v>#VALUE!</v>
      </c>
      <c r="X37" s="63">
        <f t="shared" ref="X37:X45" si="157">FIND(",",T37,V37+1)</f>
        <v>22</v>
      </c>
      <c r="Y37" s="63" t="str">
        <f>IFERROR(VLOOKUP(MID(T37,W37,X37-W37),[6]skilldef!$C:$D,2,FALSE),"-") &amp; " / " &amp; IFERROR(VLOOKUP(MID(T37,U37,V37-U37),[6]skilldef!$A:$B,2,FALSE),"-")</f>
        <v>- / 連続攻撃</v>
      </c>
      <c r="Z37" s="50"/>
      <c r="AA37" s="52"/>
      <c r="AB37" s="50" t="s">
        <v>373</v>
      </c>
      <c r="AC37" s="49">
        <f t="shared" ref="AC37:AC45" si="158">LEN(E37)</f>
        <v>4</v>
      </c>
      <c r="AD37" s="49">
        <f t="shared" ref="AD37:AD45" si="159">LEN(F37)</f>
        <v>27</v>
      </c>
    </row>
    <row r="38" spans="1:30" ht="21" customHeight="1" x14ac:dyDescent="0.15">
      <c r="A38" s="125">
        <v>30049102</v>
      </c>
      <c r="B38" s="104" t="s">
        <v>407</v>
      </c>
      <c r="C38" s="133">
        <v>3</v>
      </c>
      <c r="D38" s="126" t="s">
        <v>127</v>
      </c>
      <c r="E38" s="127" t="s">
        <v>314</v>
      </c>
      <c r="F38" s="127" t="s">
        <v>393</v>
      </c>
      <c r="G38" s="63" t="str">
        <f t="shared" si="142"/>
        <v>[effect:enemy_message, val1:1.2, val2:3.7]</v>
      </c>
      <c r="H38" s="63">
        <f t="shared" si="143"/>
        <v>9</v>
      </c>
      <c r="I38" s="63">
        <f t="shared" si="144"/>
        <v>22</v>
      </c>
      <c r="J38" s="63" t="e">
        <f t="shared" si="145"/>
        <v>#VALUE!</v>
      </c>
      <c r="K38" s="63">
        <f t="shared" si="146"/>
        <v>32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147"/>
        <v>[effect:force_change_block, new_block:damage, target:block_yellow, ignore01:block_negative, count:2, val:0.05],[effect:break_attack_fix, target:unit_all, val:100, lowest_val:500, count:-1, block01:jammer]</v>
      </c>
      <c r="N38" s="48" t="str">
        <f t="shared" si="148"/>
        <v>[effect:force_change_block, new_block:damage, target:block_yellow, ignore01:block_negative, count:2, val:0.05]</v>
      </c>
      <c r="O38" s="63">
        <f t="shared" si="149"/>
        <v>9</v>
      </c>
      <c r="P38" s="63">
        <f t="shared" si="150"/>
        <v>27</v>
      </c>
      <c r="Q38" s="63">
        <f t="shared" si="151"/>
        <v>54</v>
      </c>
      <c r="R38" s="63">
        <f t="shared" si="152"/>
        <v>45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153"/>
        <v>[effect:break_attack_fix, target:unit_all, val:100, lowest_val:500, count:-1, block01:jammer]</v>
      </c>
      <c r="U38" s="63">
        <f t="shared" si="154"/>
        <v>9</v>
      </c>
      <c r="V38" s="63">
        <f t="shared" si="155"/>
        <v>25</v>
      </c>
      <c r="W38" s="63">
        <f t="shared" si="156"/>
        <v>34</v>
      </c>
      <c r="X38" s="63">
        <f t="shared" si="157"/>
        <v>42</v>
      </c>
      <c r="Y38" s="63" t="str">
        <f>IFERROR(VLOOKUP(MID(T38,W38,X38-W38),[6]skilldef!$C:$D,2,FALSE),"-") &amp; " / " &amp; IFERROR(VLOOKUP(MID(T38,U38,V38-U38),[6]skilldef!$A:$B,2,FALSE),"-")</f>
        <v>味方全体に / -</v>
      </c>
      <c r="Z38" s="50"/>
      <c r="AA38" s="52"/>
      <c r="AB38" s="50" t="s">
        <v>373</v>
      </c>
      <c r="AC38" s="49">
        <f t="shared" si="158"/>
        <v>8</v>
      </c>
      <c r="AD38" s="49">
        <f t="shared" si="159"/>
        <v>38</v>
      </c>
    </row>
    <row r="39" spans="1:30" ht="21" customHeight="1" x14ac:dyDescent="0.15">
      <c r="A39" s="125">
        <v>30049103</v>
      </c>
      <c r="B39" s="104" t="s">
        <v>408</v>
      </c>
      <c r="C39" s="133">
        <v>3</v>
      </c>
      <c r="D39" s="126" t="s">
        <v>127</v>
      </c>
      <c r="E39" s="127" t="s">
        <v>318</v>
      </c>
      <c r="F39" s="127" t="s">
        <v>394</v>
      </c>
      <c r="G39" s="63" t="str">
        <f t="shared" si="142"/>
        <v>[effect:enemy_message, val1:1.2, val2:3.7]</v>
      </c>
      <c r="H39" s="63">
        <f t="shared" si="143"/>
        <v>9</v>
      </c>
      <c r="I39" s="63">
        <f t="shared" si="144"/>
        <v>22</v>
      </c>
      <c r="J39" s="63" t="e">
        <f t="shared" si="145"/>
        <v>#VALUE!</v>
      </c>
      <c r="K39" s="63">
        <f t="shared" si="146"/>
        <v>32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si="147"/>
        <v>[effect:force_change_block, new_block:damage, target:block_yellow, ignore01:block_negative, count:3, val:0.05],[effect:break_attack_fix, target:unit_all, val:100, lowest_val:500, count:-1, block01:jammer]</v>
      </c>
      <c r="N39" s="48" t="str">
        <f t="shared" si="148"/>
        <v>[effect:force_change_block, new_block:damage, target:block_yellow, ignore01:block_negative, count:3, val:0.05]</v>
      </c>
      <c r="O39" s="63">
        <f t="shared" si="149"/>
        <v>9</v>
      </c>
      <c r="P39" s="63">
        <f t="shared" si="150"/>
        <v>27</v>
      </c>
      <c r="Q39" s="63">
        <f t="shared" si="151"/>
        <v>54</v>
      </c>
      <c r="R39" s="63">
        <f t="shared" si="152"/>
        <v>45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153"/>
        <v>[effect:break_attack_fix, target:unit_all, val:100, lowest_val:500, count:-1, block01:jammer]</v>
      </c>
      <c r="U39" s="63">
        <f t="shared" si="154"/>
        <v>9</v>
      </c>
      <c r="V39" s="63">
        <f t="shared" si="155"/>
        <v>25</v>
      </c>
      <c r="W39" s="63">
        <f t="shared" si="156"/>
        <v>34</v>
      </c>
      <c r="X39" s="63">
        <f t="shared" si="157"/>
        <v>42</v>
      </c>
      <c r="Y39" s="63" t="str">
        <f>IFERROR(VLOOKUP(MID(T39,W39,X39-W39),[6]skilldef!$C:$D,2,FALSE),"-") &amp; " / " &amp; IFERROR(VLOOKUP(MID(T39,U39,V39-U39),[6]skilldef!$A:$B,2,FALSE),"-")</f>
        <v>味方全体に / -</v>
      </c>
      <c r="Z39" s="50"/>
      <c r="AA39" s="52"/>
      <c r="AB39" s="50" t="s">
        <v>373</v>
      </c>
      <c r="AC39" s="49">
        <f t="shared" si="158"/>
        <v>8</v>
      </c>
      <c r="AD39" s="49">
        <f t="shared" si="159"/>
        <v>38</v>
      </c>
    </row>
    <row r="40" spans="1:30" ht="21" customHeight="1" x14ac:dyDescent="0.15">
      <c r="A40" s="125">
        <v>30049104</v>
      </c>
      <c r="B40" s="104" t="s">
        <v>375</v>
      </c>
      <c r="C40" s="133">
        <v>3</v>
      </c>
      <c r="D40" s="126" t="s">
        <v>127</v>
      </c>
      <c r="E40" s="127" t="s">
        <v>315</v>
      </c>
      <c r="F40" s="127" t="s">
        <v>320</v>
      </c>
      <c r="G40" s="63" t="str">
        <f t="shared" si="142"/>
        <v>[effect:enemy_message, val1:1.7, val2:2.3]</v>
      </c>
      <c r="H40" s="63">
        <f t="shared" si="143"/>
        <v>9</v>
      </c>
      <c r="I40" s="63">
        <f t="shared" si="144"/>
        <v>22</v>
      </c>
      <c r="J40" s="63" t="e">
        <f t="shared" si="145"/>
        <v>#VALUE!</v>
      </c>
      <c r="K40" s="63">
        <f t="shared" si="146"/>
        <v>32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si="147"/>
        <v>[effect:break_attack_fix, target:unit_all, val:100, lowest_val:500, count:-1, block01:jammer, block02:damage]</v>
      </c>
      <c r="N40" s="48" t="str">
        <f t="shared" si="148"/>
        <v>[effect:break_attack_fix, target:unit_all, val:100, lowest_val:500, count:-1, block01:jammer, block02:damage]</v>
      </c>
      <c r="O40" s="63">
        <f t="shared" si="149"/>
        <v>9</v>
      </c>
      <c r="P40" s="63">
        <f t="shared" si="150"/>
        <v>25</v>
      </c>
      <c r="Q40" s="63">
        <f t="shared" si="151"/>
        <v>34</v>
      </c>
      <c r="R40" s="63">
        <f t="shared" si="152"/>
        <v>42</v>
      </c>
      <c r="S40" s="63" t="str">
        <f>IFERROR(VLOOKUP(MID(N40,Q40,R40-Q40),[6]skilldef!$C:$D,2,FALSE),"-") &amp; " / " &amp; IFERROR(VLOOKUP(MID(N40,O40,P40-O40),[6]skilldef!$A:$B,2,FALSE),"-")</f>
        <v>味方全体に / -</v>
      </c>
      <c r="T40" s="48" t="str">
        <f t="shared" si="153"/>
        <v>none</v>
      </c>
      <c r="U40" s="63" t="e">
        <f t="shared" si="154"/>
        <v>#VALUE!</v>
      </c>
      <c r="V40" s="63">
        <f t="shared" si="155"/>
        <v>4</v>
      </c>
      <c r="W40" s="63" t="e">
        <f t="shared" si="156"/>
        <v>#VALUE!</v>
      </c>
      <c r="X40" s="63" t="e">
        <f t="shared" si="157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 t="s">
        <v>373</v>
      </c>
      <c r="AC40" s="49">
        <f t="shared" si="158"/>
        <v>17</v>
      </c>
      <c r="AD40" s="49">
        <f t="shared" si="159"/>
        <v>23</v>
      </c>
    </row>
    <row r="41" spans="1:30" ht="21" customHeight="1" x14ac:dyDescent="0.15">
      <c r="A41" s="128">
        <v>30049200</v>
      </c>
      <c r="B41" s="108" t="s">
        <v>409</v>
      </c>
      <c r="C41" s="132">
        <v>3</v>
      </c>
      <c r="D41" s="129" t="s">
        <v>127</v>
      </c>
      <c r="E41" s="130" t="s">
        <v>325</v>
      </c>
      <c r="F41" s="130" t="s">
        <v>391</v>
      </c>
      <c r="G41" s="63" t="str">
        <f t="shared" si="142"/>
        <v>[effect:enemy_message, val1:1.2, val2:2.6]</v>
      </c>
      <c r="H41" s="63">
        <f t="shared" si="143"/>
        <v>9</v>
      </c>
      <c r="I41" s="63">
        <f t="shared" si="144"/>
        <v>22</v>
      </c>
      <c r="J41" s="63" t="e">
        <f t="shared" si="145"/>
        <v>#VALUE!</v>
      </c>
      <c r="K41" s="63">
        <f t="shared" si="146"/>
        <v>32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si="147"/>
        <v>[effect:force_change_block, new_block:damage, target:block_yellow, ignore01:block_negative, count:2, val:0.08],[effect:rush, count:1, val:1]</v>
      </c>
      <c r="N41" s="48" t="str">
        <f t="shared" si="148"/>
        <v>[effect:force_change_block, new_block:damage, target:block_yellow, ignore01:block_negative, count:2, val:0.08]</v>
      </c>
      <c r="O41" s="63">
        <f t="shared" si="149"/>
        <v>9</v>
      </c>
      <c r="P41" s="63">
        <f t="shared" si="150"/>
        <v>27</v>
      </c>
      <c r="Q41" s="63">
        <f t="shared" si="151"/>
        <v>54</v>
      </c>
      <c r="R41" s="63">
        <f t="shared" si="152"/>
        <v>45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153"/>
        <v>[effect:rush, count:1, val:1]</v>
      </c>
      <c r="U41" s="63">
        <f t="shared" si="154"/>
        <v>9</v>
      </c>
      <c r="V41" s="63">
        <f t="shared" si="155"/>
        <v>13</v>
      </c>
      <c r="W41" s="63" t="e">
        <f t="shared" si="156"/>
        <v>#VALUE!</v>
      </c>
      <c r="X41" s="63">
        <f t="shared" si="157"/>
        <v>22</v>
      </c>
      <c r="Y41" s="63" t="str">
        <f>IFERROR(VLOOKUP(MID(T41,W41,X41-W41),[6]skilldef!$C:$D,2,FALSE),"-") &amp; " / " &amp; IFERROR(VLOOKUP(MID(T41,U41,V41-U41),[6]skilldef!$A:$B,2,FALSE),"-")</f>
        <v>- / 連続攻撃</v>
      </c>
      <c r="Z41" s="50"/>
      <c r="AA41" s="52"/>
      <c r="AB41" s="50" t="s">
        <v>374</v>
      </c>
      <c r="AC41" s="49">
        <f t="shared" si="158"/>
        <v>2</v>
      </c>
      <c r="AD41" s="49">
        <f t="shared" si="159"/>
        <v>27</v>
      </c>
    </row>
    <row r="42" spans="1:30" ht="21" customHeight="1" x14ac:dyDescent="0.15">
      <c r="A42" s="128">
        <v>30049201</v>
      </c>
      <c r="B42" s="108" t="s">
        <v>409</v>
      </c>
      <c r="C42" s="132">
        <v>3</v>
      </c>
      <c r="D42" s="129" t="s">
        <v>127</v>
      </c>
      <c r="E42" s="130" t="s">
        <v>330</v>
      </c>
      <c r="F42" s="130" t="s">
        <v>392</v>
      </c>
      <c r="G42" s="63" t="str">
        <f t="shared" si="142"/>
        <v>[effect:enemy_message, val1:1.2, val2:2.6]</v>
      </c>
      <c r="H42" s="63">
        <f t="shared" si="143"/>
        <v>9</v>
      </c>
      <c r="I42" s="63">
        <f t="shared" si="144"/>
        <v>22</v>
      </c>
      <c r="J42" s="63" t="e">
        <f t="shared" si="145"/>
        <v>#VALUE!</v>
      </c>
      <c r="K42" s="63">
        <f t="shared" si="146"/>
        <v>32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si="147"/>
        <v>[effect:force_change_block, new_block:damage, target:block_yellow, ignore01:block_negative, count:2, val:0.08],[effect:rush, count:1, val:1]</v>
      </c>
      <c r="N42" s="48" t="str">
        <f t="shared" si="148"/>
        <v>[effect:force_change_block, new_block:damage, target:block_yellow, ignore01:block_negative, count:2, val:0.08]</v>
      </c>
      <c r="O42" s="63">
        <f t="shared" si="149"/>
        <v>9</v>
      </c>
      <c r="P42" s="63">
        <f t="shared" si="150"/>
        <v>27</v>
      </c>
      <c r="Q42" s="63">
        <f t="shared" si="151"/>
        <v>54</v>
      </c>
      <c r="R42" s="63">
        <f t="shared" si="152"/>
        <v>45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153"/>
        <v>[effect:rush, count:1, val:1]</v>
      </c>
      <c r="U42" s="63">
        <f t="shared" si="154"/>
        <v>9</v>
      </c>
      <c r="V42" s="63">
        <f t="shared" si="155"/>
        <v>13</v>
      </c>
      <c r="W42" s="63" t="e">
        <f t="shared" si="156"/>
        <v>#VALUE!</v>
      </c>
      <c r="X42" s="63">
        <f t="shared" si="157"/>
        <v>22</v>
      </c>
      <c r="Y42" s="63" t="str">
        <f>IFERROR(VLOOKUP(MID(T42,W42,X42-W42),[6]skilldef!$C:$D,2,FALSE),"-") &amp; " / " &amp; IFERROR(VLOOKUP(MID(T42,U42,V42-U42),[6]skilldef!$A:$B,2,FALSE),"-")</f>
        <v>- / 連続攻撃</v>
      </c>
      <c r="Z42" s="50"/>
      <c r="AA42" s="52"/>
      <c r="AB42" s="50" t="s">
        <v>374</v>
      </c>
      <c r="AC42" s="49">
        <f t="shared" si="158"/>
        <v>4</v>
      </c>
      <c r="AD42" s="49">
        <f t="shared" si="159"/>
        <v>27</v>
      </c>
    </row>
    <row r="43" spans="1:30" ht="21" customHeight="1" x14ac:dyDescent="0.15">
      <c r="A43" s="128">
        <v>30049202</v>
      </c>
      <c r="B43" s="108" t="s">
        <v>410</v>
      </c>
      <c r="C43" s="132">
        <v>3</v>
      </c>
      <c r="D43" s="129" t="s">
        <v>127</v>
      </c>
      <c r="E43" s="130" t="s">
        <v>314</v>
      </c>
      <c r="F43" s="130" t="s">
        <v>393</v>
      </c>
      <c r="G43" s="63" t="str">
        <f t="shared" si="142"/>
        <v>[effect:enemy_message, val1:1.2, val2:3.7]</v>
      </c>
      <c r="H43" s="63">
        <f t="shared" si="143"/>
        <v>9</v>
      </c>
      <c r="I43" s="63">
        <f t="shared" si="144"/>
        <v>22</v>
      </c>
      <c r="J43" s="63" t="e">
        <f t="shared" si="145"/>
        <v>#VALUE!</v>
      </c>
      <c r="K43" s="63">
        <f t="shared" si="146"/>
        <v>32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147"/>
        <v>[effect:force_change_block, new_block:damage, target:block_yellow, ignore01:block_negative, count:2, val:0.08],[effect:break_attack_fix, target:unit_all, val:200, lowest_val:800, count:-1, block01:jammer]</v>
      </c>
      <c r="N43" s="48" t="str">
        <f t="shared" si="148"/>
        <v>[effect:force_change_block, new_block:damage, target:block_yellow, ignore01:block_negative, count:2, val:0.08]</v>
      </c>
      <c r="O43" s="63">
        <f t="shared" si="149"/>
        <v>9</v>
      </c>
      <c r="P43" s="63">
        <f t="shared" si="150"/>
        <v>27</v>
      </c>
      <c r="Q43" s="63">
        <f t="shared" si="151"/>
        <v>54</v>
      </c>
      <c r="R43" s="63">
        <f t="shared" si="152"/>
        <v>45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153"/>
        <v>[effect:break_attack_fix, target:unit_all, val:200, lowest_val:800, count:-1, block01:jammer]</v>
      </c>
      <c r="U43" s="63">
        <f t="shared" si="154"/>
        <v>9</v>
      </c>
      <c r="V43" s="63">
        <f t="shared" si="155"/>
        <v>25</v>
      </c>
      <c r="W43" s="63">
        <f t="shared" si="156"/>
        <v>34</v>
      </c>
      <c r="X43" s="63">
        <f t="shared" si="157"/>
        <v>42</v>
      </c>
      <c r="Y43" s="63" t="str">
        <f>IFERROR(VLOOKUP(MID(T43,W43,X43-W43),[6]skilldef!$C:$D,2,FALSE),"-") &amp; " / " &amp; IFERROR(VLOOKUP(MID(T43,U43,V43-U43),[6]skilldef!$A:$B,2,FALSE),"-")</f>
        <v>味方全体に / -</v>
      </c>
      <c r="Z43" s="50"/>
      <c r="AA43" s="52"/>
      <c r="AB43" s="50" t="s">
        <v>374</v>
      </c>
      <c r="AC43" s="49">
        <f t="shared" si="158"/>
        <v>8</v>
      </c>
      <c r="AD43" s="49">
        <f t="shared" si="159"/>
        <v>38</v>
      </c>
    </row>
    <row r="44" spans="1:30" ht="21" customHeight="1" x14ac:dyDescent="0.15">
      <c r="A44" s="128">
        <v>30049203</v>
      </c>
      <c r="B44" s="108" t="s">
        <v>411</v>
      </c>
      <c r="C44" s="132">
        <v>3</v>
      </c>
      <c r="D44" s="129" t="s">
        <v>127</v>
      </c>
      <c r="E44" s="130" t="s">
        <v>318</v>
      </c>
      <c r="F44" s="130" t="s">
        <v>394</v>
      </c>
      <c r="G44" s="63" t="str">
        <f t="shared" si="142"/>
        <v>[effect:enemy_message, val1:1.2, val2:3.7]</v>
      </c>
      <c r="H44" s="63">
        <f t="shared" si="143"/>
        <v>9</v>
      </c>
      <c r="I44" s="63">
        <f t="shared" si="144"/>
        <v>22</v>
      </c>
      <c r="J44" s="63" t="e">
        <f t="shared" si="145"/>
        <v>#VALUE!</v>
      </c>
      <c r="K44" s="63">
        <f t="shared" si="146"/>
        <v>32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si="147"/>
        <v>[effect:force_change_block, new_block:damage, target:block_yellow, ignore01:block_negative, count:3, val:0.08],[effect:break_attack_fix, target:unit_all, val:200, lowest_val:800, count:-1, block01:jammer]</v>
      </c>
      <c r="N44" s="48" t="str">
        <f t="shared" si="148"/>
        <v>[effect:force_change_block, new_block:damage, target:block_yellow, ignore01:block_negative, count:3, val:0.08]</v>
      </c>
      <c r="O44" s="63">
        <f t="shared" si="149"/>
        <v>9</v>
      </c>
      <c r="P44" s="63">
        <f t="shared" si="150"/>
        <v>27</v>
      </c>
      <c r="Q44" s="63">
        <f t="shared" si="151"/>
        <v>54</v>
      </c>
      <c r="R44" s="63">
        <f t="shared" si="152"/>
        <v>45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153"/>
        <v>[effect:break_attack_fix, target:unit_all, val:200, lowest_val:800, count:-1, block01:jammer]</v>
      </c>
      <c r="U44" s="63">
        <f t="shared" si="154"/>
        <v>9</v>
      </c>
      <c r="V44" s="63">
        <f t="shared" si="155"/>
        <v>25</v>
      </c>
      <c r="W44" s="63">
        <f t="shared" si="156"/>
        <v>34</v>
      </c>
      <c r="X44" s="63">
        <f t="shared" si="157"/>
        <v>42</v>
      </c>
      <c r="Y44" s="63" t="str">
        <f>IFERROR(VLOOKUP(MID(T44,W44,X44-W44),[6]skilldef!$C:$D,2,FALSE),"-") &amp; " / " &amp; IFERROR(VLOOKUP(MID(T44,U44,V44-U44),[6]skilldef!$A:$B,2,FALSE),"-")</f>
        <v>味方全体に / -</v>
      </c>
      <c r="Z44" s="50"/>
      <c r="AA44" s="52"/>
      <c r="AB44" s="50" t="s">
        <v>374</v>
      </c>
      <c r="AC44" s="49">
        <f t="shared" si="158"/>
        <v>8</v>
      </c>
      <c r="AD44" s="49">
        <f t="shared" si="159"/>
        <v>38</v>
      </c>
    </row>
    <row r="45" spans="1:30" ht="21" customHeight="1" x14ac:dyDescent="0.15">
      <c r="A45" s="128">
        <v>30049204</v>
      </c>
      <c r="B45" s="108" t="s">
        <v>376</v>
      </c>
      <c r="C45" s="132">
        <v>3</v>
      </c>
      <c r="D45" s="129" t="s">
        <v>127</v>
      </c>
      <c r="E45" s="130" t="s">
        <v>315</v>
      </c>
      <c r="F45" s="130" t="s">
        <v>320</v>
      </c>
      <c r="G45" s="63" t="str">
        <f t="shared" si="142"/>
        <v>[effect:enemy_message, val1:1.7, val2:2.3]</v>
      </c>
      <c r="H45" s="63">
        <f t="shared" si="143"/>
        <v>9</v>
      </c>
      <c r="I45" s="63">
        <f t="shared" si="144"/>
        <v>22</v>
      </c>
      <c r="J45" s="63" t="e">
        <f t="shared" si="145"/>
        <v>#VALUE!</v>
      </c>
      <c r="K45" s="63">
        <f t="shared" si="146"/>
        <v>32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147"/>
        <v>[effect:break_attack_fix, target:unit_all, val:200, lowest_val:800, count:-1, block01:jammer, block02:damage]</v>
      </c>
      <c r="N45" s="48" t="str">
        <f t="shared" si="148"/>
        <v>[effect:break_attack_fix, target:unit_all, val:200, lowest_val:800, count:-1, block01:jammer, block02:damage]</v>
      </c>
      <c r="O45" s="63">
        <f t="shared" si="149"/>
        <v>9</v>
      </c>
      <c r="P45" s="63">
        <f t="shared" si="150"/>
        <v>25</v>
      </c>
      <c r="Q45" s="63">
        <f t="shared" si="151"/>
        <v>34</v>
      </c>
      <c r="R45" s="63">
        <f t="shared" si="152"/>
        <v>42</v>
      </c>
      <c r="S45" s="63" t="str">
        <f>IFERROR(VLOOKUP(MID(N45,Q45,R45-Q45),[6]skilldef!$C:$D,2,FALSE),"-") &amp; " / " &amp; IFERROR(VLOOKUP(MID(N45,O45,P45-O45),[6]skilldef!$A:$B,2,FALSE),"-")</f>
        <v>味方全体に / -</v>
      </c>
      <c r="T45" s="48" t="str">
        <f t="shared" si="153"/>
        <v>none</v>
      </c>
      <c r="U45" s="63" t="e">
        <f t="shared" si="154"/>
        <v>#VALUE!</v>
      </c>
      <c r="V45" s="63">
        <f t="shared" si="155"/>
        <v>4</v>
      </c>
      <c r="W45" s="63" t="e">
        <f t="shared" si="156"/>
        <v>#VALUE!</v>
      </c>
      <c r="X45" s="63" t="e">
        <f t="shared" si="157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 t="s">
        <v>374</v>
      </c>
      <c r="AC45" s="49">
        <f t="shared" si="158"/>
        <v>17</v>
      </c>
      <c r="AD45" s="49">
        <f t="shared" si="159"/>
        <v>23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47"/>
  <sheetViews>
    <sheetView showGridLines="0" workbookViewId="0">
      <pane ySplit="1" topLeftCell="A19" activePane="bottomLeft" state="frozenSplit"/>
      <selection pane="bottomLeft" activeCell="A47" sqref="A4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3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3" ht="21" customHeight="1" x14ac:dyDescent="0.15">
      <c r="A2" s="104">
        <v>30049001</v>
      </c>
      <c r="B2" s="104">
        <v>0</v>
      </c>
      <c r="C2" s="104">
        <v>97</v>
      </c>
      <c r="D2" s="104">
        <v>100</v>
      </c>
      <c r="E2" s="104" t="s">
        <v>252</v>
      </c>
      <c r="F2" s="104" t="s">
        <v>89</v>
      </c>
      <c r="G2" s="104" t="s">
        <v>252</v>
      </c>
      <c r="H2" s="104" t="s">
        <v>89</v>
      </c>
      <c r="I2" s="104" t="s">
        <v>89</v>
      </c>
      <c r="J2" s="48">
        <f t="shared" ref="J2" si="0">D2</f>
        <v>100</v>
      </c>
      <c r="L2" s="51" t="s">
        <v>270</v>
      </c>
      <c r="M2" s="51" t="s">
        <v>253</v>
      </c>
    </row>
    <row r="3" spans="1:13" ht="21" customHeight="1" x14ac:dyDescent="0.15">
      <c r="A3" s="104">
        <v>30049002</v>
      </c>
      <c r="B3" s="104">
        <v>0</v>
      </c>
      <c r="C3" s="104">
        <v>98</v>
      </c>
      <c r="D3" s="104">
        <v>100</v>
      </c>
      <c r="E3" s="104" t="s">
        <v>252</v>
      </c>
      <c r="F3" s="104" t="s">
        <v>89</v>
      </c>
      <c r="G3" s="104" t="s">
        <v>252</v>
      </c>
      <c r="H3" s="104">
        <v>2</v>
      </c>
      <c r="I3" s="104" t="s">
        <v>89</v>
      </c>
      <c r="J3" s="48">
        <f t="shared" ref="J3:J26" si="1">D3</f>
        <v>100</v>
      </c>
      <c r="L3" s="51" t="s">
        <v>271</v>
      </c>
      <c r="M3" s="51" t="s">
        <v>254</v>
      </c>
    </row>
    <row r="4" spans="1:13" ht="21" customHeight="1" x14ac:dyDescent="0.15">
      <c r="A4" s="104">
        <v>30049003</v>
      </c>
      <c r="B4" s="104">
        <v>0</v>
      </c>
      <c r="C4" s="104">
        <v>99</v>
      </c>
      <c r="D4" s="104">
        <v>100</v>
      </c>
      <c r="E4" s="104" t="s">
        <v>252</v>
      </c>
      <c r="F4" s="104" t="s">
        <v>89</v>
      </c>
      <c r="G4" s="104" t="s">
        <v>252</v>
      </c>
      <c r="H4" s="104">
        <v>3</v>
      </c>
      <c r="I4" s="104" t="s">
        <v>89</v>
      </c>
      <c r="J4" s="48">
        <f t="shared" si="1"/>
        <v>100</v>
      </c>
      <c r="L4" s="51" t="s">
        <v>272</v>
      </c>
      <c r="M4" s="51" t="s">
        <v>255</v>
      </c>
    </row>
    <row r="5" spans="1:13" ht="21" customHeight="1" x14ac:dyDescent="0.15">
      <c r="A5" s="104">
        <v>30049004</v>
      </c>
      <c r="B5" s="104">
        <v>0</v>
      </c>
      <c r="C5" s="104">
        <v>100</v>
      </c>
      <c r="D5" s="104">
        <v>100</v>
      </c>
      <c r="E5" s="104" t="s">
        <v>252</v>
      </c>
      <c r="F5" s="104" t="s">
        <v>89</v>
      </c>
      <c r="G5" s="104" t="s">
        <v>252</v>
      </c>
      <c r="H5" s="104">
        <v>4</v>
      </c>
      <c r="I5" s="104" t="s">
        <v>89</v>
      </c>
      <c r="J5" s="48">
        <f t="shared" si="1"/>
        <v>100</v>
      </c>
      <c r="L5" s="51" t="s">
        <v>273</v>
      </c>
      <c r="M5" s="51" t="s">
        <v>256</v>
      </c>
    </row>
    <row r="6" spans="1:13" ht="21" customHeight="1" x14ac:dyDescent="0.15">
      <c r="A6" s="105">
        <v>30049005</v>
      </c>
      <c r="B6" s="105">
        <v>1</v>
      </c>
      <c r="C6" s="105">
        <v>97</v>
      </c>
      <c r="D6" s="105">
        <v>100</v>
      </c>
      <c r="E6" s="105" t="s">
        <v>252</v>
      </c>
      <c r="F6" s="105" t="s">
        <v>89</v>
      </c>
      <c r="G6" s="105">
        <v>1</v>
      </c>
      <c r="H6" s="105" t="s">
        <v>89</v>
      </c>
      <c r="I6" s="105" t="s">
        <v>89</v>
      </c>
      <c r="J6" s="48">
        <f t="shared" si="1"/>
        <v>100</v>
      </c>
      <c r="L6" s="51" t="s">
        <v>274</v>
      </c>
      <c r="M6" s="51" t="s">
        <v>257</v>
      </c>
    </row>
    <row r="7" spans="1:13" ht="21" customHeight="1" x14ac:dyDescent="0.15">
      <c r="A7" s="105">
        <v>30049006</v>
      </c>
      <c r="B7" s="105">
        <v>0</v>
      </c>
      <c r="C7" s="105">
        <v>98</v>
      </c>
      <c r="D7" s="105">
        <v>100</v>
      </c>
      <c r="E7" s="105" t="s">
        <v>252</v>
      </c>
      <c r="F7" s="105" t="s">
        <v>89</v>
      </c>
      <c r="G7" s="105" t="s">
        <v>53</v>
      </c>
      <c r="H7" s="105">
        <v>2</v>
      </c>
      <c r="I7" s="105" t="s">
        <v>89</v>
      </c>
      <c r="J7" s="48">
        <f t="shared" si="1"/>
        <v>100</v>
      </c>
      <c r="L7" s="51" t="s">
        <v>275</v>
      </c>
      <c r="M7" s="51" t="s">
        <v>253</v>
      </c>
    </row>
    <row r="8" spans="1:13" ht="21" customHeight="1" x14ac:dyDescent="0.15">
      <c r="A8" s="105">
        <v>30049007</v>
      </c>
      <c r="B8" s="105">
        <v>0</v>
      </c>
      <c r="C8" s="105">
        <v>99</v>
      </c>
      <c r="D8" s="105">
        <v>100</v>
      </c>
      <c r="E8" s="105" t="s">
        <v>252</v>
      </c>
      <c r="F8" s="105" t="s">
        <v>89</v>
      </c>
      <c r="G8" s="105" t="s">
        <v>252</v>
      </c>
      <c r="H8" s="105">
        <v>3</v>
      </c>
      <c r="I8" s="105" t="s">
        <v>89</v>
      </c>
      <c r="J8" s="48">
        <f t="shared" si="1"/>
        <v>100</v>
      </c>
      <c r="L8" s="51" t="s">
        <v>276</v>
      </c>
      <c r="M8" s="51" t="s">
        <v>258</v>
      </c>
    </row>
    <row r="9" spans="1:13" ht="21" customHeight="1" x14ac:dyDescent="0.15">
      <c r="A9" s="106">
        <v>30049008</v>
      </c>
      <c r="B9" s="106">
        <v>1</v>
      </c>
      <c r="C9" s="106">
        <v>97</v>
      </c>
      <c r="D9" s="106">
        <v>100</v>
      </c>
      <c r="E9" s="106" t="s">
        <v>252</v>
      </c>
      <c r="F9" s="106" t="s">
        <v>89</v>
      </c>
      <c r="G9" s="106">
        <v>1</v>
      </c>
      <c r="H9" s="106" t="s">
        <v>53</v>
      </c>
      <c r="I9" s="106" t="s">
        <v>89</v>
      </c>
      <c r="J9" s="48">
        <f t="shared" si="1"/>
        <v>100</v>
      </c>
      <c r="L9" s="51" t="s">
        <v>277</v>
      </c>
      <c r="M9" s="51" t="s">
        <v>259</v>
      </c>
    </row>
    <row r="10" spans="1:13" ht="21" customHeight="1" x14ac:dyDescent="0.15">
      <c r="A10" s="106">
        <v>30049009</v>
      </c>
      <c r="B10" s="106">
        <v>0</v>
      </c>
      <c r="C10" s="106">
        <v>98</v>
      </c>
      <c r="D10" s="106">
        <v>100</v>
      </c>
      <c r="E10" s="106" t="s">
        <v>252</v>
      </c>
      <c r="F10" s="106" t="s">
        <v>89</v>
      </c>
      <c r="G10" s="106" t="s">
        <v>252</v>
      </c>
      <c r="H10" s="106">
        <v>2</v>
      </c>
      <c r="I10" s="106" t="s">
        <v>89</v>
      </c>
      <c r="J10" s="48">
        <f t="shared" si="1"/>
        <v>100</v>
      </c>
      <c r="L10" s="51" t="s">
        <v>278</v>
      </c>
      <c r="M10" s="51" t="s">
        <v>260</v>
      </c>
    </row>
    <row r="11" spans="1:13" ht="21" customHeight="1" x14ac:dyDescent="0.15">
      <c r="A11" s="106">
        <v>30049010</v>
      </c>
      <c r="B11" s="106">
        <v>0</v>
      </c>
      <c r="C11" s="106">
        <v>99</v>
      </c>
      <c r="D11" s="106">
        <v>100</v>
      </c>
      <c r="E11" s="106" t="s">
        <v>252</v>
      </c>
      <c r="F11" s="106" t="s">
        <v>89</v>
      </c>
      <c r="G11" s="106" t="s">
        <v>252</v>
      </c>
      <c r="H11" s="106">
        <v>3</v>
      </c>
      <c r="I11" s="106" t="s">
        <v>89</v>
      </c>
      <c r="J11" s="48">
        <f t="shared" si="1"/>
        <v>100</v>
      </c>
      <c r="L11" s="51" t="s">
        <v>279</v>
      </c>
      <c r="M11" s="51" t="s">
        <v>261</v>
      </c>
    </row>
    <row r="12" spans="1:13" ht="21" customHeight="1" x14ac:dyDescent="0.15">
      <c r="A12" s="107">
        <v>30049011</v>
      </c>
      <c r="B12" s="107">
        <v>1</v>
      </c>
      <c r="C12" s="107">
        <v>97</v>
      </c>
      <c r="D12" s="107">
        <v>100</v>
      </c>
      <c r="E12" s="107" t="s">
        <v>252</v>
      </c>
      <c r="F12" s="107" t="s">
        <v>89</v>
      </c>
      <c r="G12" s="107">
        <v>1</v>
      </c>
      <c r="H12" s="107" t="s">
        <v>89</v>
      </c>
      <c r="I12" s="107" t="s">
        <v>89</v>
      </c>
      <c r="J12" s="48">
        <f t="shared" si="1"/>
        <v>100</v>
      </c>
      <c r="L12" s="51" t="s">
        <v>280</v>
      </c>
      <c r="M12" s="51" t="s">
        <v>257</v>
      </c>
    </row>
    <row r="13" spans="1:13" ht="21" customHeight="1" x14ac:dyDescent="0.15">
      <c r="A13" s="107">
        <v>30049012</v>
      </c>
      <c r="B13" s="107">
        <v>0</v>
      </c>
      <c r="C13" s="107">
        <v>98</v>
      </c>
      <c r="D13" s="107">
        <v>100</v>
      </c>
      <c r="E13" s="107" t="s">
        <v>252</v>
      </c>
      <c r="F13" s="107" t="s">
        <v>89</v>
      </c>
      <c r="G13" s="107" t="s">
        <v>252</v>
      </c>
      <c r="H13" s="107">
        <v>2</v>
      </c>
      <c r="I13" s="107" t="s">
        <v>89</v>
      </c>
      <c r="J13" s="48">
        <f t="shared" si="1"/>
        <v>100</v>
      </c>
      <c r="L13" s="51" t="s">
        <v>281</v>
      </c>
      <c r="M13" s="51" t="s">
        <v>253</v>
      </c>
    </row>
    <row r="14" spans="1:13" ht="21" customHeight="1" x14ac:dyDescent="0.15">
      <c r="A14" s="107">
        <v>30049013</v>
      </c>
      <c r="B14" s="107">
        <v>0</v>
      </c>
      <c r="C14" s="107">
        <v>99</v>
      </c>
      <c r="D14" s="107">
        <v>100</v>
      </c>
      <c r="E14" s="107" t="s">
        <v>252</v>
      </c>
      <c r="F14" s="107" t="s">
        <v>89</v>
      </c>
      <c r="G14" s="107" t="s">
        <v>252</v>
      </c>
      <c r="H14" s="107">
        <v>3</v>
      </c>
      <c r="I14" s="107" t="s">
        <v>89</v>
      </c>
      <c r="J14" s="48">
        <f t="shared" si="1"/>
        <v>100</v>
      </c>
      <c r="L14" s="51" t="s">
        <v>282</v>
      </c>
      <c r="M14" s="51" t="s">
        <v>258</v>
      </c>
    </row>
    <row r="15" spans="1:13" ht="21" customHeight="1" x14ac:dyDescent="0.15">
      <c r="A15" s="108">
        <v>30049014</v>
      </c>
      <c r="B15" s="108">
        <v>1</v>
      </c>
      <c r="C15" s="108">
        <v>98</v>
      </c>
      <c r="D15" s="108">
        <v>100</v>
      </c>
      <c r="E15" s="108" t="s">
        <v>252</v>
      </c>
      <c r="F15" s="108" t="s">
        <v>89</v>
      </c>
      <c r="G15" s="108">
        <v>1</v>
      </c>
      <c r="H15" s="108" t="s">
        <v>89</v>
      </c>
      <c r="I15" s="108" t="s">
        <v>89</v>
      </c>
      <c r="J15" s="48">
        <f t="shared" si="1"/>
        <v>100</v>
      </c>
      <c r="L15" s="51" t="s">
        <v>283</v>
      </c>
      <c r="M15" s="51" t="s">
        <v>259</v>
      </c>
    </row>
    <row r="16" spans="1:13" ht="21" customHeight="1" x14ac:dyDescent="0.15">
      <c r="A16" s="108">
        <v>30049015</v>
      </c>
      <c r="B16" s="108">
        <v>0</v>
      </c>
      <c r="C16" s="108">
        <v>99</v>
      </c>
      <c r="D16" s="108">
        <v>100</v>
      </c>
      <c r="E16" s="108" t="s">
        <v>252</v>
      </c>
      <c r="F16" s="108" t="s">
        <v>89</v>
      </c>
      <c r="G16" s="108" t="s">
        <v>252</v>
      </c>
      <c r="H16" s="108">
        <v>2</v>
      </c>
      <c r="I16" s="108" t="s">
        <v>89</v>
      </c>
      <c r="J16" s="48">
        <f t="shared" si="1"/>
        <v>100</v>
      </c>
      <c r="L16" s="51" t="s">
        <v>284</v>
      </c>
      <c r="M16" s="51" t="s">
        <v>253</v>
      </c>
    </row>
    <row r="17" spans="1:13" ht="21" customHeight="1" x14ac:dyDescent="0.15">
      <c r="A17" s="108">
        <v>30049016</v>
      </c>
      <c r="B17" s="108">
        <v>0</v>
      </c>
      <c r="C17" s="108">
        <v>100</v>
      </c>
      <c r="D17" s="108">
        <v>100</v>
      </c>
      <c r="E17" s="108" t="s">
        <v>252</v>
      </c>
      <c r="F17" s="108" t="s">
        <v>89</v>
      </c>
      <c r="G17" s="108" t="s">
        <v>252</v>
      </c>
      <c r="H17" s="108">
        <v>3</v>
      </c>
      <c r="I17" s="108" t="s">
        <v>89</v>
      </c>
      <c r="J17" s="48">
        <f t="shared" si="1"/>
        <v>100</v>
      </c>
      <c r="L17" s="51" t="s">
        <v>285</v>
      </c>
      <c r="M17" s="51" t="s">
        <v>254</v>
      </c>
    </row>
    <row r="18" spans="1:13" ht="21" customHeight="1" x14ac:dyDescent="0.15">
      <c r="A18" s="109">
        <v>30049017</v>
      </c>
      <c r="B18" s="109">
        <v>0</v>
      </c>
      <c r="C18" s="109">
        <v>97</v>
      </c>
      <c r="D18" s="109">
        <v>100</v>
      </c>
      <c r="E18" s="109" t="s">
        <v>252</v>
      </c>
      <c r="F18" s="109" t="s">
        <v>89</v>
      </c>
      <c r="G18" s="109" t="s">
        <v>252</v>
      </c>
      <c r="H18" s="109" t="s">
        <v>89</v>
      </c>
      <c r="I18" s="109" t="s">
        <v>89</v>
      </c>
      <c r="J18" s="48">
        <f t="shared" si="1"/>
        <v>100</v>
      </c>
      <c r="L18" s="51" t="s">
        <v>286</v>
      </c>
      <c r="M18" s="51" t="s">
        <v>262</v>
      </c>
    </row>
    <row r="19" spans="1:13" ht="21" customHeight="1" x14ac:dyDescent="0.15">
      <c r="A19" s="109">
        <v>30049018</v>
      </c>
      <c r="B19" s="109">
        <v>0</v>
      </c>
      <c r="C19" s="109">
        <v>96</v>
      </c>
      <c r="D19" s="109">
        <v>100</v>
      </c>
      <c r="E19" s="109" t="s">
        <v>252</v>
      </c>
      <c r="F19" s="109" t="s">
        <v>89</v>
      </c>
      <c r="G19" s="109" t="s">
        <v>252</v>
      </c>
      <c r="H19" s="109">
        <v>2</v>
      </c>
      <c r="I19" s="109" t="s">
        <v>89</v>
      </c>
      <c r="J19" s="48">
        <f t="shared" si="1"/>
        <v>100</v>
      </c>
      <c r="L19" s="51" t="s">
        <v>287</v>
      </c>
      <c r="M19" s="51" t="s">
        <v>263</v>
      </c>
    </row>
    <row r="20" spans="1:13" ht="21" customHeight="1" x14ac:dyDescent="0.15">
      <c r="A20" s="109">
        <v>30049019</v>
      </c>
      <c r="B20" s="109">
        <v>0</v>
      </c>
      <c r="C20" s="109">
        <v>99</v>
      </c>
      <c r="D20" s="109">
        <v>100</v>
      </c>
      <c r="E20" s="109" t="s">
        <v>252</v>
      </c>
      <c r="F20" s="109" t="s">
        <v>89</v>
      </c>
      <c r="G20" s="109" t="s">
        <v>252</v>
      </c>
      <c r="H20" s="109">
        <v>3</v>
      </c>
      <c r="I20" s="109" t="s">
        <v>89</v>
      </c>
      <c r="J20" s="48">
        <f t="shared" si="1"/>
        <v>100</v>
      </c>
      <c r="L20" s="51" t="s">
        <v>288</v>
      </c>
      <c r="M20" s="51" t="s">
        <v>264</v>
      </c>
    </row>
    <row r="21" spans="1:13" ht="21" customHeight="1" x14ac:dyDescent="0.15">
      <c r="A21" s="109">
        <v>30049020</v>
      </c>
      <c r="B21" s="109">
        <v>0</v>
      </c>
      <c r="C21" s="109">
        <v>100</v>
      </c>
      <c r="D21" s="109">
        <v>100</v>
      </c>
      <c r="E21" s="109" t="s">
        <v>252</v>
      </c>
      <c r="F21" s="109" t="s">
        <v>89</v>
      </c>
      <c r="G21" s="109" t="s">
        <v>252</v>
      </c>
      <c r="H21" s="109">
        <v>4</v>
      </c>
      <c r="I21" s="109" t="s">
        <v>89</v>
      </c>
      <c r="J21" s="48">
        <f t="shared" si="1"/>
        <v>100</v>
      </c>
      <c r="L21" s="51" t="s">
        <v>289</v>
      </c>
      <c r="M21" s="51" t="s">
        <v>265</v>
      </c>
    </row>
    <row r="22" spans="1:13" ht="21" customHeight="1" x14ac:dyDescent="0.15">
      <c r="A22" s="110">
        <v>30049021</v>
      </c>
      <c r="B22" s="110">
        <v>0</v>
      </c>
      <c r="C22" s="110">
        <v>96</v>
      </c>
      <c r="D22" s="110">
        <v>100</v>
      </c>
      <c r="E22" s="110" t="s">
        <v>252</v>
      </c>
      <c r="F22" s="110" t="s">
        <v>89</v>
      </c>
      <c r="G22" s="110" t="s">
        <v>252</v>
      </c>
      <c r="H22" s="110" t="s">
        <v>89</v>
      </c>
      <c r="I22" s="110" t="s">
        <v>89</v>
      </c>
      <c r="J22" s="48">
        <f t="shared" si="1"/>
        <v>100</v>
      </c>
      <c r="L22" s="51" t="s">
        <v>290</v>
      </c>
      <c r="M22" s="51" t="s">
        <v>266</v>
      </c>
    </row>
    <row r="23" spans="1:13" ht="21" customHeight="1" x14ac:dyDescent="0.15">
      <c r="A23" s="110">
        <v>30049022</v>
      </c>
      <c r="B23" s="110">
        <v>0</v>
      </c>
      <c r="C23" s="110">
        <v>97</v>
      </c>
      <c r="D23" s="110">
        <v>100</v>
      </c>
      <c r="E23" s="110" t="s">
        <v>252</v>
      </c>
      <c r="F23" s="110" t="s">
        <v>89</v>
      </c>
      <c r="G23" s="110" t="s">
        <v>252</v>
      </c>
      <c r="H23" s="110">
        <v>2</v>
      </c>
      <c r="I23" s="110" t="s">
        <v>89</v>
      </c>
      <c r="J23" s="48">
        <f t="shared" si="1"/>
        <v>100</v>
      </c>
      <c r="L23" s="51" t="s">
        <v>291</v>
      </c>
      <c r="M23" s="51" t="s">
        <v>267</v>
      </c>
    </row>
    <row r="24" spans="1:13" ht="21" customHeight="1" x14ac:dyDescent="0.15">
      <c r="A24" s="110">
        <v>30049023</v>
      </c>
      <c r="B24" s="110">
        <v>0</v>
      </c>
      <c r="C24" s="110">
        <v>98</v>
      </c>
      <c r="D24" s="110">
        <v>100</v>
      </c>
      <c r="E24" s="110" t="s">
        <v>252</v>
      </c>
      <c r="F24" s="110" t="s">
        <v>89</v>
      </c>
      <c r="G24" s="110" t="s">
        <v>252</v>
      </c>
      <c r="H24" s="110">
        <v>3</v>
      </c>
      <c r="I24" s="110" t="s">
        <v>89</v>
      </c>
      <c r="J24" s="48">
        <f t="shared" si="1"/>
        <v>100</v>
      </c>
      <c r="L24" s="51" t="s">
        <v>292</v>
      </c>
      <c r="M24" s="51" t="s">
        <v>268</v>
      </c>
    </row>
    <row r="25" spans="1:13" ht="21" customHeight="1" x14ac:dyDescent="0.15">
      <c r="A25" s="110">
        <v>30049024</v>
      </c>
      <c r="B25" s="110">
        <v>0</v>
      </c>
      <c r="C25" s="110">
        <v>99</v>
      </c>
      <c r="D25" s="110">
        <v>100</v>
      </c>
      <c r="E25" s="110" t="s">
        <v>252</v>
      </c>
      <c r="F25" s="110" t="s">
        <v>89</v>
      </c>
      <c r="G25" s="110" t="s">
        <v>252</v>
      </c>
      <c r="H25" s="110">
        <v>4</v>
      </c>
      <c r="I25" s="110" t="s">
        <v>89</v>
      </c>
      <c r="J25" s="48">
        <f t="shared" si="1"/>
        <v>100</v>
      </c>
      <c r="L25" s="51" t="s">
        <v>293</v>
      </c>
      <c r="M25" s="51" t="s">
        <v>265</v>
      </c>
    </row>
    <row r="26" spans="1:13" ht="21" customHeight="1" x14ac:dyDescent="0.15">
      <c r="A26" s="110">
        <v>30049025</v>
      </c>
      <c r="B26" s="110">
        <v>0</v>
      </c>
      <c r="C26" s="110">
        <v>100</v>
      </c>
      <c r="D26" s="110">
        <v>100</v>
      </c>
      <c r="E26" s="110">
        <v>50</v>
      </c>
      <c r="F26" s="110" t="s">
        <v>53</v>
      </c>
      <c r="G26" s="110">
        <v>1</v>
      </c>
      <c r="H26" s="110" t="s">
        <v>252</v>
      </c>
      <c r="I26" s="110" t="s">
        <v>89</v>
      </c>
      <c r="J26" s="48">
        <f t="shared" si="1"/>
        <v>100</v>
      </c>
      <c r="L26" s="51" t="s">
        <v>294</v>
      </c>
      <c r="M26" s="51" t="s">
        <v>269</v>
      </c>
    </row>
    <row r="27" spans="1:13" ht="21" customHeight="1" x14ac:dyDescent="0.15">
      <c r="A27" s="110">
        <v>30049026</v>
      </c>
      <c r="B27" s="110">
        <v>0</v>
      </c>
      <c r="C27" s="110">
        <v>101</v>
      </c>
      <c r="D27" s="110">
        <v>100</v>
      </c>
      <c r="E27" s="110">
        <v>30</v>
      </c>
      <c r="F27" s="110" t="s">
        <v>53</v>
      </c>
      <c r="G27" s="110">
        <v>1</v>
      </c>
      <c r="H27" s="110" t="s">
        <v>252</v>
      </c>
      <c r="I27" s="110" t="s">
        <v>53</v>
      </c>
      <c r="J27" s="48">
        <f t="shared" ref="J27" si="2">D27</f>
        <v>100</v>
      </c>
      <c r="L27" s="51" t="s">
        <v>294</v>
      </c>
      <c r="M27" s="51" t="s">
        <v>296</v>
      </c>
    </row>
    <row r="28" spans="1:13" ht="21" customHeight="1" x14ac:dyDescent="0.15">
      <c r="A28" s="112">
        <v>30049027</v>
      </c>
      <c r="B28" s="112">
        <v>0</v>
      </c>
      <c r="C28" s="112">
        <v>100</v>
      </c>
      <c r="D28" s="112">
        <v>100</v>
      </c>
      <c r="E28" s="112" t="s">
        <v>53</v>
      </c>
      <c r="F28" s="112" t="s">
        <v>53</v>
      </c>
      <c r="G28" s="112" t="s">
        <v>53</v>
      </c>
      <c r="H28" s="112">
        <v>4</v>
      </c>
      <c r="I28" s="112" t="s">
        <v>53</v>
      </c>
      <c r="J28" s="48">
        <f t="shared" ref="J28:J31" si="3">D28</f>
        <v>100</v>
      </c>
      <c r="L28" s="115" t="s">
        <v>298</v>
      </c>
      <c r="M28" s="115" t="s">
        <v>297</v>
      </c>
    </row>
    <row r="29" spans="1:13" ht="21" customHeight="1" x14ac:dyDescent="0.15">
      <c r="A29" s="112">
        <v>30049028</v>
      </c>
      <c r="B29" s="112">
        <v>0</v>
      </c>
      <c r="C29" s="112">
        <v>100</v>
      </c>
      <c r="D29" s="112">
        <v>100</v>
      </c>
      <c r="E29" s="112" t="s">
        <v>53</v>
      </c>
      <c r="F29" s="112" t="s">
        <v>53</v>
      </c>
      <c r="G29" s="112" t="s">
        <v>53</v>
      </c>
      <c r="H29" s="112">
        <v>4</v>
      </c>
      <c r="I29" s="112" t="s">
        <v>53</v>
      </c>
      <c r="J29" s="48">
        <f t="shared" si="3"/>
        <v>100</v>
      </c>
      <c r="L29" s="115" t="s">
        <v>299</v>
      </c>
      <c r="M29" s="115" t="s">
        <v>300</v>
      </c>
    </row>
    <row r="30" spans="1:13" ht="21" customHeight="1" x14ac:dyDescent="0.15">
      <c r="A30" s="112">
        <v>30049029</v>
      </c>
      <c r="B30" s="112">
        <v>0</v>
      </c>
      <c r="C30" s="112">
        <v>100</v>
      </c>
      <c r="D30" s="112">
        <v>100</v>
      </c>
      <c r="E30" s="112" t="s">
        <v>53</v>
      </c>
      <c r="F30" s="112" t="s">
        <v>53</v>
      </c>
      <c r="G30" s="112" t="s">
        <v>53</v>
      </c>
      <c r="H30" s="112">
        <v>4</v>
      </c>
      <c r="I30" s="112" t="s">
        <v>53</v>
      </c>
      <c r="J30" s="48">
        <f t="shared" si="3"/>
        <v>100</v>
      </c>
      <c r="L30" s="115" t="s">
        <v>301</v>
      </c>
      <c r="M30" s="115" t="s">
        <v>297</v>
      </c>
    </row>
    <row r="31" spans="1:13" ht="21" customHeight="1" x14ac:dyDescent="0.15">
      <c r="A31" s="112">
        <v>30049030</v>
      </c>
      <c r="B31" s="112">
        <v>0</v>
      </c>
      <c r="C31" s="112">
        <v>100</v>
      </c>
      <c r="D31" s="112">
        <v>100</v>
      </c>
      <c r="E31" s="112" t="s">
        <v>53</v>
      </c>
      <c r="F31" s="112" t="s">
        <v>53</v>
      </c>
      <c r="G31" s="112" t="s">
        <v>53</v>
      </c>
      <c r="H31" s="112">
        <v>4</v>
      </c>
      <c r="I31" s="112" t="s">
        <v>53</v>
      </c>
      <c r="J31" s="48">
        <f t="shared" si="3"/>
        <v>100</v>
      </c>
      <c r="L31" s="115" t="s">
        <v>302</v>
      </c>
      <c r="M31" s="115" t="s">
        <v>300</v>
      </c>
    </row>
    <row r="32" spans="1:13" ht="21" customHeight="1" x14ac:dyDescent="0.15">
      <c r="A32" s="47">
        <v>30049031</v>
      </c>
      <c r="B32" s="47">
        <v>1</v>
      </c>
      <c r="C32" s="47">
        <v>110</v>
      </c>
      <c r="D32" s="47">
        <v>100</v>
      </c>
      <c r="E32" s="47" t="s">
        <v>53</v>
      </c>
      <c r="F32" s="47" t="s">
        <v>53</v>
      </c>
      <c r="G32" s="47">
        <v>1</v>
      </c>
      <c r="H32" s="47" t="s">
        <v>53</v>
      </c>
      <c r="I32" s="47" t="s">
        <v>53</v>
      </c>
      <c r="J32" s="48">
        <f t="shared" ref="J32" si="4">D32</f>
        <v>100</v>
      </c>
      <c r="L32" s="51"/>
      <c r="M32" s="51"/>
    </row>
    <row r="33" spans="1:13" ht="21" customHeight="1" x14ac:dyDescent="0.15">
      <c r="A33" s="47">
        <v>30049032</v>
      </c>
      <c r="B33" s="47">
        <v>1</v>
      </c>
      <c r="C33" s="47">
        <v>120</v>
      </c>
      <c r="D33" s="47">
        <v>100</v>
      </c>
      <c r="E33" s="47" t="s">
        <v>53</v>
      </c>
      <c r="F33" s="47" t="s">
        <v>53</v>
      </c>
      <c r="G33" s="47">
        <v>1</v>
      </c>
      <c r="H33" s="47" t="s">
        <v>53</v>
      </c>
      <c r="I33" s="47">
        <v>294</v>
      </c>
      <c r="J33" s="48">
        <f t="shared" ref="J33:J44" si="5">D33</f>
        <v>100</v>
      </c>
      <c r="L33" s="51"/>
      <c r="M33" s="51"/>
    </row>
    <row r="34" spans="1:13" ht="21" customHeight="1" x14ac:dyDescent="0.15">
      <c r="A34" s="47">
        <v>30049033</v>
      </c>
      <c r="B34" s="47">
        <v>1</v>
      </c>
      <c r="C34" s="47">
        <v>130</v>
      </c>
      <c r="D34" s="47">
        <v>100</v>
      </c>
      <c r="E34" s="47" t="s">
        <v>53</v>
      </c>
      <c r="F34" s="47" t="s">
        <v>53</v>
      </c>
      <c r="G34" s="47">
        <v>1</v>
      </c>
      <c r="H34" s="47" t="s">
        <v>53</v>
      </c>
      <c r="I34" s="47">
        <v>130</v>
      </c>
      <c r="J34" s="48">
        <f t="shared" si="5"/>
        <v>100</v>
      </c>
      <c r="L34" s="51"/>
      <c r="M34" s="51"/>
    </row>
    <row r="35" spans="1:13" ht="21" customHeight="1" x14ac:dyDescent="0.15">
      <c r="A35" s="47">
        <v>30049034</v>
      </c>
      <c r="B35" s="47">
        <v>0</v>
      </c>
      <c r="C35" s="47">
        <v>110</v>
      </c>
      <c r="D35" s="47">
        <v>100</v>
      </c>
      <c r="E35" s="47" t="s">
        <v>53</v>
      </c>
      <c r="F35" s="47" t="s">
        <v>53</v>
      </c>
      <c r="G35" s="47">
        <v>0</v>
      </c>
      <c r="H35" s="47" t="s">
        <v>53</v>
      </c>
      <c r="I35" s="47">
        <v>0</v>
      </c>
      <c r="J35" s="48">
        <f t="shared" si="5"/>
        <v>100</v>
      </c>
      <c r="L35" s="51"/>
      <c r="M35" s="51"/>
    </row>
    <row r="36" spans="1:13" ht="21" customHeight="1" x14ac:dyDescent="0.15">
      <c r="A36" s="47">
        <v>30049035</v>
      </c>
      <c r="B36" s="47">
        <v>0</v>
      </c>
      <c r="C36" s="47">
        <v>120</v>
      </c>
      <c r="D36" s="47">
        <v>100</v>
      </c>
      <c r="E36" s="47" t="s">
        <v>53</v>
      </c>
      <c r="F36" s="47" t="s">
        <v>53</v>
      </c>
      <c r="G36" s="47">
        <v>0</v>
      </c>
      <c r="H36" s="47" t="s">
        <v>53</v>
      </c>
      <c r="I36" s="47">
        <v>294</v>
      </c>
      <c r="J36" s="48">
        <f t="shared" si="5"/>
        <v>100</v>
      </c>
      <c r="L36" s="51"/>
      <c r="M36" s="51"/>
    </row>
    <row r="37" spans="1:13" ht="21" customHeight="1" x14ac:dyDescent="0.15">
      <c r="A37" s="47">
        <v>30049036</v>
      </c>
      <c r="B37" s="47">
        <v>0</v>
      </c>
      <c r="C37" s="47">
        <v>121</v>
      </c>
      <c r="D37" s="47">
        <v>100</v>
      </c>
      <c r="E37" s="47" t="s">
        <v>53</v>
      </c>
      <c r="F37" s="47" t="s">
        <v>53</v>
      </c>
      <c r="G37" s="47">
        <v>0</v>
      </c>
      <c r="H37" s="47" t="s">
        <v>53</v>
      </c>
      <c r="I37" s="47">
        <v>295</v>
      </c>
      <c r="J37" s="48">
        <f t="shared" si="5"/>
        <v>100</v>
      </c>
      <c r="L37" s="51"/>
      <c r="M37" s="51"/>
    </row>
    <row r="38" spans="1:13" ht="21" customHeight="1" x14ac:dyDescent="0.15">
      <c r="A38" s="47">
        <v>30049037</v>
      </c>
      <c r="B38" s="47">
        <v>0</v>
      </c>
      <c r="C38" s="47">
        <v>130</v>
      </c>
      <c r="D38" s="47">
        <v>100</v>
      </c>
      <c r="E38" s="47" t="s">
        <v>53</v>
      </c>
      <c r="F38" s="47" t="s">
        <v>53</v>
      </c>
      <c r="G38" s="47">
        <v>0</v>
      </c>
      <c r="H38" s="47" t="s">
        <v>53</v>
      </c>
      <c r="I38" s="47">
        <v>130</v>
      </c>
      <c r="J38" s="48">
        <f t="shared" si="5"/>
        <v>100</v>
      </c>
      <c r="L38" s="51"/>
      <c r="M38" s="51"/>
    </row>
    <row r="39" spans="1:13" ht="21" customHeight="1" x14ac:dyDescent="0.15">
      <c r="A39" s="47">
        <v>30049038</v>
      </c>
      <c r="B39" s="47">
        <v>0</v>
      </c>
      <c r="C39" s="47">
        <v>131</v>
      </c>
      <c r="D39" s="47">
        <v>100</v>
      </c>
      <c r="E39" s="47" t="s">
        <v>53</v>
      </c>
      <c r="F39" s="47" t="s">
        <v>53</v>
      </c>
      <c r="G39" s="47">
        <v>0</v>
      </c>
      <c r="H39" s="47" t="s">
        <v>53</v>
      </c>
      <c r="I39" s="47">
        <v>131</v>
      </c>
      <c r="J39" s="48">
        <f t="shared" si="5"/>
        <v>100</v>
      </c>
      <c r="L39" s="51"/>
      <c r="M39" s="51"/>
    </row>
    <row r="40" spans="1:13" ht="21" customHeight="1" x14ac:dyDescent="0.15">
      <c r="A40" s="47">
        <v>30049039</v>
      </c>
      <c r="B40" s="47">
        <v>0</v>
      </c>
      <c r="C40" s="47">
        <v>132</v>
      </c>
      <c r="D40" s="47">
        <v>100</v>
      </c>
      <c r="E40" s="47" t="s">
        <v>53</v>
      </c>
      <c r="F40" s="47" t="s">
        <v>53</v>
      </c>
      <c r="G40" s="47">
        <v>0</v>
      </c>
      <c r="H40" s="47" t="s">
        <v>53</v>
      </c>
      <c r="I40" s="47">
        <v>562</v>
      </c>
      <c r="J40" s="48">
        <f t="shared" si="5"/>
        <v>100</v>
      </c>
      <c r="L40" s="51"/>
      <c r="M40" s="51"/>
    </row>
    <row r="41" spans="1:13" ht="21" customHeight="1" x14ac:dyDescent="0.15">
      <c r="A41" s="47">
        <v>30049040</v>
      </c>
      <c r="B41" s="47">
        <v>0</v>
      </c>
      <c r="C41" s="47">
        <v>140</v>
      </c>
      <c r="D41" s="47">
        <v>100</v>
      </c>
      <c r="E41" s="47" t="s">
        <v>53</v>
      </c>
      <c r="F41" s="47" t="s">
        <v>53</v>
      </c>
      <c r="G41" s="47">
        <v>0</v>
      </c>
      <c r="H41" s="47" t="s">
        <v>53</v>
      </c>
      <c r="I41" s="47">
        <v>142</v>
      </c>
      <c r="J41" s="48">
        <f t="shared" si="5"/>
        <v>100</v>
      </c>
      <c r="L41" s="51"/>
      <c r="M41" s="51"/>
    </row>
    <row r="42" spans="1:13" ht="21" customHeight="1" x14ac:dyDescent="0.15">
      <c r="A42" s="47">
        <v>30049041</v>
      </c>
      <c r="B42" s="47">
        <v>0</v>
      </c>
      <c r="C42" s="47">
        <v>141</v>
      </c>
      <c r="D42" s="47">
        <v>100</v>
      </c>
      <c r="E42" s="47" t="s">
        <v>53</v>
      </c>
      <c r="F42" s="47" t="s">
        <v>53</v>
      </c>
      <c r="G42" s="47">
        <v>0</v>
      </c>
      <c r="H42" s="47" t="s">
        <v>53</v>
      </c>
      <c r="I42" s="47">
        <v>143</v>
      </c>
      <c r="J42" s="48">
        <f t="shared" si="5"/>
        <v>100</v>
      </c>
      <c r="L42" s="51"/>
      <c r="M42" s="51"/>
    </row>
    <row r="43" spans="1:13" ht="21" customHeight="1" x14ac:dyDescent="0.15">
      <c r="A43" s="47">
        <v>30049042</v>
      </c>
      <c r="B43" s="47">
        <v>0</v>
      </c>
      <c r="C43" s="47">
        <v>150</v>
      </c>
      <c r="D43" s="47">
        <v>100</v>
      </c>
      <c r="E43" s="47" t="s">
        <v>53</v>
      </c>
      <c r="F43" s="47" t="s">
        <v>53</v>
      </c>
      <c r="G43" s="47">
        <v>0</v>
      </c>
      <c r="H43" s="47" t="s">
        <v>53</v>
      </c>
      <c r="I43" s="47">
        <v>128</v>
      </c>
      <c r="J43" s="48">
        <f t="shared" si="5"/>
        <v>100</v>
      </c>
      <c r="L43" s="51"/>
      <c r="M43" s="51"/>
    </row>
    <row r="44" spans="1:13" ht="21" customHeight="1" x14ac:dyDescent="0.15">
      <c r="A44" s="47">
        <v>30049043</v>
      </c>
      <c r="B44" s="47">
        <v>0</v>
      </c>
      <c r="C44" s="47">
        <v>151</v>
      </c>
      <c r="D44" s="47">
        <v>100</v>
      </c>
      <c r="E44" s="47" t="s">
        <v>53</v>
      </c>
      <c r="F44" s="47" t="s">
        <v>53</v>
      </c>
      <c r="G44" s="47">
        <v>0</v>
      </c>
      <c r="H44" s="47" t="s">
        <v>53</v>
      </c>
      <c r="I44" s="47">
        <v>129</v>
      </c>
      <c r="J44" s="48">
        <f t="shared" si="5"/>
        <v>100</v>
      </c>
      <c r="L44" s="51"/>
      <c r="M44" s="51"/>
    </row>
    <row r="45" spans="1:13" ht="21" customHeight="1" x14ac:dyDescent="0.15">
      <c r="A45" s="47">
        <v>30049044</v>
      </c>
      <c r="B45" s="47">
        <v>0</v>
      </c>
      <c r="C45" s="47">
        <v>152</v>
      </c>
      <c r="D45" s="47">
        <v>100</v>
      </c>
      <c r="E45" s="47" t="s">
        <v>53</v>
      </c>
      <c r="F45" s="47" t="s">
        <v>53</v>
      </c>
      <c r="G45" s="47">
        <v>0</v>
      </c>
      <c r="H45" s="47" t="s">
        <v>53</v>
      </c>
      <c r="I45" s="47">
        <v>561</v>
      </c>
      <c r="J45" s="48">
        <f t="shared" ref="J43:J47" si="6">D45</f>
        <v>100</v>
      </c>
      <c r="L45" s="51"/>
      <c r="M45" s="51"/>
    </row>
    <row r="46" spans="1:13" ht="21" customHeight="1" x14ac:dyDescent="0.15">
      <c r="A46" s="47">
        <v>30049045</v>
      </c>
      <c r="B46" s="47">
        <v>1</v>
      </c>
      <c r="C46" s="47">
        <v>140</v>
      </c>
      <c r="D46" s="47">
        <v>100</v>
      </c>
      <c r="E46" s="47" t="s">
        <v>53</v>
      </c>
      <c r="F46" s="47" t="s">
        <v>53</v>
      </c>
      <c r="G46" s="47">
        <v>1</v>
      </c>
      <c r="H46" s="47" t="s">
        <v>53</v>
      </c>
      <c r="I46" s="47">
        <v>142</v>
      </c>
      <c r="J46" s="48">
        <f t="shared" si="6"/>
        <v>100</v>
      </c>
      <c r="L46" s="51"/>
      <c r="M46" s="51"/>
    </row>
    <row r="47" spans="1:13" ht="21" customHeight="1" x14ac:dyDescent="0.15">
      <c r="A47" s="47">
        <v>30049046</v>
      </c>
      <c r="B47" s="47">
        <v>1</v>
      </c>
      <c r="C47" s="47">
        <v>150</v>
      </c>
      <c r="D47" s="47">
        <v>100</v>
      </c>
      <c r="E47" s="47" t="s">
        <v>53</v>
      </c>
      <c r="F47" s="47" t="s">
        <v>53</v>
      </c>
      <c r="G47" s="47">
        <v>1</v>
      </c>
      <c r="H47" s="47" t="s">
        <v>53</v>
      </c>
      <c r="I47" s="47">
        <v>128</v>
      </c>
      <c r="J47" s="48">
        <f t="shared" si="6"/>
        <v>100</v>
      </c>
      <c r="L47" s="51"/>
      <c r="M47" s="51"/>
    </row>
  </sheetData>
  <autoFilter ref="A1:G1"/>
  <phoneticPr fontId="5"/>
  <conditionalFormatting sqref="K1:K26 K41:K45 K48:K1048576">
    <cfRule type="duplicateValues" dxfId="16" priority="17"/>
  </conditionalFormatting>
  <conditionalFormatting sqref="K27">
    <cfRule type="duplicateValues" dxfId="15" priority="16"/>
  </conditionalFormatting>
  <conditionalFormatting sqref="K28">
    <cfRule type="duplicateValues" dxfId="14" priority="15"/>
  </conditionalFormatting>
  <conditionalFormatting sqref="K29">
    <cfRule type="duplicateValues" dxfId="13" priority="14"/>
  </conditionalFormatting>
  <conditionalFormatting sqref="K30">
    <cfRule type="duplicateValues" dxfId="12" priority="13"/>
  </conditionalFormatting>
  <conditionalFormatting sqref="K31">
    <cfRule type="duplicateValues" dxfId="11" priority="12"/>
  </conditionalFormatting>
  <conditionalFormatting sqref="K32">
    <cfRule type="duplicateValues" dxfId="10" priority="11"/>
  </conditionalFormatting>
  <conditionalFormatting sqref="K33">
    <cfRule type="duplicateValues" dxfId="9" priority="10"/>
  </conditionalFormatting>
  <conditionalFormatting sqref="K34">
    <cfRule type="duplicateValues" dxfId="8" priority="9"/>
  </conditionalFormatting>
  <conditionalFormatting sqref="K35">
    <cfRule type="duplicateValues" dxfId="7" priority="8"/>
  </conditionalFormatting>
  <conditionalFormatting sqref="K36">
    <cfRule type="duplicateValues" dxfId="6" priority="7"/>
  </conditionalFormatting>
  <conditionalFormatting sqref="K37">
    <cfRule type="duplicateValues" dxfId="5" priority="6"/>
  </conditionalFormatting>
  <conditionalFormatting sqref="K38">
    <cfRule type="duplicateValues" dxfId="4" priority="5"/>
  </conditionalFormatting>
  <conditionalFormatting sqref="K39">
    <cfRule type="duplicateValues" dxfId="3" priority="4"/>
  </conditionalFormatting>
  <conditionalFormatting sqref="K40">
    <cfRule type="duplicateValues" dxfId="2" priority="3"/>
  </conditionalFormatting>
  <conditionalFormatting sqref="K46">
    <cfRule type="duplicateValues" dxfId="1" priority="2"/>
  </conditionalFormatting>
  <conditionalFormatting sqref="K4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D35" sqref="D3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v>30049</v>
      </c>
      <c r="B2" s="57">
        <v>1</v>
      </c>
      <c r="C2" s="71" t="str">
        <f>A2&amp; "_"&amp;B2</f>
        <v>30049_1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3200</v>
      </c>
      <c r="H2" s="57" t="s">
        <v>169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250</v>
      </c>
      <c r="Q2" s="57" t="s">
        <v>170</v>
      </c>
      <c r="R2" s="57" t="s">
        <v>171</v>
      </c>
    </row>
    <row r="3" spans="1:18" x14ac:dyDescent="0.15">
      <c r="A3" s="57">
        <v>30049</v>
      </c>
      <c r="B3" s="57">
        <v>1</v>
      </c>
      <c r="C3" s="71" t="str">
        <f t="shared" ref="C3:C11" si="0">A3&amp; "_"&amp;B3</f>
        <v>30049_1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352</v>
      </c>
      <c r="G3" s="57">
        <v>20</v>
      </c>
      <c r="H3" s="57" t="s">
        <v>53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250</v>
      </c>
      <c r="Q3" s="57" t="s">
        <v>170</v>
      </c>
      <c r="R3" s="57" t="s">
        <v>171</v>
      </c>
    </row>
    <row r="4" spans="1:18" x14ac:dyDescent="0.15">
      <c r="A4" s="57">
        <v>30049</v>
      </c>
      <c r="B4" s="57">
        <v>1</v>
      </c>
      <c r="C4" s="71" t="str">
        <f t="shared" si="0"/>
        <v>30049_1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226</v>
      </c>
      <c r="G4" s="57">
        <v>1373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50</v>
      </c>
      <c r="Q4" s="57" t="s">
        <v>170</v>
      </c>
      <c r="R4" s="57" t="s">
        <v>171</v>
      </c>
    </row>
    <row r="5" spans="1:18" x14ac:dyDescent="0.15">
      <c r="A5" s="57">
        <v>30049</v>
      </c>
      <c r="B5" s="57">
        <v>1</v>
      </c>
      <c r="C5" s="71" t="str">
        <f t="shared" si="0"/>
        <v>30049_1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353</v>
      </c>
      <c r="G5" s="57">
        <v>344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70</v>
      </c>
      <c r="Q5" s="57" t="s">
        <v>170</v>
      </c>
      <c r="R5" s="57" t="s">
        <v>171</v>
      </c>
    </row>
    <row r="6" spans="1:18" x14ac:dyDescent="0.15">
      <c r="A6" s="57">
        <v>30049</v>
      </c>
      <c r="B6" s="57">
        <v>1</v>
      </c>
      <c r="C6" s="71" t="str">
        <f t="shared" si="0"/>
        <v>30049_1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354</v>
      </c>
      <c r="G6" s="57">
        <v>345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70</v>
      </c>
      <c r="Q6" s="57" t="s">
        <v>170</v>
      </c>
      <c r="R6" s="57" t="s">
        <v>171</v>
      </c>
    </row>
    <row r="7" spans="1:18" x14ac:dyDescent="0.15">
      <c r="A7" s="57">
        <v>30049</v>
      </c>
      <c r="B7" s="57">
        <v>1</v>
      </c>
      <c r="C7" s="71" t="str">
        <f t="shared" si="0"/>
        <v>30049_1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354</v>
      </c>
      <c r="G7" s="57">
        <v>354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150</v>
      </c>
      <c r="Q7" s="57" t="s">
        <v>170</v>
      </c>
      <c r="R7" s="57" t="s">
        <v>171</v>
      </c>
    </row>
    <row r="8" spans="1:18" x14ac:dyDescent="0.15">
      <c r="A8" s="57">
        <v>30049</v>
      </c>
      <c r="B8" s="57">
        <v>1</v>
      </c>
      <c r="C8" s="71" t="str">
        <f t="shared" si="0"/>
        <v>30049_1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226</v>
      </c>
      <c r="G8" s="57">
        <v>121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</v>
      </c>
      <c r="Q8" s="57" t="s">
        <v>170</v>
      </c>
      <c r="R8" s="57" t="s">
        <v>171</v>
      </c>
    </row>
    <row r="9" spans="1:18" x14ac:dyDescent="0.15">
      <c r="A9" s="57">
        <v>30049</v>
      </c>
      <c r="B9" s="57">
        <v>1</v>
      </c>
      <c r="C9" s="71" t="str">
        <f t="shared" si="0"/>
        <v>30049_1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226</v>
      </c>
      <c r="G9" s="57">
        <v>122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50</v>
      </c>
      <c r="Q9" s="57" t="s">
        <v>170</v>
      </c>
      <c r="R9" s="57" t="s">
        <v>171</v>
      </c>
    </row>
    <row r="10" spans="1:18" x14ac:dyDescent="0.15">
      <c r="A10" s="57">
        <v>30049</v>
      </c>
      <c r="B10" s="57">
        <v>1</v>
      </c>
      <c r="C10" s="71" t="str">
        <f t="shared" si="0"/>
        <v>30049_1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355</v>
      </c>
      <c r="G10" s="57">
        <v>123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50</v>
      </c>
      <c r="Q10" s="57" t="s">
        <v>170</v>
      </c>
      <c r="R10" s="57" t="s">
        <v>171</v>
      </c>
    </row>
    <row r="11" spans="1:18" x14ac:dyDescent="0.15">
      <c r="A11" s="57">
        <v>30049</v>
      </c>
      <c r="B11" s="57">
        <v>1</v>
      </c>
      <c r="C11" s="71" t="str">
        <f t="shared" si="0"/>
        <v>30049_1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354</v>
      </c>
      <c r="G11" s="57">
        <v>125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10</v>
      </c>
      <c r="Q11" s="57" t="s">
        <v>170</v>
      </c>
      <c r="R11" s="57" t="s">
        <v>171</v>
      </c>
    </row>
    <row r="12" spans="1:18" x14ac:dyDescent="0.15">
      <c r="A12" s="57">
        <v>30049</v>
      </c>
      <c r="B12" s="57">
        <v>2</v>
      </c>
      <c r="C12" s="71" t="str">
        <f>A12&amp; "_"&amp;B12</f>
        <v>30049_2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168</v>
      </c>
      <c r="G12" s="57">
        <v>5000</v>
      </c>
      <c r="H12" s="57" t="s">
        <v>53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250</v>
      </c>
      <c r="Q12" s="57" t="s">
        <v>170</v>
      </c>
      <c r="R12" s="57" t="s">
        <v>171</v>
      </c>
    </row>
    <row r="13" spans="1:18" x14ac:dyDescent="0.15">
      <c r="A13" s="57">
        <v>30049</v>
      </c>
      <c r="B13" s="57">
        <v>2</v>
      </c>
      <c r="C13" s="71" t="str">
        <f t="shared" ref="C13:C22" si="1">A13&amp; "_"&amp;B13</f>
        <v>30049_2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352</v>
      </c>
      <c r="G13" s="57">
        <v>25</v>
      </c>
      <c r="H13" s="57" t="s">
        <v>53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200</v>
      </c>
      <c r="Q13" s="57" t="s">
        <v>170</v>
      </c>
      <c r="R13" s="57" t="s">
        <v>171</v>
      </c>
    </row>
    <row r="14" spans="1:18" x14ac:dyDescent="0.15">
      <c r="A14" s="57">
        <v>30049</v>
      </c>
      <c r="B14" s="57">
        <v>2</v>
      </c>
      <c r="C14" s="71" t="str">
        <f t="shared" si="1"/>
        <v>30049_2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226</v>
      </c>
      <c r="G14" s="57">
        <v>1373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100</v>
      </c>
      <c r="Q14" s="57" t="s">
        <v>170</v>
      </c>
      <c r="R14" s="57" t="s">
        <v>171</v>
      </c>
    </row>
    <row r="15" spans="1:18" x14ac:dyDescent="0.15">
      <c r="A15" s="57">
        <v>30049</v>
      </c>
      <c r="B15" s="57">
        <v>2</v>
      </c>
      <c r="C15" s="71" t="str">
        <f t="shared" si="1"/>
        <v>30049_2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353</v>
      </c>
      <c r="G15" s="57">
        <v>344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56</v>
      </c>
      <c r="Q15" s="57" t="s">
        <v>170</v>
      </c>
      <c r="R15" s="57" t="s">
        <v>171</v>
      </c>
    </row>
    <row r="16" spans="1:18" x14ac:dyDescent="0.15">
      <c r="A16" s="57">
        <v>30049</v>
      </c>
      <c r="B16" s="57">
        <v>2</v>
      </c>
      <c r="C16" s="71" t="str">
        <f t="shared" si="1"/>
        <v>30049_2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354</v>
      </c>
      <c r="G16" s="57">
        <v>345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56</v>
      </c>
      <c r="Q16" s="57" t="s">
        <v>170</v>
      </c>
      <c r="R16" s="57" t="s">
        <v>171</v>
      </c>
    </row>
    <row r="17" spans="1:18" x14ac:dyDescent="0.15">
      <c r="A17" s="57">
        <v>30049</v>
      </c>
      <c r="B17" s="57">
        <v>2</v>
      </c>
      <c r="C17" s="71" t="str">
        <f t="shared" ref="C17" si="2">A17&amp; "_"&amp;B17</f>
        <v>30049_2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354</v>
      </c>
      <c r="G17" s="57">
        <v>346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28</v>
      </c>
      <c r="Q17" s="57" t="s">
        <v>170</v>
      </c>
      <c r="R17" s="57" t="s">
        <v>171</v>
      </c>
    </row>
    <row r="18" spans="1:18" x14ac:dyDescent="0.15">
      <c r="A18" s="57">
        <v>30049</v>
      </c>
      <c r="B18" s="57">
        <v>2</v>
      </c>
      <c r="C18" s="71" t="str">
        <f t="shared" si="1"/>
        <v>30049_2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57" t="s">
        <v>354</v>
      </c>
      <c r="G18" s="57">
        <v>354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150</v>
      </c>
      <c r="Q18" s="57" t="s">
        <v>170</v>
      </c>
      <c r="R18" s="57" t="s">
        <v>171</v>
      </c>
    </row>
    <row r="19" spans="1:18" x14ac:dyDescent="0.15">
      <c r="A19" s="57">
        <v>30049</v>
      </c>
      <c r="B19" s="57">
        <v>2</v>
      </c>
      <c r="C19" s="71" t="str">
        <f t="shared" si="1"/>
        <v>30049_2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18</v>
      </c>
      <c r="F19" s="57" t="s">
        <v>226</v>
      </c>
      <c r="G19" s="57">
        <v>121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50</v>
      </c>
      <c r="Q19" s="57" t="s">
        <v>170</v>
      </c>
      <c r="R19" s="57" t="s">
        <v>171</v>
      </c>
    </row>
    <row r="20" spans="1:18" x14ac:dyDescent="0.15">
      <c r="A20" s="57">
        <v>30049</v>
      </c>
      <c r="B20" s="57">
        <v>2</v>
      </c>
      <c r="C20" s="71" t="str">
        <f t="shared" si="1"/>
        <v>30049_2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19</v>
      </c>
      <c r="F20" s="57" t="s">
        <v>226</v>
      </c>
      <c r="G20" s="57">
        <v>122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50</v>
      </c>
      <c r="Q20" s="57" t="s">
        <v>170</v>
      </c>
      <c r="R20" s="57" t="s">
        <v>171</v>
      </c>
    </row>
    <row r="21" spans="1:18" x14ac:dyDescent="0.15">
      <c r="A21" s="57">
        <v>30049</v>
      </c>
      <c r="B21" s="57">
        <v>2</v>
      </c>
      <c r="C21" s="71" t="str">
        <f t="shared" si="1"/>
        <v>30049_2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7">
        <v>20</v>
      </c>
      <c r="F21" s="57" t="s">
        <v>355</v>
      </c>
      <c r="G21" s="57">
        <v>123</v>
      </c>
      <c r="H21" s="57">
        <v>1</v>
      </c>
      <c r="I21" s="57">
        <v>1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57">
        <v>50</v>
      </c>
      <c r="Q21" s="57" t="s">
        <v>170</v>
      </c>
      <c r="R21" s="57" t="s">
        <v>171</v>
      </c>
    </row>
    <row r="22" spans="1:18" x14ac:dyDescent="0.15">
      <c r="A22" s="57">
        <v>30049</v>
      </c>
      <c r="B22" s="57">
        <v>2</v>
      </c>
      <c r="C22" s="71" t="str">
        <f t="shared" si="1"/>
        <v>30049_2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7">
        <v>21</v>
      </c>
      <c r="F22" s="57" t="s">
        <v>354</v>
      </c>
      <c r="G22" s="57">
        <v>125</v>
      </c>
      <c r="H22" s="57">
        <v>1</v>
      </c>
      <c r="I22" s="57">
        <v>1</v>
      </c>
      <c r="J22" s="57">
        <v>1</v>
      </c>
      <c r="K22" s="57">
        <v>0</v>
      </c>
      <c r="L22" s="57">
        <v>0</v>
      </c>
      <c r="M22" s="57">
        <v>0</v>
      </c>
      <c r="N22" s="57">
        <v>0</v>
      </c>
      <c r="O22" s="57">
        <v>1</v>
      </c>
      <c r="P22" s="57">
        <v>10</v>
      </c>
      <c r="Q22" s="57" t="s">
        <v>170</v>
      </c>
      <c r="R22" s="57" t="s">
        <v>171</v>
      </c>
    </row>
    <row r="23" spans="1:18" x14ac:dyDescent="0.15">
      <c r="A23" s="57">
        <v>30049</v>
      </c>
      <c r="B23" s="57">
        <v>3</v>
      </c>
      <c r="C23" s="71" t="str">
        <f>A23&amp; "_"&amp;B23</f>
        <v>30049_3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7">
        <v>22</v>
      </c>
      <c r="F23" s="57" t="s">
        <v>168</v>
      </c>
      <c r="G23" s="57">
        <v>6500</v>
      </c>
      <c r="H23" s="57" t="s">
        <v>53</v>
      </c>
      <c r="I23" s="57">
        <v>1</v>
      </c>
      <c r="J23" s="57">
        <v>1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57">
        <v>150</v>
      </c>
      <c r="Q23" s="57" t="s">
        <v>170</v>
      </c>
      <c r="R23" s="57" t="s">
        <v>171</v>
      </c>
    </row>
    <row r="24" spans="1:18" x14ac:dyDescent="0.15">
      <c r="A24" s="57">
        <v>30049</v>
      </c>
      <c r="B24" s="57">
        <v>3</v>
      </c>
      <c r="C24" s="71" t="str">
        <f t="shared" ref="C24:C33" si="3">A24&amp; "_"&amp;B24</f>
        <v>30049_3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57" t="s">
        <v>352</v>
      </c>
      <c r="G24" s="57">
        <v>25</v>
      </c>
      <c r="H24" s="57" t="s">
        <v>53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150</v>
      </c>
      <c r="Q24" s="57" t="s">
        <v>170</v>
      </c>
      <c r="R24" s="57" t="s">
        <v>171</v>
      </c>
    </row>
    <row r="25" spans="1:18" x14ac:dyDescent="0.15">
      <c r="A25" s="57">
        <v>30049</v>
      </c>
      <c r="B25" s="57">
        <v>3</v>
      </c>
      <c r="C25" s="71" t="str">
        <f t="shared" si="3"/>
        <v>30049_3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57" t="s">
        <v>226</v>
      </c>
      <c r="G25" s="57">
        <v>1373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250</v>
      </c>
      <c r="Q25" s="57" t="s">
        <v>170</v>
      </c>
      <c r="R25" s="57" t="s">
        <v>171</v>
      </c>
    </row>
    <row r="26" spans="1:18" x14ac:dyDescent="0.15">
      <c r="A26" s="57">
        <v>30049</v>
      </c>
      <c r="B26" s="57">
        <v>3</v>
      </c>
      <c r="C26" s="71" t="str">
        <f t="shared" si="3"/>
        <v>30049_3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57" t="s">
        <v>353</v>
      </c>
      <c r="G26" s="57">
        <v>344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28</v>
      </c>
      <c r="Q26" s="57" t="s">
        <v>170</v>
      </c>
      <c r="R26" s="57" t="s">
        <v>171</v>
      </c>
    </row>
    <row r="27" spans="1:18" x14ac:dyDescent="0.15">
      <c r="A27" s="57">
        <v>30049</v>
      </c>
      <c r="B27" s="57">
        <v>3</v>
      </c>
      <c r="C27" s="71" t="str">
        <f t="shared" si="3"/>
        <v>30049_3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57" t="s">
        <v>354</v>
      </c>
      <c r="G27" s="57">
        <v>345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56</v>
      </c>
      <c r="Q27" s="57" t="s">
        <v>170</v>
      </c>
      <c r="R27" s="57" t="s">
        <v>171</v>
      </c>
    </row>
    <row r="28" spans="1:18" x14ac:dyDescent="0.15">
      <c r="A28" s="57">
        <v>30049</v>
      </c>
      <c r="B28" s="57">
        <v>3</v>
      </c>
      <c r="C28" s="71" t="str">
        <f t="shared" si="3"/>
        <v>30049_3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57" t="s">
        <v>354</v>
      </c>
      <c r="G28" s="57">
        <v>346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56</v>
      </c>
      <c r="Q28" s="57" t="s">
        <v>170</v>
      </c>
      <c r="R28" s="57" t="s">
        <v>171</v>
      </c>
    </row>
    <row r="29" spans="1:18" x14ac:dyDescent="0.15">
      <c r="A29" s="57">
        <v>30049</v>
      </c>
      <c r="B29" s="57">
        <v>3</v>
      </c>
      <c r="C29" s="71" t="str">
        <f t="shared" si="3"/>
        <v>30049_3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57" t="s">
        <v>354</v>
      </c>
      <c r="G29" s="57">
        <v>354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150</v>
      </c>
      <c r="Q29" s="57" t="s">
        <v>170</v>
      </c>
      <c r="R29" s="57" t="s">
        <v>171</v>
      </c>
    </row>
    <row r="30" spans="1:18" x14ac:dyDescent="0.15">
      <c r="A30" s="57">
        <v>30049</v>
      </c>
      <c r="B30" s="57">
        <v>3</v>
      </c>
      <c r="C30" s="71" t="str">
        <f t="shared" si="3"/>
        <v>30049_3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57" t="s">
        <v>226</v>
      </c>
      <c r="G30" s="57">
        <v>121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50</v>
      </c>
      <c r="Q30" s="57" t="s">
        <v>170</v>
      </c>
      <c r="R30" s="57" t="s">
        <v>171</v>
      </c>
    </row>
    <row r="31" spans="1:18" x14ac:dyDescent="0.15">
      <c r="A31" s="57">
        <v>30049</v>
      </c>
      <c r="B31" s="57">
        <v>3</v>
      </c>
      <c r="C31" s="71" t="str">
        <f t="shared" si="3"/>
        <v>30049_3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57" t="s">
        <v>226</v>
      </c>
      <c r="G31" s="57">
        <v>122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50</v>
      </c>
      <c r="Q31" s="57" t="s">
        <v>170</v>
      </c>
      <c r="R31" s="57" t="s">
        <v>171</v>
      </c>
    </row>
    <row r="32" spans="1:18" x14ac:dyDescent="0.15">
      <c r="A32" s="57">
        <v>30049</v>
      </c>
      <c r="B32" s="57">
        <v>3</v>
      </c>
      <c r="C32" s="71" t="str">
        <f t="shared" si="3"/>
        <v>30049_3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31</v>
      </c>
      <c r="F32" s="57" t="s">
        <v>355</v>
      </c>
      <c r="G32" s="57">
        <v>123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57">
        <v>50</v>
      </c>
      <c r="Q32" s="57" t="s">
        <v>170</v>
      </c>
      <c r="R32" s="57" t="s">
        <v>171</v>
      </c>
    </row>
    <row r="33" spans="1:18" x14ac:dyDescent="0.15">
      <c r="A33" s="57">
        <v>30049</v>
      </c>
      <c r="B33" s="57">
        <v>3</v>
      </c>
      <c r="C33" s="71" t="str">
        <f t="shared" si="3"/>
        <v>30049_3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7">
        <v>32</v>
      </c>
      <c r="F33" s="57" t="s">
        <v>354</v>
      </c>
      <c r="G33" s="57">
        <v>125</v>
      </c>
      <c r="H33" s="57">
        <v>1</v>
      </c>
      <c r="I33" s="57">
        <v>1</v>
      </c>
      <c r="J33" s="57">
        <v>1</v>
      </c>
      <c r="K33" s="57">
        <v>0</v>
      </c>
      <c r="L33" s="57">
        <v>0</v>
      </c>
      <c r="M33" s="57">
        <v>0</v>
      </c>
      <c r="N33" s="57">
        <v>0</v>
      </c>
      <c r="O33" s="57">
        <v>1</v>
      </c>
      <c r="P33" s="57">
        <v>10</v>
      </c>
      <c r="Q33" s="57" t="s">
        <v>170</v>
      </c>
      <c r="R33" s="57" t="s">
        <v>171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A2" sqref="A2:XFD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1" t="s">
        <v>195</v>
      </c>
      <c r="J1" s="79" t="s">
        <v>126</v>
      </c>
      <c r="K1" s="78" t="s">
        <v>187</v>
      </c>
      <c r="L1" s="92" t="s">
        <v>186</v>
      </c>
      <c r="M1" s="80" t="s">
        <v>196</v>
      </c>
    </row>
    <row r="2" spans="1:13" x14ac:dyDescent="0.15">
      <c r="A2" s="81" t="s">
        <v>200</v>
      </c>
      <c r="B2" s="82">
        <f>floors!$C$2</f>
        <v>30049</v>
      </c>
      <c r="C2" s="83" t="str">
        <f ca="1">VLOOKUP($B2,OFFSET([2]quests!$A$1,0,0,COUNTA([2]quests!$A:$A),MATCH(C$1,[2]quests!$1:$1,0)-MATCH($B$1,[2]quests!$1:$1,0)+1),MATCH(C$1,[2]quests!$1:$1,0)-MATCH($B$1,[2]quests!$1:$1,0)+1,FALSE)</f>
        <v>鉄壁の子豚要塞</v>
      </c>
      <c r="D2" s="83" t="str">
        <f ca="1">VLOOKUP($B2,OFFSET([2]quests!$A$1,0,0,COUNTA([2]quests!$A:$A),MATCH(D$1,[2]quests!$1:$1,0)-MATCH($B$1,[2]quests!$1:$1,0)+1),MATCH(D$1,[2]quests!$1:$1,0)-MATCH($B$1,[2]quests!$1:$1,0)+1,FALSE)</f>
        <v>童話シリーズ　超級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【中級】鉄壁の子豚要塞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童話シリーズ　超級</v>
      </c>
      <c r="H2" s="85">
        <v>0</v>
      </c>
      <c r="I2">
        <v>3</v>
      </c>
      <c r="J2" s="84" t="s">
        <v>198</v>
      </c>
      <c r="K2" s="93" t="str">
        <f>VLOOKUP(I2,[7]stage_hints!$A:$C,3,FALSE)</f>
        <v>ターゲット</v>
      </c>
      <c r="L2" s="94" t="str">
        <f>VLOOKUP(I2,[7]stage_hints!$A:$D,4,FALSE)</f>
        <v>敵ユニットをタップすると_x000D_その敵を狙い撃ちできます</v>
      </c>
      <c r="M2" s="57" t="s">
        <v>199</v>
      </c>
    </row>
    <row r="3" spans="1:13" x14ac:dyDescent="0.15">
      <c r="A3" s="81" t="s">
        <v>200</v>
      </c>
      <c r="B3" s="82">
        <f>floors!$C$2</f>
        <v>30049</v>
      </c>
      <c r="C3" s="83" t="str">
        <f ca="1">VLOOKUP($B3,OFFSET([2]quests!$A$1,0,0,COUNTA([2]quests!$A:$A),MATCH(C$1,[2]quests!$1:$1,0)-MATCH($B$1,[2]quests!$1:$1,0)+1),MATCH(C$1,[2]quests!$1:$1,0)-MATCH($B$1,[2]quests!$1:$1,0)+1,FALSE)</f>
        <v>鉄壁の子豚要塞</v>
      </c>
      <c r="D3" s="83" t="str">
        <f ca="1">VLOOKUP($B3,OFFSET([2]quests!$A$1,0,0,COUNTA([2]quests!$A:$A),MATCH(D$1,[2]quests!$1:$1,0)-MATCH($B$1,[2]quests!$1:$1,0)+1),MATCH(D$1,[2]quests!$1:$1,0)-MATCH($B$1,[2]quests!$1:$1,0)+1,FALSE)</f>
        <v>童話シリーズ　超級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【中級】鉄壁の子豚要塞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童話シリーズ　超級</v>
      </c>
      <c r="H3" s="85">
        <v>0</v>
      </c>
      <c r="I3">
        <v>6</v>
      </c>
      <c r="J3" s="84" t="s">
        <v>198</v>
      </c>
      <c r="K3" s="93" t="str">
        <f>VLOOKUP(I3,[7]stage_hints!$A:$C,3,FALSE)</f>
        <v>ユニット強化の属性ボーナス</v>
      </c>
      <c r="L3" s="94" t="str">
        <f>VLOOKUP(I3,[7]stage_hints!$A:$D,4,FALSE)</f>
        <v>同属性ユニットを強化素材にすると_x000D_経験値が多くもらえます</v>
      </c>
      <c r="M3" s="57" t="s">
        <v>199</v>
      </c>
    </row>
    <row r="4" spans="1:13" x14ac:dyDescent="0.15">
      <c r="A4" s="81" t="s">
        <v>200</v>
      </c>
      <c r="B4" s="82">
        <f>floors!$C$2</f>
        <v>30049</v>
      </c>
      <c r="C4" s="83" t="str">
        <f ca="1">VLOOKUP($B4,OFFSET([2]quests!$A$1,0,0,COUNTA([2]quests!$A:$A),MATCH(C$1,[2]quests!$1:$1,0)-MATCH($B$1,[2]quests!$1:$1,0)+1),MATCH(C$1,[2]quests!$1:$1,0)-MATCH($B$1,[2]quests!$1:$1,0)+1,FALSE)</f>
        <v>鉄壁の子豚要塞</v>
      </c>
      <c r="D4" s="83" t="str">
        <f ca="1">VLOOKUP($B4,OFFSET([2]quests!$A$1,0,0,COUNTA([2]quests!$A:$A),MATCH(D$1,[2]quests!$1:$1,0)-MATCH($B$1,[2]quests!$1:$1,0)+1),MATCH(D$1,[2]quests!$1:$1,0)-MATCH($B$1,[2]quests!$1:$1,0)+1,FALSE)</f>
        <v>童話シリーズ　超級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【中級】鉄壁の子豚要塞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童話シリーズ　超級</v>
      </c>
      <c r="H4" s="85">
        <v>0</v>
      </c>
      <c r="I4">
        <v>7</v>
      </c>
      <c r="J4" s="84" t="s">
        <v>198</v>
      </c>
      <c r="K4" s="93" t="str">
        <f>VLOOKUP(I4,[7]stage_hints!$A:$C,3,FALSE)</f>
        <v>メタルダックで経験値を獲得</v>
      </c>
      <c r="L4" s="94" t="str">
        <f>VLOOKUP(I4,[7]stage_hints!$A:$D,4,FALSE)</f>
        <v>「メタルなアヒル」を強化素材にすると_x000D_大量の経験値がもらえます</v>
      </c>
      <c r="M4" s="57" t="s">
        <v>199</v>
      </c>
    </row>
    <row r="5" spans="1:13" x14ac:dyDescent="0.15">
      <c r="A5" s="81" t="s">
        <v>200</v>
      </c>
      <c r="B5" s="82">
        <f>floors!$C$2</f>
        <v>30049</v>
      </c>
      <c r="C5" s="83" t="str">
        <f ca="1">VLOOKUP($B5,OFFSET([2]quests!$A$1,0,0,COUNTA([2]quests!$A:$A),MATCH(C$1,[2]quests!$1:$1,0)-MATCH($B$1,[2]quests!$1:$1,0)+1),MATCH(C$1,[2]quests!$1:$1,0)-MATCH($B$1,[2]quests!$1:$1,0)+1,FALSE)</f>
        <v>鉄壁の子豚要塞</v>
      </c>
      <c r="D5" s="83" t="str">
        <f ca="1">VLOOKUP($B5,OFFSET([2]quests!$A$1,0,0,COUNTA([2]quests!$A:$A),MATCH(D$1,[2]quests!$1:$1,0)-MATCH($B$1,[2]quests!$1:$1,0)+1),MATCH(D$1,[2]quests!$1:$1,0)-MATCH($B$1,[2]quests!$1:$1,0)+1,FALSE)</f>
        <v>童話シリーズ　超級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【中級】鉄壁の子豚要塞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童話シリーズ　超級</v>
      </c>
      <c r="H5" s="85">
        <v>0</v>
      </c>
      <c r="I5">
        <v>8</v>
      </c>
      <c r="J5" s="84" t="s">
        <v>198</v>
      </c>
      <c r="K5" s="93" t="str">
        <f>VLOOKUP(I5,[7]stage_hints!$A:$C,3,FALSE)</f>
        <v>ゲリラクエストは要チェック</v>
      </c>
      <c r="L5" s="94" t="str">
        <f>VLOOKUP(I5,[7]stage_hints!$A:$D,4,FALSE)</f>
        <v>時間限定の「アヒル捕獲作戦」では_x000D_経験値素材ユニットが多く手に入ります</v>
      </c>
      <c r="M5" s="57" t="s">
        <v>199</v>
      </c>
    </row>
    <row r="6" spans="1:13" x14ac:dyDescent="0.15">
      <c r="A6" s="81" t="s">
        <v>200</v>
      </c>
      <c r="B6" s="82">
        <f>floors!$C$2</f>
        <v>30049</v>
      </c>
      <c r="C6" s="83" t="str">
        <f ca="1">VLOOKUP($B6,OFFSET([2]quests!$A$1,0,0,COUNTA([2]quests!$A:$A),MATCH(C$1,[2]quests!$1:$1,0)-MATCH($B$1,[2]quests!$1:$1,0)+1),MATCH(C$1,[2]quests!$1:$1,0)-MATCH($B$1,[2]quests!$1:$1,0)+1,FALSE)</f>
        <v>鉄壁の子豚要塞</v>
      </c>
      <c r="D6" s="83" t="str">
        <f ca="1">VLOOKUP($B6,OFFSET([2]quests!$A$1,0,0,COUNTA([2]quests!$A:$A),MATCH(D$1,[2]quests!$1:$1,0)-MATCH($B$1,[2]quests!$1:$1,0)+1),MATCH(D$1,[2]quests!$1:$1,0)-MATCH($B$1,[2]quests!$1:$1,0)+1,FALSE)</f>
        <v>童話シリーズ　超級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【中級】鉄壁の子豚要塞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童話シリーズ　超級</v>
      </c>
      <c r="H6" s="85">
        <v>0</v>
      </c>
      <c r="I6">
        <v>9</v>
      </c>
      <c r="J6" s="84" t="s">
        <v>198</v>
      </c>
      <c r="K6" s="93" t="str">
        <f>VLOOKUP(I6,[7]stage_hints!$A:$C,3,FALSE)</f>
        <v>ゴールドダックでビットを獲得</v>
      </c>
      <c r="L6" s="94" t="str">
        <f>VLOOKUP(I6,[7]stage_hints!$A:$D,4,FALSE)</f>
        <v>「ゴールドなアヒル」を売却すると_x000D_大量のビットがもらえます</v>
      </c>
      <c r="M6" s="57" t="s">
        <v>199</v>
      </c>
    </row>
    <row r="7" spans="1:13" x14ac:dyDescent="0.15">
      <c r="A7" s="81" t="s">
        <v>200</v>
      </c>
      <c r="B7" s="82">
        <f>floors!$C$2</f>
        <v>30049</v>
      </c>
      <c r="C7" s="83" t="str">
        <f ca="1">VLOOKUP($B7,OFFSET([2]quests!$A$1,0,0,COUNTA([2]quests!$A:$A),MATCH(C$1,[2]quests!$1:$1,0)-MATCH($B$1,[2]quests!$1:$1,0)+1),MATCH(C$1,[2]quests!$1:$1,0)-MATCH($B$1,[2]quests!$1:$1,0)+1,FALSE)</f>
        <v>鉄壁の子豚要塞</v>
      </c>
      <c r="D7" s="83" t="str">
        <f ca="1">VLOOKUP($B7,OFFSET([2]quests!$A$1,0,0,COUNTA([2]quests!$A:$A),MATCH(D$1,[2]quests!$1:$1,0)-MATCH($B$1,[2]quests!$1:$1,0)+1),MATCH(D$1,[2]quests!$1:$1,0)-MATCH($B$1,[2]quests!$1:$1,0)+1,FALSE)</f>
        <v>童話シリーズ　超級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【中級】鉄壁の子豚要塞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童話シリーズ　超級</v>
      </c>
      <c r="H7" s="85">
        <v>0</v>
      </c>
      <c r="I7">
        <v>10</v>
      </c>
      <c r="J7" s="84" t="s">
        <v>198</v>
      </c>
      <c r="K7" s="93" t="str">
        <f>VLOOKUP(I7,[7]stage_hints!$A:$C,3,FALSE)</f>
        <v>土日に大量のビットを獲得</v>
      </c>
      <c r="L7" s="94" t="str">
        <f>VLOOKUP(I7,[7]stage_hints!$A:$D,4,FALSE)</f>
        <v>土日限定の「ゴールドカジノ」では_x000D_売却素材ユニットが多く手に入ります</v>
      </c>
      <c r="M7" s="57" t="s">
        <v>199</v>
      </c>
    </row>
    <row r="8" spans="1:13" x14ac:dyDescent="0.15">
      <c r="A8" s="81" t="s">
        <v>200</v>
      </c>
      <c r="B8" s="82">
        <f>floors!$C$2</f>
        <v>30049</v>
      </c>
      <c r="C8" s="83" t="str">
        <f ca="1">VLOOKUP($B8,OFFSET([2]quests!$A$1,0,0,COUNTA([2]quests!$A:$A),MATCH(C$1,[2]quests!$1:$1,0)-MATCH($B$1,[2]quests!$1:$1,0)+1),MATCH(C$1,[2]quests!$1:$1,0)-MATCH($B$1,[2]quests!$1:$1,0)+1,FALSE)</f>
        <v>鉄壁の子豚要塞</v>
      </c>
      <c r="D8" s="83" t="str">
        <f ca="1">VLOOKUP($B8,OFFSET([2]quests!$A$1,0,0,COUNTA([2]quests!$A:$A),MATCH(D$1,[2]quests!$1:$1,0)-MATCH($B$1,[2]quests!$1:$1,0)+1),MATCH(D$1,[2]quests!$1:$1,0)-MATCH($B$1,[2]quests!$1:$1,0)+1,FALSE)</f>
        <v>童話シリーズ　超級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【中級】鉄壁の子豚要塞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童話シリーズ　超級</v>
      </c>
      <c r="H8" s="85">
        <v>0</v>
      </c>
      <c r="I8">
        <v>11</v>
      </c>
      <c r="J8" s="84" t="s">
        <v>356</v>
      </c>
      <c r="K8" s="93" t="str">
        <f>VLOOKUP(I8,[7]stage_hints!$A:$C,3,FALSE)</f>
        <v>ゲリラクエストは要チェック</v>
      </c>
      <c r="L8" s="94" t="str">
        <f>VLOOKUP(I8,[7]stage_hints!$A:$D,4,FALSE)</f>
        <v>時間限定の「アヒル捕獲作戦」では_x000D_経験値素材ユニットが多く手に入ります</v>
      </c>
      <c r="M8" s="57" t="s">
        <v>199</v>
      </c>
    </row>
    <row r="9" spans="1:13" x14ac:dyDescent="0.15">
      <c r="A9" s="81" t="s">
        <v>200</v>
      </c>
      <c r="B9" s="82">
        <f>floors!$C$2</f>
        <v>30049</v>
      </c>
      <c r="C9" s="83" t="str">
        <f ca="1">VLOOKUP($B9,OFFSET([2]quests!$A$1,0,0,COUNTA([2]quests!$A:$A),MATCH(C$1,[2]quests!$1:$1,0)-MATCH($B$1,[2]quests!$1:$1,0)+1),MATCH(C$1,[2]quests!$1:$1,0)-MATCH($B$1,[2]quests!$1:$1,0)+1,FALSE)</f>
        <v>鉄壁の子豚要塞</v>
      </c>
      <c r="D9" s="83" t="str">
        <f ca="1">VLOOKUP($B9,OFFSET([2]quests!$A$1,0,0,COUNTA([2]quests!$A:$A),MATCH(D$1,[2]quests!$1:$1,0)-MATCH($B$1,[2]quests!$1:$1,0)+1),MATCH(D$1,[2]quests!$1:$1,0)-MATCH($B$1,[2]quests!$1:$1,0)+1,FALSE)</f>
        <v>童話シリーズ　超級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【中級】鉄壁の子豚要塞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童話シリーズ　超級</v>
      </c>
      <c r="H9" s="85">
        <v>0</v>
      </c>
      <c r="I9">
        <v>12</v>
      </c>
      <c r="J9" s="84" t="s">
        <v>357</v>
      </c>
      <c r="K9" s="93" t="str">
        <f>VLOOKUP(I9,[7]stage_hints!$A:$C,3,FALSE)</f>
        <v>ユニットのお気に入り登録</v>
      </c>
      <c r="L9" s="94" t="str">
        <f>VLOOKUP(I9,[7]stage_hints!$A:$D,4,FALSE)</f>
        <v>大事なユニットを誤って消さないように_x000D_フォルダから「お気に入り登録」しましょう</v>
      </c>
      <c r="M9" s="57" t="s">
        <v>199</v>
      </c>
    </row>
    <row r="10" spans="1:13" x14ac:dyDescent="0.15">
      <c r="A10" s="81" t="s">
        <v>200</v>
      </c>
      <c r="B10" s="82">
        <f>floors!$C$2</f>
        <v>30049</v>
      </c>
      <c r="C10" s="83" t="str">
        <f ca="1">VLOOKUP($B10,OFFSET([2]quests!$A$1,0,0,COUNTA([2]quests!$A:$A),MATCH(C$1,[2]quests!$1:$1,0)-MATCH($B$1,[2]quests!$1:$1,0)+1),MATCH(C$1,[2]quests!$1:$1,0)-MATCH($B$1,[2]quests!$1:$1,0)+1,FALSE)</f>
        <v>鉄壁の子豚要塞</v>
      </c>
      <c r="D10" s="83" t="str">
        <f ca="1">VLOOKUP($B10,OFFSET([2]quests!$A$1,0,0,COUNTA([2]quests!$A:$A),MATCH(D$1,[2]quests!$1:$1,0)-MATCH($B$1,[2]quests!$1:$1,0)+1),MATCH(D$1,[2]quests!$1:$1,0)-MATCH($B$1,[2]quests!$1:$1,0)+1,FALSE)</f>
        <v>童話シリーズ　超級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【中級】鉄壁の子豚要塞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童話シリーズ　超級</v>
      </c>
      <c r="H10" s="85">
        <v>0</v>
      </c>
      <c r="I10">
        <v>13</v>
      </c>
      <c r="J10" s="84" t="s">
        <v>198</v>
      </c>
      <c r="K10" s="93" t="str">
        <f>VLOOKUP(I10,[7]stage_hints!$A:$C,3,FALSE)</f>
        <v>ユニットの覚醒</v>
      </c>
      <c r="L10" s="94" t="str">
        <f>VLOOKUP(I10,[7]stage_hints!$A:$D,4,FALSE)</f>
        <v>ユニットを覚醒させると_x000D_比べものにならない強さが手に入ります</v>
      </c>
      <c r="M10" s="57" t="s">
        <v>199</v>
      </c>
    </row>
    <row r="11" spans="1:13" x14ac:dyDescent="0.15">
      <c r="A11" s="81" t="s">
        <v>200</v>
      </c>
      <c r="B11" s="82">
        <f>floors!$C$2</f>
        <v>30049</v>
      </c>
      <c r="C11" s="83" t="str">
        <f ca="1">VLOOKUP($B11,OFFSET([2]quests!$A$1,0,0,COUNTA([2]quests!$A:$A),MATCH(C$1,[2]quests!$1:$1,0)-MATCH($B$1,[2]quests!$1:$1,0)+1),MATCH(C$1,[2]quests!$1:$1,0)-MATCH($B$1,[2]quests!$1:$1,0)+1,FALSE)</f>
        <v>鉄壁の子豚要塞</v>
      </c>
      <c r="D11" s="83" t="str">
        <f ca="1">VLOOKUP($B11,OFFSET([2]quests!$A$1,0,0,COUNTA([2]quests!$A:$A),MATCH(D$1,[2]quests!$1:$1,0)-MATCH($B$1,[2]quests!$1:$1,0)+1),MATCH(D$1,[2]quests!$1:$1,0)-MATCH($B$1,[2]quests!$1:$1,0)+1,FALSE)</f>
        <v>童話シリーズ　超級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【中級】鉄壁の子豚要塞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童話シリーズ　超級</v>
      </c>
      <c r="H11" s="85">
        <v>0</v>
      </c>
      <c r="I11">
        <v>14</v>
      </c>
      <c r="J11" s="84" t="s">
        <v>358</v>
      </c>
      <c r="K11" s="93" t="str">
        <f>VLOOKUP(I11,[7]stage_hints!$A:$C,3,FALSE)</f>
        <v>覚醒するにはレベルを最大に</v>
      </c>
      <c r="L11" s="94" t="str">
        <f>VLOOKUP(I11,[7]stage_hints!$A:$D,4,FALSE)</f>
        <v>覚醒するにはユニットのレベルを_x000D_最大まで上げる必要があります</v>
      </c>
      <c r="M11" s="57" t="s">
        <v>199</v>
      </c>
    </row>
    <row r="12" spans="1:13" x14ac:dyDescent="0.15">
      <c r="A12" s="81" t="s">
        <v>200</v>
      </c>
      <c r="B12" s="82">
        <f>floors!$C$2</f>
        <v>30049</v>
      </c>
      <c r="C12" s="83" t="str">
        <f ca="1">VLOOKUP($B12,OFFSET([2]quests!$A$1,0,0,COUNTA([2]quests!$A:$A),MATCH(C$1,[2]quests!$1:$1,0)-MATCH($B$1,[2]quests!$1:$1,0)+1),MATCH(C$1,[2]quests!$1:$1,0)-MATCH($B$1,[2]quests!$1:$1,0)+1,FALSE)</f>
        <v>鉄壁の子豚要塞</v>
      </c>
      <c r="D12" s="83" t="str">
        <f ca="1">VLOOKUP($B12,OFFSET([2]quests!$A$1,0,0,COUNTA([2]quests!$A:$A),MATCH(D$1,[2]quests!$1:$1,0)-MATCH($B$1,[2]quests!$1:$1,0)+1),MATCH(D$1,[2]quests!$1:$1,0)-MATCH($B$1,[2]quests!$1:$1,0)+1,FALSE)</f>
        <v>童話シリーズ　超級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【中級】鉄壁の子豚要塞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童話シリーズ　超級</v>
      </c>
      <c r="H12" s="85">
        <v>0</v>
      </c>
      <c r="I12">
        <v>15</v>
      </c>
      <c r="J12" s="84" t="s">
        <v>359</v>
      </c>
      <c r="K12" s="93" t="str">
        <f>VLOOKUP(I12,[7]stage_hints!$A:$C,3,FALSE)</f>
        <v>覚醒素材を獲得</v>
      </c>
      <c r="L12" s="94" t="str">
        <f>VLOOKUP(I12,[7]stage_hints!$A:$D,4,FALSE)</f>
        <v>「曜日クエスト」では_x000D_ユニットの覚醒に必要な素材が手に入ります</v>
      </c>
      <c r="M12" s="57" t="s">
        <v>199</v>
      </c>
    </row>
    <row r="13" spans="1:13" x14ac:dyDescent="0.15">
      <c r="A13" s="81" t="s">
        <v>200</v>
      </c>
      <c r="B13" s="82">
        <f>floors!$C$2</f>
        <v>30049</v>
      </c>
      <c r="C13" s="83" t="str">
        <f ca="1">VLOOKUP($B13,OFFSET([2]quests!$A$1,0,0,COUNTA([2]quests!$A:$A),MATCH(C$1,[2]quests!$1:$1,0)-MATCH($B$1,[2]quests!$1:$1,0)+1),MATCH(C$1,[2]quests!$1:$1,0)-MATCH($B$1,[2]quests!$1:$1,0)+1,FALSE)</f>
        <v>鉄壁の子豚要塞</v>
      </c>
      <c r="D13" s="83" t="str">
        <f ca="1">VLOOKUP($B13,OFFSET([2]quests!$A$1,0,0,COUNTA([2]quests!$A:$A),MATCH(D$1,[2]quests!$1:$1,0)-MATCH($B$1,[2]quests!$1:$1,0)+1),MATCH(D$1,[2]quests!$1:$1,0)-MATCH($B$1,[2]quests!$1:$1,0)+1,FALSE)</f>
        <v>童話シリーズ　超級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【中級】鉄壁の子豚要塞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童話シリーズ　超級</v>
      </c>
      <c r="H13" s="85">
        <v>0</v>
      </c>
      <c r="I13">
        <v>16</v>
      </c>
      <c r="J13" s="84" t="s">
        <v>359</v>
      </c>
      <c r="K13" s="93" t="str">
        <f>VLOOKUP(I13,[7]stage_hints!$A:$C,3,FALSE)</f>
        <v>マルチプレイのメリット（その1）</v>
      </c>
      <c r="L13" s="94" t="str">
        <f>VLOOKUP(I13,[7]stage_hints!$A:$D,4,FALSE)</f>
        <v>他のプレイヤーとマルチプレイで遊ぶと_x000D_ポリゴンがもらえます（100人まで）</v>
      </c>
      <c r="M13" s="57" t="s">
        <v>199</v>
      </c>
    </row>
    <row r="14" spans="1:13" x14ac:dyDescent="0.15">
      <c r="A14" s="81" t="s">
        <v>200</v>
      </c>
      <c r="B14" s="82">
        <f>floors!$C$2</f>
        <v>30049</v>
      </c>
      <c r="C14" s="83" t="str">
        <f ca="1">VLOOKUP($B14,OFFSET([2]quests!$A$1,0,0,COUNTA([2]quests!$A:$A),MATCH(C$1,[2]quests!$1:$1,0)-MATCH($B$1,[2]quests!$1:$1,0)+1),MATCH(C$1,[2]quests!$1:$1,0)-MATCH($B$1,[2]quests!$1:$1,0)+1,FALSE)</f>
        <v>鉄壁の子豚要塞</v>
      </c>
      <c r="D14" s="83" t="str">
        <f ca="1">VLOOKUP($B14,OFFSET([2]quests!$A$1,0,0,COUNTA([2]quests!$A:$A),MATCH(D$1,[2]quests!$1:$1,0)-MATCH($B$1,[2]quests!$1:$1,0)+1),MATCH(D$1,[2]quests!$1:$1,0)-MATCH($B$1,[2]quests!$1:$1,0)+1,FALSE)</f>
        <v>童話シリーズ　超級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【中級】鉄壁の子豚要塞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童話シリーズ　超級</v>
      </c>
      <c r="H14" s="85">
        <v>0</v>
      </c>
      <c r="I14">
        <v>17</v>
      </c>
      <c r="J14" s="84" t="s">
        <v>359</v>
      </c>
      <c r="K14" s="93" t="str">
        <f>VLOOKUP(I14,[7]stage_hints!$A:$C,3,FALSE)</f>
        <v>リンクガチャ</v>
      </c>
      <c r="L14" s="94" t="str">
        <f>VLOOKUP(I14,[7]stage_hints!$A:$D,4,FALSE)</f>
        <v>無料のリンクガチャを回して_x000D_経験値素材や売却素材を獲得しましょう</v>
      </c>
      <c r="M14" s="57" t="s">
        <v>199</v>
      </c>
    </row>
    <row r="15" spans="1:13" x14ac:dyDescent="0.15">
      <c r="A15" s="81" t="s">
        <v>200</v>
      </c>
      <c r="B15" s="82">
        <f>floors!$C$2</f>
        <v>30049</v>
      </c>
      <c r="C15" s="83" t="str">
        <f ca="1">VLOOKUP($B15,OFFSET([2]quests!$A$1,0,0,COUNTA([2]quests!$A:$A),MATCH(C$1,[2]quests!$1:$1,0)-MATCH($B$1,[2]quests!$1:$1,0)+1),MATCH(C$1,[2]quests!$1:$1,0)-MATCH($B$1,[2]quests!$1:$1,0)+1,FALSE)</f>
        <v>鉄壁の子豚要塞</v>
      </c>
      <c r="D15" s="83" t="str">
        <f ca="1">VLOOKUP($B15,OFFSET([2]quests!$A$1,0,0,COUNTA([2]quests!$A:$A),MATCH(D$1,[2]quests!$1:$1,0)-MATCH($B$1,[2]quests!$1:$1,0)+1),MATCH(D$1,[2]quests!$1:$1,0)-MATCH($B$1,[2]quests!$1:$1,0)+1,FALSE)</f>
        <v>童話シリーズ　超級</v>
      </c>
      <c r="E15" s="87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【中級】鉄壁の子豚要塞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童話シリーズ　超級</v>
      </c>
      <c r="H15" s="85">
        <v>0</v>
      </c>
      <c r="I15">
        <v>18</v>
      </c>
      <c r="J15" s="84" t="s">
        <v>360</v>
      </c>
      <c r="K15" s="93" t="str">
        <f>VLOOKUP(I15,[7]stage_hints!$A:$C,3,FALSE)</f>
        <v>マルチプレイのメリット（その2）</v>
      </c>
      <c r="L15" s="94" t="str">
        <f>VLOOKUP(I15,[7]stage_hints!$A:$D,4,FALSE)</f>
        <v>マルチプレイならリンクが2倍もらえます_x000D_リンクガチャをたくさん回しましょう</v>
      </c>
      <c r="M15" s="57" t="s">
        <v>199</v>
      </c>
    </row>
    <row r="16" spans="1:13" x14ac:dyDescent="0.15">
      <c r="A16" s="81" t="s">
        <v>200</v>
      </c>
      <c r="B16" s="82">
        <f>floors!$C$2</f>
        <v>30049</v>
      </c>
      <c r="C16" s="83" t="str">
        <f ca="1">VLOOKUP($B16,OFFSET([2]quests!$A$1,0,0,COUNTA([2]quests!$A:$A),MATCH(C$1,[2]quests!$1:$1,0)-MATCH($B$1,[2]quests!$1:$1,0)+1),MATCH(C$1,[2]quests!$1:$1,0)-MATCH($B$1,[2]quests!$1:$1,0)+1,FALSE)</f>
        <v>鉄壁の子豚要塞</v>
      </c>
      <c r="D16" s="83" t="str">
        <f ca="1">VLOOKUP($B16,OFFSET([2]quests!$A$1,0,0,COUNTA([2]quests!$A:$A),MATCH(D$1,[2]quests!$1:$1,0)-MATCH($B$1,[2]quests!$1:$1,0)+1),MATCH(D$1,[2]quests!$1:$1,0)-MATCH($B$1,[2]quests!$1:$1,0)+1,FALSE)</f>
        <v>童話シリーズ　超級</v>
      </c>
      <c r="E16" s="87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【中級】鉄壁の子豚要塞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童話シリーズ　超級</v>
      </c>
      <c r="H16" s="85">
        <v>0</v>
      </c>
      <c r="I16">
        <v>19</v>
      </c>
      <c r="J16" s="84" t="s">
        <v>358</v>
      </c>
      <c r="K16" s="93" t="str">
        <f>VLOOKUP(I16,[7]stage_hints!$A:$C,3,FALSE)</f>
        <v>ソロ専用タワーオブザクイーン</v>
      </c>
      <c r="L16" s="94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7" t="s">
        <v>199</v>
      </c>
    </row>
    <row r="17" spans="1:13" x14ac:dyDescent="0.15">
      <c r="A17" s="81" t="s">
        <v>200</v>
      </c>
      <c r="B17" s="82">
        <f>floors!$C$2</f>
        <v>30049</v>
      </c>
      <c r="C17" s="83" t="str">
        <f ca="1">VLOOKUP($B17,OFFSET([2]quests!$A$1,0,0,COUNTA([2]quests!$A:$A),MATCH(C$1,[2]quests!$1:$1,0)-MATCH($B$1,[2]quests!$1:$1,0)+1),MATCH(C$1,[2]quests!$1:$1,0)-MATCH($B$1,[2]quests!$1:$1,0)+1,FALSE)</f>
        <v>鉄壁の子豚要塞</v>
      </c>
      <c r="D17" s="83" t="str">
        <f ca="1">VLOOKUP($B17,OFFSET([2]quests!$A$1,0,0,COUNTA([2]quests!$A:$A),MATCH(D$1,[2]quests!$1:$1,0)-MATCH($B$1,[2]quests!$1:$1,0)+1),MATCH(D$1,[2]quests!$1:$1,0)-MATCH($B$1,[2]quests!$1:$1,0)+1,FALSE)</f>
        <v>童話シリーズ　超級</v>
      </c>
      <c r="E17" s="87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【中級】鉄壁の子豚要塞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童話シリーズ　超級</v>
      </c>
      <c r="H17" s="85">
        <v>0</v>
      </c>
      <c r="I17">
        <v>20</v>
      </c>
      <c r="J17" s="84" t="s">
        <v>198</v>
      </c>
      <c r="K17" s="93" t="str">
        <f>VLOOKUP(I17,[7]stage_hints!$A:$C,3,FALSE)</f>
        <v>マルチプレイのメリット（その3）</v>
      </c>
      <c r="L17" s="94" t="str">
        <f>VLOOKUP(I17,[7]stage_hints!$A:$D,4,FALSE)</f>
        <v>マルチプレイへの参加はエナジー消費ゼロ_x000D_いつでも好きなだけ遊ぶことができます</v>
      </c>
      <c r="M17" s="57" t="s">
        <v>199</v>
      </c>
    </row>
    <row r="18" spans="1:13" x14ac:dyDescent="0.15">
      <c r="A18" s="81" t="s">
        <v>200</v>
      </c>
      <c r="B18" s="82">
        <f>floors!$C$2</f>
        <v>30049</v>
      </c>
      <c r="C18" s="83" t="str">
        <f ca="1">VLOOKUP($B18,OFFSET([2]quests!$A$1,0,0,COUNTA([2]quests!$A:$A),MATCH(C$1,[2]quests!$1:$1,0)-MATCH($B$1,[2]quests!$1:$1,0)+1),MATCH(C$1,[2]quests!$1:$1,0)-MATCH($B$1,[2]quests!$1:$1,0)+1,FALSE)</f>
        <v>鉄壁の子豚要塞</v>
      </c>
      <c r="D18" s="83" t="str">
        <f ca="1">VLOOKUP($B18,OFFSET([2]quests!$A$1,0,0,COUNTA([2]quests!$A:$A),MATCH(D$1,[2]quests!$1:$1,0)-MATCH($B$1,[2]quests!$1:$1,0)+1),MATCH(D$1,[2]quests!$1:$1,0)-MATCH($B$1,[2]quests!$1:$1,0)+1,FALSE)</f>
        <v>童話シリーズ　超級</v>
      </c>
      <c r="E18" s="87">
        <v>1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【中級】鉄壁の子豚要塞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童話シリーズ　超級</v>
      </c>
      <c r="H18" s="85">
        <v>0</v>
      </c>
      <c r="I18">
        <v>21</v>
      </c>
      <c r="J18" s="84" t="s">
        <v>198</v>
      </c>
      <c r="K18" s="93" t="str">
        <f>VLOOKUP(I18,[7]stage_hints!$A:$C,3,FALSE)</f>
        <v>スキルを有効に</v>
      </c>
      <c r="L18" s="94" t="str">
        <f>VLOOKUP(I18,[7]stage_hints!$A:$D,4,FALSE)</f>
        <v>ターン経過でユニットのスキルが使えます_x000D_強力スキルでバトルを有利に進めましょう</v>
      </c>
      <c r="M18" s="57" t="s">
        <v>199</v>
      </c>
    </row>
    <row r="19" spans="1:13" x14ac:dyDescent="0.15">
      <c r="A19" s="81" t="s">
        <v>200</v>
      </c>
      <c r="B19" s="82">
        <f>floors!$C$2</f>
        <v>30049</v>
      </c>
      <c r="C19" s="83" t="str">
        <f ca="1">VLOOKUP($B19,OFFSET([2]quests!$A$1,0,0,COUNTA([2]quests!$A:$A),MATCH(C$1,[2]quests!$1:$1,0)-MATCH($B$1,[2]quests!$1:$1,0)+1),MATCH(C$1,[2]quests!$1:$1,0)-MATCH($B$1,[2]quests!$1:$1,0)+1,FALSE)</f>
        <v>鉄壁の子豚要塞</v>
      </c>
      <c r="D19" s="83" t="str">
        <f ca="1">VLOOKUP($B19,OFFSET([2]quests!$A$1,0,0,COUNTA([2]quests!$A:$A),MATCH(D$1,[2]quests!$1:$1,0)-MATCH($B$1,[2]quests!$1:$1,0)+1),MATCH(D$1,[2]quests!$1:$1,0)-MATCH($B$1,[2]quests!$1:$1,0)+1,FALSE)</f>
        <v>童話シリーズ　超級</v>
      </c>
      <c r="E19" s="87">
        <v>1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【中級】鉄壁の子豚要塞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童話シリーズ　超級</v>
      </c>
      <c r="H19" s="85">
        <v>0</v>
      </c>
      <c r="I19">
        <v>22</v>
      </c>
      <c r="J19" s="84" t="s">
        <v>198</v>
      </c>
      <c r="K19" s="93" t="str">
        <f>VLOOKUP(I19,[7]stage_hints!$A:$C,3,FALSE)</f>
        <v>フィーバーで一発逆転（その1）</v>
      </c>
      <c r="L19" s="94" t="str">
        <f>VLOOKUP(I19,[7]stage_hints!$A:$D,4,FALSE)</f>
        <v>フィーバーは攻撃と回復を兼ね備えます_x000D_ピンチからの一発逆転を狙いましょう</v>
      </c>
      <c r="M19" s="57" t="s">
        <v>199</v>
      </c>
    </row>
    <row r="20" spans="1:13" x14ac:dyDescent="0.15">
      <c r="A20" s="81" t="s">
        <v>200</v>
      </c>
      <c r="B20" s="82">
        <f>floors!$C$2</f>
        <v>30049</v>
      </c>
      <c r="C20" s="83" t="str">
        <f ca="1">VLOOKUP($B20,OFFSET([2]quests!$A$1,0,0,COUNTA([2]quests!$A:$A),MATCH(C$1,[2]quests!$1:$1,0)-MATCH($B$1,[2]quests!$1:$1,0)+1),MATCH(C$1,[2]quests!$1:$1,0)-MATCH($B$1,[2]quests!$1:$1,0)+1,FALSE)</f>
        <v>鉄壁の子豚要塞</v>
      </c>
      <c r="D20" s="83" t="str">
        <f ca="1">VLOOKUP($B20,OFFSET([2]quests!$A$1,0,0,COUNTA([2]quests!$A:$A),MATCH(D$1,[2]quests!$1:$1,0)-MATCH($B$1,[2]quests!$1:$1,0)+1),MATCH(D$1,[2]quests!$1:$1,0)-MATCH($B$1,[2]quests!$1:$1,0)+1,FALSE)</f>
        <v>童話シリーズ　超級</v>
      </c>
      <c r="E20" s="87">
        <v>1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【中級】鉄壁の子豚要塞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童話シリーズ　超級</v>
      </c>
      <c r="H20" s="85">
        <v>0</v>
      </c>
      <c r="I20">
        <v>23</v>
      </c>
      <c r="J20" s="84" t="s">
        <v>198</v>
      </c>
      <c r="K20" s="93" t="str">
        <f>VLOOKUP(I20,[7]stage_hints!$A:$C,3,FALSE)</f>
        <v>フィーバーで一発逆転（その2）</v>
      </c>
      <c r="L20" s="94" t="str">
        <f>VLOOKUP(I20,[7]stage_hints!$A:$D,4,FALSE)</f>
        <v>フィーバー中は虹色のボムパネルを狙って_x000D_画面上のパネルを一気に破壊しましょう</v>
      </c>
      <c r="M20" s="57" t="s">
        <v>199</v>
      </c>
    </row>
    <row r="21" spans="1:13" x14ac:dyDescent="0.15">
      <c r="A21" s="81" t="s">
        <v>200</v>
      </c>
      <c r="B21" s="82">
        <f>floors!$C$2</f>
        <v>30049</v>
      </c>
      <c r="C21" s="83" t="str">
        <f ca="1">VLOOKUP($B21,OFFSET([2]quests!$A$1,0,0,COUNTA([2]quests!$A:$A),MATCH(C$1,[2]quests!$1:$1,0)-MATCH($B$1,[2]quests!$1:$1,0)+1),MATCH(C$1,[2]quests!$1:$1,0)-MATCH($B$1,[2]quests!$1:$1,0)+1,FALSE)</f>
        <v>鉄壁の子豚要塞</v>
      </c>
      <c r="D21" s="83" t="str">
        <f ca="1">VLOOKUP($B21,OFFSET([2]quests!$A$1,0,0,COUNTA([2]quests!$A:$A),MATCH(D$1,[2]quests!$1:$1,0)-MATCH($B$1,[2]quests!$1:$1,0)+1),MATCH(D$1,[2]quests!$1:$1,0)-MATCH($B$1,[2]quests!$1:$1,0)+1,FALSE)</f>
        <v>童話シリーズ　超級</v>
      </c>
      <c r="E21" s="87">
        <v>1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【中級】鉄壁の子豚要塞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童話シリーズ　超級</v>
      </c>
      <c r="H21" s="85">
        <v>0</v>
      </c>
      <c r="I21">
        <v>24</v>
      </c>
      <c r="J21" s="84" t="s">
        <v>198</v>
      </c>
      <c r="K21" s="93" t="str">
        <f>VLOOKUP(I21,[7]stage_hints!$A:$C,3,FALSE)</f>
        <v>果実を使って限界突破</v>
      </c>
      <c r="L21" s="94" t="str">
        <f>VLOOKUP(I21,[7]stage_hints!$A:$D,4,FALSE)</f>
        <v>攻めの果実 癒しの果実_x000D_生命の果実をユニット強化に使うと_x000D_ステータスが限界突破します（計99個迄）</v>
      </c>
      <c r="M21" s="57" t="s">
        <v>199</v>
      </c>
    </row>
    <row r="22" spans="1:13" x14ac:dyDescent="0.15">
      <c r="A22" s="81" t="s">
        <v>200</v>
      </c>
      <c r="B22" s="82">
        <f>floors!$C$2</f>
        <v>30049</v>
      </c>
      <c r="C22" s="83" t="str">
        <f ca="1">VLOOKUP($B22,OFFSET([2]quests!$A$1,0,0,COUNTA([2]quests!$A:$A),MATCH(C$1,[2]quests!$1:$1,0)-MATCH($B$1,[2]quests!$1:$1,0)+1),MATCH(C$1,[2]quests!$1:$1,0)-MATCH($B$1,[2]quests!$1:$1,0)+1,FALSE)</f>
        <v>鉄壁の子豚要塞</v>
      </c>
      <c r="D22" s="83" t="str">
        <f ca="1">VLOOKUP($B22,OFFSET([2]quests!$A$1,0,0,COUNTA([2]quests!$A:$A),MATCH(D$1,[2]quests!$1:$1,0)-MATCH($B$1,[2]quests!$1:$1,0)+1),MATCH(D$1,[2]quests!$1:$1,0)-MATCH($B$1,[2]quests!$1:$1,0)+1,FALSE)</f>
        <v>童話シリーズ　超級</v>
      </c>
      <c r="E22" s="87">
        <v>1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【中級】鉄壁の子豚要塞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童話シリーズ　超級</v>
      </c>
      <c r="H22" s="85">
        <v>0</v>
      </c>
      <c r="I22">
        <v>25</v>
      </c>
      <c r="J22" s="84" t="s">
        <v>198</v>
      </c>
      <c r="K22" s="93" t="str">
        <f>VLOOKUP(I22,[7]stage_hints!$A:$C,3,FALSE)</f>
        <v>スキルレベルアップ</v>
      </c>
      <c r="L22" s="94" t="str">
        <f>VLOOKUP(I22,[7]stage_hints!$A:$D,4,FALSE)</f>
        <v>「秘術の果実」を強化に使うと_x000D_スキルレベルを上げることができます</v>
      </c>
      <c r="M22" s="57" t="s">
        <v>361</v>
      </c>
    </row>
    <row r="23" spans="1:13" x14ac:dyDescent="0.15">
      <c r="A23" s="81" t="s">
        <v>200</v>
      </c>
      <c r="B23" s="82">
        <f>floors!$C$2</f>
        <v>30049</v>
      </c>
      <c r="C23" s="83" t="str">
        <f ca="1">VLOOKUP($B23,OFFSET([2]quests!$A$1,0,0,COUNTA([2]quests!$A:$A),MATCH(C$1,[2]quests!$1:$1,0)-MATCH($B$1,[2]quests!$1:$1,0)+1),MATCH(C$1,[2]quests!$1:$1,0)-MATCH($B$1,[2]quests!$1:$1,0)+1,FALSE)</f>
        <v>鉄壁の子豚要塞</v>
      </c>
      <c r="D23" s="83" t="str">
        <f ca="1">VLOOKUP($B23,OFFSET([2]quests!$A$1,0,0,COUNTA([2]quests!$A:$A),MATCH(D$1,[2]quests!$1:$1,0)-MATCH($B$1,[2]quests!$1:$1,0)+1),MATCH(D$1,[2]quests!$1:$1,0)-MATCH($B$1,[2]quests!$1:$1,0)+1,FALSE)</f>
        <v>童話シリーズ　超級</v>
      </c>
      <c r="E23" s="87">
        <v>1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【中級】鉄壁の子豚要塞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童話シリーズ　超級</v>
      </c>
      <c r="H23" s="85">
        <v>0</v>
      </c>
      <c r="I23">
        <v>26</v>
      </c>
      <c r="J23" s="84" t="s">
        <v>198</v>
      </c>
      <c r="K23" s="93" t="str">
        <f>VLOOKUP(I23,[7]stage_hints!$A:$C,3,FALSE)</f>
        <v>スキルレベルの効果</v>
      </c>
      <c r="L23" s="94" t="str">
        <f>VLOOKUP(I23,[7]stage_hints!$A:$D,4,FALSE)</f>
        <v>スキルレベルが上がると_x000D_短いターンでスキルを使うことができます</v>
      </c>
      <c r="M23" s="57" t="s">
        <v>361</v>
      </c>
    </row>
    <row r="24" spans="1:13" x14ac:dyDescent="0.15">
      <c r="A24" s="81" t="s">
        <v>200</v>
      </c>
      <c r="B24" s="82">
        <f>floors!$C$2</f>
        <v>30049</v>
      </c>
      <c r="C24" s="83" t="str">
        <f ca="1">VLOOKUP($B24,OFFSET([2]quests!$A$1,0,0,COUNTA([2]quests!$A:$A),MATCH(C$1,[2]quests!$1:$1,0)-MATCH($B$1,[2]quests!$1:$1,0)+1),MATCH(C$1,[2]quests!$1:$1,0)-MATCH($B$1,[2]quests!$1:$1,0)+1,FALSE)</f>
        <v>鉄壁の子豚要塞</v>
      </c>
      <c r="D24" s="83" t="str">
        <f ca="1">VLOOKUP($B24,OFFSET([2]quests!$A$1,0,0,COUNTA([2]quests!$A:$A),MATCH(D$1,[2]quests!$1:$1,0)-MATCH($B$1,[2]quests!$1:$1,0)+1),MATCH(D$1,[2]quests!$1:$1,0)-MATCH($B$1,[2]quests!$1:$1,0)+1,FALSE)</f>
        <v>童話シリーズ　超級</v>
      </c>
      <c r="E24" s="87">
        <v>1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【中級】鉄壁の子豚要塞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童話シリーズ　超級</v>
      </c>
      <c r="H24" s="85">
        <v>0</v>
      </c>
      <c r="I24">
        <v>27</v>
      </c>
      <c r="J24" s="84" t="s">
        <v>198</v>
      </c>
      <c r="K24" s="93" t="str">
        <f>VLOOKUP(I24,[7]stage_hints!$A:$C,3,FALSE)</f>
        <v>ホーム画面からデッキを編成</v>
      </c>
      <c r="L24" s="94" t="str">
        <f>VLOOKUP(I24,[7]stage_hints!$A:$D,4,FALSE)</f>
        <v>ホーム画面でユニットを長押しすると_x000D_すぐにパーティ編成に移動できます</v>
      </c>
      <c r="M24" s="57" t="s">
        <v>361</v>
      </c>
    </row>
    <row r="25" spans="1:13" x14ac:dyDescent="0.15">
      <c r="A25" s="81" t="s">
        <v>200</v>
      </c>
      <c r="B25" s="82">
        <f>floors!$C$2</f>
        <v>30049</v>
      </c>
      <c r="C25" s="83" t="str">
        <f ca="1">VLOOKUP($B25,OFFSET([2]quests!$A$1,0,0,COUNTA([2]quests!$A:$A),MATCH(C$1,[2]quests!$1:$1,0)-MATCH($B$1,[2]quests!$1:$1,0)+1),MATCH(C$1,[2]quests!$1:$1,0)-MATCH($B$1,[2]quests!$1:$1,0)+1,FALSE)</f>
        <v>鉄壁の子豚要塞</v>
      </c>
      <c r="D25" s="83" t="str">
        <f ca="1">VLOOKUP($B25,OFFSET([2]quests!$A$1,0,0,COUNTA([2]quests!$A:$A),MATCH(D$1,[2]quests!$1:$1,0)-MATCH($B$1,[2]quests!$1:$1,0)+1),MATCH(D$1,[2]quests!$1:$1,0)-MATCH($B$1,[2]quests!$1:$1,0)+1,FALSE)</f>
        <v>童話シリーズ　超級</v>
      </c>
      <c r="E25" s="87">
        <v>1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【中級】鉄壁の子豚要塞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童話シリーズ　超級</v>
      </c>
      <c r="H25" s="85">
        <v>0</v>
      </c>
      <c r="I25">
        <v>28</v>
      </c>
      <c r="J25" s="84" t="s">
        <v>198</v>
      </c>
      <c r="K25" s="93" t="str">
        <f>VLOOKUP(I25,[7]stage_hints!$A:$C,3,FALSE)</f>
        <v>ステータス情報は長押しで</v>
      </c>
      <c r="L25" s="94" t="str">
        <f>VLOOKUP(I25,[7]stage_hints!$A:$D,4,FALSE)</f>
        <v>ユニットのアイコンを長押しすると_x000D_ステータス情報を確認することができます</v>
      </c>
      <c r="M25" s="57" t="s">
        <v>199</v>
      </c>
    </row>
    <row r="26" spans="1:13" x14ac:dyDescent="0.15">
      <c r="A26" s="81" t="s">
        <v>200</v>
      </c>
      <c r="B26" s="82">
        <f>floors!$C$2</f>
        <v>30049</v>
      </c>
      <c r="C26" s="83" t="str">
        <f ca="1">VLOOKUP($B26,OFFSET([2]quests!$A$1,0,0,COUNTA([2]quests!$A:$A),MATCH(C$1,[2]quests!$1:$1,0)-MATCH($B$1,[2]quests!$1:$1,0)+1),MATCH(C$1,[2]quests!$1:$1,0)-MATCH($B$1,[2]quests!$1:$1,0)+1,FALSE)</f>
        <v>鉄壁の子豚要塞</v>
      </c>
      <c r="D26" s="83" t="str">
        <f ca="1">VLOOKUP($B26,OFFSET([2]quests!$A$1,0,0,COUNTA([2]quests!$A:$A),MATCH(D$1,[2]quests!$1:$1,0)-MATCH($B$1,[2]quests!$1:$1,0)+1),MATCH(D$1,[2]quests!$1:$1,0)-MATCH($B$1,[2]quests!$1:$1,0)+1,FALSE)</f>
        <v>童話シリーズ　超級</v>
      </c>
      <c r="E26" s="87">
        <v>1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【中級】鉄壁の子豚要塞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童話シリーズ　超級</v>
      </c>
      <c r="H26" s="85">
        <v>0</v>
      </c>
      <c r="I26">
        <v>29</v>
      </c>
      <c r="J26" s="84" t="s">
        <v>198</v>
      </c>
      <c r="K26" s="93" t="str">
        <f>VLOOKUP(I26,[7]stage_hints!$A:$C,3,FALSE)</f>
        <v>「バグ」のメリット</v>
      </c>
      <c r="L26" s="94" t="str">
        <f>VLOOKUP(I26,[7]stage_hints!$A:$D,4,FALSE)</f>
        <v>ユニットの「バグ」を増やすと_x000D_報酬をもらえる確率がアップします</v>
      </c>
      <c r="M26" s="57" t="s">
        <v>199</v>
      </c>
    </row>
    <row r="27" spans="1:13" x14ac:dyDescent="0.15">
      <c r="A27" s="81" t="s">
        <v>200</v>
      </c>
      <c r="B27" s="82">
        <f>floors!$C$2</f>
        <v>30049</v>
      </c>
      <c r="C27" s="83" t="str">
        <f ca="1">VLOOKUP($B27,OFFSET([2]quests!$A$1,0,0,COUNTA([2]quests!$A:$A),MATCH(C$1,[2]quests!$1:$1,0)-MATCH($B$1,[2]quests!$1:$1,0)+1),MATCH(C$1,[2]quests!$1:$1,0)-MATCH($B$1,[2]quests!$1:$1,0)+1,FALSE)</f>
        <v>鉄壁の子豚要塞</v>
      </c>
      <c r="D27" s="83" t="str">
        <f ca="1">VLOOKUP($B27,OFFSET([2]quests!$A$1,0,0,COUNTA([2]quests!$A:$A),MATCH(D$1,[2]quests!$1:$1,0)-MATCH($B$1,[2]quests!$1:$1,0)+1),MATCH(D$1,[2]quests!$1:$1,0)-MATCH($B$1,[2]quests!$1:$1,0)+1,FALSE)</f>
        <v>童話シリーズ　超級</v>
      </c>
      <c r="E27" s="87">
        <v>1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【中級】鉄壁の子豚要塞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童話シリーズ　超級</v>
      </c>
      <c r="H27" s="85">
        <v>0</v>
      </c>
      <c r="I27">
        <v>30</v>
      </c>
      <c r="J27" s="84" t="s">
        <v>198</v>
      </c>
      <c r="K27" s="93" t="str">
        <f>VLOOKUP(I27,[7]stage_hints!$A:$C,3,FALSE)</f>
        <v>「バグ」の増やし方</v>
      </c>
      <c r="L27" s="94" t="str">
        <f>VLOOKUP(I27,[7]stage_hints!$A:$D,4,FALSE)</f>
        <v>同じユニット同士を強化で合成すると_x000D_「バグ」を増やすことができます</v>
      </c>
      <c r="M27" s="57" t="s">
        <v>199</v>
      </c>
    </row>
    <row r="28" spans="1:13" x14ac:dyDescent="0.15">
      <c r="A28" s="81" t="s">
        <v>200</v>
      </c>
      <c r="B28" s="82">
        <f>floors!$C$2</f>
        <v>30049</v>
      </c>
      <c r="C28" s="83" t="str">
        <f ca="1">VLOOKUP($B28,OFFSET([2]quests!$A$1,0,0,COUNTA([2]quests!$A:$A),MATCH(C$1,[2]quests!$1:$1,0)-MATCH($B$1,[2]quests!$1:$1,0)+1),MATCH(C$1,[2]quests!$1:$1,0)-MATCH($B$1,[2]quests!$1:$1,0)+1,FALSE)</f>
        <v>鉄壁の子豚要塞</v>
      </c>
      <c r="D28" s="83" t="str">
        <f ca="1">VLOOKUP($B28,OFFSET([2]quests!$A$1,0,0,COUNTA([2]quests!$A:$A),MATCH(D$1,[2]quests!$1:$1,0)-MATCH($B$1,[2]quests!$1:$1,0)+1),MATCH(D$1,[2]quests!$1:$1,0)-MATCH($B$1,[2]quests!$1:$1,0)+1,FALSE)</f>
        <v>童話シリーズ　超級</v>
      </c>
      <c r="E28" s="87">
        <v>1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【中級】鉄壁の子豚要塞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童話シリーズ　超級</v>
      </c>
      <c r="H28" s="85">
        <v>0</v>
      </c>
      <c r="I28">
        <v>31</v>
      </c>
      <c r="J28" s="84" t="s">
        <v>359</v>
      </c>
      <c r="K28" s="93" t="str">
        <f>VLOOKUP(I28,[7]stage_hints!$A:$C,3,FALSE)</f>
        <v>イベントはお知らせでチェック</v>
      </c>
      <c r="L28" s="94" t="str">
        <f>VLOOKUP(I28,[7]stage_hints!$A:$D,4,FALSE)</f>
        <v>イベント限定ユニットを取り忘れないように_x000D_お知らせをこまめにチェックしましょう</v>
      </c>
      <c r="M28" s="57" t="s">
        <v>199</v>
      </c>
    </row>
    <row r="29" spans="1:13" x14ac:dyDescent="0.15">
      <c r="A29" s="81" t="s">
        <v>200</v>
      </c>
      <c r="B29" s="82">
        <f>floors!$C$2</f>
        <v>30049</v>
      </c>
      <c r="C29" s="83" t="str">
        <f ca="1">VLOOKUP($B29,OFFSET([2]quests!$A$1,0,0,COUNTA([2]quests!$A:$A),MATCH(C$1,[2]quests!$1:$1,0)-MATCH($B$1,[2]quests!$1:$1,0)+1),MATCH(C$1,[2]quests!$1:$1,0)-MATCH($B$1,[2]quests!$1:$1,0)+1,FALSE)</f>
        <v>鉄壁の子豚要塞</v>
      </c>
      <c r="D29" s="83" t="str">
        <f ca="1">VLOOKUP($B29,OFFSET([2]quests!$A$1,0,0,COUNTA([2]quests!$A:$A),MATCH(D$1,[2]quests!$1:$1,0)-MATCH($B$1,[2]quests!$1:$1,0)+1),MATCH(D$1,[2]quests!$1:$1,0)-MATCH($B$1,[2]quests!$1:$1,0)+1,FALSE)</f>
        <v>童話シリーズ　超級</v>
      </c>
      <c r="E29" s="87">
        <v>1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【中級】鉄壁の子豚要塞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童話シリーズ　超級</v>
      </c>
      <c r="H29" s="85">
        <v>0</v>
      </c>
      <c r="I29">
        <v>32</v>
      </c>
      <c r="J29" s="84" t="s">
        <v>198</v>
      </c>
      <c r="K29" s="93" t="str">
        <f>VLOOKUP(I29,[7]stage_hints!$A:$C,3,FALSE)</f>
        <v>敵の連続攻撃には</v>
      </c>
      <c r="L29" s="94" t="str">
        <f>VLOOKUP(I29,[7]stage_hints!$A:$D,4,FALSE)</f>
        <v>カウンタースキルを持つユニットがいれば_x000D_ダメージ回数分の反撃ができます</v>
      </c>
      <c r="M29" s="57" t="s">
        <v>199</v>
      </c>
    </row>
    <row r="30" spans="1:13" x14ac:dyDescent="0.15">
      <c r="A30" s="81" t="s">
        <v>200</v>
      </c>
      <c r="B30" s="82">
        <f>floors!$C$2</f>
        <v>30049</v>
      </c>
      <c r="C30" s="83" t="str">
        <f ca="1">VLOOKUP($B30,OFFSET([2]quests!$A$1,0,0,COUNTA([2]quests!$A:$A),MATCH(C$1,[2]quests!$1:$1,0)-MATCH($B$1,[2]quests!$1:$1,0)+1),MATCH(C$1,[2]quests!$1:$1,0)-MATCH($B$1,[2]quests!$1:$1,0)+1,FALSE)</f>
        <v>鉄壁の子豚要塞</v>
      </c>
      <c r="D30" s="83" t="str">
        <f ca="1">VLOOKUP($B30,OFFSET([2]quests!$A$1,0,0,COUNTA([2]quests!$A:$A),MATCH(D$1,[2]quests!$1:$1,0)-MATCH($B$1,[2]quests!$1:$1,0)+1),MATCH(D$1,[2]quests!$1:$1,0)-MATCH($B$1,[2]quests!$1:$1,0)+1,FALSE)</f>
        <v>童話シリーズ　超級</v>
      </c>
      <c r="E30" s="87">
        <v>1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【中級】鉄壁の子豚要塞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童話シリーズ　超級</v>
      </c>
      <c r="H30" s="85">
        <v>0</v>
      </c>
      <c r="I30">
        <v>33</v>
      </c>
      <c r="J30" s="84" t="s">
        <v>198</v>
      </c>
      <c r="K30" s="93" t="str">
        <f>VLOOKUP(I30,[7]stage_hints!$A:$C,3,FALSE)</f>
        <v>敵のカウンター攻撃には</v>
      </c>
      <c r="L30" s="94" t="str">
        <f>VLOOKUP(I30,[7]stage_hints!$A:$D,4,FALSE)</f>
        <v>カウンターブレイクスキルを持っていれば_x000D_敵のカウンターを解除して攻撃ができます</v>
      </c>
      <c r="M30" s="57" t="s">
        <v>362</v>
      </c>
    </row>
    <row r="31" spans="1:13" x14ac:dyDescent="0.15">
      <c r="A31" s="81" t="s">
        <v>200</v>
      </c>
      <c r="B31" s="82">
        <f>floors!$C$2</f>
        <v>30049</v>
      </c>
      <c r="C31" s="83" t="str">
        <f ca="1">VLOOKUP($B31,OFFSET([2]quests!$A$1,0,0,COUNTA([2]quests!$A:$A),MATCH(C$1,[2]quests!$1:$1,0)-MATCH($B$1,[2]quests!$1:$1,0)+1),MATCH(C$1,[2]quests!$1:$1,0)-MATCH($B$1,[2]quests!$1:$1,0)+1,FALSE)</f>
        <v>鉄壁の子豚要塞</v>
      </c>
      <c r="D31" s="83" t="str">
        <f ca="1">VLOOKUP($B31,OFFSET([2]quests!$A$1,0,0,COUNTA([2]quests!$A:$A),MATCH(D$1,[2]quests!$1:$1,0)-MATCH($B$1,[2]quests!$1:$1,0)+1),MATCH(D$1,[2]quests!$1:$1,0)-MATCH($B$1,[2]quests!$1:$1,0)+1,FALSE)</f>
        <v>童話シリーズ　超級</v>
      </c>
      <c r="E31" s="87">
        <v>1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【中級】鉄壁の子豚要塞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童話シリーズ　超級</v>
      </c>
      <c r="H31" s="85">
        <v>0</v>
      </c>
      <c r="I31">
        <v>34</v>
      </c>
      <c r="J31" s="84" t="s">
        <v>198</v>
      </c>
      <c r="K31" s="93" t="str">
        <f>VLOOKUP(I31,[7]stage_hints!$A:$C,3,FALSE)</f>
        <v>ステータスをスキルで下げられたら</v>
      </c>
      <c r="L31" s="94" t="str">
        <f>VLOOKUP(I31,[7]stage_hints!$A:$D,4,FALSE)</f>
        <v>ステータスダウンのスキルを受けたら_x000D_ステータスアップスキルで上書きしましょう</v>
      </c>
      <c r="M31" s="57" t="s">
        <v>199</v>
      </c>
    </row>
    <row r="32" spans="1:13" x14ac:dyDescent="0.15">
      <c r="A32" s="81" t="s">
        <v>200</v>
      </c>
      <c r="B32" s="82">
        <f>floors!$C$2</f>
        <v>30049</v>
      </c>
      <c r="C32" s="83" t="str">
        <f ca="1">VLOOKUP($B32,OFFSET([2]quests!$A$1,0,0,COUNTA([2]quests!$A:$A),MATCH(C$1,[2]quests!$1:$1,0)-MATCH($B$1,[2]quests!$1:$1,0)+1),MATCH(C$1,[2]quests!$1:$1,0)-MATCH($B$1,[2]quests!$1:$1,0)+1,FALSE)</f>
        <v>鉄壁の子豚要塞</v>
      </c>
      <c r="D32" s="83" t="str">
        <f ca="1">VLOOKUP($B32,OFFSET([2]quests!$A$1,0,0,COUNTA([2]quests!$A:$A),MATCH(D$1,[2]quests!$1:$1,0)-MATCH($B$1,[2]quests!$1:$1,0)+1),MATCH(D$1,[2]quests!$1:$1,0)-MATCH($B$1,[2]quests!$1:$1,0)+1,FALSE)</f>
        <v>童話シリーズ　超級</v>
      </c>
      <c r="E32" s="87">
        <v>1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【中級】鉄壁の子豚要塞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童話シリーズ　超級</v>
      </c>
      <c r="H32" s="85">
        <v>0</v>
      </c>
      <c r="I32">
        <v>35</v>
      </c>
      <c r="J32" s="84" t="s">
        <v>198</v>
      </c>
      <c r="K32" s="93" t="str">
        <f>VLOOKUP(I32,[7]stage_hints!$A:$C,3,FALSE)</f>
        <v>敵のステータスがスキルで上がったら</v>
      </c>
      <c r="L32" s="94" t="str">
        <f>VLOOKUP(I32,[7]stage_hints!$A:$D,4,FALSE)</f>
        <v>敵のステータスがスキルでアップしたときは_x000D_ステータスダウンスキルで上書きしましょう</v>
      </c>
      <c r="M32" s="57" t="s">
        <v>199</v>
      </c>
    </row>
    <row r="33" spans="1:13" x14ac:dyDescent="0.15">
      <c r="A33" s="81" t="s">
        <v>200</v>
      </c>
      <c r="B33" s="82">
        <f>floors!$C$2</f>
        <v>30049</v>
      </c>
      <c r="C33" s="83" t="str">
        <f ca="1">VLOOKUP($B33,OFFSET([2]quests!$A$1,0,0,COUNTA([2]quests!$A:$A),MATCH(C$1,[2]quests!$1:$1,0)-MATCH($B$1,[2]quests!$1:$1,0)+1),MATCH(C$1,[2]quests!$1:$1,0)-MATCH($B$1,[2]quests!$1:$1,0)+1,FALSE)</f>
        <v>鉄壁の子豚要塞</v>
      </c>
      <c r="D33" s="83" t="str">
        <f ca="1">VLOOKUP($B33,OFFSET([2]quests!$A$1,0,0,COUNTA([2]quests!$A:$A),MATCH(D$1,[2]quests!$1:$1,0)-MATCH($B$1,[2]quests!$1:$1,0)+1),MATCH(D$1,[2]quests!$1:$1,0)-MATCH($B$1,[2]quests!$1:$1,0)+1,FALSE)</f>
        <v>童話シリーズ　超級</v>
      </c>
      <c r="E33" s="87">
        <v>1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【中級】鉄壁の子豚要塞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童話シリーズ　超級</v>
      </c>
      <c r="H33" s="85">
        <v>0</v>
      </c>
      <c r="I33">
        <v>39</v>
      </c>
      <c r="J33" s="84" t="s">
        <v>198</v>
      </c>
      <c r="K33" s="93" t="str">
        <f>VLOOKUP(I33,[7]stage_hints!$A:$C,3,FALSE)</f>
        <v>システム適合者を確認</v>
      </c>
      <c r="L33" s="94" t="str">
        <f>VLOOKUP(I33,[7]stage_hints!$A:$D,4,FALSE)</f>
        <v>ALICEが 「アナタ」を呼んでいます</v>
      </c>
      <c r="M33" s="57" t="s">
        <v>199</v>
      </c>
    </row>
    <row r="34" spans="1:13" x14ac:dyDescent="0.15">
      <c r="A34" s="81" t="s">
        <v>200</v>
      </c>
      <c r="B34" s="82">
        <f>floors!$C$2</f>
        <v>30049</v>
      </c>
      <c r="C34" s="83" t="str">
        <f ca="1">VLOOKUP($B34,OFFSET([2]quests!$A$1,0,0,COUNTA([2]quests!$A:$A),MATCH(C$1,[2]quests!$1:$1,0)-MATCH($B$1,[2]quests!$1:$1,0)+1),MATCH(C$1,[2]quests!$1:$1,0)-MATCH($B$1,[2]quests!$1:$1,0)+1,FALSE)</f>
        <v>鉄壁の子豚要塞</v>
      </c>
      <c r="D34" s="83" t="str">
        <f ca="1">VLOOKUP($B34,OFFSET([2]quests!$A$1,0,0,COUNTA([2]quests!$A:$A),MATCH(D$1,[2]quests!$1:$1,0)-MATCH($B$1,[2]quests!$1:$1,0)+1),MATCH(D$1,[2]quests!$1:$1,0)-MATCH($B$1,[2]quests!$1:$1,0)+1,FALSE)</f>
        <v>童話シリーズ　超級</v>
      </c>
      <c r="E34" s="87">
        <v>2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【上級】鉄壁の子豚要塞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童話シリーズ　超級</v>
      </c>
      <c r="H34" s="85">
        <v>0</v>
      </c>
      <c r="I34" s="96">
        <v>3</v>
      </c>
      <c r="J34" s="84" t="s">
        <v>198</v>
      </c>
      <c r="K34" s="93" t="str">
        <f>VLOOKUP(I34,[7]stage_hints!$A:$C,3,FALSE)</f>
        <v>ターゲット</v>
      </c>
      <c r="L34" s="94" t="str">
        <f>VLOOKUP(I34,[7]stage_hints!$A:$D,4,FALSE)</f>
        <v>敵ユニットをタップすると_x000D_その敵を狙い撃ちできます</v>
      </c>
      <c r="M34" s="57" t="s">
        <v>199</v>
      </c>
    </row>
    <row r="35" spans="1:13" x14ac:dyDescent="0.15">
      <c r="A35" s="81" t="s">
        <v>200</v>
      </c>
      <c r="B35" s="82">
        <f>floors!$C$2</f>
        <v>30049</v>
      </c>
      <c r="C35" s="83" t="str">
        <f ca="1">VLOOKUP($B35,OFFSET([2]quests!$A$1,0,0,COUNTA([2]quests!$A:$A),MATCH(C$1,[2]quests!$1:$1,0)-MATCH($B$1,[2]quests!$1:$1,0)+1),MATCH(C$1,[2]quests!$1:$1,0)-MATCH($B$1,[2]quests!$1:$1,0)+1,FALSE)</f>
        <v>鉄壁の子豚要塞</v>
      </c>
      <c r="D35" s="83" t="str">
        <f ca="1">VLOOKUP($B35,OFFSET([2]quests!$A$1,0,0,COUNTA([2]quests!$A:$A),MATCH(D$1,[2]quests!$1:$1,0)-MATCH($B$1,[2]quests!$1:$1,0)+1),MATCH(D$1,[2]quests!$1:$1,0)-MATCH($B$1,[2]quests!$1:$1,0)+1,FALSE)</f>
        <v>童話シリーズ　超級</v>
      </c>
      <c r="E35" s="87">
        <v>2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【上級】鉄壁の子豚要塞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童話シリーズ　超級</v>
      </c>
      <c r="H35" s="85">
        <v>0</v>
      </c>
      <c r="I35" s="96">
        <v>6</v>
      </c>
      <c r="J35" s="84" t="s">
        <v>198</v>
      </c>
      <c r="K35" s="93" t="str">
        <f>VLOOKUP(I35,[7]stage_hints!$A:$C,3,FALSE)</f>
        <v>ユニット強化の属性ボーナス</v>
      </c>
      <c r="L35" s="94" t="str">
        <f>VLOOKUP(I35,[7]stage_hints!$A:$D,4,FALSE)</f>
        <v>同属性ユニットを強化素材にすると_x000D_経験値が多くもらえます</v>
      </c>
      <c r="M35" s="57" t="s">
        <v>363</v>
      </c>
    </row>
    <row r="36" spans="1:13" x14ac:dyDescent="0.15">
      <c r="A36" s="81" t="s">
        <v>200</v>
      </c>
      <c r="B36" s="82">
        <f>floors!$C$2</f>
        <v>30049</v>
      </c>
      <c r="C36" s="83" t="str">
        <f ca="1">VLOOKUP($B36,OFFSET([2]quests!$A$1,0,0,COUNTA([2]quests!$A:$A),MATCH(C$1,[2]quests!$1:$1,0)-MATCH($B$1,[2]quests!$1:$1,0)+1),MATCH(C$1,[2]quests!$1:$1,0)-MATCH($B$1,[2]quests!$1:$1,0)+1,FALSE)</f>
        <v>鉄壁の子豚要塞</v>
      </c>
      <c r="D36" s="83" t="str">
        <f ca="1">VLOOKUP($B36,OFFSET([2]quests!$A$1,0,0,COUNTA([2]quests!$A:$A),MATCH(D$1,[2]quests!$1:$1,0)-MATCH($B$1,[2]quests!$1:$1,0)+1),MATCH(D$1,[2]quests!$1:$1,0)-MATCH($B$1,[2]quests!$1:$1,0)+1,FALSE)</f>
        <v>童話シリーズ　超級</v>
      </c>
      <c r="E36" s="87">
        <v>2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【上級】鉄壁の子豚要塞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童話シリーズ　超級</v>
      </c>
      <c r="H36" s="85">
        <v>0</v>
      </c>
      <c r="I36" s="96">
        <v>7</v>
      </c>
      <c r="J36" s="84" t="s">
        <v>198</v>
      </c>
      <c r="K36" s="93" t="str">
        <f>VLOOKUP(I36,[7]stage_hints!$A:$C,3,FALSE)</f>
        <v>メタルダックで経験値を獲得</v>
      </c>
      <c r="L36" s="94" t="str">
        <f>VLOOKUP(I36,[7]stage_hints!$A:$D,4,FALSE)</f>
        <v>「メタルなアヒル」を強化素材にすると_x000D_大量の経験値がもらえます</v>
      </c>
      <c r="M36" s="57" t="s">
        <v>199</v>
      </c>
    </row>
    <row r="37" spans="1:13" x14ac:dyDescent="0.15">
      <c r="A37" s="81" t="s">
        <v>200</v>
      </c>
      <c r="B37" s="82">
        <f>floors!$C$2</f>
        <v>30049</v>
      </c>
      <c r="C37" s="83" t="str">
        <f ca="1">VLOOKUP($B37,OFFSET([2]quests!$A$1,0,0,COUNTA([2]quests!$A:$A),MATCH(C$1,[2]quests!$1:$1,0)-MATCH($B$1,[2]quests!$1:$1,0)+1),MATCH(C$1,[2]quests!$1:$1,0)-MATCH($B$1,[2]quests!$1:$1,0)+1,FALSE)</f>
        <v>鉄壁の子豚要塞</v>
      </c>
      <c r="D37" s="83" t="str">
        <f ca="1">VLOOKUP($B37,OFFSET([2]quests!$A$1,0,0,COUNTA([2]quests!$A:$A),MATCH(D$1,[2]quests!$1:$1,0)-MATCH($B$1,[2]quests!$1:$1,0)+1),MATCH(D$1,[2]quests!$1:$1,0)-MATCH($B$1,[2]quests!$1:$1,0)+1,FALSE)</f>
        <v>童話シリーズ　超級</v>
      </c>
      <c r="E37" s="87">
        <v>2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【上級】鉄壁の子豚要塞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童話シリーズ　超級</v>
      </c>
      <c r="H37" s="85">
        <v>0</v>
      </c>
      <c r="I37" s="96">
        <v>8</v>
      </c>
      <c r="J37" s="84" t="s">
        <v>364</v>
      </c>
      <c r="K37" s="93" t="str">
        <f>VLOOKUP(I37,[7]stage_hints!$A:$C,3,FALSE)</f>
        <v>ゲリラクエストは要チェック</v>
      </c>
      <c r="L37" s="94" t="str">
        <f>VLOOKUP(I37,[7]stage_hints!$A:$D,4,FALSE)</f>
        <v>時間限定の「アヒル捕獲作戦」では_x000D_経験値素材ユニットが多く手に入ります</v>
      </c>
      <c r="M37" s="57" t="s">
        <v>199</v>
      </c>
    </row>
    <row r="38" spans="1:13" x14ac:dyDescent="0.15">
      <c r="A38" s="81" t="s">
        <v>200</v>
      </c>
      <c r="B38" s="82">
        <f>floors!$C$2</f>
        <v>30049</v>
      </c>
      <c r="C38" s="83" t="str">
        <f ca="1">VLOOKUP($B38,OFFSET([2]quests!$A$1,0,0,COUNTA([2]quests!$A:$A),MATCH(C$1,[2]quests!$1:$1,0)-MATCH($B$1,[2]quests!$1:$1,0)+1),MATCH(C$1,[2]quests!$1:$1,0)-MATCH($B$1,[2]quests!$1:$1,0)+1,FALSE)</f>
        <v>鉄壁の子豚要塞</v>
      </c>
      <c r="D38" s="83" t="str">
        <f ca="1">VLOOKUP($B38,OFFSET([2]quests!$A$1,0,0,COUNTA([2]quests!$A:$A),MATCH(D$1,[2]quests!$1:$1,0)-MATCH($B$1,[2]quests!$1:$1,0)+1),MATCH(D$1,[2]quests!$1:$1,0)-MATCH($B$1,[2]quests!$1:$1,0)+1,FALSE)</f>
        <v>童話シリーズ　超級</v>
      </c>
      <c r="E38" s="87">
        <v>2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【上級】鉄壁の子豚要塞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童話シリーズ　超級</v>
      </c>
      <c r="H38" s="85">
        <v>0</v>
      </c>
      <c r="I38" s="96">
        <v>9</v>
      </c>
      <c r="J38" s="84" t="s">
        <v>198</v>
      </c>
      <c r="K38" s="93" t="str">
        <f>VLOOKUP(I38,[7]stage_hints!$A:$C,3,FALSE)</f>
        <v>ゴールドダックでビットを獲得</v>
      </c>
      <c r="L38" s="94" t="str">
        <f>VLOOKUP(I38,[7]stage_hints!$A:$D,4,FALSE)</f>
        <v>「ゴールドなアヒル」を売却すると_x000D_大量のビットがもらえます</v>
      </c>
      <c r="M38" s="57" t="s">
        <v>199</v>
      </c>
    </row>
    <row r="39" spans="1:13" x14ac:dyDescent="0.15">
      <c r="A39" s="81" t="s">
        <v>200</v>
      </c>
      <c r="B39" s="82">
        <f>floors!$C$2</f>
        <v>30049</v>
      </c>
      <c r="C39" s="83" t="str">
        <f ca="1">VLOOKUP($B39,OFFSET([2]quests!$A$1,0,0,COUNTA([2]quests!$A:$A),MATCH(C$1,[2]quests!$1:$1,0)-MATCH($B$1,[2]quests!$1:$1,0)+1),MATCH(C$1,[2]quests!$1:$1,0)-MATCH($B$1,[2]quests!$1:$1,0)+1,FALSE)</f>
        <v>鉄壁の子豚要塞</v>
      </c>
      <c r="D39" s="83" t="str">
        <f ca="1">VLOOKUP($B39,OFFSET([2]quests!$A$1,0,0,COUNTA([2]quests!$A:$A),MATCH(D$1,[2]quests!$1:$1,0)-MATCH($B$1,[2]quests!$1:$1,0)+1),MATCH(D$1,[2]quests!$1:$1,0)-MATCH($B$1,[2]quests!$1:$1,0)+1,FALSE)</f>
        <v>童話シリーズ　超級</v>
      </c>
      <c r="E39" s="87">
        <v>2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【上級】鉄壁の子豚要塞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童話シリーズ　超級</v>
      </c>
      <c r="H39" s="85">
        <v>0</v>
      </c>
      <c r="I39" s="96">
        <v>10</v>
      </c>
      <c r="J39" s="84" t="s">
        <v>198</v>
      </c>
      <c r="K39" s="93" t="str">
        <f>VLOOKUP(I39,[7]stage_hints!$A:$C,3,FALSE)</f>
        <v>土日に大量のビットを獲得</v>
      </c>
      <c r="L39" s="94" t="str">
        <f>VLOOKUP(I39,[7]stage_hints!$A:$D,4,FALSE)</f>
        <v>土日限定の「ゴールドカジノ」では_x000D_売却素材ユニットが多く手に入ります</v>
      </c>
      <c r="M39" s="57" t="s">
        <v>199</v>
      </c>
    </row>
    <row r="40" spans="1:13" x14ac:dyDescent="0.15">
      <c r="A40" s="81" t="s">
        <v>200</v>
      </c>
      <c r="B40" s="82">
        <f>floors!$C$2</f>
        <v>30049</v>
      </c>
      <c r="C40" s="83" t="str">
        <f ca="1">VLOOKUP($B40,OFFSET([2]quests!$A$1,0,0,COUNTA([2]quests!$A:$A),MATCH(C$1,[2]quests!$1:$1,0)-MATCH($B$1,[2]quests!$1:$1,0)+1),MATCH(C$1,[2]quests!$1:$1,0)-MATCH($B$1,[2]quests!$1:$1,0)+1,FALSE)</f>
        <v>鉄壁の子豚要塞</v>
      </c>
      <c r="D40" s="83" t="str">
        <f ca="1">VLOOKUP($B40,OFFSET([2]quests!$A$1,0,0,COUNTA([2]quests!$A:$A),MATCH(D$1,[2]quests!$1:$1,0)-MATCH($B$1,[2]quests!$1:$1,0)+1),MATCH(D$1,[2]quests!$1:$1,0)-MATCH($B$1,[2]quests!$1:$1,0)+1,FALSE)</f>
        <v>童話シリーズ　超級</v>
      </c>
      <c r="E40" s="87">
        <v>2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【上級】鉄壁の子豚要塞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童話シリーズ　超級</v>
      </c>
      <c r="H40" s="85">
        <v>0</v>
      </c>
      <c r="I40" s="96">
        <v>11</v>
      </c>
      <c r="J40" s="84" t="s">
        <v>198</v>
      </c>
      <c r="K40" s="93" t="str">
        <f>VLOOKUP(I40,[7]stage_hints!$A:$C,3,FALSE)</f>
        <v>ゲリラクエストは要チェック</v>
      </c>
      <c r="L40" s="94" t="str">
        <f>VLOOKUP(I40,[7]stage_hints!$A:$D,4,FALSE)</f>
        <v>時間限定の「アヒル捕獲作戦」では_x000D_経験値素材ユニットが多く手に入ります</v>
      </c>
      <c r="M40" s="57" t="s">
        <v>199</v>
      </c>
    </row>
    <row r="41" spans="1:13" x14ac:dyDescent="0.15">
      <c r="A41" s="81" t="s">
        <v>200</v>
      </c>
      <c r="B41" s="82">
        <f>floors!$C$2</f>
        <v>30049</v>
      </c>
      <c r="C41" s="83" t="str">
        <f ca="1">VLOOKUP($B41,OFFSET([2]quests!$A$1,0,0,COUNTA([2]quests!$A:$A),MATCH(C$1,[2]quests!$1:$1,0)-MATCH($B$1,[2]quests!$1:$1,0)+1),MATCH(C$1,[2]quests!$1:$1,0)-MATCH($B$1,[2]quests!$1:$1,0)+1,FALSE)</f>
        <v>鉄壁の子豚要塞</v>
      </c>
      <c r="D41" s="83" t="str">
        <f ca="1">VLOOKUP($B41,OFFSET([2]quests!$A$1,0,0,COUNTA([2]quests!$A:$A),MATCH(D$1,[2]quests!$1:$1,0)-MATCH($B$1,[2]quests!$1:$1,0)+1),MATCH(D$1,[2]quests!$1:$1,0)-MATCH($B$1,[2]quests!$1:$1,0)+1,FALSE)</f>
        <v>童話シリーズ　超級</v>
      </c>
      <c r="E41" s="87">
        <v>2</v>
      </c>
      <c r="F41" s="83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【上級】鉄壁の子豚要塞</v>
      </c>
      <c r="G41" s="83" t="str">
        <f ca="1">VLOOKUP($B41&amp;"_"&amp;$E41,OFFSET([2]stages!$A$1,0,0,COUNTA([2]stages!$A:$A),MATCH(G$1,[2]stages!$2:$2,0)-MATCH("temp_stage",[2]stages!$2:$2,0)+1),MATCH(G$1,[2]stages!$2:$2,0)-MATCH("temp_stage",[2]stages!$2:$2,0)+1,FALSE)</f>
        <v>童話シリーズ　超級</v>
      </c>
      <c r="H41" s="85">
        <v>0</v>
      </c>
      <c r="I41" s="96">
        <v>12</v>
      </c>
      <c r="J41" s="84" t="s">
        <v>198</v>
      </c>
      <c r="K41" s="93" t="str">
        <f>VLOOKUP(I41,[7]stage_hints!$A:$C,3,FALSE)</f>
        <v>ユニットのお気に入り登録</v>
      </c>
      <c r="L41" s="94" t="str">
        <f>VLOOKUP(I41,[7]stage_hints!$A:$D,4,FALSE)</f>
        <v>大事なユニットを誤って消さないように_x000D_フォルダから「お気に入り登録」しましょう</v>
      </c>
      <c r="M41" s="57" t="s">
        <v>199</v>
      </c>
    </row>
    <row r="42" spans="1:13" x14ac:dyDescent="0.15">
      <c r="A42" s="81" t="s">
        <v>200</v>
      </c>
      <c r="B42" s="82">
        <f>floors!$C$2</f>
        <v>30049</v>
      </c>
      <c r="C42" s="83" t="str">
        <f ca="1">VLOOKUP($B42,OFFSET([2]quests!$A$1,0,0,COUNTA([2]quests!$A:$A),MATCH(C$1,[2]quests!$1:$1,0)-MATCH($B$1,[2]quests!$1:$1,0)+1),MATCH(C$1,[2]quests!$1:$1,0)-MATCH($B$1,[2]quests!$1:$1,0)+1,FALSE)</f>
        <v>鉄壁の子豚要塞</v>
      </c>
      <c r="D42" s="83" t="str">
        <f ca="1">VLOOKUP($B42,OFFSET([2]quests!$A$1,0,0,COUNTA([2]quests!$A:$A),MATCH(D$1,[2]quests!$1:$1,0)-MATCH($B$1,[2]quests!$1:$1,0)+1),MATCH(D$1,[2]quests!$1:$1,0)-MATCH($B$1,[2]quests!$1:$1,0)+1,FALSE)</f>
        <v>童話シリーズ　超級</v>
      </c>
      <c r="E42" s="87">
        <v>2</v>
      </c>
      <c r="F42" s="83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【上級】鉄壁の子豚要塞</v>
      </c>
      <c r="G42" s="83" t="str">
        <f ca="1">VLOOKUP($B42&amp;"_"&amp;$E42,OFFSET([2]stages!$A$1,0,0,COUNTA([2]stages!$A:$A),MATCH(G$1,[2]stages!$2:$2,0)-MATCH("temp_stage",[2]stages!$2:$2,0)+1),MATCH(G$1,[2]stages!$2:$2,0)-MATCH("temp_stage",[2]stages!$2:$2,0)+1,FALSE)</f>
        <v>童話シリーズ　超級</v>
      </c>
      <c r="H42" s="85">
        <v>0</v>
      </c>
      <c r="I42" s="96">
        <v>13</v>
      </c>
      <c r="J42" s="84" t="s">
        <v>198</v>
      </c>
      <c r="K42" s="93" t="str">
        <f>VLOOKUP(I42,[7]stage_hints!$A:$C,3,FALSE)</f>
        <v>ユニットの覚醒</v>
      </c>
      <c r="L42" s="94" t="str">
        <f>VLOOKUP(I42,[7]stage_hints!$A:$D,4,FALSE)</f>
        <v>ユニットを覚醒させると_x000D_比べものにならない強さが手に入ります</v>
      </c>
      <c r="M42" s="57" t="s">
        <v>365</v>
      </c>
    </row>
    <row r="43" spans="1:13" x14ac:dyDescent="0.15">
      <c r="A43" s="81" t="s">
        <v>200</v>
      </c>
      <c r="B43" s="82">
        <f>floors!$C$2</f>
        <v>30049</v>
      </c>
      <c r="C43" s="83" t="str">
        <f ca="1">VLOOKUP($B43,OFFSET([2]quests!$A$1,0,0,COUNTA([2]quests!$A:$A),MATCH(C$1,[2]quests!$1:$1,0)-MATCH($B$1,[2]quests!$1:$1,0)+1),MATCH(C$1,[2]quests!$1:$1,0)-MATCH($B$1,[2]quests!$1:$1,0)+1,FALSE)</f>
        <v>鉄壁の子豚要塞</v>
      </c>
      <c r="D43" s="83" t="str">
        <f ca="1">VLOOKUP($B43,OFFSET([2]quests!$A$1,0,0,COUNTA([2]quests!$A:$A),MATCH(D$1,[2]quests!$1:$1,0)-MATCH($B$1,[2]quests!$1:$1,0)+1),MATCH(D$1,[2]quests!$1:$1,0)-MATCH($B$1,[2]quests!$1:$1,0)+1,FALSE)</f>
        <v>童話シリーズ　超級</v>
      </c>
      <c r="E43" s="87">
        <v>2</v>
      </c>
      <c r="F43" s="83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【上級】鉄壁の子豚要塞</v>
      </c>
      <c r="G43" s="83" t="str">
        <f ca="1">VLOOKUP($B43&amp;"_"&amp;$E43,OFFSET([2]stages!$A$1,0,0,COUNTA([2]stages!$A:$A),MATCH(G$1,[2]stages!$2:$2,0)-MATCH("temp_stage",[2]stages!$2:$2,0)+1),MATCH(G$1,[2]stages!$2:$2,0)-MATCH("temp_stage",[2]stages!$2:$2,0)+1,FALSE)</f>
        <v>童話シリーズ　超級</v>
      </c>
      <c r="H43" s="85">
        <v>0</v>
      </c>
      <c r="I43" s="96">
        <v>14</v>
      </c>
      <c r="J43" s="84" t="s">
        <v>198</v>
      </c>
      <c r="K43" s="93" t="str">
        <f>VLOOKUP(I43,[7]stage_hints!$A:$C,3,FALSE)</f>
        <v>覚醒するにはレベルを最大に</v>
      </c>
      <c r="L43" s="94" t="str">
        <f>VLOOKUP(I43,[7]stage_hints!$A:$D,4,FALSE)</f>
        <v>覚醒するにはユニットのレベルを_x000D_最大まで上げる必要があります</v>
      </c>
      <c r="M43" s="57" t="s">
        <v>365</v>
      </c>
    </row>
    <row r="44" spans="1:13" x14ac:dyDescent="0.15">
      <c r="A44" s="81" t="s">
        <v>200</v>
      </c>
      <c r="B44" s="82">
        <f>floors!$C$2</f>
        <v>30049</v>
      </c>
      <c r="C44" s="83" t="str">
        <f ca="1">VLOOKUP($B44,OFFSET([2]quests!$A$1,0,0,COUNTA([2]quests!$A:$A),MATCH(C$1,[2]quests!$1:$1,0)-MATCH($B$1,[2]quests!$1:$1,0)+1),MATCH(C$1,[2]quests!$1:$1,0)-MATCH($B$1,[2]quests!$1:$1,0)+1,FALSE)</f>
        <v>鉄壁の子豚要塞</v>
      </c>
      <c r="D44" s="83" t="str">
        <f ca="1">VLOOKUP($B44,OFFSET([2]quests!$A$1,0,0,COUNTA([2]quests!$A:$A),MATCH(D$1,[2]quests!$1:$1,0)-MATCH($B$1,[2]quests!$1:$1,0)+1),MATCH(D$1,[2]quests!$1:$1,0)-MATCH($B$1,[2]quests!$1:$1,0)+1,FALSE)</f>
        <v>童話シリーズ　超級</v>
      </c>
      <c r="E44" s="87">
        <v>2</v>
      </c>
      <c r="F44" s="83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【上級】鉄壁の子豚要塞</v>
      </c>
      <c r="G44" s="83" t="str">
        <f ca="1">VLOOKUP($B44&amp;"_"&amp;$E44,OFFSET([2]stages!$A$1,0,0,COUNTA([2]stages!$A:$A),MATCH(G$1,[2]stages!$2:$2,0)-MATCH("temp_stage",[2]stages!$2:$2,0)+1),MATCH(G$1,[2]stages!$2:$2,0)-MATCH("temp_stage",[2]stages!$2:$2,0)+1,FALSE)</f>
        <v>童話シリーズ　超級</v>
      </c>
      <c r="H44" s="85">
        <v>0</v>
      </c>
      <c r="I44" s="96">
        <v>15</v>
      </c>
      <c r="J44" s="84" t="s">
        <v>366</v>
      </c>
      <c r="K44" s="93" t="str">
        <f>VLOOKUP(I44,[7]stage_hints!$A:$C,3,FALSE)</f>
        <v>覚醒素材を獲得</v>
      </c>
      <c r="L44" s="94" t="str">
        <f>VLOOKUP(I44,[7]stage_hints!$A:$D,4,FALSE)</f>
        <v>「曜日クエスト」では_x000D_ユニットの覚醒に必要な素材が手に入ります</v>
      </c>
      <c r="M44" s="57" t="s">
        <v>199</v>
      </c>
    </row>
    <row r="45" spans="1:13" x14ac:dyDescent="0.15">
      <c r="A45" s="81" t="s">
        <v>200</v>
      </c>
      <c r="B45" s="82">
        <f>floors!$C$2</f>
        <v>30049</v>
      </c>
      <c r="C45" s="83" t="str">
        <f ca="1">VLOOKUP($B45,OFFSET([2]quests!$A$1,0,0,COUNTA([2]quests!$A:$A),MATCH(C$1,[2]quests!$1:$1,0)-MATCH($B$1,[2]quests!$1:$1,0)+1),MATCH(C$1,[2]quests!$1:$1,0)-MATCH($B$1,[2]quests!$1:$1,0)+1,FALSE)</f>
        <v>鉄壁の子豚要塞</v>
      </c>
      <c r="D45" s="83" t="str">
        <f ca="1">VLOOKUP($B45,OFFSET([2]quests!$A$1,0,0,COUNTA([2]quests!$A:$A),MATCH(D$1,[2]quests!$1:$1,0)-MATCH($B$1,[2]quests!$1:$1,0)+1),MATCH(D$1,[2]quests!$1:$1,0)-MATCH($B$1,[2]quests!$1:$1,0)+1,FALSE)</f>
        <v>童話シリーズ　超級</v>
      </c>
      <c r="E45" s="87">
        <v>2</v>
      </c>
      <c r="F45" s="83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【上級】鉄壁の子豚要塞</v>
      </c>
      <c r="G45" s="83" t="str">
        <f ca="1">VLOOKUP($B45&amp;"_"&amp;$E45,OFFSET([2]stages!$A$1,0,0,COUNTA([2]stages!$A:$A),MATCH(G$1,[2]stages!$2:$2,0)-MATCH("temp_stage",[2]stages!$2:$2,0)+1),MATCH(G$1,[2]stages!$2:$2,0)-MATCH("temp_stage",[2]stages!$2:$2,0)+1,FALSE)</f>
        <v>童話シリーズ　超級</v>
      </c>
      <c r="H45" s="85">
        <v>0</v>
      </c>
      <c r="I45" s="96">
        <v>16</v>
      </c>
      <c r="J45" s="84" t="s">
        <v>366</v>
      </c>
      <c r="K45" s="93" t="str">
        <f>VLOOKUP(I45,[7]stage_hints!$A:$C,3,FALSE)</f>
        <v>マルチプレイのメリット（その1）</v>
      </c>
      <c r="L45" s="94" t="str">
        <f>VLOOKUP(I45,[7]stage_hints!$A:$D,4,FALSE)</f>
        <v>他のプレイヤーとマルチプレイで遊ぶと_x000D_ポリゴンがもらえます（100人まで）</v>
      </c>
      <c r="M45" s="57" t="s">
        <v>365</v>
      </c>
    </row>
    <row r="46" spans="1:13" x14ac:dyDescent="0.15">
      <c r="A46" s="81" t="s">
        <v>200</v>
      </c>
      <c r="B46" s="82">
        <f>floors!$C$2</f>
        <v>30049</v>
      </c>
      <c r="C46" s="83" t="str">
        <f ca="1">VLOOKUP($B46,OFFSET([2]quests!$A$1,0,0,COUNTA([2]quests!$A:$A),MATCH(C$1,[2]quests!$1:$1,0)-MATCH($B$1,[2]quests!$1:$1,0)+1),MATCH(C$1,[2]quests!$1:$1,0)-MATCH($B$1,[2]quests!$1:$1,0)+1,FALSE)</f>
        <v>鉄壁の子豚要塞</v>
      </c>
      <c r="D46" s="83" t="str">
        <f ca="1">VLOOKUP($B46,OFFSET([2]quests!$A$1,0,0,COUNTA([2]quests!$A:$A),MATCH(D$1,[2]quests!$1:$1,0)-MATCH($B$1,[2]quests!$1:$1,0)+1),MATCH(D$1,[2]quests!$1:$1,0)-MATCH($B$1,[2]quests!$1:$1,0)+1,FALSE)</f>
        <v>童話シリーズ　超級</v>
      </c>
      <c r="E46" s="87">
        <v>2</v>
      </c>
      <c r="F46" s="83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【上級】鉄壁の子豚要塞</v>
      </c>
      <c r="G46" s="83" t="str">
        <f ca="1">VLOOKUP($B46&amp;"_"&amp;$E46,OFFSET([2]stages!$A$1,0,0,COUNTA([2]stages!$A:$A),MATCH(G$1,[2]stages!$2:$2,0)-MATCH("temp_stage",[2]stages!$2:$2,0)+1),MATCH(G$1,[2]stages!$2:$2,0)-MATCH("temp_stage",[2]stages!$2:$2,0)+1,FALSE)</f>
        <v>童話シリーズ　超級</v>
      </c>
      <c r="H46" s="85">
        <v>0</v>
      </c>
      <c r="I46" s="96">
        <v>17</v>
      </c>
      <c r="J46" s="84" t="s">
        <v>198</v>
      </c>
      <c r="K46" s="93" t="str">
        <f>VLOOKUP(I46,[7]stage_hints!$A:$C,3,FALSE)</f>
        <v>リンクガチャ</v>
      </c>
      <c r="L46" s="94" t="str">
        <f>VLOOKUP(I46,[7]stage_hints!$A:$D,4,FALSE)</f>
        <v>無料のリンクガチャを回して_x000D_経験値素材や売却素材を獲得しましょう</v>
      </c>
      <c r="M46" s="57" t="s">
        <v>199</v>
      </c>
    </row>
    <row r="47" spans="1:13" x14ac:dyDescent="0.15">
      <c r="A47" s="81" t="s">
        <v>200</v>
      </c>
      <c r="B47" s="82">
        <f>floors!$C$2</f>
        <v>30049</v>
      </c>
      <c r="C47" s="83" t="str">
        <f ca="1">VLOOKUP($B47,OFFSET([2]quests!$A$1,0,0,COUNTA([2]quests!$A:$A),MATCH(C$1,[2]quests!$1:$1,0)-MATCH($B$1,[2]quests!$1:$1,0)+1),MATCH(C$1,[2]quests!$1:$1,0)-MATCH($B$1,[2]quests!$1:$1,0)+1,FALSE)</f>
        <v>鉄壁の子豚要塞</v>
      </c>
      <c r="D47" s="83" t="str">
        <f ca="1">VLOOKUP($B47,OFFSET([2]quests!$A$1,0,0,COUNTA([2]quests!$A:$A),MATCH(D$1,[2]quests!$1:$1,0)-MATCH($B$1,[2]quests!$1:$1,0)+1),MATCH(D$1,[2]quests!$1:$1,0)-MATCH($B$1,[2]quests!$1:$1,0)+1,FALSE)</f>
        <v>童話シリーズ　超級</v>
      </c>
      <c r="E47" s="87">
        <v>2</v>
      </c>
      <c r="F47" s="83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【上級】鉄壁の子豚要塞</v>
      </c>
      <c r="G47" s="83" t="str">
        <f ca="1">VLOOKUP($B47&amp;"_"&amp;$E47,OFFSET([2]stages!$A$1,0,0,COUNTA([2]stages!$A:$A),MATCH(G$1,[2]stages!$2:$2,0)-MATCH("temp_stage",[2]stages!$2:$2,0)+1),MATCH(G$1,[2]stages!$2:$2,0)-MATCH("temp_stage",[2]stages!$2:$2,0)+1,FALSE)</f>
        <v>童話シリーズ　超級</v>
      </c>
      <c r="H47" s="85">
        <v>0</v>
      </c>
      <c r="I47" s="96">
        <v>18</v>
      </c>
      <c r="J47" s="84" t="s">
        <v>198</v>
      </c>
      <c r="K47" s="93" t="str">
        <f>VLOOKUP(I47,[7]stage_hints!$A:$C,3,FALSE)</f>
        <v>マルチプレイのメリット（その2）</v>
      </c>
      <c r="L47" s="94" t="str">
        <f>VLOOKUP(I47,[7]stage_hints!$A:$D,4,FALSE)</f>
        <v>マルチプレイならリンクが2倍もらえます_x000D_リンクガチャをたくさん回しましょう</v>
      </c>
      <c r="M47" s="57" t="s">
        <v>199</v>
      </c>
    </row>
    <row r="48" spans="1:13" x14ac:dyDescent="0.15">
      <c r="A48" s="81" t="s">
        <v>200</v>
      </c>
      <c r="B48" s="82">
        <f>floors!$C$2</f>
        <v>30049</v>
      </c>
      <c r="C48" s="83" t="str">
        <f ca="1">VLOOKUP($B48,OFFSET([2]quests!$A$1,0,0,COUNTA([2]quests!$A:$A),MATCH(C$1,[2]quests!$1:$1,0)-MATCH($B$1,[2]quests!$1:$1,0)+1),MATCH(C$1,[2]quests!$1:$1,0)-MATCH($B$1,[2]quests!$1:$1,0)+1,FALSE)</f>
        <v>鉄壁の子豚要塞</v>
      </c>
      <c r="D48" s="83" t="str">
        <f ca="1">VLOOKUP($B48,OFFSET([2]quests!$A$1,0,0,COUNTA([2]quests!$A:$A),MATCH(D$1,[2]quests!$1:$1,0)-MATCH($B$1,[2]quests!$1:$1,0)+1),MATCH(D$1,[2]quests!$1:$1,0)-MATCH($B$1,[2]quests!$1:$1,0)+1,FALSE)</f>
        <v>童話シリーズ　超級</v>
      </c>
      <c r="E48" s="87">
        <v>2</v>
      </c>
      <c r="F48" s="83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【上級】鉄壁の子豚要塞</v>
      </c>
      <c r="G48" s="83" t="str">
        <f ca="1">VLOOKUP($B48&amp;"_"&amp;$E48,OFFSET([2]stages!$A$1,0,0,COUNTA([2]stages!$A:$A),MATCH(G$1,[2]stages!$2:$2,0)-MATCH("temp_stage",[2]stages!$2:$2,0)+1),MATCH(G$1,[2]stages!$2:$2,0)-MATCH("temp_stage",[2]stages!$2:$2,0)+1,FALSE)</f>
        <v>童話シリーズ　超級</v>
      </c>
      <c r="H48" s="85">
        <v>0</v>
      </c>
      <c r="I48" s="96">
        <v>19</v>
      </c>
      <c r="J48" s="84" t="s">
        <v>358</v>
      </c>
      <c r="K48" s="93" t="str">
        <f>VLOOKUP(I48,[7]stage_hints!$A:$C,3,FALSE)</f>
        <v>ソロ専用タワーオブザクイーン</v>
      </c>
      <c r="L48" s="94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7" t="s">
        <v>367</v>
      </c>
    </row>
    <row r="49" spans="1:13" x14ac:dyDescent="0.15">
      <c r="A49" s="81" t="s">
        <v>200</v>
      </c>
      <c r="B49" s="82">
        <f>floors!$C$2</f>
        <v>30049</v>
      </c>
      <c r="C49" s="83" t="str">
        <f ca="1">VLOOKUP($B49,OFFSET([2]quests!$A$1,0,0,COUNTA([2]quests!$A:$A),MATCH(C$1,[2]quests!$1:$1,0)-MATCH($B$1,[2]quests!$1:$1,0)+1),MATCH(C$1,[2]quests!$1:$1,0)-MATCH($B$1,[2]quests!$1:$1,0)+1,FALSE)</f>
        <v>鉄壁の子豚要塞</v>
      </c>
      <c r="D49" s="83" t="str">
        <f ca="1">VLOOKUP($B49,OFFSET([2]quests!$A$1,0,0,COUNTA([2]quests!$A:$A),MATCH(D$1,[2]quests!$1:$1,0)-MATCH($B$1,[2]quests!$1:$1,0)+1),MATCH(D$1,[2]quests!$1:$1,0)-MATCH($B$1,[2]quests!$1:$1,0)+1,FALSE)</f>
        <v>童話シリーズ　超級</v>
      </c>
      <c r="E49" s="87">
        <v>2</v>
      </c>
      <c r="F49" s="83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【上級】鉄壁の子豚要塞</v>
      </c>
      <c r="G49" s="83" t="str">
        <f ca="1">VLOOKUP($B49&amp;"_"&amp;$E49,OFFSET([2]stages!$A$1,0,0,COUNTA([2]stages!$A:$A),MATCH(G$1,[2]stages!$2:$2,0)-MATCH("temp_stage",[2]stages!$2:$2,0)+1),MATCH(G$1,[2]stages!$2:$2,0)-MATCH("temp_stage",[2]stages!$2:$2,0)+1,FALSE)</f>
        <v>童話シリーズ　超級</v>
      </c>
      <c r="H49" s="85">
        <v>0</v>
      </c>
      <c r="I49" s="96">
        <v>20</v>
      </c>
      <c r="J49" s="84" t="s">
        <v>368</v>
      </c>
      <c r="K49" s="93" t="str">
        <f>VLOOKUP(I49,[7]stage_hints!$A:$C,3,FALSE)</f>
        <v>マルチプレイのメリット（その3）</v>
      </c>
      <c r="L49" s="94" t="str">
        <f>VLOOKUP(I49,[7]stage_hints!$A:$D,4,FALSE)</f>
        <v>マルチプレイへの参加はエナジー消費ゼロ_x000D_いつでも好きなだけ遊ぶことができます</v>
      </c>
      <c r="M49" s="57" t="s">
        <v>365</v>
      </c>
    </row>
    <row r="50" spans="1:13" x14ac:dyDescent="0.15">
      <c r="A50" s="81" t="s">
        <v>200</v>
      </c>
      <c r="B50" s="82">
        <f>floors!$C$2</f>
        <v>30049</v>
      </c>
      <c r="C50" s="83" t="str">
        <f ca="1">VLOOKUP($B50,OFFSET([2]quests!$A$1,0,0,COUNTA([2]quests!$A:$A),MATCH(C$1,[2]quests!$1:$1,0)-MATCH($B$1,[2]quests!$1:$1,0)+1),MATCH(C$1,[2]quests!$1:$1,0)-MATCH($B$1,[2]quests!$1:$1,0)+1,FALSE)</f>
        <v>鉄壁の子豚要塞</v>
      </c>
      <c r="D50" s="83" t="str">
        <f ca="1">VLOOKUP($B50,OFFSET([2]quests!$A$1,0,0,COUNTA([2]quests!$A:$A),MATCH(D$1,[2]quests!$1:$1,0)-MATCH($B$1,[2]quests!$1:$1,0)+1),MATCH(D$1,[2]quests!$1:$1,0)-MATCH($B$1,[2]quests!$1:$1,0)+1,FALSE)</f>
        <v>童話シリーズ　超級</v>
      </c>
      <c r="E50" s="87">
        <v>2</v>
      </c>
      <c r="F50" s="83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【上級】鉄壁の子豚要塞</v>
      </c>
      <c r="G50" s="83" t="str">
        <f ca="1">VLOOKUP($B50&amp;"_"&amp;$E50,OFFSET([2]stages!$A$1,0,0,COUNTA([2]stages!$A:$A),MATCH(G$1,[2]stages!$2:$2,0)-MATCH("temp_stage",[2]stages!$2:$2,0)+1),MATCH(G$1,[2]stages!$2:$2,0)-MATCH("temp_stage",[2]stages!$2:$2,0)+1,FALSE)</f>
        <v>童話シリーズ　超級</v>
      </c>
      <c r="H50" s="85">
        <v>0</v>
      </c>
      <c r="I50" s="96">
        <v>21</v>
      </c>
      <c r="J50" s="84" t="s">
        <v>198</v>
      </c>
      <c r="K50" s="93" t="str">
        <f>VLOOKUP(I50,[7]stage_hints!$A:$C,3,FALSE)</f>
        <v>スキルを有効に</v>
      </c>
      <c r="L50" s="94" t="str">
        <f>VLOOKUP(I50,[7]stage_hints!$A:$D,4,FALSE)</f>
        <v>ターン経過でユニットのスキルが使えます_x000D_強力スキルでバトルを有利に進めましょう</v>
      </c>
      <c r="M50" s="57" t="s">
        <v>199</v>
      </c>
    </row>
    <row r="51" spans="1:13" x14ac:dyDescent="0.15">
      <c r="A51" s="81" t="s">
        <v>200</v>
      </c>
      <c r="B51" s="82">
        <f>floors!$C$2</f>
        <v>30049</v>
      </c>
      <c r="C51" s="83" t="str">
        <f ca="1">VLOOKUP($B51,OFFSET([2]quests!$A$1,0,0,COUNTA([2]quests!$A:$A),MATCH(C$1,[2]quests!$1:$1,0)-MATCH($B$1,[2]quests!$1:$1,0)+1),MATCH(C$1,[2]quests!$1:$1,0)-MATCH($B$1,[2]quests!$1:$1,0)+1,FALSE)</f>
        <v>鉄壁の子豚要塞</v>
      </c>
      <c r="D51" s="83" t="str">
        <f ca="1">VLOOKUP($B51,OFFSET([2]quests!$A$1,0,0,COUNTA([2]quests!$A:$A),MATCH(D$1,[2]quests!$1:$1,0)-MATCH($B$1,[2]quests!$1:$1,0)+1),MATCH(D$1,[2]quests!$1:$1,0)-MATCH($B$1,[2]quests!$1:$1,0)+1,FALSE)</f>
        <v>童話シリーズ　超級</v>
      </c>
      <c r="E51" s="87">
        <v>2</v>
      </c>
      <c r="F51" s="83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【上級】鉄壁の子豚要塞</v>
      </c>
      <c r="G51" s="83" t="str">
        <f ca="1">VLOOKUP($B51&amp;"_"&amp;$E51,OFFSET([2]stages!$A$1,0,0,COUNTA([2]stages!$A:$A),MATCH(G$1,[2]stages!$2:$2,0)-MATCH("temp_stage",[2]stages!$2:$2,0)+1),MATCH(G$1,[2]stages!$2:$2,0)-MATCH("temp_stage",[2]stages!$2:$2,0)+1,FALSE)</f>
        <v>童話シリーズ　超級</v>
      </c>
      <c r="H51" s="85">
        <v>0</v>
      </c>
      <c r="I51" s="96">
        <v>22</v>
      </c>
      <c r="J51" s="84" t="s">
        <v>198</v>
      </c>
      <c r="K51" s="93" t="str">
        <f>VLOOKUP(I51,[7]stage_hints!$A:$C,3,FALSE)</f>
        <v>フィーバーで一発逆転（その1）</v>
      </c>
      <c r="L51" s="94" t="str">
        <f>VLOOKUP(I51,[7]stage_hints!$A:$D,4,FALSE)</f>
        <v>フィーバーは攻撃と回復を兼ね備えます_x000D_ピンチからの一発逆転を狙いましょう</v>
      </c>
      <c r="M51" s="57" t="s">
        <v>199</v>
      </c>
    </row>
    <row r="52" spans="1:13" x14ac:dyDescent="0.15">
      <c r="A52" s="81" t="s">
        <v>200</v>
      </c>
      <c r="B52" s="82">
        <f>floors!$C$2</f>
        <v>30049</v>
      </c>
      <c r="C52" s="83" t="str">
        <f ca="1">VLOOKUP($B52,OFFSET([2]quests!$A$1,0,0,COUNTA([2]quests!$A:$A),MATCH(C$1,[2]quests!$1:$1,0)-MATCH($B$1,[2]quests!$1:$1,0)+1),MATCH(C$1,[2]quests!$1:$1,0)-MATCH($B$1,[2]quests!$1:$1,0)+1,FALSE)</f>
        <v>鉄壁の子豚要塞</v>
      </c>
      <c r="D52" s="83" t="str">
        <f ca="1">VLOOKUP($B52,OFFSET([2]quests!$A$1,0,0,COUNTA([2]quests!$A:$A),MATCH(D$1,[2]quests!$1:$1,0)-MATCH($B$1,[2]quests!$1:$1,0)+1),MATCH(D$1,[2]quests!$1:$1,0)-MATCH($B$1,[2]quests!$1:$1,0)+1,FALSE)</f>
        <v>童話シリーズ　超級</v>
      </c>
      <c r="E52" s="87">
        <v>2</v>
      </c>
      <c r="F52" s="83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【上級】鉄壁の子豚要塞</v>
      </c>
      <c r="G52" s="83" t="str">
        <f ca="1">VLOOKUP($B52&amp;"_"&amp;$E52,OFFSET([2]stages!$A$1,0,0,COUNTA([2]stages!$A:$A),MATCH(G$1,[2]stages!$2:$2,0)-MATCH("temp_stage",[2]stages!$2:$2,0)+1),MATCH(G$1,[2]stages!$2:$2,0)-MATCH("temp_stage",[2]stages!$2:$2,0)+1,FALSE)</f>
        <v>童話シリーズ　超級</v>
      </c>
      <c r="H52" s="85">
        <v>0</v>
      </c>
      <c r="I52" s="96">
        <v>23</v>
      </c>
      <c r="J52" s="84" t="s">
        <v>198</v>
      </c>
      <c r="K52" s="93" t="str">
        <f>VLOOKUP(I52,[7]stage_hints!$A:$C,3,FALSE)</f>
        <v>フィーバーで一発逆転（その2）</v>
      </c>
      <c r="L52" s="94" t="str">
        <f>VLOOKUP(I52,[7]stage_hints!$A:$D,4,FALSE)</f>
        <v>フィーバー中は虹色のボムパネルを狙って_x000D_画面上のパネルを一気に破壊しましょう</v>
      </c>
      <c r="M52" s="57" t="s">
        <v>365</v>
      </c>
    </row>
    <row r="53" spans="1:13" x14ac:dyDescent="0.15">
      <c r="A53" s="81" t="s">
        <v>200</v>
      </c>
      <c r="B53" s="82">
        <f>floors!$C$2</f>
        <v>30049</v>
      </c>
      <c r="C53" s="83" t="str">
        <f ca="1">VLOOKUP($B53,OFFSET([2]quests!$A$1,0,0,COUNTA([2]quests!$A:$A),MATCH(C$1,[2]quests!$1:$1,0)-MATCH($B$1,[2]quests!$1:$1,0)+1),MATCH(C$1,[2]quests!$1:$1,0)-MATCH($B$1,[2]quests!$1:$1,0)+1,FALSE)</f>
        <v>鉄壁の子豚要塞</v>
      </c>
      <c r="D53" s="83" t="str">
        <f ca="1">VLOOKUP($B53,OFFSET([2]quests!$A$1,0,0,COUNTA([2]quests!$A:$A),MATCH(D$1,[2]quests!$1:$1,0)-MATCH($B$1,[2]quests!$1:$1,0)+1),MATCH(D$1,[2]quests!$1:$1,0)-MATCH($B$1,[2]quests!$1:$1,0)+1,FALSE)</f>
        <v>童話シリーズ　超級</v>
      </c>
      <c r="E53" s="87">
        <v>2</v>
      </c>
      <c r="F53" s="83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【上級】鉄壁の子豚要塞</v>
      </c>
      <c r="G53" s="83" t="str">
        <f ca="1">VLOOKUP($B53&amp;"_"&amp;$E53,OFFSET([2]stages!$A$1,0,0,COUNTA([2]stages!$A:$A),MATCH(G$1,[2]stages!$2:$2,0)-MATCH("temp_stage",[2]stages!$2:$2,0)+1),MATCH(G$1,[2]stages!$2:$2,0)-MATCH("temp_stage",[2]stages!$2:$2,0)+1,FALSE)</f>
        <v>童話シリーズ　超級</v>
      </c>
      <c r="H53" s="85">
        <v>0</v>
      </c>
      <c r="I53" s="96">
        <v>24</v>
      </c>
      <c r="J53" s="84" t="s">
        <v>198</v>
      </c>
      <c r="K53" s="93" t="str">
        <f>VLOOKUP(I53,[7]stage_hints!$A:$C,3,FALSE)</f>
        <v>果実を使って限界突破</v>
      </c>
      <c r="L53" s="94" t="str">
        <f>VLOOKUP(I53,[7]stage_hints!$A:$D,4,FALSE)</f>
        <v>攻めの果実 癒しの果実_x000D_生命の果実をユニット強化に使うと_x000D_ステータスが限界突破します（計99個迄）</v>
      </c>
      <c r="M53" s="57" t="s">
        <v>199</v>
      </c>
    </row>
    <row r="54" spans="1:13" x14ac:dyDescent="0.15">
      <c r="A54" s="81" t="s">
        <v>200</v>
      </c>
      <c r="B54" s="82">
        <f>floors!$C$2</f>
        <v>30049</v>
      </c>
      <c r="C54" s="83" t="str">
        <f ca="1">VLOOKUP($B54,OFFSET([2]quests!$A$1,0,0,COUNTA([2]quests!$A:$A),MATCH(C$1,[2]quests!$1:$1,0)-MATCH($B$1,[2]quests!$1:$1,0)+1),MATCH(C$1,[2]quests!$1:$1,0)-MATCH($B$1,[2]quests!$1:$1,0)+1,FALSE)</f>
        <v>鉄壁の子豚要塞</v>
      </c>
      <c r="D54" s="83" t="str">
        <f ca="1">VLOOKUP($B54,OFFSET([2]quests!$A$1,0,0,COUNTA([2]quests!$A:$A),MATCH(D$1,[2]quests!$1:$1,0)-MATCH($B$1,[2]quests!$1:$1,0)+1),MATCH(D$1,[2]quests!$1:$1,0)-MATCH($B$1,[2]quests!$1:$1,0)+1,FALSE)</f>
        <v>童話シリーズ　超級</v>
      </c>
      <c r="E54" s="87">
        <v>2</v>
      </c>
      <c r="F54" s="83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【上級】鉄壁の子豚要塞</v>
      </c>
      <c r="G54" s="83" t="str">
        <f ca="1">VLOOKUP($B54&amp;"_"&amp;$E54,OFFSET([2]stages!$A$1,0,0,COUNTA([2]stages!$A:$A),MATCH(G$1,[2]stages!$2:$2,0)-MATCH("temp_stage",[2]stages!$2:$2,0)+1),MATCH(G$1,[2]stages!$2:$2,0)-MATCH("temp_stage",[2]stages!$2:$2,0)+1,FALSE)</f>
        <v>童話シリーズ　超級</v>
      </c>
      <c r="H54" s="85">
        <v>0</v>
      </c>
      <c r="I54" s="96">
        <v>25</v>
      </c>
      <c r="J54" s="84" t="s">
        <v>198</v>
      </c>
      <c r="K54" s="93" t="str">
        <f>VLOOKUP(I54,[7]stage_hints!$A:$C,3,FALSE)</f>
        <v>スキルレベルアップ</v>
      </c>
      <c r="L54" s="94" t="str">
        <f>VLOOKUP(I54,[7]stage_hints!$A:$D,4,FALSE)</f>
        <v>「秘術の果実」を強化に使うと_x000D_スキルレベルを上げることができます</v>
      </c>
      <c r="M54" s="57" t="s">
        <v>369</v>
      </c>
    </row>
    <row r="55" spans="1:13" x14ac:dyDescent="0.15">
      <c r="A55" s="81" t="s">
        <v>200</v>
      </c>
      <c r="B55" s="82">
        <f>floors!$C$2</f>
        <v>30049</v>
      </c>
      <c r="C55" s="83" t="str">
        <f ca="1">VLOOKUP($B55,OFFSET([2]quests!$A$1,0,0,COUNTA([2]quests!$A:$A),MATCH(C$1,[2]quests!$1:$1,0)-MATCH($B$1,[2]quests!$1:$1,0)+1),MATCH(C$1,[2]quests!$1:$1,0)-MATCH($B$1,[2]quests!$1:$1,0)+1,FALSE)</f>
        <v>鉄壁の子豚要塞</v>
      </c>
      <c r="D55" s="83" t="str">
        <f ca="1">VLOOKUP($B55,OFFSET([2]quests!$A$1,0,0,COUNTA([2]quests!$A:$A),MATCH(D$1,[2]quests!$1:$1,0)-MATCH($B$1,[2]quests!$1:$1,0)+1),MATCH(D$1,[2]quests!$1:$1,0)-MATCH($B$1,[2]quests!$1:$1,0)+1,FALSE)</f>
        <v>童話シリーズ　超級</v>
      </c>
      <c r="E55" s="87">
        <v>2</v>
      </c>
      <c r="F55" s="83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【上級】鉄壁の子豚要塞</v>
      </c>
      <c r="G55" s="83" t="str">
        <f ca="1">VLOOKUP($B55&amp;"_"&amp;$E55,OFFSET([2]stages!$A$1,0,0,COUNTA([2]stages!$A:$A),MATCH(G$1,[2]stages!$2:$2,0)-MATCH("temp_stage",[2]stages!$2:$2,0)+1),MATCH(G$1,[2]stages!$2:$2,0)-MATCH("temp_stage",[2]stages!$2:$2,0)+1,FALSE)</f>
        <v>童話シリーズ　超級</v>
      </c>
      <c r="H55" s="85">
        <v>0</v>
      </c>
      <c r="I55" s="96">
        <v>26</v>
      </c>
      <c r="J55" s="84" t="s">
        <v>368</v>
      </c>
      <c r="K55" s="93" t="str">
        <f>VLOOKUP(I55,[7]stage_hints!$A:$C,3,FALSE)</f>
        <v>スキルレベルの効果</v>
      </c>
      <c r="L55" s="94" t="str">
        <f>VLOOKUP(I55,[7]stage_hints!$A:$D,4,FALSE)</f>
        <v>スキルレベルが上がると_x000D_短いターンでスキルを使うことができます</v>
      </c>
      <c r="M55" s="57" t="s">
        <v>365</v>
      </c>
    </row>
    <row r="56" spans="1:13" x14ac:dyDescent="0.15">
      <c r="A56" s="81" t="s">
        <v>200</v>
      </c>
      <c r="B56" s="82">
        <f>floors!$C$2</f>
        <v>30049</v>
      </c>
      <c r="C56" s="83" t="str">
        <f ca="1">VLOOKUP($B56,OFFSET([2]quests!$A$1,0,0,COUNTA([2]quests!$A:$A),MATCH(C$1,[2]quests!$1:$1,0)-MATCH($B$1,[2]quests!$1:$1,0)+1),MATCH(C$1,[2]quests!$1:$1,0)-MATCH($B$1,[2]quests!$1:$1,0)+1,FALSE)</f>
        <v>鉄壁の子豚要塞</v>
      </c>
      <c r="D56" s="83" t="str">
        <f ca="1">VLOOKUP($B56,OFFSET([2]quests!$A$1,0,0,COUNTA([2]quests!$A:$A),MATCH(D$1,[2]quests!$1:$1,0)-MATCH($B$1,[2]quests!$1:$1,0)+1),MATCH(D$1,[2]quests!$1:$1,0)-MATCH($B$1,[2]quests!$1:$1,0)+1,FALSE)</f>
        <v>童話シリーズ　超級</v>
      </c>
      <c r="E56" s="87">
        <v>2</v>
      </c>
      <c r="F56" s="83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【上級】鉄壁の子豚要塞</v>
      </c>
      <c r="G56" s="83" t="str">
        <f ca="1">VLOOKUP($B56&amp;"_"&amp;$E56,OFFSET([2]stages!$A$1,0,0,COUNTA([2]stages!$A:$A),MATCH(G$1,[2]stages!$2:$2,0)-MATCH("temp_stage",[2]stages!$2:$2,0)+1),MATCH(G$1,[2]stages!$2:$2,0)-MATCH("temp_stage",[2]stages!$2:$2,0)+1,FALSE)</f>
        <v>童話シリーズ　超級</v>
      </c>
      <c r="H56" s="85">
        <v>0</v>
      </c>
      <c r="I56" s="96">
        <v>27</v>
      </c>
      <c r="J56" s="84" t="s">
        <v>198</v>
      </c>
      <c r="K56" s="93" t="str">
        <f>VLOOKUP(I56,[7]stage_hints!$A:$C,3,FALSE)</f>
        <v>ホーム画面からデッキを編成</v>
      </c>
      <c r="L56" s="94" t="str">
        <f>VLOOKUP(I56,[7]stage_hints!$A:$D,4,FALSE)</f>
        <v>ホーム画面でユニットを長押しすると_x000D_すぐにパーティ編成に移動できます</v>
      </c>
      <c r="M56" s="57" t="s">
        <v>361</v>
      </c>
    </row>
    <row r="57" spans="1:13" x14ac:dyDescent="0.15">
      <c r="A57" s="81" t="s">
        <v>200</v>
      </c>
      <c r="B57" s="82">
        <f>floors!$C$2</f>
        <v>30049</v>
      </c>
      <c r="C57" s="83" t="str">
        <f ca="1">VLOOKUP($B57,OFFSET([2]quests!$A$1,0,0,COUNTA([2]quests!$A:$A),MATCH(C$1,[2]quests!$1:$1,0)-MATCH($B$1,[2]quests!$1:$1,0)+1),MATCH(C$1,[2]quests!$1:$1,0)-MATCH($B$1,[2]quests!$1:$1,0)+1,FALSE)</f>
        <v>鉄壁の子豚要塞</v>
      </c>
      <c r="D57" s="83" t="str">
        <f ca="1">VLOOKUP($B57,OFFSET([2]quests!$A$1,0,0,COUNTA([2]quests!$A:$A),MATCH(D$1,[2]quests!$1:$1,0)-MATCH($B$1,[2]quests!$1:$1,0)+1),MATCH(D$1,[2]quests!$1:$1,0)-MATCH($B$1,[2]quests!$1:$1,0)+1,FALSE)</f>
        <v>童話シリーズ　超級</v>
      </c>
      <c r="E57" s="87">
        <v>2</v>
      </c>
      <c r="F57" s="83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【上級】鉄壁の子豚要塞</v>
      </c>
      <c r="G57" s="83" t="str">
        <f ca="1">VLOOKUP($B57&amp;"_"&amp;$E57,OFFSET([2]stages!$A$1,0,0,COUNTA([2]stages!$A:$A),MATCH(G$1,[2]stages!$2:$2,0)-MATCH("temp_stage",[2]stages!$2:$2,0)+1),MATCH(G$1,[2]stages!$2:$2,0)-MATCH("temp_stage",[2]stages!$2:$2,0)+1,FALSE)</f>
        <v>童話シリーズ　超級</v>
      </c>
      <c r="H57" s="85">
        <v>0</v>
      </c>
      <c r="I57" s="96">
        <v>28</v>
      </c>
      <c r="J57" s="84" t="s">
        <v>358</v>
      </c>
      <c r="K57" s="93" t="str">
        <f>VLOOKUP(I57,[7]stage_hints!$A:$C,3,FALSE)</f>
        <v>ステータス情報は長押しで</v>
      </c>
      <c r="L57" s="94" t="str">
        <f>VLOOKUP(I57,[7]stage_hints!$A:$D,4,FALSE)</f>
        <v>ユニットのアイコンを長押しすると_x000D_ステータス情報を確認することができます</v>
      </c>
      <c r="M57" s="57" t="s">
        <v>199</v>
      </c>
    </row>
    <row r="58" spans="1:13" x14ac:dyDescent="0.15">
      <c r="A58" s="81" t="s">
        <v>200</v>
      </c>
      <c r="B58" s="82">
        <f>floors!$C$2</f>
        <v>30049</v>
      </c>
      <c r="C58" s="83" t="str">
        <f ca="1">VLOOKUP($B58,OFFSET([2]quests!$A$1,0,0,COUNTA([2]quests!$A:$A),MATCH(C$1,[2]quests!$1:$1,0)-MATCH($B$1,[2]quests!$1:$1,0)+1),MATCH(C$1,[2]quests!$1:$1,0)-MATCH($B$1,[2]quests!$1:$1,0)+1,FALSE)</f>
        <v>鉄壁の子豚要塞</v>
      </c>
      <c r="D58" s="83" t="str">
        <f ca="1">VLOOKUP($B58,OFFSET([2]quests!$A$1,0,0,COUNTA([2]quests!$A:$A),MATCH(D$1,[2]quests!$1:$1,0)-MATCH($B$1,[2]quests!$1:$1,0)+1),MATCH(D$1,[2]quests!$1:$1,0)-MATCH($B$1,[2]quests!$1:$1,0)+1,FALSE)</f>
        <v>童話シリーズ　超級</v>
      </c>
      <c r="E58" s="87">
        <v>2</v>
      </c>
      <c r="F58" s="83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【上級】鉄壁の子豚要塞</v>
      </c>
      <c r="G58" s="83" t="str">
        <f ca="1">VLOOKUP($B58&amp;"_"&amp;$E58,OFFSET([2]stages!$A$1,0,0,COUNTA([2]stages!$A:$A),MATCH(G$1,[2]stages!$2:$2,0)-MATCH("temp_stage",[2]stages!$2:$2,0)+1),MATCH(G$1,[2]stages!$2:$2,0)-MATCH("temp_stage",[2]stages!$2:$2,0)+1,FALSE)</f>
        <v>童話シリーズ　超級</v>
      </c>
      <c r="H58" s="85">
        <v>0</v>
      </c>
      <c r="I58" s="96">
        <v>29</v>
      </c>
      <c r="J58" s="84" t="s">
        <v>198</v>
      </c>
      <c r="K58" s="93" t="str">
        <f>VLOOKUP(I58,[7]stage_hints!$A:$C,3,FALSE)</f>
        <v>「バグ」のメリット</v>
      </c>
      <c r="L58" s="94" t="str">
        <f>VLOOKUP(I58,[7]stage_hints!$A:$D,4,FALSE)</f>
        <v>ユニットの「バグ」を増やすと_x000D_報酬をもらえる確率がアップします</v>
      </c>
      <c r="M58" s="57" t="s">
        <v>199</v>
      </c>
    </row>
    <row r="59" spans="1:13" x14ac:dyDescent="0.15">
      <c r="A59" s="81" t="s">
        <v>200</v>
      </c>
      <c r="B59" s="82">
        <f>floors!$C$2</f>
        <v>30049</v>
      </c>
      <c r="C59" s="83" t="str">
        <f ca="1">VLOOKUP($B59,OFFSET([2]quests!$A$1,0,0,COUNTA([2]quests!$A:$A),MATCH(C$1,[2]quests!$1:$1,0)-MATCH($B$1,[2]quests!$1:$1,0)+1),MATCH(C$1,[2]quests!$1:$1,0)-MATCH($B$1,[2]quests!$1:$1,0)+1,FALSE)</f>
        <v>鉄壁の子豚要塞</v>
      </c>
      <c r="D59" s="83" t="str">
        <f ca="1">VLOOKUP($B59,OFFSET([2]quests!$A$1,0,0,COUNTA([2]quests!$A:$A),MATCH(D$1,[2]quests!$1:$1,0)-MATCH($B$1,[2]quests!$1:$1,0)+1),MATCH(D$1,[2]quests!$1:$1,0)-MATCH($B$1,[2]quests!$1:$1,0)+1,FALSE)</f>
        <v>童話シリーズ　超級</v>
      </c>
      <c r="E59" s="87">
        <v>2</v>
      </c>
      <c r="F59" s="83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【上級】鉄壁の子豚要塞</v>
      </c>
      <c r="G59" s="83" t="str">
        <f ca="1">VLOOKUP($B59&amp;"_"&amp;$E59,OFFSET([2]stages!$A$1,0,0,COUNTA([2]stages!$A:$A),MATCH(G$1,[2]stages!$2:$2,0)-MATCH("temp_stage",[2]stages!$2:$2,0)+1),MATCH(G$1,[2]stages!$2:$2,0)-MATCH("temp_stage",[2]stages!$2:$2,0)+1,FALSE)</f>
        <v>童話シリーズ　超級</v>
      </c>
      <c r="H59" s="85">
        <v>0</v>
      </c>
      <c r="I59" s="96">
        <v>30</v>
      </c>
      <c r="J59" s="84" t="s">
        <v>366</v>
      </c>
      <c r="K59" s="93" t="str">
        <f>VLOOKUP(I59,[7]stage_hints!$A:$C,3,FALSE)</f>
        <v>「バグ」の増やし方</v>
      </c>
      <c r="L59" s="94" t="str">
        <f>VLOOKUP(I59,[7]stage_hints!$A:$D,4,FALSE)</f>
        <v>同じユニット同士を強化で合成すると_x000D_「バグ」を増やすことができます</v>
      </c>
      <c r="M59" s="57" t="s">
        <v>367</v>
      </c>
    </row>
    <row r="60" spans="1:13" x14ac:dyDescent="0.15">
      <c r="A60" s="81" t="s">
        <v>200</v>
      </c>
      <c r="B60" s="82">
        <f>floors!$C$2</f>
        <v>30049</v>
      </c>
      <c r="C60" s="83" t="str">
        <f ca="1">VLOOKUP($B60,OFFSET([2]quests!$A$1,0,0,COUNTA([2]quests!$A:$A),MATCH(C$1,[2]quests!$1:$1,0)-MATCH($B$1,[2]quests!$1:$1,0)+1),MATCH(C$1,[2]quests!$1:$1,0)-MATCH($B$1,[2]quests!$1:$1,0)+1,FALSE)</f>
        <v>鉄壁の子豚要塞</v>
      </c>
      <c r="D60" s="83" t="str">
        <f ca="1">VLOOKUP($B60,OFFSET([2]quests!$A$1,0,0,COUNTA([2]quests!$A:$A),MATCH(D$1,[2]quests!$1:$1,0)-MATCH($B$1,[2]quests!$1:$1,0)+1),MATCH(D$1,[2]quests!$1:$1,0)-MATCH($B$1,[2]quests!$1:$1,0)+1,FALSE)</f>
        <v>童話シリーズ　超級</v>
      </c>
      <c r="E60" s="87">
        <v>2</v>
      </c>
      <c r="F60" s="83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【上級】鉄壁の子豚要塞</v>
      </c>
      <c r="G60" s="83" t="str">
        <f ca="1">VLOOKUP($B60&amp;"_"&amp;$E60,OFFSET([2]stages!$A$1,0,0,COUNTA([2]stages!$A:$A),MATCH(G$1,[2]stages!$2:$2,0)-MATCH("temp_stage",[2]stages!$2:$2,0)+1),MATCH(G$1,[2]stages!$2:$2,0)-MATCH("temp_stage",[2]stages!$2:$2,0)+1,FALSE)</f>
        <v>童話シリーズ　超級</v>
      </c>
      <c r="H60" s="85">
        <v>0</v>
      </c>
      <c r="I60" s="96">
        <v>31</v>
      </c>
      <c r="J60" s="84" t="s">
        <v>198</v>
      </c>
      <c r="K60" s="93" t="str">
        <f>VLOOKUP(I60,[7]stage_hints!$A:$C,3,FALSE)</f>
        <v>イベントはお知らせでチェック</v>
      </c>
      <c r="L60" s="94" t="str">
        <f>VLOOKUP(I60,[7]stage_hints!$A:$D,4,FALSE)</f>
        <v>イベント限定ユニットを取り忘れないように_x000D_お知らせをこまめにチェックしましょう</v>
      </c>
      <c r="M60" s="57" t="s">
        <v>199</v>
      </c>
    </row>
    <row r="61" spans="1:13" x14ac:dyDescent="0.15">
      <c r="A61" s="81" t="s">
        <v>200</v>
      </c>
      <c r="B61" s="82">
        <f>floors!$C$2</f>
        <v>30049</v>
      </c>
      <c r="C61" s="83" t="str">
        <f ca="1">VLOOKUP($B61,OFFSET([2]quests!$A$1,0,0,COUNTA([2]quests!$A:$A),MATCH(C$1,[2]quests!$1:$1,0)-MATCH($B$1,[2]quests!$1:$1,0)+1),MATCH(C$1,[2]quests!$1:$1,0)-MATCH($B$1,[2]quests!$1:$1,0)+1,FALSE)</f>
        <v>鉄壁の子豚要塞</v>
      </c>
      <c r="D61" s="83" t="str">
        <f ca="1">VLOOKUP($B61,OFFSET([2]quests!$A$1,0,0,COUNTA([2]quests!$A:$A),MATCH(D$1,[2]quests!$1:$1,0)-MATCH($B$1,[2]quests!$1:$1,0)+1),MATCH(D$1,[2]quests!$1:$1,0)-MATCH($B$1,[2]quests!$1:$1,0)+1,FALSE)</f>
        <v>童話シリーズ　超級</v>
      </c>
      <c r="E61" s="87">
        <v>2</v>
      </c>
      <c r="F61" s="83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【上級】鉄壁の子豚要塞</v>
      </c>
      <c r="G61" s="83" t="str">
        <f ca="1">VLOOKUP($B61&amp;"_"&amp;$E61,OFFSET([2]stages!$A$1,0,0,COUNTA([2]stages!$A:$A),MATCH(G$1,[2]stages!$2:$2,0)-MATCH("temp_stage",[2]stages!$2:$2,0)+1),MATCH(G$1,[2]stages!$2:$2,0)-MATCH("temp_stage",[2]stages!$2:$2,0)+1,FALSE)</f>
        <v>童話シリーズ　超級</v>
      </c>
      <c r="H61" s="85">
        <v>0</v>
      </c>
      <c r="I61" s="96">
        <v>32</v>
      </c>
      <c r="J61" s="84" t="s">
        <v>198</v>
      </c>
      <c r="K61" s="93" t="str">
        <f>VLOOKUP(I61,[7]stage_hints!$A:$C,3,FALSE)</f>
        <v>敵の連続攻撃には</v>
      </c>
      <c r="L61" s="94" t="str">
        <f>VLOOKUP(I61,[7]stage_hints!$A:$D,4,FALSE)</f>
        <v>カウンタースキルを持つユニットがいれば_x000D_ダメージ回数分の反撃ができます</v>
      </c>
      <c r="M61" s="57" t="s">
        <v>199</v>
      </c>
    </row>
    <row r="62" spans="1:13" x14ac:dyDescent="0.15">
      <c r="A62" s="81" t="s">
        <v>200</v>
      </c>
      <c r="B62" s="82">
        <f>floors!$C$2</f>
        <v>30049</v>
      </c>
      <c r="C62" s="83" t="str">
        <f ca="1">VLOOKUP($B62,OFFSET([2]quests!$A$1,0,0,COUNTA([2]quests!$A:$A),MATCH(C$1,[2]quests!$1:$1,0)-MATCH($B$1,[2]quests!$1:$1,0)+1),MATCH(C$1,[2]quests!$1:$1,0)-MATCH($B$1,[2]quests!$1:$1,0)+1,FALSE)</f>
        <v>鉄壁の子豚要塞</v>
      </c>
      <c r="D62" s="83" t="str">
        <f ca="1">VLOOKUP($B62,OFFSET([2]quests!$A$1,0,0,COUNTA([2]quests!$A:$A),MATCH(D$1,[2]quests!$1:$1,0)-MATCH($B$1,[2]quests!$1:$1,0)+1),MATCH(D$1,[2]quests!$1:$1,0)-MATCH($B$1,[2]quests!$1:$1,0)+1,FALSE)</f>
        <v>童話シリーズ　超級</v>
      </c>
      <c r="E62" s="87">
        <v>2</v>
      </c>
      <c r="F62" s="83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【上級】鉄壁の子豚要塞</v>
      </c>
      <c r="G62" s="83" t="str">
        <f ca="1">VLOOKUP($B62&amp;"_"&amp;$E62,OFFSET([2]stages!$A$1,0,0,COUNTA([2]stages!$A:$A),MATCH(G$1,[2]stages!$2:$2,0)-MATCH("temp_stage",[2]stages!$2:$2,0)+1),MATCH(G$1,[2]stages!$2:$2,0)-MATCH("temp_stage",[2]stages!$2:$2,0)+1,FALSE)</f>
        <v>童話シリーズ　超級</v>
      </c>
      <c r="H62" s="85">
        <v>0</v>
      </c>
      <c r="I62" s="96">
        <v>33</v>
      </c>
      <c r="J62" s="84" t="s">
        <v>368</v>
      </c>
      <c r="K62" s="93" t="str">
        <f>VLOOKUP(I62,[7]stage_hints!$A:$C,3,FALSE)</f>
        <v>敵のカウンター攻撃には</v>
      </c>
      <c r="L62" s="94" t="str">
        <f>VLOOKUP(I62,[7]stage_hints!$A:$D,4,FALSE)</f>
        <v>カウンターブレイクスキルを持っていれば_x000D_敵のカウンターを解除して攻撃ができます</v>
      </c>
      <c r="M62" s="57" t="s">
        <v>369</v>
      </c>
    </row>
    <row r="63" spans="1:13" x14ac:dyDescent="0.15">
      <c r="A63" s="81" t="s">
        <v>200</v>
      </c>
      <c r="B63" s="82">
        <f>floors!$C$2</f>
        <v>30049</v>
      </c>
      <c r="C63" s="83" t="str">
        <f ca="1">VLOOKUP($B63,OFFSET([2]quests!$A$1,0,0,COUNTA([2]quests!$A:$A),MATCH(C$1,[2]quests!$1:$1,0)-MATCH($B$1,[2]quests!$1:$1,0)+1),MATCH(C$1,[2]quests!$1:$1,0)-MATCH($B$1,[2]quests!$1:$1,0)+1,FALSE)</f>
        <v>鉄壁の子豚要塞</v>
      </c>
      <c r="D63" s="83" t="str">
        <f ca="1">VLOOKUP($B63,OFFSET([2]quests!$A$1,0,0,COUNTA([2]quests!$A:$A),MATCH(D$1,[2]quests!$1:$1,0)-MATCH($B$1,[2]quests!$1:$1,0)+1),MATCH(D$1,[2]quests!$1:$1,0)-MATCH($B$1,[2]quests!$1:$1,0)+1,FALSE)</f>
        <v>童話シリーズ　超級</v>
      </c>
      <c r="E63" s="87">
        <v>2</v>
      </c>
      <c r="F63" s="83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【上級】鉄壁の子豚要塞</v>
      </c>
      <c r="G63" s="83" t="str">
        <f ca="1">VLOOKUP($B63&amp;"_"&amp;$E63,OFFSET([2]stages!$A$1,0,0,COUNTA([2]stages!$A:$A),MATCH(G$1,[2]stages!$2:$2,0)-MATCH("temp_stage",[2]stages!$2:$2,0)+1),MATCH(G$1,[2]stages!$2:$2,0)-MATCH("temp_stage",[2]stages!$2:$2,0)+1,FALSE)</f>
        <v>童話シリーズ　超級</v>
      </c>
      <c r="H63" s="85">
        <v>0</v>
      </c>
      <c r="I63" s="96">
        <v>34</v>
      </c>
      <c r="J63" s="84" t="s">
        <v>198</v>
      </c>
      <c r="K63" s="93" t="str">
        <f>VLOOKUP(I63,[7]stage_hints!$A:$C,3,FALSE)</f>
        <v>ステータスをスキルで下げられたら</v>
      </c>
      <c r="L63" s="94" t="str">
        <f>VLOOKUP(I63,[7]stage_hints!$A:$D,4,FALSE)</f>
        <v>ステータスダウンのスキルを受けたら_x000D_ステータスアップスキルで上書きしましょう</v>
      </c>
      <c r="M63" s="57" t="s">
        <v>199</v>
      </c>
    </row>
    <row r="64" spans="1:13" x14ac:dyDescent="0.15">
      <c r="A64" s="81" t="s">
        <v>200</v>
      </c>
      <c r="B64" s="82">
        <f>floors!$C$2</f>
        <v>30049</v>
      </c>
      <c r="C64" s="83" t="str">
        <f ca="1">VLOOKUP($B64,OFFSET([2]quests!$A$1,0,0,COUNTA([2]quests!$A:$A),MATCH(C$1,[2]quests!$1:$1,0)-MATCH($B$1,[2]quests!$1:$1,0)+1),MATCH(C$1,[2]quests!$1:$1,0)-MATCH($B$1,[2]quests!$1:$1,0)+1,FALSE)</f>
        <v>鉄壁の子豚要塞</v>
      </c>
      <c r="D64" s="83" t="str">
        <f ca="1">VLOOKUP($B64,OFFSET([2]quests!$A$1,0,0,COUNTA([2]quests!$A:$A),MATCH(D$1,[2]quests!$1:$1,0)-MATCH($B$1,[2]quests!$1:$1,0)+1),MATCH(D$1,[2]quests!$1:$1,0)-MATCH($B$1,[2]quests!$1:$1,0)+1,FALSE)</f>
        <v>童話シリーズ　超級</v>
      </c>
      <c r="E64" s="87">
        <v>2</v>
      </c>
      <c r="F64" s="83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【上級】鉄壁の子豚要塞</v>
      </c>
      <c r="G64" s="83" t="str">
        <f ca="1">VLOOKUP($B64&amp;"_"&amp;$E64,OFFSET([2]stages!$A$1,0,0,COUNTA([2]stages!$A:$A),MATCH(G$1,[2]stages!$2:$2,0)-MATCH("temp_stage",[2]stages!$2:$2,0)+1),MATCH(G$1,[2]stages!$2:$2,0)-MATCH("temp_stage",[2]stages!$2:$2,0)+1,FALSE)</f>
        <v>童話シリーズ　超級</v>
      </c>
      <c r="H64" s="85">
        <v>0</v>
      </c>
      <c r="I64" s="96">
        <v>35</v>
      </c>
      <c r="J64" s="84" t="s">
        <v>198</v>
      </c>
      <c r="K64" s="93" t="str">
        <f>VLOOKUP(I64,[7]stage_hints!$A:$C,3,FALSE)</f>
        <v>敵のステータスがスキルで上がったら</v>
      </c>
      <c r="L64" s="94" t="str">
        <f>VLOOKUP(I64,[7]stage_hints!$A:$D,4,FALSE)</f>
        <v>敵のステータスがスキルでアップしたときは_x000D_ステータスダウンスキルで上書きしましょう</v>
      </c>
      <c r="M64" s="57" t="s">
        <v>199</v>
      </c>
    </row>
    <row r="65" spans="1:13" x14ac:dyDescent="0.15">
      <c r="A65" s="81" t="s">
        <v>200</v>
      </c>
      <c r="B65" s="82">
        <f>floors!$C$2</f>
        <v>30049</v>
      </c>
      <c r="C65" s="83" t="str">
        <f ca="1">VLOOKUP($B65,OFFSET([2]quests!$A$1,0,0,COUNTA([2]quests!$A:$A),MATCH(C$1,[2]quests!$1:$1,0)-MATCH($B$1,[2]quests!$1:$1,0)+1),MATCH(C$1,[2]quests!$1:$1,0)-MATCH($B$1,[2]quests!$1:$1,0)+1,FALSE)</f>
        <v>鉄壁の子豚要塞</v>
      </c>
      <c r="D65" s="83" t="str">
        <f ca="1">VLOOKUP($B65,OFFSET([2]quests!$A$1,0,0,COUNTA([2]quests!$A:$A),MATCH(D$1,[2]quests!$1:$1,0)-MATCH($B$1,[2]quests!$1:$1,0)+1),MATCH(D$1,[2]quests!$1:$1,0)-MATCH($B$1,[2]quests!$1:$1,0)+1,FALSE)</f>
        <v>童話シリーズ　超級</v>
      </c>
      <c r="E65" s="87">
        <v>2</v>
      </c>
      <c r="F65" s="83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【上級】鉄壁の子豚要塞</v>
      </c>
      <c r="G65" s="83" t="str">
        <f ca="1">VLOOKUP($B65&amp;"_"&amp;$E65,OFFSET([2]stages!$A$1,0,0,COUNTA([2]stages!$A:$A),MATCH(G$1,[2]stages!$2:$2,0)-MATCH("temp_stage",[2]stages!$2:$2,0)+1),MATCH(G$1,[2]stages!$2:$2,0)-MATCH("temp_stage",[2]stages!$2:$2,0)+1,FALSE)</f>
        <v>童話シリーズ　超級</v>
      </c>
      <c r="H65" s="85">
        <v>0</v>
      </c>
      <c r="I65" s="96">
        <v>36</v>
      </c>
      <c r="J65" s="84" t="s">
        <v>370</v>
      </c>
      <c r="K65" s="93" t="str">
        <f>VLOOKUP(I65,[7]stage_hints!$A:$C,3,FALSE)</f>
        <v>タワーオブザクイーンのボス</v>
      </c>
      <c r="L65" s="94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7" t="s">
        <v>371</v>
      </c>
    </row>
    <row r="66" spans="1:13" x14ac:dyDescent="0.15">
      <c r="A66" s="81" t="s">
        <v>200</v>
      </c>
      <c r="B66" s="82">
        <f>floors!$C$2</f>
        <v>30049</v>
      </c>
      <c r="C66" s="83" t="str">
        <f ca="1">VLOOKUP($B66,OFFSET([2]quests!$A$1,0,0,COUNTA([2]quests!$A:$A),MATCH(C$1,[2]quests!$1:$1,0)-MATCH($B$1,[2]quests!$1:$1,0)+1),MATCH(C$1,[2]quests!$1:$1,0)-MATCH($B$1,[2]quests!$1:$1,0)+1,FALSE)</f>
        <v>鉄壁の子豚要塞</v>
      </c>
      <c r="D66" s="83" t="str">
        <f ca="1">VLOOKUP($B66,OFFSET([2]quests!$A$1,0,0,COUNTA([2]quests!$A:$A),MATCH(D$1,[2]quests!$1:$1,0)-MATCH($B$1,[2]quests!$1:$1,0)+1),MATCH(D$1,[2]quests!$1:$1,0)-MATCH($B$1,[2]quests!$1:$1,0)+1,FALSE)</f>
        <v>童話シリーズ　超級</v>
      </c>
      <c r="E66" s="87">
        <v>2</v>
      </c>
      <c r="F66" s="83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【上級】鉄壁の子豚要塞</v>
      </c>
      <c r="G66" s="83" t="str">
        <f ca="1">VLOOKUP($B66&amp;"_"&amp;$E66,OFFSET([2]stages!$A$1,0,0,COUNTA([2]stages!$A:$A),MATCH(G$1,[2]stages!$2:$2,0)-MATCH("temp_stage",[2]stages!$2:$2,0)+1),MATCH(G$1,[2]stages!$2:$2,0)-MATCH("temp_stage",[2]stages!$2:$2,0)+1,FALSE)</f>
        <v>童話シリーズ　超級</v>
      </c>
      <c r="H66" s="85">
        <v>0</v>
      </c>
      <c r="I66" s="96">
        <v>37</v>
      </c>
      <c r="J66" s="84" t="s">
        <v>198</v>
      </c>
      <c r="K66" s="93" t="str">
        <f>VLOOKUP(I66,[7]stage_hints!$A:$C,3,FALSE)</f>
        <v>限界突破値の引き継ぎ</v>
      </c>
      <c r="L66" s="94" t="str">
        <f>VLOOKUP(I66,[7]stage_hints!$A:$D,4,FALSE)</f>
        <v>同じユニットを強化で合成すると_x000D_限界突破値を引き継げます（覚醒前後も可）</v>
      </c>
      <c r="M66" s="57" t="s">
        <v>199</v>
      </c>
    </row>
    <row r="67" spans="1:13" x14ac:dyDescent="0.15">
      <c r="A67" s="81" t="s">
        <v>200</v>
      </c>
      <c r="B67" s="82">
        <f>floors!$C$2</f>
        <v>30049</v>
      </c>
      <c r="C67" s="83" t="str">
        <f ca="1">VLOOKUP($B67,OFFSET([2]quests!$A$1,0,0,COUNTA([2]quests!$A:$A),MATCH(C$1,[2]quests!$1:$1,0)-MATCH($B$1,[2]quests!$1:$1,0)+1),MATCH(C$1,[2]quests!$1:$1,0)-MATCH($B$1,[2]quests!$1:$1,0)+1,FALSE)</f>
        <v>鉄壁の子豚要塞</v>
      </c>
      <c r="D67" s="83" t="str">
        <f ca="1">VLOOKUP($B67,OFFSET([2]quests!$A$1,0,0,COUNTA([2]quests!$A:$A),MATCH(D$1,[2]quests!$1:$1,0)-MATCH($B$1,[2]quests!$1:$1,0)+1),MATCH(D$1,[2]quests!$1:$1,0)-MATCH($B$1,[2]quests!$1:$1,0)+1,FALSE)</f>
        <v>童話シリーズ　超級</v>
      </c>
      <c r="E67" s="87">
        <v>2</v>
      </c>
      <c r="F67" s="83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【上級】鉄壁の子豚要塞</v>
      </c>
      <c r="G67" s="83" t="str">
        <f ca="1">VLOOKUP($B67&amp;"_"&amp;$E67,OFFSET([2]stages!$A$1,0,0,COUNTA([2]stages!$A:$A),MATCH(G$1,[2]stages!$2:$2,0)-MATCH("temp_stage",[2]stages!$2:$2,0)+1),MATCH(G$1,[2]stages!$2:$2,0)-MATCH("temp_stage",[2]stages!$2:$2,0)+1,FALSE)</f>
        <v>童話シリーズ　超級</v>
      </c>
      <c r="H67" s="85">
        <v>0</v>
      </c>
      <c r="I67" s="96">
        <v>39</v>
      </c>
      <c r="J67" s="84" t="s">
        <v>358</v>
      </c>
      <c r="K67" s="93" t="str">
        <f>VLOOKUP(I67,[7]stage_hints!$A:$C,3,FALSE)</f>
        <v>システム適合者を確認</v>
      </c>
      <c r="L67" s="94" t="str">
        <f>VLOOKUP(I67,[7]stage_hints!$A:$D,4,FALSE)</f>
        <v>ALICEが 「アナタ」を呼んでいます</v>
      </c>
      <c r="M67" s="57" t="s">
        <v>365</v>
      </c>
    </row>
    <row r="68" spans="1:13" x14ac:dyDescent="0.15">
      <c r="A68" s="81" t="s">
        <v>200</v>
      </c>
      <c r="B68" s="82">
        <f>floors!$C$2</f>
        <v>30049</v>
      </c>
      <c r="C68" s="83" t="str">
        <f ca="1">VLOOKUP($B68,OFFSET([2]quests!$A$1,0,0,COUNTA([2]quests!$A:$A),MATCH(C$1,[2]quests!$1:$1,0)-MATCH($B$1,[2]quests!$1:$1,0)+1),MATCH(C$1,[2]quests!$1:$1,0)-MATCH($B$1,[2]quests!$1:$1,0)+1,FALSE)</f>
        <v>鉄壁の子豚要塞</v>
      </c>
      <c r="D68" s="83" t="str">
        <f ca="1">VLOOKUP($B68,OFFSET([2]quests!$A$1,0,0,COUNTA([2]quests!$A:$A),MATCH(D$1,[2]quests!$1:$1,0)-MATCH($B$1,[2]quests!$1:$1,0)+1),MATCH(D$1,[2]quests!$1:$1,0)-MATCH($B$1,[2]quests!$1:$1,0)+1,FALSE)</f>
        <v>童話シリーズ　超級</v>
      </c>
      <c r="E68" s="87">
        <v>3</v>
      </c>
      <c r="F68" s="83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【超級】鉄壁の子豚要塞</v>
      </c>
      <c r="G68" s="83" t="str">
        <f ca="1">VLOOKUP($B68&amp;"_"&amp;$E68,OFFSET([2]stages!$A$1,0,0,COUNTA([2]stages!$A:$A),MATCH(G$1,[2]stages!$2:$2,0)-MATCH("temp_stage",[2]stages!$2:$2,0)+1),MATCH(G$1,[2]stages!$2:$2,0)-MATCH("temp_stage",[2]stages!$2:$2,0)+1,FALSE)</f>
        <v>童話シリーズ　超級</v>
      </c>
      <c r="H68" s="85">
        <v>0</v>
      </c>
      <c r="I68">
        <v>12</v>
      </c>
      <c r="J68" s="84" t="s">
        <v>358</v>
      </c>
      <c r="K68" s="93" t="str">
        <f>VLOOKUP(I68,[7]stage_hints!$A:$C,3,FALSE)</f>
        <v>ユニットのお気に入り登録</v>
      </c>
      <c r="L68" s="94" t="str">
        <f>VLOOKUP(I68,[7]stage_hints!$A:$D,4,FALSE)</f>
        <v>大事なユニットを誤って消さないように_x000D_フォルダから「お気に入り登録」しましょう</v>
      </c>
      <c r="M68" s="57" t="s">
        <v>365</v>
      </c>
    </row>
    <row r="69" spans="1:13" x14ac:dyDescent="0.15">
      <c r="A69" s="81" t="s">
        <v>200</v>
      </c>
      <c r="B69" s="82">
        <f>floors!$C$2</f>
        <v>30049</v>
      </c>
      <c r="C69" s="83" t="str">
        <f ca="1">VLOOKUP($B69,OFFSET([2]quests!$A$1,0,0,COUNTA([2]quests!$A:$A),MATCH(C$1,[2]quests!$1:$1,0)-MATCH($B$1,[2]quests!$1:$1,0)+1),MATCH(C$1,[2]quests!$1:$1,0)-MATCH($B$1,[2]quests!$1:$1,0)+1,FALSE)</f>
        <v>鉄壁の子豚要塞</v>
      </c>
      <c r="D69" s="83" t="str">
        <f ca="1">VLOOKUP($B69,OFFSET([2]quests!$A$1,0,0,COUNTA([2]quests!$A:$A),MATCH(D$1,[2]quests!$1:$1,0)-MATCH($B$1,[2]quests!$1:$1,0)+1),MATCH(D$1,[2]quests!$1:$1,0)-MATCH($B$1,[2]quests!$1:$1,0)+1,FALSE)</f>
        <v>童話シリーズ　超級</v>
      </c>
      <c r="E69" s="87">
        <v>3</v>
      </c>
      <c r="F69" s="83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【超級】鉄壁の子豚要塞</v>
      </c>
      <c r="G69" s="83" t="str">
        <f ca="1">VLOOKUP($B69&amp;"_"&amp;$E69,OFFSET([2]stages!$A$1,0,0,COUNTA([2]stages!$A:$A),MATCH(G$1,[2]stages!$2:$2,0)-MATCH("temp_stage",[2]stages!$2:$2,0)+1),MATCH(G$1,[2]stages!$2:$2,0)-MATCH("temp_stage",[2]stages!$2:$2,0)+1,FALSE)</f>
        <v>童話シリーズ　超級</v>
      </c>
      <c r="H69" s="85">
        <v>0</v>
      </c>
      <c r="I69">
        <v>17</v>
      </c>
      <c r="J69" s="84" t="s">
        <v>198</v>
      </c>
      <c r="K69" s="93" t="str">
        <f>VLOOKUP(I69,[7]stage_hints!$A:$C,3,FALSE)</f>
        <v>リンクガチャ</v>
      </c>
      <c r="L69" s="94" t="str">
        <f>VLOOKUP(I69,[7]stage_hints!$A:$D,4,FALSE)</f>
        <v>無料のリンクガチャを回して_x000D_経験値素材や売却素材を獲得しましょう</v>
      </c>
      <c r="M69" s="57" t="s">
        <v>199</v>
      </c>
    </row>
    <row r="70" spans="1:13" x14ac:dyDescent="0.15">
      <c r="A70" s="81" t="s">
        <v>200</v>
      </c>
      <c r="B70" s="82">
        <f>floors!$C$2</f>
        <v>30049</v>
      </c>
      <c r="C70" s="83" t="str">
        <f ca="1">VLOOKUP($B70,OFFSET([2]quests!$A$1,0,0,COUNTA([2]quests!$A:$A),MATCH(C$1,[2]quests!$1:$1,0)-MATCH($B$1,[2]quests!$1:$1,0)+1),MATCH(C$1,[2]quests!$1:$1,0)-MATCH($B$1,[2]quests!$1:$1,0)+1,FALSE)</f>
        <v>鉄壁の子豚要塞</v>
      </c>
      <c r="D70" s="83" t="str">
        <f ca="1">VLOOKUP($B70,OFFSET([2]quests!$A$1,0,0,COUNTA([2]quests!$A:$A),MATCH(D$1,[2]quests!$1:$1,0)-MATCH($B$1,[2]quests!$1:$1,0)+1),MATCH(D$1,[2]quests!$1:$1,0)-MATCH($B$1,[2]quests!$1:$1,0)+1,FALSE)</f>
        <v>童話シリーズ　超級</v>
      </c>
      <c r="E70" s="87">
        <v>3</v>
      </c>
      <c r="F70" s="83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【超級】鉄壁の子豚要塞</v>
      </c>
      <c r="G70" s="83" t="str">
        <f ca="1">VLOOKUP($B70&amp;"_"&amp;$E70,OFFSET([2]stages!$A$1,0,0,COUNTA([2]stages!$A:$A),MATCH(G$1,[2]stages!$2:$2,0)-MATCH("temp_stage",[2]stages!$2:$2,0)+1),MATCH(G$1,[2]stages!$2:$2,0)-MATCH("temp_stage",[2]stages!$2:$2,0)+1,FALSE)</f>
        <v>童話シリーズ　超級</v>
      </c>
      <c r="H70" s="85">
        <v>0</v>
      </c>
      <c r="I70">
        <v>19</v>
      </c>
      <c r="J70" s="84" t="s">
        <v>198</v>
      </c>
      <c r="K70" s="93" t="str">
        <f>VLOOKUP(I70,[7]stage_hints!$A:$C,3,FALSE)</f>
        <v>ソロ専用タワーオブザクイーン</v>
      </c>
      <c r="L70" s="94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7" t="s">
        <v>199</v>
      </c>
    </row>
    <row r="71" spans="1:13" x14ac:dyDescent="0.15">
      <c r="A71" s="81" t="s">
        <v>200</v>
      </c>
      <c r="B71" s="82">
        <f>floors!$C$2</f>
        <v>30049</v>
      </c>
      <c r="C71" s="83" t="str">
        <f ca="1">VLOOKUP($B71,OFFSET([2]quests!$A$1,0,0,COUNTA([2]quests!$A:$A),MATCH(C$1,[2]quests!$1:$1,0)-MATCH($B$1,[2]quests!$1:$1,0)+1),MATCH(C$1,[2]quests!$1:$1,0)-MATCH($B$1,[2]quests!$1:$1,0)+1,FALSE)</f>
        <v>鉄壁の子豚要塞</v>
      </c>
      <c r="D71" s="83" t="str">
        <f ca="1">VLOOKUP($B71,OFFSET([2]quests!$A$1,0,0,COUNTA([2]quests!$A:$A),MATCH(D$1,[2]quests!$1:$1,0)-MATCH($B$1,[2]quests!$1:$1,0)+1),MATCH(D$1,[2]quests!$1:$1,0)-MATCH($B$1,[2]quests!$1:$1,0)+1,FALSE)</f>
        <v>童話シリーズ　超級</v>
      </c>
      <c r="E71" s="87">
        <v>3</v>
      </c>
      <c r="F71" s="83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【超級】鉄壁の子豚要塞</v>
      </c>
      <c r="G71" s="83" t="str">
        <f ca="1">VLOOKUP($B71&amp;"_"&amp;$E71,OFFSET([2]stages!$A$1,0,0,COUNTA([2]stages!$A:$A),MATCH(G$1,[2]stages!$2:$2,0)-MATCH("temp_stage",[2]stages!$2:$2,0)+1),MATCH(G$1,[2]stages!$2:$2,0)-MATCH("temp_stage",[2]stages!$2:$2,0)+1,FALSE)</f>
        <v>童話シリーズ　超級</v>
      </c>
      <c r="H71" s="85">
        <v>0</v>
      </c>
      <c r="I71">
        <v>21</v>
      </c>
      <c r="J71" s="84" t="s">
        <v>198</v>
      </c>
      <c r="K71" s="93" t="str">
        <f>VLOOKUP(I71,[7]stage_hints!$A:$C,3,FALSE)</f>
        <v>スキルを有効に</v>
      </c>
      <c r="L71" s="94" t="str">
        <f>VLOOKUP(I71,[7]stage_hints!$A:$D,4,FALSE)</f>
        <v>ターン経過でユニットのスキルが使えます_x000D_強力スキルでバトルを有利に進めましょう</v>
      </c>
      <c r="M71" s="57" t="s">
        <v>199</v>
      </c>
    </row>
    <row r="72" spans="1:13" x14ac:dyDescent="0.15">
      <c r="A72" s="81" t="s">
        <v>200</v>
      </c>
      <c r="B72" s="82">
        <f>floors!$C$2</f>
        <v>30049</v>
      </c>
      <c r="C72" s="83" t="str">
        <f ca="1">VLOOKUP($B72,OFFSET([2]quests!$A$1,0,0,COUNTA([2]quests!$A:$A),MATCH(C$1,[2]quests!$1:$1,0)-MATCH($B$1,[2]quests!$1:$1,0)+1),MATCH(C$1,[2]quests!$1:$1,0)-MATCH($B$1,[2]quests!$1:$1,0)+1,FALSE)</f>
        <v>鉄壁の子豚要塞</v>
      </c>
      <c r="D72" s="83" t="str">
        <f ca="1">VLOOKUP($B72,OFFSET([2]quests!$A$1,0,0,COUNTA([2]quests!$A:$A),MATCH(D$1,[2]quests!$1:$1,0)-MATCH($B$1,[2]quests!$1:$1,0)+1),MATCH(D$1,[2]quests!$1:$1,0)-MATCH($B$1,[2]quests!$1:$1,0)+1,FALSE)</f>
        <v>童話シリーズ　超級</v>
      </c>
      <c r="E72" s="87">
        <v>3</v>
      </c>
      <c r="F72" s="83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【超級】鉄壁の子豚要塞</v>
      </c>
      <c r="G72" s="83" t="str">
        <f ca="1">VLOOKUP($B72&amp;"_"&amp;$E72,OFFSET([2]stages!$A$1,0,0,COUNTA([2]stages!$A:$A),MATCH(G$1,[2]stages!$2:$2,0)-MATCH("temp_stage",[2]stages!$2:$2,0)+1),MATCH(G$1,[2]stages!$2:$2,0)-MATCH("temp_stage",[2]stages!$2:$2,0)+1,FALSE)</f>
        <v>童話シリーズ　超級</v>
      </c>
      <c r="H72" s="85">
        <v>0</v>
      </c>
      <c r="I72">
        <v>27</v>
      </c>
      <c r="J72" s="84" t="s">
        <v>198</v>
      </c>
      <c r="K72" s="93" t="str">
        <f>VLOOKUP(I72,[7]stage_hints!$A:$C,3,FALSE)</f>
        <v>ホーム画面からデッキを編成</v>
      </c>
      <c r="L72" s="94" t="str">
        <f>VLOOKUP(I72,[7]stage_hints!$A:$D,4,FALSE)</f>
        <v>ホーム画面でユニットを長押しすると_x000D_すぐにパーティ編成に移動できます</v>
      </c>
      <c r="M72" s="57" t="s">
        <v>199</v>
      </c>
    </row>
    <row r="73" spans="1:13" x14ac:dyDescent="0.15">
      <c r="A73" s="81" t="s">
        <v>200</v>
      </c>
      <c r="B73" s="82">
        <f>floors!$C$2</f>
        <v>30049</v>
      </c>
      <c r="C73" s="83" t="str">
        <f ca="1">VLOOKUP($B73,OFFSET([2]quests!$A$1,0,0,COUNTA([2]quests!$A:$A),MATCH(C$1,[2]quests!$1:$1,0)-MATCH($B$1,[2]quests!$1:$1,0)+1),MATCH(C$1,[2]quests!$1:$1,0)-MATCH($B$1,[2]quests!$1:$1,0)+1,FALSE)</f>
        <v>鉄壁の子豚要塞</v>
      </c>
      <c r="D73" s="83" t="str">
        <f ca="1">VLOOKUP($B73,OFFSET([2]quests!$A$1,0,0,COUNTA([2]quests!$A:$A),MATCH(D$1,[2]quests!$1:$1,0)-MATCH($B$1,[2]quests!$1:$1,0)+1),MATCH(D$1,[2]quests!$1:$1,0)-MATCH($B$1,[2]quests!$1:$1,0)+1,FALSE)</f>
        <v>童話シリーズ　超級</v>
      </c>
      <c r="E73" s="87">
        <v>3</v>
      </c>
      <c r="F73" s="83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【超級】鉄壁の子豚要塞</v>
      </c>
      <c r="G73" s="83" t="str">
        <f ca="1">VLOOKUP($B73&amp;"_"&amp;$E73,OFFSET([2]stages!$A$1,0,0,COUNTA([2]stages!$A:$A),MATCH(G$1,[2]stages!$2:$2,0)-MATCH("temp_stage",[2]stages!$2:$2,0)+1),MATCH(G$1,[2]stages!$2:$2,0)-MATCH("temp_stage",[2]stages!$2:$2,0)+1,FALSE)</f>
        <v>童話シリーズ　超級</v>
      </c>
      <c r="H73" s="85">
        <v>0</v>
      </c>
      <c r="I73">
        <v>28</v>
      </c>
      <c r="J73" s="84" t="s">
        <v>198</v>
      </c>
      <c r="K73" s="93" t="str">
        <f>VLOOKUP(I73,[7]stage_hints!$A:$C,3,FALSE)</f>
        <v>ステータス情報は長押しで</v>
      </c>
      <c r="L73" s="94" t="str">
        <f>VLOOKUP(I73,[7]stage_hints!$A:$D,4,FALSE)</f>
        <v>ユニットのアイコンを長押しすると_x000D_ステータス情報を確認することができます</v>
      </c>
      <c r="M73" s="57" t="s">
        <v>199</v>
      </c>
    </row>
    <row r="74" spans="1:13" x14ac:dyDescent="0.15">
      <c r="A74" s="81" t="s">
        <v>200</v>
      </c>
      <c r="B74" s="82">
        <f>floors!$C$2</f>
        <v>30049</v>
      </c>
      <c r="C74" s="83" t="str">
        <f ca="1">VLOOKUP($B74,OFFSET([2]quests!$A$1,0,0,COUNTA([2]quests!$A:$A),MATCH(C$1,[2]quests!$1:$1,0)-MATCH($B$1,[2]quests!$1:$1,0)+1),MATCH(C$1,[2]quests!$1:$1,0)-MATCH($B$1,[2]quests!$1:$1,0)+1,FALSE)</f>
        <v>鉄壁の子豚要塞</v>
      </c>
      <c r="D74" s="83" t="str">
        <f ca="1">VLOOKUP($B74,OFFSET([2]quests!$A$1,0,0,COUNTA([2]quests!$A:$A),MATCH(D$1,[2]quests!$1:$1,0)-MATCH($B$1,[2]quests!$1:$1,0)+1),MATCH(D$1,[2]quests!$1:$1,0)-MATCH($B$1,[2]quests!$1:$1,0)+1,FALSE)</f>
        <v>童話シリーズ　超級</v>
      </c>
      <c r="E74" s="87">
        <v>3</v>
      </c>
      <c r="F74" s="83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【超級】鉄壁の子豚要塞</v>
      </c>
      <c r="G74" s="83" t="str">
        <f ca="1">VLOOKUP($B74&amp;"_"&amp;$E74,OFFSET([2]stages!$A$1,0,0,COUNTA([2]stages!$A:$A),MATCH(G$1,[2]stages!$2:$2,0)-MATCH("temp_stage",[2]stages!$2:$2,0)+1),MATCH(G$1,[2]stages!$2:$2,0)-MATCH("temp_stage",[2]stages!$2:$2,0)+1,FALSE)</f>
        <v>童話シリーズ　超級</v>
      </c>
      <c r="H74" s="85">
        <v>0</v>
      </c>
      <c r="I74">
        <v>29</v>
      </c>
      <c r="J74" s="84" t="s">
        <v>372</v>
      </c>
      <c r="K74" s="93" t="str">
        <f>VLOOKUP(I74,[7]stage_hints!$A:$C,3,FALSE)</f>
        <v>「バグ」のメリット</v>
      </c>
      <c r="L74" s="94" t="str">
        <f>VLOOKUP(I74,[7]stage_hints!$A:$D,4,FALSE)</f>
        <v>ユニットの「バグ」を増やすと_x000D_報酬をもらえる確率がアップします</v>
      </c>
      <c r="M74" s="57" t="s">
        <v>199</v>
      </c>
    </row>
    <row r="75" spans="1:13" x14ac:dyDescent="0.15">
      <c r="A75" s="81" t="s">
        <v>200</v>
      </c>
      <c r="B75" s="82">
        <f>floors!$C$2</f>
        <v>30049</v>
      </c>
      <c r="C75" s="83" t="str">
        <f ca="1">VLOOKUP($B75,OFFSET([2]quests!$A$1,0,0,COUNTA([2]quests!$A:$A),MATCH(C$1,[2]quests!$1:$1,0)-MATCH($B$1,[2]quests!$1:$1,0)+1),MATCH(C$1,[2]quests!$1:$1,0)-MATCH($B$1,[2]quests!$1:$1,0)+1,FALSE)</f>
        <v>鉄壁の子豚要塞</v>
      </c>
      <c r="D75" s="83" t="str">
        <f ca="1">VLOOKUP($B75,OFFSET([2]quests!$A$1,0,0,COUNTA([2]quests!$A:$A),MATCH(D$1,[2]quests!$1:$1,0)-MATCH($B$1,[2]quests!$1:$1,0)+1),MATCH(D$1,[2]quests!$1:$1,0)-MATCH($B$1,[2]quests!$1:$1,0)+1,FALSE)</f>
        <v>童話シリーズ　超級</v>
      </c>
      <c r="E75" s="87">
        <v>3</v>
      </c>
      <c r="F75" s="83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【超級】鉄壁の子豚要塞</v>
      </c>
      <c r="G75" s="83" t="str">
        <f ca="1">VLOOKUP($B75&amp;"_"&amp;$E75,OFFSET([2]stages!$A$1,0,0,COUNTA([2]stages!$A:$A),MATCH(G$1,[2]stages!$2:$2,0)-MATCH("temp_stage",[2]stages!$2:$2,0)+1),MATCH(G$1,[2]stages!$2:$2,0)-MATCH("temp_stage",[2]stages!$2:$2,0)+1,FALSE)</f>
        <v>童話シリーズ　超級</v>
      </c>
      <c r="H75" s="85">
        <v>0</v>
      </c>
      <c r="I75">
        <v>30</v>
      </c>
      <c r="J75" s="84" t="s">
        <v>198</v>
      </c>
      <c r="K75" s="93" t="str">
        <f>VLOOKUP(I75,[7]stage_hints!$A:$C,3,FALSE)</f>
        <v>「バグ」の増やし方</v>
      </c>
      <c r="L75" s="94" t="str">
        <f>VLOOKUP(I75,[7]stage_hints!$A:$D,4,FALSE)</f>
        <v>同じユニット同士を強化で合成すると_x000D_「バグ」を増やすことができます</v>
      </c>
      <c r="M75" s="57" t="s">
        <v>199</v>
      </c>
    </row>
    <row r="76" spans="1:13" x14ac:dyDescent="0.15">
      <c r="A76" s="81" t="s">
        <v>200</v>
      </c>
      <c r="B76" s="82">
        <f>floors!$C$2</f>
        <v>30049</v>
      </c>
      <c r="C76" s="83" t="str">
        <f ca="1">VLOOKUP($B76,OFFSET([2]quests!$A$1,0,0,COUNTA([2]quests!$A:$A),MATCH(C$1,[2]quests!$1:$1,0)-MATCH($B$1,[2]quests!$1:$1,0)+1),MATCH(C$1,[2]quests!$1:$1,0)-MATCH($B$1,[2]quests!$1:$1,0)+1,FALSE)</f>
        <v>鉄壁の子豚要塞</v>
      </c>
      <c r="D76" s="83" t="str">
        <f ca="1">VLOOKUP($B76,OFFSET([2]quests!$A$1,0,0,COUNTA([2]quests!$A:$A),MATCH(D$1,[2]quests!$1:$1,0)-MATCH($B$1,[2]quests!$1:$1,0)+1),MATCH(D$1,[2]quests!$1:$1,0)-MATCH($B$1,[2]quests!$1:$1,0)+1,FALSE)</f>
        <v>童話シリーズ　超級</v>
      </c>
      <c r="E76" s="87">
        <v>3</v>
      </c>
      <c r="F76" s="83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【超級】鉄壁の子豚要塞</v>
      </c>
      <c r="G76" s="83" t="str">
        <f ca="1">VLOOKUP($B76&amp;"_"&amp;$E76,OFFSET([2]stages!$A$1,0,0,COUNTA([2]stages!$A:$A),MATCH(G$1,[2]stages!$2:$2,0)-MATCH("temp_stage",[2]stages!$2:$2,0)+1),MATCH(G$1,[2]stages!$2:$2,0)-MATCH("temp_stage",[2]stages!$2:$2,0)+1,FALSE)</f>
        <v>童話シリーズ　超級</v>
      </c>
      <c r="H76" s="85">
        <v>0</v>
      </c>
      <c r="I76">
        <v>32</v>
      </c>
      <c r="J76" s="84" t="s">
        <v>198</v>
      </c>
      <c r="K76" s="93" t="str">
        <f>VLOOKUP(I76,[7]stage_hints!$A:$C,3,FALSE)</f>
        <v>敵の連続攻撃には</v>
      </c>
      <c r="L76" s="94" t="str">
        <f>VLOOKUP(I76,[7]stage_hints!$A:$D,4,FALSE)</f>
        <v>カウンタースキルを持つユニットがいれば_x000D_ダメージ回数分の反撃ができます</v>
      </c>
      <c r="M76" s="57" t="s">
        <v>199</v>
      </c>
    </row>
    <row r="77" spans="1:13" x14ac:dyDescent="0.15">
      <c r="A77" s="81" t="s">
        <v>200</v>
      </c>
      <c r="B77" s="82">
        <f>floors!$C$2</f>
        <v>30049</v>
      </c>
      <c r="C77" s="83" t="str">
        <f ca="1">VLOOKUP($B77,OFFSET([2]quests!$A$1,0,0,COUNTA([2]quests!$A:$A),MATCH(C$1,[2]quests!$1:$1,0)-MATCH($B$1,[2]quests!$1:$1,0)+1),MATCH(C$1,[2]quests!$1:$1,0)-MATCH($B$1,[2]quests!$1:$1,0)+1,FALSE)</f>
        <v>鉄壁の子豚要塞</v>
      </c>
      <c r="D77" s="83" t="str">
        <f ca="1">VLOOKUP($B77,OFFSET([2]quests!$A$1,0,0,COUNTA([2]quests!$A:$A),MATCH(D$1,[2]quests!$1:$1,0)-MATCH($B$1,[2]quests!$1:$1,0)+1),MATCH(D$1,[2]quests!$1:$1,0)-MATCH($B$1,[2]quests!$1:$1,0)+1,FALSE)</f>
        <v>童話シリーズ　超級</v>
      </c>
      <c r="E77" s="87">
        <v>3</v>
      </c>
      <c r="F77" s="83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【超級】鉄壁の子豚要塞</v>
      </c>
      <c r="G77" s="83" t="str">
        <f ca="1">VLOOKUP($B77&amp;"_"&amp;$E77,OFFSET([2]stages!$A$1,0,0,COUNTA([2]stages!$A:$A),MATCH(G$1,[2]stages!$2:$2,0)-MATCH("temp_stage",[2]stages!$2:$2,0)+1),MATCH(G$1,[2]stages!$2:$2,0)-MATCH("temp_stage",[2]stages!$2:$2,0)+1,FALSE)</f>
        <v>童話シリーズ　超級</v>
      </c>
      <c r="H77" s="85">
        <v>0</v>
      </c>
      <c r="I77">
        <v>33</v>
      </c>
      <c r="J77" s="84" t="s">
        <v>198</v>
      </c>
      <c r="K77" s="93" t="str">
        <f>VLOOKUP(I77,[7]stage_hints!$A:$C,3,FALSE)</f>
        <v>敵のカウンター攻撃には</v>
      </c>
      <c r="L77" s="94" t="str">
        <f>VLOOKUP(I77,[7]stage_hints!$A:$D,4,FALSE)</f>
        <v>カウンターブレイクスキルを持っていれば_x000D_敵のカウンターを解除して攻撃ができます</v>
      </c>
      <c r="M77" s="57" t="s">
        <v>199</v>
      </c>
    </row>
    <row r="78" spans="1:13" x14ac:dyDescent="0.15">
      <c r="A78" s="81" t="s">
        <v>200</v>
      </c>
      <c r="B78" s="82">
        <f>floors!$C$2</f>
        <v>30049</v>
      </c>
      <c r="C78" s="83" t="str">
        <f ca="1">VLOOKUP($B78,OFFSET([2]quests!$A$1,0,0,COUNTA([2]quests!$A:$A),MATCH(C$1,[2]quests!$1:$1,0)-MATCH($B$1,[2]quests!$1:$1,0)+1),MATCH(C$1,[2]quests!$1:$1,0)-MATCH($B$1,[2]quests!$1:$1,0)+1,FALSE)</f>
        <v>鉄壁の子豚要塞</v>
      </c>
      <c r="D78" s="83" t="str">
        <f ca="1">VLOOKUP($B78,OFFSET([2]quests!$A$1,0,0,COUNTA([2]quests!$A:$A),MATCH(D$1,[2]quests!$1:$1,0)-MATCH($B$1,[2]quests!$1:$1,0)+1),MATCH(D$1,[2]quests!$1:$1,0)-MATCH($B$1,[2]quests!$1:$1,0)+1,FALSE)</f>
        <v>童話シリーズ　超級</v>
      </c>
      <c r="E78" s="87">
        <v>3</v>
      </c>
      <c r="F78" s="83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【超級】鉄壁の子豚要塞</v>
      </c>
      <c r="G78" s="83" t="str">
        <f ca="1">VLOOKUP($B78&amp;"_"&amp;$E78,OFFSET([2]stages!$A$1,0,0,COUNTA([2]stages!$A:$A),MATCH(G$1,[2]stages!$2:$2,0)-MATCH("temp_stage",[2]stages!$2:$2,0)+1),MATCH(G$1,[2]stages!$2:$2,0)-MATCH("temp_stage",[2]stages!$2:$2,0)+1,FALSE)</f>
        <v>童話シリーズ　超級</v>
      </c>
      <c r="H78" s="85">
        <v>0</v>
      </c>
      <c r="I78">
        <v>34</v>
      </c>
      <c r="J78" s="84" t="s">
        <v>198</v>
      </c>
      <c r="K78" s="93" t="str">
        <f>VLOOKUP(I78,[7]stage_hints!$A:$C,3,FALSE)</f>
        <v>ステータスをスキルで下げられたら</v>
      </c>
      <c r="L78" s="94" t="str">
        <f>VLOOKUP(I78,[7]stage_hints!$A:$D,4,FALSE)</f>
        <v>ステータスダウンのスキルを受けたら_x000D_ステータスアップスキルで上書きしましょう</v>
      </c>
      <c r="M78" s="57" t="s">
        <v>199</v>
      </c>
    </row>
    <row r="79" spans="1:13" x14ac:dyDescent="0.15">
      <c r="A79" s="81" t="s">
        <v>200</v>
      </c>
      <c r="B79" s="82">
        <f>floors!$C$2</f>
        <v>30049</v>
      </c>
      <c r="C79" s="83" t="str">
        <f ca="1">VLOOKUP($B79,OFFSET([2]quests!$A$1,0,0,COUNTA([2]quests!$A:$A),MATCH(C$1,[2]quests!$1:$1,0)-MATCH($B$1,[2]quests!$1:$1,0)+1),MATCH(C$1,[2]quests!$1:$1,0)-MATCH($B$1,[2]quests!$1:$1,0)+1,FALSE)</f>
        <v>鉄壁の子豚要塞</v>
      </c>
      <c r="D79" s="83" t="str">
        <f ca="1">VLOOKUP($B79,OFFSET([2]quests!$A$1,0,0,COUNTA([2]quests!$A:$A),MATCH(D$1,[2]quests!$1:$1,0)-MATCH($B$1,[2]quests!$1:$1,0)+1),MATCH(D$1,[2]quests!$1:$1,0)-MATCH($B$1,[2]quests!$1:$1,0)+1,FALSE)</f>
        <v>童話シリーズ　超級</v>
      </c>
      <c r="E79" s="87">
        <v>3</v>
      </c>
      <c r="F79" s="83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【超級】鉄壁の子豚要塞</v>
      </c>
      <c r="G79" s="83" t="str">
        <f ca="1">VLOOKUP($B79&amp;"_"&amp;$E79,OFFSET([2]stages!$A$1,0,0,COUNTA([2]stages!$A:$A),MATCH(G$1,[2]stages!$2:$2,0)-MATCH("temp_stage",[2]stages!$2:$2,0)+1),MATCH(G$1,[2]stages!$2:$2,0)-MATCH("temp_stage",[2]stages!$2:$2,0)+1,FALSE)</f>
        <v>童話シリーズ　超級</v>
      </c>
      <c r="H79" s="85">
        <v>0</v>
      </c>
      <c r="I79">
        <v>35</v>
      </c>
      <c r="J79" s="84" t="s">
        <v>359</v>
      </c>
      <c r="K79" s="93" t="str">
        <f>VLOOKUP(I79,[7]stage_hints!$A:$C,3,FALSE)</f>
        <v>敵のステータスがスキルで上がったら</v>
      </c>
      <c r="L79" s="94" t="str">
        <f>VLOOKUP(I79,[7]stage_hints!$A:$D,4,FALSE)</f>
        <v>敵のステータスがスキルでアップしたときは_x000D_ステータスダウンスキルで上書きしましょう</v>
      </c>
      <c r="M79" s="57" t="s">
        <v>361</v>
      </c>
    </row>
    <row r="80" spans="1:13" x14ac:dyDescent="0.15">
      <c r="A80" s="81" t="s">
        <v>200</v>
      </c>
      <c r="B80" s="82">
        <f>floors!$C$2</f>
        <v>30049</v>
      </c>
      <c r="C80" s="83" t="str">
        <f ca="1">VLOOKUP($B80,OFFSET([2]quests!$A$1,0,0,COUNTA([2]quests!$A:$A),MATCH(C$1,[2]quests!$1:$1,0)-MATCH($B$1,[2]quests!$1:$1,0)+1),MATCH(C$1,[2]quests!$1:$1,0)-MATCH($B$1,[2]quests!$1:$1,0)+1,FALSE)</f>
        <v>鉄壁の子豚要塞</v>
      </c>
      <c r="D80" s="83" t="str">
        <f ca="1">VLOOKUP($B80,OFFSET([2]quests!$A$1,0,0,COUNTA([2]quests!$A:$A),MATCH(D$1,[2]quests!$1:$1,0)-MATCH($B$1,[2]quests!$1:$1,0)+1),MATCH(D$1,[2]quests!$1:$1,0)-MATCH($B$1,[2]quests!$1:$1,0)+1,FALSE)</f>
        <v>童話シリーズ　超級</v>
      </c>
      <c r="E80" s="87">
        <v>3</v>
      </c>
      <c r="F80" s="83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【超級】鉄壁の子豚要塞</v>
      </c>
      <c r="G80" s="83" t="str">
        <f ca="1">VLOOKUP($B80&amp;"_"&amp;$E80,OFFSET([2]stages!$A$1,0,0,COUNTA([2]stages!$A:$A),MATCH(G$1,[2]stages!$2:$2,0)-MATCH("temp_stage",[2]stages!$2:$2,0)+1),MATCH(G$1,[2]stages!$2:$2,0)-MATCH("temp_stage",[2]stages!$2:$2,0)+1,FALSE)</f>
        <v>童話シリーズ　超級</v>
      </c>
      <c r="H80" s="85">
        <v>0</v>
      </c>
      <c r="I80">
        <v>36</v>
      </c>
      <c r="J80" s="84" t="s">
        <v>358</v>
      </c>
      <c r="K80" s="93" t="str">
        <f>VLOOKUP(I80,[7]stage_hints!$A:$C,3,FALSE)</f>
        <v>タワーオブザクイーンのボス</v>
      </c>
      <c r="L80" s="94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7" t="s">
        <v>199</v>
      </c>
    </row>
    <row r="81" spans="1:13" x14ac:dyDescent="0.15">
      <c r="A81" s="81" t="s">
        <v>200</v>
      </c>
      <c r="B81" s="82">
        <f>floors!$C$2</f>
        <v>30049</v>
      </c>
      <c r="C81" s="83" t="str">
        <f ca="1">VLOOKUP($B81,OFFSET([2]quests!$A$1,0,0,COUNTA([2]quests!$A:$A),MATCH(C$1,[2]quests!$1:$1,0)-MATCH($B$1,[2]quests!$1:$1,0)+1),MATCH(C$1,[2]quests!$1:$1,0)-MATCH($B$1,[2]quests!$1:$1,0)+1,FALSE)</f>
        <v>鉄壁の子豚要塞</v>
      </c>
      <c r="D81" s="83" t="str">
        <f ca="1">VLOOKUP($B81,OFFSET([2]quests!$A$1,0,0,COUNTA([2]quests!$A:$A),MATCH(D$1,[2]quests!$1:$1,0)-MATCH($B$1,[2]quests!$1:$1,0)+1),MATCH(D$1,[2]quests!$1:$1,0)-MATCH($B$1,[2]quests!$1:$1,0)+1,FALSE)</f>
        <v>童話シリーズ　超級</v>
      </c>
      <c r="E81" s="87">
        <v>3</v>
      </c>
      <c r="F81" s="83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【超級】鉄壁の子豚要塞</v>
      </c>
      <c r="G81" s="83" t="str">
        <f ca="1">VLOOKUP($B81&amp;"_"&amp;$E81,OFFSET([2]stages!$A$1,0,0,COUNTA([2]stages!$A:$A),MATCH(G$1,[2]stages!$2:$2,0)-MATCH("temp_stage",[2]stages!$2:$2,0)+1),MATCH(G$1,[2]stages!$2:$2,0)-MATCH("temp_stage",[2]stages!$2:$2,0)+1,FALSE)</f>
        <v>童話シリーズ　超級</v>
      </c>
      <c r="H81" s="85">
        <v>0</v>
      </c>
      <c r="I81">
        <v>37</v>
      </c>
      <c r="J81" s="84" t="s">
        <v>198</v>
      </c>
      <c r="K81" s="93" t="str">
        <f>VLOOKUP(I81,[7]stage_hints!$A:$C,3,FALSE)</f>
        <v>限界突破値の引き継ぎ</v>
      </c>
      <c r="L81" s="94" t="str">
        <f>VLOOKUP(I81,[7]stage_hints!$A:$D,4,FALSE)</f>
        <v>同じユニットを強化で合成すると_x000D_限界突破値を引き継げます（覚醒前後も可）</v>
      </c>
      <c r="M81" s="57" t="s">
        <v>199</v>
      </c>
    </row>
    <row r="82" spans="1:13" x14ac:dyDescent="0.15">
      <c r="A82" s="81" t="s">
        <v>200</v>
      </c>
      <c r="B82" s="82">
        <f>floors!$C$2</f>
        <v>30049</v>
      </c>
      <c r="C82" s="83" t="str">
        <f ca="1">VLOOKUP($B82,OFFSET([2]quests!$A$1,0,0,COUNTA([2]quests!$A:$A),MATCH(C$1,[2]quests!$1:$1,0)-MATCH($B$1,[2]quests!$1:$1,0)+1),MATCH(C$1,[2]quests!$1:$1,0)-MATCH($B$1,[2]quests!$1:$1,0)+1,FALSE)</f>
        <v>鉄壁の子豚要塞</v>
      </c>
      <c r="D82" s="83" t="str">
        <f ca="1">VLOOKUP($B82,OFFSET([2]quests!$A$1,0,0,COUNTA([2]quests!$A:$A),MATCH(D$1,[2]quests!$1:$1,0)-MATCH($B$1,[2]quests!$1:$1,0)+1),MATCH(D$1,[2]quests!$1:$1,0)-MATCH($B$1,[2]quests!$1:$1,0)+1,FALSE)</f>
        <v>童話シリーズ　超級</v>
      </c>
      <c r="E82" s="87">
        <v>3</v>
      </c>
      <c r="F82" s="83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【超級】鉄壁の子豚要塞</v>
      </c>
      <c r="G82" s="83" t="str">
        <f ca="1">VLOOKUP($B82&amp;"_"&amp;$E82,OFFSET([2]stages!$A$1,0,0,COUNTA([2]stages!$A:$A),MATCH(G$1,[2]stages!$2:$2,0)-MATCH("temp_stage",[2]stages!$2:$2,0)+1),MATCH(G$1,[2]stages!$2:$2,0)-MATCH("temp_stage",[2]stages!$2:$2,0)+1,FALSE)</f>
        <v>童話シリーズ　超級</v>
      </c>
      <c r="H82" s="85">
        <v>0</v>
      </c>
      <c r="I82">
        <v>39</v>
      </c>
      <c r="J82" s="84" t="s">
        <v>198</v>
      </c>
      <c r="K82" s="93" t="str">
        <f>VLOOKUP(I82,[7]stage_hints!$A:$C,3,FALSE)</f>
        <v>システム適合者を確認</v>
      </c>
      <c r="L82" s="94" t="str">
        <f>VLOOKUP(I82,[7]stage_hints!$A:$D,4,FALSE)</f>
        <v>ALICEが 「アナタ」を呼んでいます</v>
      </c>
      <c r="M82" s="57" t="s">
        <v>199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4" activePane="bottomLeft" state="frozen"/>
      <selection pane="bottomLeft" activeCell="M13" sqref="M1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3" t="s">
        <v>150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89" t="s">
        <v>194</v>
      </c>
      <c r="J1" s="91" t="s">
        <v>195</v>
      </c>
      <c r="K1" s="79" t="s">
        <v>126</v>
      </c>
      <c r="L1" s="78" t="s">
        <v>187</v>
      </c>
      <c r="M1" s="92" t="s">
        <v>186</v>
      </c>
      <c r="N1" s="80" t="s">
        <v>196</v>
      </c>
    </row>
    <row r="2" spans="1:14" ht="56" x14ac:dyDescent="0.15">
      <c r="A2" s="81" t="s">
        <v>197</v>
      </c>
      <c r="B2" s="82">
        <f>floors!$C$2</f>
        <v>30049</v>
      </c>
      <c r="C2" s="83" t="str">
        <f ca="1">VLOOKUP($B2,OFFSET([2]quests!$A$1,0,0,COUNTA([2]quests!$A:$A),MATCH(C$1,[2]quests!$1:$1,0)-MATCH($B$1,[2]quests!$1:$1,0)+1),MATCH(C$1,[2]quests!$1:$1,0)-MATCH($B$1,[2]quests!$1:$1,0)+1,FALSE)</f>
        <v>鉄壁の子豚要塞</v>
      </c>
      <c r="D2" s="83" t="str">
        <f ca="1">VLOOKUP($B2,OFFSET([2]quests!$A$1,0,0,COUNTA([2]quests!$A:$A),MATCH(D$1,[2]quests!$1:$1,0)-MATCH($B$1,[2]quests!$1:$1,0)+1),MATCH(D$1,[2]quests!$1:$1,0)-MATCH($B$1,[2]quests!$1:$1,0)+1,FALSE)</f>
        <v>童話シリーズ　超級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【中級】鉄壁の子豚要塞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童話シリーズ　超級</v>
      </c>
      <c r="H2" s="85">
        <v>1</v>
      </c>
      <c r="I2" s="90">
        <f>ROW()-1</f>
        <v>1</v>
      </c>
      <c r="J2" s="86" t="str">
        <f>B2&amp;TEXT(I2,"00")</f>
        <v>3004901</v>
      </c>
      <c r="K2" s="84" t="s">
        <v>198</v>
      </c>
      <c r="L2" s="87" t="s">
        <v>251</v>
      </c>
      <c r="M2" s="123" t="s">
        <v>336</v>
      </c>
      <c r="N2" s="57" t="s">
        <v>199</v>
      </c>
    </row>
    <row r="3" spans="1:14" ht="42" x14ac:dyDescent="0.15">
      <c r="A3" s="81" t="s">
        <v>197</v>
      </c>
      <c r="B3" s="82">
        <f>floors!$C$2</f>
        <v>30049</v>
      </c>
      <c r="C3" s="83" t="str">
        <f ca="1">VLOOKUP($B3,OFFSET([2]quests!$A$1,0,0,COUNTA([2]quests!$A:$A),MATCH(C$1,[2]quests!$1:$1,0)-MATCH($B$1,[2]quests!$1:$1,0)+1),MATCH(C$1,[2]quests!$1:$1,0)-MATCH($B$1,[2]quests!$1:$1,0)+1,FALSE)</f>
        <v>鉄壁の子豚要塞</v>
      </c>
      <c r="D3" s="83" t="str">
        <f ca="1">VLOOKUP($B3,OFFSET([2]quests!$A$1,0,0,COUNTA([2]quests!$A:$A),MATCH(D$1,[2]quests!$1:$1,0)-MATCH($B$1,[2]quests!$1:$1,0)+1),MATCH(D$1,[2]quests!$1:$1,0)-MATCH($B$1,[2]quests!$1:$1,0)+1,FALSE)</f>
        <v>童話シリーズ　超級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【中級】鉄壁の子豚要塞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童話シリーズ　超級</v>
      </c>
      <c r="H3" s="85">
        <v>2</v>
      </c>
      <c r="I3" s="90">
        <f t="shared" ref="I3:I13" si="0">ROW()-1</f>
        <v>2</v>
      </c>
      <c r="J3" s="86" t="str">
        <f t="shared" ref="J3:J11" si="1">B3&amp;TEXT(I3,"00")</f>
        <v>3004902</v>
      </c>
      <c r="K3" s="84" t="s">
        <v>127</v>
      </c>
      <c r="L3" s="87" t="s">
        <v>251</v>
      </c>
      <c r="M3" s="123" t="s">
        <v>378</v>
      </c>
      <c r="N3" s="57" t="s">
        <v>199</v>
      </c>
    </row>
    <row r="4" spans="1:14" ht="42" x14ac:dyDescent="0.15">
      <c r="A4" s="81" t="s">
        <v>197</v>
      </c>
      <c r="B4" s="82">
        <f>floors!$C$2</f>
        <v>30049</v>
      </c>
      <c r="C4" s="83" t="str">
        <f ca="1">VLOOKUP($B4,OFFSET([2]quests!$A$1,0,0,COUNTA([2]quests!$A:$A),MATCH(C$1,[2]quests!$1:$1,0)-MATCH($B$1,[2]quests!$1:$1,0)+1),MATCH(C$1,[2]quests!$1:$1,0)-MATCH($B$1,[2]quests!$1:$1,0)+1,FALSE)</f>
        <v>鉄壁の子豚要塞</v>
      </c>
      <c r="D4" s="83" t="str">
        <f ca="1">VLOOKUP($B4,OFFSET([2]quests!$A$1,0,0,COUNTA([2]quests!$A:$A),MATCH(D$1,[2]quests!$1:$1,0)-MATCH($B$1,[2]quests!$1:$1,0)+1),MATCH(D$1,[2]quests!$1:$1,0)-MATCH($B$1,[2]quests!$1:$1,0)+1,FALSE)</f>
        <v>童話シリーズ　超級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【中級】鉄壁の子豚要塞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童話シリーズ　超級</v>
      </c>
      <c r="H4" s="85">
        <v>3</v>
      </c>
      <c r="I4" s="90">
        <f t="shared" si="0"/>
        <v>3</v>
      </c>
      <c r="J4" s="86" t="str">
        <f t="shared" si="1"/>
        <v>3004903</v>
      </c>
      <c r="K4" s="84" t="s">
        <v>127</v>
      </c>
      <c r="L4" s="87" t="s">
        <v>251</v>
      </c>
      <c r="M4" s="123" t="s">
        <v>381</v>
      </c>
      <c r="N4" s="57" t="s">
        <v>199</v>
      </c>
    </row>
    <row r="5" spans="1:14" ht="42" x14ac:dyDescent="0.15">
      <c r="A5" s="81" t="s">
        <v>197</v>
      </c>
      <c r="B5" s="82">
        <f>floors!$C$2</f>
        <v>30049</v>
      </c>
      <c r="C5" s="83" t="str">
        <f ca="1">VLOOKUP($B5,OFFSET([2]quests!$A$1,0,0,COUNTA([2]quests!$A:$A),MATCH(C$1,[2]quests!$1:$1,0)-MATCH($B$1,[2]quests!$1:$1,0)+1),MATCH(C$1,[2]quests!$1:$1,0)-MATCH($B$1,[2]quests!$1:$1,0)+1,FALSE)</f>
        <v>鉄壁の子豚要塞</v>
      </c>
      <c r="D5" s="83" t="str">
        <f ca="1">VLOOKUP($B5,OFFSET([2]quests!$A$1,0,0,COUNTA([2]quests!$A:$A),MATCH(D$1,[2]quests!$1:$1,0)-MATCH($B$1,[2]quests!$1:$1,0)+1),MATCH(D$1,[2]quests!$1:$1,0)-MATCH($B$1,[2]quests!$1:$1,0)+1,FALSE)</f>
        <v>童話シリーズ　超級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【中級】鉄壁の子豚要塞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童話シリーズ　超級</v>
      </c>
      <c r="H5" s="85">
        <v>3</v>
      </c>
      <c r="I5" s="90">
        <f>ROW()-1</f>
        <v>4</v>
      </c>
      <c r="J5" s="86" t="str">
        <f t="shared" ref="J5" si="2">B5&amp;TEXT(I5,"00")</f>
        <v>3004904</v>
      </c>
      <c r="K5" s="84" t="s">
        <v>127</v>
      </c>
      <c r="L5" s="87" t="s">
        <v>251</v>
      </c>
      <c r="M5" s="123" t="s">
        <v>382</v>
      </c>
      <c r="N5" s="57" t="s">
        <v>199</v>
      </c>
    </row>
    <row r="6" spans="1:14" ht="56" x14ac:dyDescent="0.15">
      <c r="A6" s="81" t="s">
        <v>197</v>
      </c>
      <c r="B6" s="82">
        <f>floors!$C$2</f>
        <v>30049</v>
      </c>
      <c r="C6" s="83" t="str">
        <f ca="1">VLOOKUP($B6,OFFSET([2]quests!$A$1,0,0,COUNTA([2]quests!$A:$A),MATCH(C$1,[2]quests!$1:$1,0)-MATCH($B$1,[2]quests!$1:$1,0)+1),MATCH(C$1,[2]quests!$1:$1,0)-MATCH($B$1,[2]quests!$1:$1,0)+1,FALSE)</f>
        <v>鉄壁の子豚要塞</v>
      </c>
      <c r="D6" s="83" t="str">
        <f ca="1">VLOOKUP($B6,OFFSET([2]quests!$A$1,0,0,COUNTA([2]quests!$A:$A),MATCH(D$1,[2]quests!$1:$1,0)-MATCH($B$1,[2]quests!$1:$1,0)+1),MATCH(D$1,[2]quests!$1:$1,0)-MATCH($B$1,[2]quests!$1:$1,0)+1,FALSE)</f>
        <v>童話シリーズ　超級</v>
      </c>
      <c r="E6" s="84">
        <v>2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【上級】鉄壁の子豚要塞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童話シリーズ　超級</v>
      </c>
      <c r="H6" s="85">
        <v>1</v>
      </c>
      <c r="I6" s="90">
        <f t="shared" si="0"/>
        <v>5</v>
      </c>
      <c r="J6" s="86" t="str">
        <f t="shared" si="1"/>
        <v>3004905</v>
      </c>
      <c r="K6" s="84" t="s">
        <v>127</v>
      </c>
      <c r="L6" s="87" t="s">
        <v>251</v>
      </c>
      <c r="M6" s="123" t="s">
        <v>336</v>
      </c>
      <c r="N6" s="57" t="s">
        <v>199</v>
      </c>
    </row>
    <row r="7" spans="1:14" ht="42" x14ac:dyDescent="0.15">
      <c r="A7" s="81" t="s">
        <v>197</v>
      </c>
      <c r="B7" s="82">
        <f>floors!$C$2</f>
        <v>30049</v>
      </c>
      <c r="C7" s="83" t="str">
        <f ca="1">VLOOKUP($B7,OFFSET([2]quests!$A$1,0,0,COUNTA([2]quests!$A:$A),MATCH(C$1,[2]quests!$1:$1,0)-MATCH($B$1,[2]quests!$1:$1,0)+1),MATCH(C$1,[2]quests!$1:$1,0)-MATCH($B$1,[2]quests!$1:$1,0)+1,FALSE)</f>
        <v>鉄壁の子豚要塞</v>
      </c>
      <c r="D7" s="83" t="str">
        <f ca="1">VLOOKUP($B7,OFFSET([2]quests!$A$1,0,0,COUNTA([2]quests!$A:$A),MATCH(D$1,[2]quests!$1:$1,0)-MATCH($B$1,[2]quests!$1:$1,0)+1),MATCH(D$1,[2]quests!$1:$1,0)-MATCH($B$1,[2]quests!$1:$1,0)+1,FALSE)</f>
        <v>童話シリーズ　超級</v>
      </c>
      <c r="E7" s="84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【上級】鉄壁の子豚要塞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童話シリーズ　超級</v>
      </c>
      <c r="H7" s="85">
        <v>2</v>
      </c>
      <c r="I7" s="90">
        <f t="shared" si="0"/>
        <v>6</v>
      </c>
      <c r="J7" s="86" t="str">
        <f t="shared" si="1"/>
        <v>3004906</v>
      </c>
      <c r="K7" s="84" t="s">
        <v>127</v>
      </c>
      <c r="L7" s="87" t="s">
        <v>251</v>
      </c>
      <c r="M7" s="123" t="s">
        <v>378</v>
      </c>
      <c r="N7" s="57" t="s">
        <v>199</v>
      </c>
    </row>
    <row r="8" spans="1:14" ht="42" x14ac:dyDescent="0.15">
      <c r="A8" s="81" t="s">
        <v>197</v>
      </c>
      <c r="B8" s="82">
        <f>floors!$C$2</f>
        <v>30049</v>
      </c>
      <c r="C8" s="83" t="str">
        <f ca="1">VLOOKUP($B8,OFFSET([2]quests!$A$1,0,0,COUNTA([2]quests!$A:$A),MATCH(C$1,[2]quests!$1:$1,0)-MATCH($B$1,[2]quests!$1:$1,0)+1),MATCH(C$1,[2]quests!$1:$1,0)-MATCH($B$1,[2]quests!$1:$1,0)+1,FALSE)</f>
        <v>鉄壁の子豚要塞</v>
      </c>
      <c r="D8" s="83" t="str">
        <f ca="1">VLOOKUP($B8,OFFSET([2]quests!$A$1,0,0,COUNTA([2]quests!$A:$A),MATCH(D$1,[2]quests!$1:$1,0)-MATCH($B$1,[2]quests!$1:$1,0)+1),MATCH(D$1,[2]quests!$1:$1,0)-MATCH($B$1,[2]quests!$1:$1,0)+1,FALSE)</f>
        <v>童話シリーズ　超級</v>
      </c>
      <c r="E8" s="8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【上級】鉄壁の子豚要塞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童話シリーズ　超級</v>
      </c>
      <c r="H8" s="85">
        <v>3</v>
      </c>
      <c r="I8" s="90">
        <f t="shared" si="0"/>
        <v>7</v>
      </c>
      <c r="J8" s="86" t="str">
        <f t="shared" si="1"/>
        <v>3004907</v>
      </c>
      <c r="K8" s="84" t="s">
        <v>127</v>
      </c>
      <c r="L8" s="87" t="s">
        <v>251</v>
      </c>
      <c r="M8" s="123" t="s">
        <v>381</v>
      </c>
      <c r="N8" s="57" t="s">
        <v>199</v>
      </c>
    </row>
    <row r="9" spans="1:14" ht="42" x14ac:dyDescent="0.15">
      <c r="A9" s="81" t="s">
        <v>197</v>
      </c>
      <c r="B9" s="82">
        <f>floors!$C$2</f>
        <v>30049</v>
      </c>
      <c r="C9" s="83" t="str">
        <f ca="1">VLOOKUP($B9,OFFSET([2]quests!$A$1,0,0,COUNTA([2]quests!$A:$A),MATCH(C$1,[2]quests!$1:$1,0)-MATCH($B$1,[2]quests!$1:$1,0)+1),MATCH(C$1,[2]quests!$1:$1,0)-MATCH($B$1,[2]quests!$1:$1,0)+1,FALSE)</f>
        <v>鉄壁の子豚要塞</v>
      </c>
      <c r="D9" s="83" t="str">
        <f ca="1">VLOOKUP($B9,OFFSET([2]quests!$A$1,0,0,COUNTA([2]quests!$A:$A),MATCH(D$1,[2]quests!$1:$1,0)-MATCH($B$1,[2]quests!$1:$1,0)+1),MATCH(D$1,[2]quests!$1:$1,0)-MATCH($B$1,[2]quests!$1:$1,0)+1,FALSE)</f>
        <v>童話シリーズ　超級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【上級】鉄壁の子豚要塞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童話シリーズ　超級</v>
      </c>
      <c r="H9" s="85">
        <v>3</v>
      </c>
      <c r="I9" s="90">
        <f t="shared" si="0"/>
        <v>8</v>
      </c>
      <c r="J9" s="86" t="str">
        <f t="shared" ref="J9" si="3">B9&amp;TEXT(I9,"00")</f>
        <v>3004908</v>
      </c>
      <c r="K9" s="84" t="s">
        <v>127</v>
      </c>
      <c r="L9" s="87" t="s">
        <v>251</v>
      </c>
      <c r="M9" s="123" t="s">
        <v>382</v>
      </c>
      <c r="N9" s="57" t="s">
        <v>199</v>
      </c>
    </row>
    <row r="10" spans="1:14" ht="56" x14ac:dyDescent="0.15">
      <c r="A10" s="81" t="s">
        <v>197</v>
      </c>
      <c r="B10" s="82">
        <f>floors!$C$2</f>
        <v>30049</v>
      </c>
      <c r="C10" s="83" t="str">
        <f ca="1">VLOOKUP($B10,OFFSET([2]quests!$A$1,0,0,COUNTA([2]quests!$A:$A),MATCH(C$1,[2]quests!$1:$1,0)-MATCH($B$1,[2]quests!$1:$1,0)+1),MATCH(C$1,[2]quests!$1:$1,0)-MATCH($B$1,[2]quests!$1:$1,0)+1,FALSE)</f>
        <v>鉄壁の子豚要塞</v>
      </c>
      <c r="D10" s="83" t="str">
        <f ca="1">VLOOKUP($B10,OFFSET([2]quests!$A$1,0,0,COUNTA([2]quests!$A:$A),MATCH(D$1,[2]quests!$1:$1,0)-MATCH($B$1,[2]quests!$1:$1,0)+1),MATCH(D$1,[2]quests!$1:$1,0)-MATCH($B$1,[2]quests!$1:$1,0)+1,FALSE)</f>
        <v>童話シリーズ　超級</v>
      </c>
      <c r="E10" s="84">
        <v>3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【超級】鉄壁の子豚要塞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童話シリーズ　超級</v>
      </c>
      <c r="H10" s="85">
        <v>1</v>
      </c>
      <c r="I10" s="90">
        <f t="shared" si="0"/>
        <v>9</v>
      </c>
      <c r="J10" s="86" t="str">
        <f t="shared" si="1"/>
        <v>3004909</v>
      </c>
      <c r="K10" s="84" t="s">
        <v>127</v>
      </c>
      <c r="L10" s="87" t="s">
        <v>251</v>
      </c>
      <c r="M10" s="123" t="s">
        <v>336</v>
      </c>
      <c r="N10" s="57" t="s">
        <v>199</v>
      </c>
    </row>
    <row r="11" spans="1:14" ht="42" x14ac:dyDescent="0.15">
      <c r="A11" s="81" t="s">
        <v>197</v>
      </c>
      <c r="B11" s="82">
        <f>floors!$C$2</f>
        <v>30049</v>
      </c>
      <c r="C11" s="83" t="str">
        <f ca="1">VLOOKUP($B11,OFFSET([2]quests!$A$1,0,0,COUNTA([2]quests!$A:$A),MATCH(C$1,[2]quests!$1:$1,0)-MATCH($B$1,[2]quests!$1:$1,0)+1),MATCH(C$1,[2]quests!$1:$1,0)-MATCH($B$1,[2]quests!$1:$1,0)+1,FALSE)</f>
        <v>鉄壁の子豚要塞</v>
      </c>
      <c r="D11" s="83" t="str">
        <f ca="1">VLOOKUP($B11,OFFSET([2]quests!$A$1,0,0,COUNTA([2]quests!$A:$A),MATCH(D$1,[2]quests!$1:$1,0)-MATCH($B$1,[2]quests!$1:$1,0)+1),MATCH(D$1,[2]quests!$1:$1,0)-MATCH($B$1,[2]quests!$1:$1,0)+1,FALSE)</f>
        <v>童話シリーズ　超級</v>
      </c>
      <c r="E11" s="84">
        <v>3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【超級】鉄壁の子豚要塞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童話シリーズ　超級</v>
      </c>
      <c r="H11" s="85">
        <v>2</v>
      </c>
      <c r="I11" s="90">
        <f t="shared" si="0"/>
        <v>10</v>
      </c>
      <c r="J11" s="86" t="str">
        <f t="shared" si="1"/>
        <v>3004910</v>
      </c>
      <c r="K11" s="84" t="s">
        <v>127</v>
      </c>
      <c r="L11" s="87" t="s">
        <v>251</v>
      </c>
      <c r="M11" s="123" t="s">
        <v>378</v>
      </c>
      <c r="N11" s="57" t="s">
        <v>199</v>
      </c>
    </row>
    <row r="12" spans="1:14" ht="42" x14ac:dyDescent="0.15">
      <c r="A12" s="81" t="s">
        <v>197</v>
      </c>
      <c r="B12" s="82">
        <f>floors!$C$2</f>
        <v>30049</v>
      </c>
      <c r="C12" s="83" t="str">
        <f ca="1">VLOOKUP($B12,OFFSET([2]quests!$A$1,0,0,COUNTA([2]quests!$A:$A),MATCH(C$1,[2]quests!$1:$1,0)-MATCH($B$1,[2]quests!$1:$1,0)+1),MATCH(C$1,[2]quests!$1:$1,0)-MATCH($B$1,[2]quests!$1:$1,0)+1,FALSE)</f>
        <v>鉄壁の子豚要塞</v>
      </c>
      <c r="D12" s="83" t="str">
        <f ca="1">VLOOKUP($B12,OFFSET([2]quests!$A$1,0,0,COUNTA([2]quests!$A:$A),MATCH(D$1,[2]quests!$1:$1,0)-MATCH($B$1,[2]quests!$1:$1,0)+1),MATCH(D$1,[2]quests!$1:$1,0)-MATCH($B$1,[2]quests!$1:$1,0)+1,FALSE)</f>
        <v>童話シリーズ　超級</v>
      </c>
      <c r="E12" s="84">
        <v>3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【超級】鉄壁の子豚要塞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童話シリーズ　超級</v>
      </c>
      <c r="H12" s="85">
        <v>3</v>
      </c>
      <c r="I12" s="90">
        <f t="shared" si="0"/>
        <v>11</v>
      </c>
      <c r="J12" s="86" t="str">
        <f t="shared" ref="J12" si="4">B12&amp;TEXT(I12,"00")</f>
        <v>3004911</v>
      </c>
      <c r="K12" s="84" t="s">
        <v>127</v>
      </c>
      <c r="L12" s="87" t="s">
        <v>251</v>
      </c>
      <c r="M12" s="123" t="s">
        <v>381</v>
      </c>
      <c r="N12" s="57" t="s">
        <v>199</v>
      </c>
    </row>
    <row r="13" spans="1:14" ht="43" customHeight="1" x14ac:dyDescent="0.15">
      <c r="A13" s="81" t="s">
        <v>197</v>
      </c>
      <c r="B13" s="82">
        <f>floors!$C$2</f>
        <v>30049</v>
      </c>
      <c r="C13" s="83" t="str">
        <f ca="1">VLOOKUP($B13,OFFSET([2]quests!$A$1,0,0,COUNTA([2]quests!$A:$A),MATCH(C$1,[2]quests!$1:$1,0)-MATCH($B$1,[2]quests!$1:$1,0)+1),MATCH(C$1,[2]quests!$1:$1,0)-MATCH($B$1,[2]quests!$1:$1,0)+1,FALSE)</f>
        <v>鉄壁の子豚要塞</v>
      </c>
      <c r="D13" s="83" t="str">
        <f ca="1">VLOOKUP($B13,OFFSET([2]quests!$A$1,0,0,COUNTA([2]quests!$A:$A),MATCH(D$1,[2]quests!$1:$1,0)-MATCH($B$1,[2]quests!$1:$1,0)+1),MATCH(D$1,[2]quests!$1:$1,0)-MATCH($B$1,[2]quests!$1:$1,0)+1,FALSE)</f>
        <v>童話シリーズ　超級</v>
      </c>
      <c r="E13" s="84">
        <v>3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【超級】鉄壁の子豚要塞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童話シリーズ　超級</v>
      </c>
      <c r="H13" s="85">
        <v>3</v>
      </c>
      <c r="I13" s="90">
        <f t="shared" si="0"/>
        <v>12</v>
      </c>
      <c r="J13" s="86" t="str">
        <f t="shared" ref="J13" si="5">B13&amp;TEXT(I13,"00")</f>
        <v>3004912</v>
      </c>
      <c r="K13" s="84" t="s">
        <v>127</v>
      </c>
      <c r="L13" s="87" t="s">
        <v>251</v>
      </c>
      <c r="M13" s="123" t="s">
        <v>382</v>
      </c>
      <c r="N13" s="57" t="s">
        <v>199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G13" sqref="G13:G1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7" t="s">
        <v>212</v>
      </c>
      <c r="B1" s="98" t="s">
        <v>213</v>
      </c>
      <c r="C1" s="77" t="s">
        <v>214</v>
      </c>
      <c r="D1" s="77" t="s">
        <v>33</v>
      </c>
      <c r="E1" s="98" t="s">
        <v>215</v>
      </c>
      <c r="F1" s="77" t="s">
        <v>216</v>
      </c>
      <c r="G1" s="77" t="s">
        <v>33</v>
      </c>
      <c r="H1" s="98" t="s">
        <v>217</v>
      </c>
      <c r="I1" s="98" t="s">
        <v>218</v>
      </c>
      <c r="J1" s="98" t="s">
        <v>219</v>
      </c>
      <c r="K1" s="73" t="s">
        <v>220</v>
      </c>
      <c r="L1" s="73" t="s">
        <v>221</v>
      </c>
      <c r="M1" s="73" t="s">
        <v>156</v>
      </c>
      <c r="N1" s="77" t="s">
        <v>16</v>
      </c>
      <c r="O1" s="73" t="s">
        <v>222</v>
      </c>
      <c r="P1" s="73" t="s">
        <v>57</v>
      </c>
      <c r="Q1" s="73" t="s">
        <v>223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224</v>
      </c>
      <c r="X1" s="73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2017-04-07T03:44:29Z</dcterms:modified>
</cp:coreProperties>
</file>