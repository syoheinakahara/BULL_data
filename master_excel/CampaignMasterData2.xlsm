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-15940" windowWidth="28720" windowHeight="15940" tabRatio="870" activeTab="2"/>
  </bookViews>
  <sheets>
    <sheet name="output" sheetId="18" r:id="rId1"/>
    <sheet name="mypage_banners" sheetId="7" r:id="rId2"/>
    <sheet name="quest_banners" sheetId="14" r:id="rId3"/>
    <sheet name="mypage_tips" sheetId="8" r:id="rId4"/>
    <sheet name="enhance_bonuses" sheetId="6" r:id="rId5"/>
    <sheet name="quest_helper_links" sheetId="16" r:id="rId6"/>
    <sheet name="quest_bonuses" sheetId="19" r:id="rId7"/>
  </sheets>
  <externalReferences>
    <externalReference r:id="rId8"/>
    <externalReference r:id="rId9"/>
    <externalReference r:id="rId10"/>
    <externalReference r:id="rId11"/>
  </externalReferences>
  <definedNames>
    <definedName name="_xlnm._FilterDatabase" localSheetId="1" hidden="1">mypage_banners!$A$1:$H$1</definedName>
    <definedName name="_xlnm._FilterDatabase" localSheetId="3" hidden="1">mypage_tips!$A$1:$Q$1</definedName>
    <definedName name="_xlnm._FilterDatabase" localSheetId="2" hidden="1">quest_banners!$A$1:$L$1</definedName>
    <definedName name="Excel_BuiltIn__FilterDatabase_4" localSheetId="6">#REF!</definedName>
    <definedName name="Excel_BuiltIn__FilterDatabase_5" localSheetId="6">#REF!</definedName>
    <definedName name="Excel_BuiltIn__FilterDatabase_6_1" localSheetId="6">[1]unit_skills!#REF!</definedName>
    <definedName name="Excel_BuiltIn__FilterDatabase_7" localSheetId="6">#REF!</definedName>
    <definedName name="Excel_BuiltIn__FilterDatabase_8" localSheetId="6">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7" l="1"/>
  <c r="A3" i="7"/>
  <c r="A4" i="7"/>
  <c r="A5" i="7"/>
  <c r="E2" i="7"/>
  <c r="E3" i="7"/>
  <c r="E4" i="7"/>
  <c r="E5" i="7"/>
  <c r="A6" i="7"/>
  <c r="E6" i="7"/>
  <c r="A7" i="7"/>
  <c r="E7" i="7"/>
  <c r="A8" i="7"/>
  <c r="E8" i="7"/>
  <c r="A9" i="7"/>
  <c r="E9" i="7"/>
  <c r="A10" i="7"/>
  <c r="E10" i="7"/>
  <c r="A11" i="7"/>
  <c r="E11" i="7"/>
  <c r="A12" i="7"/>
  <c r="E12" i="7"/>
  <c r="A13" i="7"/>
  <c r="E13" i="7"/>
  <c r="A14" i="7"/>
  <c r="E14" i="7"/>
  <c r="A15" i="7"/>
  <c r="E15" i="7"/>
  <c r="A16" i="7"/>
  <c r="E16" i="7"/>
  <c r="A17" i="7"/>
  <c r="E17" i="7"/>
  <c r="A18" i="7"/>
  <c r="E18" i="7"/>
  <c r="A19" i="7"/>
  <c r="E19" i="7"/>
  <c r="A20" i="7"/>
  <c r="E20" i="7"/>
  <c r="A21" i="7"/>
  <c r="E21" i="7"/>
  <c r="A22" i="7"/>
  <c r="E22" i="7"/>
  <c r="A23" i="7"/>
  <c r="E23" i="7"/>
  <c r="A24" i="7"/>
  <c r="E24" i="7"/>
  <c r="A25" i="7"/>
  <c r="E25" i="7"/>
  <c r="A26" i="7"/>
  <c r="E26" i="7"/>
  <c r="A27" i="7"/>
  <c r="E27" i="7"/>
  <c r="A28" i="7"/>
  <c r="E28" i="7"/>
  <c r="A29" i="7"/>
  <c r="E29" i="7"/>
  <c r="A30" i="7"/>
  <c r="E30" i="7"/>
  <c r="A31" i="7"/>
  <c r="E31" i="7"/>
  <c r="A32" i="7"/>
  <c r="E32" i="7"/>
  <c r="A33" i="7"/>
  <c r="E33" i="7"/>
  <c r="A34" i="7"/>
  <c r="C34" i="7"/>
  <c r="E34" i="7"/>
  <c r="A35" i="7"/>
  <c r="C35" i="7"/>
  <c r="E35" i="7"/>
  <c r="A36" i="7"/>
  <c r="C36" i="7"/>
  <c r="E36" i="7"/>
  <c r="A37" i="7"/>
  <c r="C37" i="7"/>
  <c r="E37" i="7"/>
  <c r="A38" i="7"/>
  <c r="C38" i="7"/>
  <c r="E38" i="7"/>
  <c r="A39" i="7"/>
  <c r="C39" i="7"/>
  <c r="E39" i="7"/>
  <c r="A40" i="7"/>
  <c r="C40" i="7"/>
  <c r="E40" i="7"/>
  <c r="A41" i="7"/>
  <c r="C41" i="7"/>
  <c r="E41" i="7"/>
  <c r="A42" i="7"/>
  <c r="C42" i="7"/>
  <c r="A43" i="7"/>
  <c r="C43" i="7"/>
  <c r="E43" i="7"/>
  <c r="A44" i="7"/>
  <c r="C44" i="7"/>
  <c r="E44" i="7"/>
  <c r="A45" i="7"/>
  <c r="E45" i="7"/>
  <c r="A46" i="7"/>
  <c r="E46" i="7"/>
  <c r="A47" i="7"/>
  <c r="E47" i="7"/>
  <c r="A48" i="7"/>
  <c r="C48" i="7"/>
  <c r="A49" i="7"/>
  <c r="C49" i="7"/>
  <c r="A50" i="7"/>
  <c r="C50" i="7"/>
  <c r="A51" i="7"/>
  <c r="C51" i="7"/>
  <c r="A52" i="7"/>
  <c r="C52" i="7"/>
  <c r="A53" i="7"/>
  <c r="C53" i="7"/>
  <c r="E53" i="7"/>
  <c r="A54" i="7"/>
  <c r="C54" i="7"/>
  <c r="E54" i="7"/>
  <c r="A55" i="7"/>
  <c r="C55" i="7"/>
  <c r="E55" i="7"/>
  <c r="C56" i="7"/>
  <c r="E56" i="7"/>
  <c r="C57" i="7"/>
  <c r="E57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A58" i="7"/>
  <c r="C58" i="7"/>
  <c r="E58" i="7"/>
  <c r="A59" i="7"/>
  <c r="C59" i="7"/>
  <c r="E59" i="7"/>
  <c r="A60" i="7"/>
  <c r="C60" i="7"/>
  <c r="E60" i="7"/>
  <c r="A61" i="7"/>
  <c r="C61" i="7"/>
  <c r="A62" i="7"/>
  <c r="C62" i="7"/>
  <c r="E62" i="7"/>
  <c r="A63" i="7"/>
  <c r="C63" i="7"/>
  <c r="E63" i="7"/>
  <c r="A64" i="7"/>
  <c r="C64" i="7"/>
  <c r="A65" i="7"/>
  <c r="C65" i="7"/>
  <c r="A66" i="7"/>
  <c r="C66" i="7"/>
  <c r="E66" i="7"/>
  <c r="A67" i="7"/>
  <c r="C67" i="7"/>
  <c r="E67" i="7"/>
  <c r="A68" i="7"/>
  <c r="C68" i="7"/>
  <c r="E68" i="7"/>
  <c r="A69" i="7"/>
  <c r="C69" i="7"/>
  <c r="E69" i="7"/>
  <c r="A70" i="7"/>
  <c r="C70" i="7"/>
  <c r="E70" i="7"/>
  <c r="A71" i="7"/>
  <c r="C71" i="7"/>
  <c r="E71" i="7"/>
  <c r="A72" i="7"/>
  <c r="C72" i="7"/>
  <c r="E72" i="7"/>
  <c r="A73" i="7"/>
  <c r="C73" i="7"/>
  <c r="E73" i="7"/>
  <c r="A74" i="7"/>
  <c r="C74" i="7"/>
  <c r="E74" i="7"/>
  <c r="A75" i="7"/>
  <c r="C75" i="7"/>
  <c r="E75" i="7"/>
  <c r="A76" i="7"/>
  <c r="C76" i="7"/>
  <c r="E76" i="7"/>
  <c r="A77" i="7"/>
  <c r="C77" i="7"/>
  <c r="E77" i="7"/>
  <c r="A78" i="7"/>
  <c r="C78" i="7"/>
  <c r="A80" i="7"/>
  <c r="C80" i="7"/>
  <c r="E80" i="7"/>
  <c r="A81" i="7"/>
  <c r="C81" i="7"/>
  <c r="E81" i="7"/>
  <c r="A82" i="7"/>
  <c r="C82" i="7"/>
  <c r="E82" i="7"/>
  <c r="A83" i="7"/>
  <c r="C83" i="7"/>
  <c r="E83" i="7"/>
  <c r="A84" i="7"/>
  <c r="C84" i="7"/>
  <c r="E84" i="7"/>
  <c r="A85" i="7"/>
  <c r="C85" i="7"/>
  <c r="E85" i="7"/>
  <c r="A86" i="7"/>
  <c r="C86" i="7"/>
  <c r="E86" i="7"/>
  <c r="A87" i="7"/>
  <c r="C87" i="7"/>
  <c r="E87" i="7"/>
  <c r="A88" i="7"/>
  <c r="C88" i="7"/>
  <c r="E88" i="7"/>
  <c r="A89" i="7"/>
  <c r="C89" i="7"/>
  <c r="E89" i="7"/>
  <c r="A90" i="7"/>
  <c r="C90" i="7"/>
  <c r="E90" i="7"/>
  <c r="A91" i="7"/>
  <c r="C91" i="7"/>
  <c r="E91" i="7"/>
  <c r="A92" i="7"/>
  <c r="C92" i="7"/>
  <c r="E92" i="7"/>
  <c r="A93" i="7"/>
  <c r="C93" i="7"/>
  <c r="E93" i="7"/>
  <c r="A94" i="7"/>
  <c r="C94" i="7"/>
  <c r="E94" i="7"/>
  <c r="A95" i="7"/>
  <c r="C95" i="7"/>
  <c r="E95" i="7"/>
  <c r="A96" i="7"/>
  <c r="C96" i="7"/>
  <c r="E96" i="7"/>
  <c r="A97" i="7"/>
  <c r="C97" i="7"/>
  <c r="E97" i="7"/>
  <c r="A98" i="7"/>
  <c r="C98" i="7"/>
  <c r="E98" i="7"/>
  <c r="A99" i="7"/>
  <c r="C99" i="7"/>
  <c r="E99" i="7"/>
  <c r="A100" i="7"/>
  <c r="C100" i="7"/>
  <c r="E100" i="7"/>
  <c r="A101" i="7"/>
  <c r="C101" i="7"/>
  <c r="E101" i="7"/>
  <c r="A102" i="7"/>
  <c r="C102" i="7"/>
  <c r="E102" i="7"/>
  <c r="A103" i="7"/>
  <c r="C103" i="7"/>
  <c r="E103" i="7"/>
  <c r="A104" i="7"/>
  <c r="C104" i="7"/>
  <c r="E104" i="7"/>
  <c r="A105" i="7"/>
  <c r="C105" i="7"/>
  <c r="E105" i="7"/>
  <c r="A106" i="7"/>
  <c r="C106" i="7"/>
  <c r="E106" i="7"/>
  <c r="A107" i="7"/>
  <c r="C107" i="7"/>
  <c r="E107" i="7"/>
  <c r="A108" i="7"/>
  <c r="C108" i="7"/>
  <c r="E108" i="7"/>
  <c r="A109" i="7"/>
  <c r="C109" i="7"/>
  <c r="E109" i="7"/>
  <c r="A110" i="7"/>
  <c r="C110" i="7"/>
  <c r="E110" i="7"/>
  <c r="A111" i="7"/>
  <c r="C111" i="7"/>
  <c r="E111" i="7"/>
  <c r="A112" i="7"/>
  <c r="C112" i="7"/>
  <c r="E112" i="7"/>
  <c r="A113" i="7"/>
  <c r="C113" i="7"/>
  <c r="E113" i="7"/>
  <c r="A114" i="7"/>
  <c r="C114" i="7"/>
  <c r="E114" i="7"/>
  <c r="A115" i="7"/>
  <c r="C115" i="7"/>
  <c r="A116" i="7"/>
  <c r="C116" i="7"/>
  <c r="E116" i="7"/>
  <c r="A117" i="7"/>
  <c r="C117" i="7"/>
  <c r="A118" i="7"/>
  <c r="C118" i="7"/>
  <c r="E118" i="7"/>
  <c r="A119" i="7"/>
  <c r="C119" i="7"/>
  <c r="E119" i="7"/>
  <c r="A120" i="7"/>
  <c r="C120" i="7"/>
  <c r="E120" i="7"/>
  <c r="A121" i="7"/>
  <c r="C121" i="7"/>
  <c r="E121" i="7"/>
  <c r="A122" i="7"/>
  <c r="C122" i="7"/>
  <c r="A123" i="7"/>
  <c r="C123" i="7"/>
  <c r="E123" i="7"/>
  <c r="A124" i="7"/>
  <c r="C124" i="7"/>
  <c r="E124" i="7"/>
  <c r="A125" i="7"/>
  <c r="C125" i="7"/>
  <c r="E125" i="7"/>
  <c r="A126" i="7"/>
  <c r="C126" i="7"/>
  <c r="E126" i="7"/>
  <c r="A127" i="7"/>
  <c r="C127" i="7"/>
  <c r="E127" i="7"/>
  <c r="A128" i="7"/>
  <c r="C128" i="7"/>
  <c r="E128" i="7"/>
  <c r="A129" i="7"/>
  <c r="C129" i="7"/>
  <c r="E129" i="7"/>
  <c r="A130" i="7"/>
  <c r="C130" i="7"/>
  <c r="E130" i="7"/>
  <c r="A131" i="7"/>
  <c r="C131" i="7"/>
  <c r="E131" i="7"/>
  <c r="A132" i="7"/>
  <c r="C132" i="7"/>
  <c r="E132" i="7"/>
  <c r="A133" i="7"/>
  <c r="C133" i="7"/>
  <c r="E133" i="7"/>
  <c r="A134" i="7"/>
  <c r="C134" i="7"/>
  <c r="E134" i="7"/>
  <c r="A135" i="7"/>
  <c r="C135" i="7"/>
  <c r="E135" i="7"/>
  <c r="A136" i="7"/>
  <c r="C136" i="7"/>
  <c r="E136" i="7"/>
  <c r="A137" i="7"/>
  <c r="C137" i="7"/>
  <c r="E137" i="7"/>
  <c r="A138" i="7"/>
  <c r="C138" i="7"/>
  <c r="A139" i="7"/>
  <c r="C139" i="7"/>
  <c r="E139" i="7"/>
  <c r="A140" i="7"/>
  <c r="C140" i="7"/>
  <c r="E140" i="7"/>
  <c r="A141" i="7"/>
  <c r="C141" i="7"/>
  <c r="E141" i="7"/>
  <c r="A142" i="7"/>
  <c r="C142" i="7"/>
  <c r="E142" i="7"/>
  <c r="A143" i="7"/>
  <c r="C143" i="7"/>
  <c r="E143" i="7"/>
  <c r="I158" i="7"/>
  <c r="I157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A144" i="7"/>
  <c r="C144" i="7"/>
  <c r="E144" i="7"/>
  <c r="A145" i="7"/>
  <c r="C145" i="7"/>
  <c r="E145" i="7"/>
  <c r="A146" i="7"/>
  <c r="C146" i="7"/>
  <c r="E146" i="7"/>
  <c r="A147" i="7"/>
  <c r="C147" i="7"/>
  <c r="E147" i="7"/>
  <c r="A148" i="7"/>
  <c r="C148" i="7"/>
  <c r="E148" i="7"/>
  <c r="A149" i="7"/>
  <c r="C149" i="7"/>
  <c r="E149" i="7"/>
  <c r="A150" i="7"/>
  <c r="C150" i="7"/>
  <c r="E150" i="7"/>
  <c r="A151" i="7"/>
  <c r="C151" i="7"/>
  <c r="E151" i="7"/>
  <c r="A152" i="7"/>
  <c r="C152" i="7"/>
  <c r="E152" i="7"/>
  <c r="A153" i="7"/>
  <c r="C153" i="7"/>
  <c r="A154" i="7"/>
  <c r="C154" i="7"/>
  <c r="E154" i="7"/>
  <c r="A155" i="7"/>
  <c r="C155" i="7"/>
  <c r="E155" i="7"/>
  <c r="A156" i="7"/>
  <c r="C156" i="7"/>
  <c r="E156" i="7"/>
  <c r="A157" i="7"/>
  <c r="C157" i="7"/>
  <c r="E157" i="7"/>
  <c r="A158" i="7"/>
  <c r="C158" i="7"/>
  <c r="E158" i="7"/>
  <c r="A159" i="7"/>
  <c r="C159" i="7"/>
  <c r="E159" i="7"/>
  <c r="I79" i="14"/>
  <c r="L101" i="14"/>
  <c r="L102" i="14"/>
  <c r="I101" i="14"/>
  <c r="I102" i="14"/>
  <c r="F101" i="14"/>
  <c r="G101" i="14"/>
  <c r="F102" i="14"/>
  <c r="G102" i="14"/>
  <c r="B101" i="14"/>
  <c r="B102" i="14"/>
  <c r="H145" i="7"/>
  <c r="H144" i="7"/>
  <c r="F15" i="14"/>
  <c r="F14" i="14"/>
  <c r="L15" i="14"/>
  <c r="L14" i="14"/>
  <c r="I15" i="14"/>
  <c r="I14" i="14"/>
  <c r="G15" i="14"/>
  <c r="B15" i="14"/>
  <c r="E15" i="14"/>
  <c r="D15" i="14"/>
  <c r="C15" i="14"/>
  <c r="G14" i="14"/>
  <c r="B14" i="14"/>
  <c r="E14" i="14"/>
  <c r="D14" i="14"/>
  <c r="C14" i="14"/>
  <c r="J57" i="7"/>
  <c r="J56" i="7"/>
  <c r="I57" i="7"/>
  <c r="H57" i="7"/>
  <c r="I56" i="7"/>
  <c r="H56" i="7"/>
  <c r="I86" i="14"/>
  <c r="I87" i="14"/>
  <c r="L39" i="14"/>
  <c r="I39" i="14"/>
  <c r="I40" i="14"/>
  <c r="F39" i="14"/>
  <c r="F40" i="14"/>
  <c r="H83" i="7"/>
  <c r="B11" i="14"/>
  <c r="B12" i="14"/>
  <c r="B13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37" i="14"/>
  <c r="B38" i="14"/>
  <c r="B39" i="14"/>
  <c r="B40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L11" i="14"/>
  <c r="L12" i="14"/>
  <c r="L13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37" i="14"/>
  <c r="L38" i="14"/>
  <c r="L40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C97" i="14"/>
  <c r="D97" i="14"/>
  <c r="E97" i="14"/>
  <c r="F97" i="14"/>
  <c r="G97" i="14"/>
  <c r="I97" i="14"/>
  <c r="C98" i="14"/>
  <c r="D98" i="14"/>
  <c r="E98" i="14"/>
  <c r="F98" i="14"/>
  <c r="G98" i="14"/>
  <c r="I98" i="14"/>
  <c r="C99" i="14"/>
  <c r="D99" i="14"/>
  <c r="E99" i="14"/>
  <c r="F99" i="14"/>
  <c r="G99" i="14"/>
  <c r="I99" i="14"/>
  <c r="C100" i="14"/>
  <c r="D100" i="14"/>
  <c r="E100" i="14"/>
  <c r="F100" i="14"/>
  <c r="G100" i="14"/>
  <c r="I100" i="14"/>
  <c r="C103" i="14"/>
  <c r="D103" i="14"/>
  <c r="E103" i="14"/>
  <c r="F103" i="14"/>
  <c r="G103" i="14"/>
  <c r="I103" i="14"/>
  <c r="C104" i="14"/>
  <c r="D104" i="14"/>
  <c r="E104" i="14"/>
  <c r="F104" i="14"/>
  <c r="G104" i="14"/>
  <c r="I104" i="14"/>
  <c r="C105" i="14"/>
  <c r="D105" i="14"/>
  <c r="E105" i="14"/>
  <c r="F105" i="14"/>
  <c r="G105" i="14"/>
  <c r="I105" i="14"/>
  <c r="C106" i="14"/>
  <c r="D106" i="14"/>
  <c r="E106" i="14"/>
  <c r="F106" i="14"/>
  <c r="G106" i="14"/>
  <c r="I106" i="14"/>
  <c r="C107" i="14"/>
  <c r="D107" i="14"/>
  <c r="E107" i="14"/>
  <c r="F107" i="14"/>
  <c r="G107" i="14"/>
  <c r="I107" i="14"/>
  <c r="C108" i="14"/>
  <c r="D108" i="14"/>
  <c r="E108" i="14"/>
  <c r="F108" i="14"/>
  <c r="G108" i="14"/>
  <c r="I108" i="14"/>
  <c r="C109" i="14"/>
  <c r="D109" i="14"/>
  <c r="E109" i="14"/>
  <c r="F109" i="14"/>
  <c r="G109" i="14"/>
  <c r="I109" i="14"/>
  <c r="C110" i="14"/>
  <c r="D110" i="14"/>
  <c r="E110" i="14"/>
  <c r="F110" i="14"/>
  <c r="G110" i="14"/>
  <c r="C111" i="14"/>
  <c r="D111" i="14"/>
  <c r="E111" i="14"/>
  <c r="F111" i="14"/>
  <c r="G111" i="14"/>
  <c r="I111" i="14"/>
  <c r="C112" i="14"/>
  <c r="D112" i="14"/>
  <c r="E112" i="14"/>
  <c r="F112" i="14"/>
  <c r="G112" i="14"/>
  <c r="I112" i="14"/>
  <c r="C113" i="14"/>
  <c r="D113" i="14"/>
  <c r="E113" i="14"/>
  <c r="F113" i="14"/>
  <c r="G113" i="14"/>
  <c r="I113" i="14"/>
  <c r="C114" i="14"/>
  <c r="D114" i="14"/>
  <c r="E114" i="14"/>
  <c r="F114" i="14"/>
  <c r="G114" i="14"/>
  <c r="I114" i="14"/>
  <c r="C115" i="14"/>
  <c r="D115" i="14"/>
  <c r="E115" i="14"/>
  <c r="F115" i="14"/>
  <c r="G115" i="14"/>
  <c r="I115" i="14"/>
  <c r="C116" i="14"/>
  <c r="D116" i="14"/>
  <c r="E116" i="14"/>
  <c r="F116" i="14"/>
  <c r="G116" i="14"/>
  <c r="I116" i="14"/>
  <c r="H74" i="7"/>
  <c r="H73" i="7"/>
  <c r="H72" i="7"/>
  <c r="H71" i="7"/>
  <c r="H70" i="7"/>
  <c r="H69" i="7"/>
  <c r="H68" i="7"/>
  <c r="H67" i="7"/>
  <c r="I59" i="7"/>
  <c r="I60" i="7"/>
  <c r="I61" i="7"/>
  <c r="I62" i="7"/>
  <c r="I63" i="7"/>
  <c r="I64" i="7"/>
  <c r="I65" i="7"/>
  <c r="I58" i="7"/>
  <c r="F59" i="14"/>
  <c r="G59" i="14"/>
  <c r="I59" i="14"/>
  <c r="O2" i="8"/>
  <c r="M2" i="8"/>
  <c r="L2" i="8"/>
  <c r="K2" i="8"/>
  <c r="E2" i="8"/>
  <c r="D2" i="8"/>
  <c r="C2" i="8"/>
  <c r="O3" i="8"/>
  <c r="M3" i="8"/>
  <c r="L3" i="8"/>
  <c r="K3" i="8"/>
  <c r="E3" i="8"/>
  <c r="D3" i="8"/>
  <c r="C3" i="8"/>
  <c r="G2" i="7"/>
  <c r="G8" i="7"/>
  <c r="G9" i="7"/>
  <c r="G4" i="7"/>
  <c r="G5" i="7"/>
  <c r="G6" i="7"/>
  <c r="G7" i="7"/>
  <c r="G3" i="7"/>
  <c r="G10" i="7"/>
  <c r="F94" i="14"/>
  <c r="G94" i="14"/>
  <c r="I94" i="14"/>
  <c r="I26" i="14"/>
  <c r="F26" i="14"/>
  <c r="G26" i="14"/>
  <c r="E26" i="14"/>
  <c r="D26" i="14"/>
  <c r="C26" i="14"/>
  <c r="O4" i="8"/>
  <c r="M4" i="8"/>
  <c r="L4" i="8"/>
  <c r="K4" i="8"/>
  <c r="E4" i="8"/>
  <c r="D4" i="8"/>
  <c r="C4" i="8"/>
  <c r="O5" i="8"/>
  <c r="M5" i="8"/>
  <c r="L5" i="8"/>
  <c r="K5" i="8"/>
  <c r="E5" i="8"/>
  <c r="D5" i="8"/>
  <c r="C5" i="8"/>
  <c r="O6" i="8"/>
  <c r="M6" i="8"/>
  <c r="L6" i="8"/>
  <c r="K6" i="8"/>
  <c r="E6" i="8"/>
  <c r="D6" i="8"/>
  <c r="C6" i="8"/>
  <c r="I80" i="14"/>
  <c r="F80" i="14"/>
  <c r="G80" i="14"/>
  <c r="F79" i="14"/>
  <c r="G79" i="14"/>
  <c r="E80" i="14"/>
  <c r="D80" i="14"/>
  <c r="C80" i="14"/>
  <c r="E79" i="14"/>
  <c r="D79" i="14"/>
  <c r="C79" i="14"/>
  <c r="H84" i="7"/>
  <c r="H85" i="7"/>
  <c r="O7" i="8"/>
  <c r="M7" i="8"/>
  <c r="L7" i="8"/>
  <c r="K7" i="8"/>
  <c r="E7" i="8"/>
  <c r="D7" i="8"/>
  <c r="C7" i="8"/>
  <c r="O8" i="8"/>
  <c r="M8" i="8"/>
  <c r="L8" i="8"/>
  <c r="K8" i="8"/>
  <c r="E8" i="8"/>
  <c r="D8" i="8"/>
  <c r="C8" i="8"/>
  <c r="F58" i="14"/>
  <c r="G58" i="14"/>
  <c r="I58" i="14"/>
  <c r="F78" i="14"/>
  <c r="G78" i="14"/>
  <c r="H96" i="7"/>
  <c r="C76" i="14"/>
  <c r="D76" i="14"/>
  <c r="E76" i="14"/>
  <c r="F76" i="14"/>
  <c r="G76" i="14"/>
  <c r="I76" i="14"/>
  <c r="I84" i="14"/>
  <c r="F84" i="14"/>
  <c r="G84" i="14"/>
  <c r="E84" i="14"/>
  <c r="D84" i="14"/>
  <c r="C84" i="14"/>
  <c r="I25" i="14"/>
  <c r="F25" i="14"/>
  <c r="G25" i="14"/>
  <c r="E25" i="14"/>
  <c r="D25" i="14"/>
  <c r="C25" i="14"/>
  <c r="H130" i="7"/>
  <c r="O10" i="8"/>
  <c r="O9" i="8"/>
  <c r="K10" i="8"/>
  <c r="L10" i="8"/>
  <c r="M10" i="8"/>
  <c r="K9" i="8"/>
  <c r="L9" i="8"/>
  <c r="M9" i="8"/>
  <c r="C10" i="8"/>
  <c r="D10" i="8"/>
  <c r="E10" i="8"/>
  <c r="C9" i="8"/>
  <c r="D9" i="8"/>
  <c r="E9" i="8"/>
  <c r="I96" i="14"/>
  <c r="C96" i="14"/>
  <c r="D96" i="14"/>
  <c r="E96" i="14"/>
  <c r="F96" i="14"/>
  <c r="G96" i="14"/>
  <c r="O11" i="8"/>
  <c r="M11" i="8"/>
  <c r="L11" i="8"/>
  <c r="K11" i="8"/>
  <c r="E11" i="8"/>
  <c r="D11" i="8"/>
  <c r="C11" i="8"/>
  <c r="I90" i="14"/>
  <c r="F90" i="14"/>
  <c r="G90" i="14"/>
  <c r="E90" i="14"/>
  <c r="D90" i="14"/>
  <c r="C90" i="14"/>
  <c r="I89" i="14"/>
  <c r="F89" i="14"/>
  <c r="G89" i="14"/>
  <c r="E89" i="14"/>
  <c r="D89" i="14"/>
  <c r="C89" i="14"/>
  <c r="I88" i="14"/>
  <c r="F88" i="14"/>
  <c r="G88" i="14"/>
  <c r="E88" i="14"/>
  <c r="D88" i="14"/>
  <c r="C88" i="14"/>
  <c r="F87" i="14"/>
  <c r="G87" i="14"/>
  <c r="E87" i="14"/>
  <c r="D87" i="14"/>
  <c r="C87" i="14"/>
  <c r="I93" i="14"/>
  <c r="F93" i="14"/>
  <c r="G93" i="14"/>
  <c r="E93" i="14"/>
  <c r="D93" i="14"/>
  <c r="C93" i="14"/>
  <c r="I78" i="14"/>
  <c r="E78" i="14"/>
  <c r="D78" i="14"/>
  <c r="C78" i="14"/>
  <c r="I77" i="14"/>
  <c r="F77" i="14"/>
  <c r="G77" i="14"/>
  <c r="E77" i="14"/>
  <c r="D77" i="14"/>
  <c r="C77" i="14"/>
  <c r="H86" i="7"/>
  <c r="H87" i="7"/>
  <c r="H53" i="7"/>
  <c r="H58" i="7"/>
  <c r="H60" i="7"/>
  <c r="H59" i="7"/>
  <c r="H61" i="7"/>
  <c r="F11" i="14"/>
  <c r="G11" i="14"/>
  <c r="I11" i="14"/>
  <c r="F12" i="14"/>
  <c r="G12" i="14"/>
  <c r="I12" i="14"/>
  <c r="F13" i="14"/>
  <c r="G13" i="14"/>
  <c r="I13" i="14"/>
  <c r="F16" i="14"/>
  <c r="G16" i="14"/>
  <c r="I16" i="14"/>
  <c r="F17" i="14"/>
  <c r="G17" i="14"/>
  <c r="I17" i="14"/>
  <c r="F18" i="14"/>
  <c r="G18" i="14"/>
  <c r="I18" i="14"/>
  <c r="F19" i="14"/>
  <c r="G19" i="14"/>
  <c r="I19" i="14"/>
  <c r="F20" i="14"/>
  <c r="G20" i="14"/>
  <c r="I20" i="14"/>
  <c r="F21" i="14"/>
  <c r="G21" i="14"/>
  <c r="I21" i="14"/>
  <c r="F22" i="14"/>
  <c r="G22" i="14"/>
  <c r="I22" i="14"/>
  <c r="F23" i="14"/>
  <c r="G23" i="14"/>
  <c r="I23" i="14"/>
  <c r="F24" i="14"/>
  <c r="G24" i="14"/>
  <c r="I24" i="14"/>
  <c r="F27" i="14"/>
  <c r="G27" i="14"/>
  <c r="I27" i="14"/>
  <c r="F28" i="14"/>
  <c r="G28" i="14"/>
  <c r="I28" i="14"/>
  <c r="F29" i="14"/>
  <c r="G29" i="14"/>
  <c r="I29" i="14"/>
  <c r="F30" i="14"/>
  <c r="G30" i="14"/>
  <c r="I30" i="14"/>
  <c r="F31" i="14"/>
  <c r="G31" i="14"/>
  <c r="I31" i="14"/>
  <c r="F32" i="14"/>
  <c r="G32" i="14"/>
  <c r="I32" i="14"/>
  <c r="F33" i="14"/>
  <c r="G33" i="14"/>
  <c r="I33" i="14"/>
  <c r="F34" i="14"/>
  <c r="G34" i="14"/>
  <c r="I34" i="14"/>
  <c r="F35" i="14"/>
  <c r="G35" i="14"/>
  <c r="I35" i="14"/>
  <c r="F36" i="14"/>
  <c r="G36" i="14"/>
  <c r="I36" i="14"/>
  <c r="F41" i="14"/>
  <c r="G41" i="14"/>
  <c r="I41" i="14"/>
  <c r="F42" i="14"/>
  <c r="G42" i="14"/>
  <c r="I42" i="14"/>
  <c r="F43" i="14"/>
  <c r="G43" i="14"/>
  <c r="I43" i="14"/>
  <c r="F44" i="14"/>
  <c r="G44" i="14"/>
  <c r="I44" i="14"/>
  <c r="F45" i="14"/>
  <c r="G45" i="14"/>
  <c r="I45" i="14"/>
  <c r="F46" i="14"/>
  <c r="G46" i="14"/>
  <c r="I46" i="14"/>
  <c r="F47" i="14"/>
  <c r="G47" i="14"/>
  <c r="I47" i="14"/>
  <c r="F48" i="14"/>
  <c r="G48" i="14"/>
  <c r="I48" i="14"/>
  <c r="F49" i="14"/>
  <c r="G49" i="14"/>
  <c r="I49" i="14"/>
  <c r="F50" i="14"/>
  <c r="G50" i="14"/>
  <c r="I50" i="14"/>
  <c r="F51" i="14"/>
  <c r="G51" i="14"/>
  <c r="I51" i="14"/>
  <c r="F52" i="14"/>
  <c r="G52" i="14"/>
  <c r="I52" i="14"/>
  <c r="F37" i="14"/>
  <c r="G37" i="14"/>
  <c r="I37" i="14"/>
  <c r="F38" i="14"/>
  <c r="G38" i="14"/>
  <c r="I38" i="14"/>
  <c r="G39" i="14"/>
  <c r="G40" i="14"/>
  <c r="F53" i="14"/>
  <c r="G53" i="14"/>
  <c r="I53" i="14"/>
  <c r="F54" i="14"/>
  <c r="G54" i="14"/>
  <c r="I54" i="14"/>
  <c r="F55" i="14"/>
  <c r="G55" i="14"/>
  <c r="I55" i="14"/>
  <c r="F56" i="14"/>
  <c r="G56" i="14"/>
  <c r="I56" i="14"/>
  <c r="F57" i="14"/>
  <c r="G57" i="14"/>
  <c r="I57" i="14"/>
  <c r="F60" i="14"/>
  <c r="G60" i="14"/>
  <c r="I60" i="14"/>
  <c r="F61" i="14"/>
  <c r="G61" i="14"/>
  <c r="I61" i="14"/>
  <c r="F62" i="14"/>
  <c r="G62" i="14"/>
  <c r="I62" i="14"/>
  <c r="F63" i="14"/>
  <c r="G63" i="14"/>
  <c r="I63" i="14"/>
  <c r="F64" i="14"/>
  <c r="G64" i="14"/>
  <c r="I64" i="14"/>
  <c r="F65" i="14"/>
  <c r="G65" i="14"/>
  <c r="I65" i="14"/>
  <c r="F66" i="14"/>
  <c r="G66" i="14"/>
  <c r="I66" i="14"/>
  <c r="F67" i="14"/>
  <c r="G67" i="14"/>
  <c r="I67" i="14"/>
  <c r="F68" i="14"/>
  <c r="G68" i="14"/>
  <c r="I68" i="14"/>
  <c r="F69" i="14"/>
  <c r="G69" i="14"/>
  <c r="I69" i="14"/>
  <c r="F70" i="14"/>
  <c r="G70" i="14"/>
  <c r="I70" i="14"/>
  <c r="F71" i="14"/>
  <c r="G71" i="14"/>
  <c r="I71" i="14"/>
  <c r="F72" i="14"/>
  <c r="G72" i="14"/>
  <c r="I72" i="14"/>
  <c r="F73" i="14"/>
  <c r="G73" i="14"/>
  <c r="I73" i="14"/>
  <c r="F74" i="14"/>
  <c r="G74" i="14"/>
  <c r="I74" i="14"/>
  <c r="F75" i="14"/>
  <c r="G75" i="14"/>
  <c r="I75" i="14"/>
  <c r="F81" i="14"/>
  <c r="G81" i="14"/>
  <c r="I81" i="14"/>
  <c r="F82" i="14"/>
  <c r="G82" i="14"/>
  <c r="I82" i="14"/>
  <c r="F83" i="14"/>
  <c r="G83" i="14"/>
  <c r="I83" i="14"/>
  <c r="F85" i="14"/>
  <c r="G85" i="14"/>
  <c r="I85" i="14"/>
  <c r="F86" i="14"/>
  <c r="G86" i="14"/>
  <c r="F91" i="14"/>
  <c r="G91" i="14"/>
  <c r="I91" i="14"/>
  <c r="F92" i="14"/>
  <c r="G92" i="14"/>
  <c r="I92" i="14"/>
  <c r="F95" i="14"/>
  <c r="G95" i="14"/>
  <c r="I95" i="14"/>
  <c r="C95" i="14"/>
  <c r="D95" i="14"/>
  <c r="E95" i="14"/>
  <c r="E75" i="14"/>
  <c r="D75" i="14"/>
  <c r="C75" i="14"/>
  <c r="E24" i="14"/>
  <c r="D24" i="14"/>
  <c r="C24" i="14"/>
  <c r="H88" i="7"/>
  <c r="H97" i="7"/>
  <c r="H131" i="7"/>
  <c r="E8" i="16"/>
  <c r="C74" i="14"/>
  <c r="D74" i="14"/>
  <c r="E74" i="14"/>
  <c r="H89" i="7"/>
  <c r="H98" i="7"/>
  <c r="C125" i="19"/>
  <c r="A125" i="19"/>
  <c r="C124" i="19"/>
  <c r="A124" i="19"/>
  <c r="E123" i="19"/>
  <c r="C123" i="19"/>
  <c r="A123" i="19"/>
  <c r="E72" i="14"/>
  <c r="D72" i="14"/>
  <c r="C72" i="14"/>
  <c r="H91" i="7"/>
  <c r="H99" i="7"/>
  <c r="B10" i="6"/>
  <c r="C10" i="6"/>
  <c r="D10" i="6"/>
  <c r="C7" i="16"/>
  <c r="D7" i="16"/>
  <c r="E7" i="16"/>
  <c r="E120" i="19"/>
  <c r="C122" i="19"/>
  <c r="A122" i="19"/>
  <c r="C121" i="19"/>
  <c r="A121" i="19"/>
  <c r="C120" i="19"/>
  <c r="A120" i="19"/>
  <c r="C73" i="14"/>
  <c r="D73" i="14"/>
  <c r="E73" i="14"/>
  <c r="H90" i="7"/>
  <c r="H100" i="7"/>
  <c r="H34" i="7"/>
  <c r="E83" i="14"/>
  <c r="D83" i="14"/>
  <c r="C83" i="14"/>
  <c r="C119" i="19"/>
  <c r="A119" i="19"/>
  <c r="C118" i="19"/>
  <c r="A118" i="19"/>
  <c r="E117" i="19"/>
  <c r="C117" i="19"/>
  <c r="A117" i="19"/>
  <c r="C53" i="14"/>
  <c r="D53" i="14"/>
  <c r="E53" i="14"/>
  <c r="C71" i="14"/>
  <c r="D71" i="14"/>
  <c r="E71" i="14"/>
  <c r="H92" i="7"/>
  <c r="H101" i="7"/>
  <c r="E8" i="18"/>
  <c r="E4" i="18"/>
  <c r="H35" i="7"/>
  <c r="H36" i="7"/>
  <c r="H37" i="7"/>
  <c r="C82" i="14"/>
  <c r="D82" i="14"/>
  <c r="E82" i="14"/>
  <c r="C116" i="19"/>
  <c r="A116" i="19"/>
  <c r="C115" i="19"/>
  <c r="A115" i="19"/>
  <c r="E114" i="19"/>
  <c r="C114" i="19"/>
  <c r="A114" i="19"/>
  <c r="C70" i="14"/>
  <c r="D70" i="14"/>
  <c r="E70" i="14"/>
  <c r="H93" i="7"/>
  <c r="H102" i="7"/>
  <c r="H38" i="7"/>
  <c r="H39" i="7"/>
  <c r="H40" i="7"/>
  <c r="H41" i="7"/>
  <c r="H42" i="7"/>
  <c r="H43" i="7"/>
  <c r="H44" i="7"/>
  <c r="C113" i="19"/>
  <c r="A113" i="19"/>
  <c r="C112" i="19"/>
  <c r="A112" i="19"/>
  <c r="E111" i="19"/>
  <c r="C111" i="19"/>
  <c r="A111" i="19"/>
  <c r="C40" i="14"/>
  <c r="D40" i="14"/>
  <c r="E40" i="14"/>
  <c r="C69" i="14"/>
  <c r="D69" i="14"/>
  <c r="E69" i="14"/>
  <c r="H103" i="7"/>
  <c r="H94" i="7"/>
  <c r="B9" i="6"/>
  <c r="C9" i="6"/>
  <c r="D9" i="6"/>
  <c r="A110" i="19"/>
  <c r="C110" i="19"/>
  <c r="H104" i="7"/>
  <c r="C39" i="14"/>
  <c r="D39" i="14"/>
  <c r="E39" i="14"/>
  <c r="C109" i="19"/>
  <c r="A109" i="19"/>
  <c r="H105" i="7"/>
  <c r="C38" i="14"/>
  <c r="D38" i="14"/>
  <c r="E38" i="14"/>
  <c r="C92" i="14"/>
  <c r="D92" i="14"/>
  <c r="E92" i="14"/>
  <c r="H54" i="7"/>
  <c r="C81" i="14"/>
  <c r="D81" i="14"/>
  <c r="E81" i="14"/>
  <c r="C68" i="14"/>
  <c r="D68" i="14"/>
  <c r="E68" i="14"/>
  <c r="C108" i="19"/>
  <c r="A108" i="19"/>
  <c r="E107" i="19"/>
  <c r="C107" i="19"/>
  <c r="A107" i="19"/>
  <c r="H95" i="7"/>
  <c r="A106" i="19"/>
  <c r="C106" i="19"/>
  <c r="A100" i="19"/>
  <c r="C100" i="19"/>
  <c r="A101" i="19"/>
  <c r="C101" i="19"/>
  <c r="A102" i="19"/>
  <c r="C102" i="19"/>
  <c r="A103" i="19"/>
  <c r="C103" i="19"/>
  <c r="A104" i="19"/>
  <c r="C104" i="19"/>
  <c r="A105" i="19"/>
  <c r="C105" i="19"/>
  <c r="E10" i="18"/>
  <c r="C99" i="19"/>
  <c r="A99" i="19"/>
  <c r="C98" i="19"/>
  <c r="A98" i="19"/>
  <c r="E97" i="19"/>
  <c r="C97" i="19"/>
  <c r="A97" i="19"/>
  <c r="C96" i="19"/>
  <c r="A96" i="19"/>
  <c r="C95" i="19"/>
  <c r="A95" i="19"/>
  <c r="E94" i="19"/>
  <c r="C94" i="19"/>
  <c r="A94" i="19"/>
  <c r="E93" i="19"/>
  <c r="C93" i="19"/>
  <c r="A93" i="19"/>
  <c r="E92" i="19"/>
  <c r="C92" i="19"/>
  <c r="A92" i="19"/>
  <c r="C91" i="19"/>
  <c r="A91" i="19"/>
  <c r="E90" i="19"/>
  <c r="C90" i="19"/>
  <c r="A90" i="19"/>
  <c r="E89" i="19"/>
  <c r="C89" i="19"/>
  <c r="A89" i="19"/>
  <c r="C88" i="19"/>
  <c r="A88" i="19"/>
  <c r="E87" i="19"/>
  <c r="C87" i="19"/>
  <c r="A87" i="19"/>
  <c r="E86" i="19"/>
  <c r="C86" i="19"/>
  <c r="A86" i="19"/>
  <c r="E85" i="19"/>
  <c r="C85" i="19"/>
  <c r="A85" i="19"/>
  <c r="E84" i="19"/>
  <c r="C84" i="19"/>
  <c r="A84" i="19"/>
  <c r="G83" i="19"/>
  <c r="F83" i="19"/>
  <c r="E83" i="19"/>
  <c r="C83" i="19"/>
  <c r="A83" i="19"/>
  <c r="G82" i="19"/>
  <c r="F82" i="19"/>
  <c r="E82" i="19"/>
  <c r="C82" i="19"/>
  <c r="A82" i="19"/>
  <c r="G81" i="19"/>
  <c r="F81" i="19"/>
  <c r="E81" i="19"/>
  <c r="C81" i="19"/>
  <c r="A81" i="19"/>
  <c r="G80" i="19"/>
  <c r="F80" i="19"/>
  <c r="E80" i="19"/>
  <c r="C80" i="19"/>
  <c r="A80" i="19"/>
  <c r="G79" i="19"/>
  <c r="F79" i="19"/>
  <c r="E79" i="19"/>
  <c r="C79" i="19"/>
  <c r="A79" i="19"/>
  <c r="G78" i="19"/>
  <c r="F78" i="19"/>
  <c r="E78" i="19"/>
  <c r="C78" i="19"/>
  <c r="A78" i="19"/>
  <c r="G77" i="19"/>
  <c r="F77" i="19"/>
  <c r="E77" i="19"/>
  <c r="C77" i="19"/>
  <c r="A77" i="19"/>
  <c r="G76" i="19"/>
  <c r="F76" i="19"/>
  <c r="E76" i="19"/>
  <c r="C76" i="19"/>
  <c r="A76" i="19"/>
  <c r="G75" i="19"/>
  <c r="F75" i="19"/>
  <c r="E75" i="19"/>
  <c r="C75" i="19"/>
  <c r="A75" i="19"/>
  <c r="G74" i="19"/>
  <c r="F74" i="19"/>
  <c r="E74" i="19"/>
  <c r="C74" i="19"/>
  <c r="A74" i="19"/>
  <c r="G73" i="19"/>
  <c r="F73" i="19"/>
  <c r="E73" i="19"/>
  <c r="C73" i="19"/>
  <c r="A73" i="19"/>
  <c r="G72" i="19"/>
  <c r="F72" i="19"/>
  <c r="E72" i="19"/>
  <c r="C72" i="19"/>
  <c r="A72" i="19"/>
  <c r="G71" i="19"/>
  <c r="F71" i="19"/>
  <c r="E71" i="19"/>
  <c r="C71" i="19"/>
  <c r="A71" i="19"/>
  <c r="G70" i="19"/>
  <c r="F70" i="19"/>
  <c r="E70" i="19"/>
  <c r="C70" i="19"/>
  <c r="A70" i="19"/>
  <c r="G69" i="19"/>
  <c r="F69" i="19"/>
  <c r="E69" i="19"/>
  <c r="C69" i="19"/>
  <c r="A69" i="19"/>
  <c r="G68" i="19"/>
  <c r="F68" i="19"/>
  <c r="E68" i="19"/>
  <c r="C68" i="19"/>
  <c r="A68" i="19"/>
  <c r="G67" i="19"/>
  <c r="F67" i="19"/>
  <c r="E67" i="19"/>
  <c r="C67" i="19"/>
  <c r="A67" i="19"/>
  <c r="G66" i="19"/>
  <c r="F66" i="19"/>
  <c r="E66" i="19"/>
  <c r="C66" i="19"/>
  <c r="A66" i="19"/>
  <c r="G65" i="19"/>
  <c r="F65" i="19"/>
  <c r="E65" i="19"/>
  <c r="C65" i="19"/>
  <c r="A65" i="19"/>
  <c r="G64" i="19"/>
  <c r="F64" i="19"/>
  <c r="E64" i="19"/>
  <c r="C64" i="19"/>
  <c r="A64" i="19"/>
  <c r="G63" i="19"/>
  <c r="F63" i="19"/>
  <c r="E63" i="19"/>
  <c r="C63" i="19"/>
  <c r="A63" i="19"/>
  <c r="G62" i="19"/>
  <c r="F62" i="19"/>
  <c r="E62" i="19"/>
  <c r="C62" i="19"/>
  <c r="A62" i="19"/>
  <c r="G61" i="19"/>
  <c r="F61" i="19"/>
  <c r="E61" i="19"/>
  <c r="C61" i="19"/>
  <c r="A61" i="19"/>
  <c r="G60" i="19"/>
  <c r="F60" i="19"/>
  <c r="E60" i="19"/>
  <c r="C60" i="19"/>
  <c r="A60" i="19"/>
  <c r="G59" i="19"/>
  <c r="F59" i="19"/>
  <c r="E59" i="19"/>
  <c r="C59" i="19"/>
  <c r="A59" i="19"/>
  <c r="G58" i="19"/>
  <c r="F58" i="19"/>
  <c r="E58" i="19"/>
  <c r="C58" i="19"/>
  <c r="A58" i="19"/>
  <c r="G57" i="19"/>
  <c r="F57" i="19"/>
  <c r="E57" i="19"/>
  <c r="C57" i="19"/>
  <c r="A57" i="19"/>
  <c r="G56" i="19"/>
  <c r="F56" i="19"/>
  <c r="E56" i="19"/>
  <c r="C56" i="19"/>
  <c r="A56" i="19"/>
  <c r="G55" i="19"/>
  <c r="F55" i="19"/>
  <c r="E55" i="19"/>
  <c r="C55" i="19"/>
  <c r="A55" i="19"/>
  <c r="G54" i="19"/>
  <c r="F54" i="19"/>
  <c r="E54" i="19"/>
  <c r="C54" i="19"/>
  <c r="A54" i="19"/>
  <c r="G53" i="19"/>
  <c r="F53" i="19"/>
  <c r="E53" i="19"/>
  <c r="C53" i="19"/>
  <c r="A53" i="19"/>
  <c r="G52" i="19"/>
  <c r="F52" i="19"/>
  <c r="E52" i="19"/>
  <c r="C52" i="19"/>
  <c r="A52" i="19"/>
  <c r="G51" i="19"/>
  <c r="F51" i="19"/>
  <c r="E51" i="19"/>
  <c r="C51" i="19"/>
  <c r="A51" i="19"/>
  <c r="G50" i="19"/>
  <c r="F50" i="19"/>
  <c r="E50" i="19"/>
  <c r="C50" i="19"/>
  <c r="A50" i="19"/>
  <c r="G49" i="19"/>
  <c r="F49" i="19"/>
  <c r="E49" i="19"/>
  <c r="C49" i="19"/>
  <c r="A49" i="19"/>
  <c r="G48" i="19"/>
  <c r="F48" i="19"/>
  <c r="E48" i="19"/>
  <c r="C48" i="19"/>
  <c r="A48" i="19"/>
  <c r="G47" i="19"/>
  <c r="F47" i="19"/>
  <c r="E47" i="19"/>
  <c r="C47" i="19"/>
  <c r="A47" i="19"/>
  <c r="G46" i="19"/>
  <c r="F46" i="19"/>
  <c r="E46" i="19"/>
  <c r="C46" i="19"/>
  <c r="A46" i="19"/>
  <c r="G45" i="19"/>
  <c r="F45" i="19"/>
  <c r="E45" i="19"/>
  <c r="C45" i="19"/>
  <c r="A45" i="19"/>
  <c r="G44" i="19"/>
  <c r="F44" i="19"/>
  <c r="E44" i="19"/>
  <c r="C44" i="19"/>
  <c r="A44" i="19"/>
  <c r="G43" i="19"/>
  <c r="F43" i="19"/>
  <c r="E43" i="19"/>
  <c r="C43" i="19"/>
  <c r="A43" i="19"/>
  <c r="G42" i="19"/>
  <c r="F42" i="19"/>
  <c r="E42" i="19"/>
  <c r="C42" i="19"/>
  <c r="A42" i="19"/>
  <c r="G41" i="19"/>
  <c r="F41" i="19"/>
  <c r="E41" i="19"/>
  <c r="C41" i="19"/>
  <c r="A41" i="19"/>
  <c r="G40" i="19"/>
  <c r="F40" i="19"/>
  <c r="E40" i="19"/>
  <c r="C40" i="19"/>
  <c r="A40" i="19"/>
  <c r="G39" i="19"/>
  <c r="F39" i="19"/>
  <c r="E39" i="19"/>
  <c r="C39" i="19"/>
  <c r="A39" i="19"/>
  <c r="G38" i="19"/>
  <c r="F38" i="19"/>
  <c r="E38" i="19"/>
  <c r="C38" i="19"/>
  <c r="A38" i="19"/>
  <c r="G37" i="19"/>
  <c r="F37" i="19"/>
  <c r="E37" i="19"/>
  <c r="C37" i="19"/>
  <c r="A37" i="19"/>
  <c r="G36" i="19"/>
  <c r="F36" i="19"/>
  <c r="E36" i="19"/>
  <c r="C36" i="19"/>
  <c r="A36" i="19"/>
  <c r="G35" i="19"/>
  <c r="F35" i="19"/>
  <c r="E35" i="19"/>
  <c r="C35" i="19"/>
  <c r="A35" i="19"/>
  <c r="G34" i="19"/>
  <c r="F34" i="19"/>
  <c r="E34" i="19"/>
  <c r="C34" i="19"/>
  <c r="A34" i="19"/>
  <c r="G33" i="19"/>
  <c r="F33" i="19"/>
  <c r="E33" i="19"/>
  <c r="C33" i="19"/>
  <c r="A33" i="19"/>
  <c r="G32" i="19"/>
  <c r="F32" i="19"/>
  <c r="E32" i="19"/>
  <c r="C32" i="19"/>
  <c r="A32" i="19"/>
  <c r="G31" i="19"/>
  <c r="F31" i="19"/>
  <c r="E31" i="19"/>
  <c r="C31" i="19"/>
  <c r="A31" i="19"/>
  <c r="G30" i="19"/>
  <c r="F30" i="19"/>
  <c r="E30" i="19"/>
  <c r="C30" i="19"/>
  <c r="A30" i="19"/>
  <c r="G29" i="19"/>
  <c r="F29" i="19"/>
  <c r="E29" i="19"/>
  <c r="C29" i="19"/>
  <c r="A29" i="19"/>
  <c r="G28" i="19"/>
  <c r="F28" i="19"/>
  <c r="E28" i="19"/>
  <c r="C28" i="19"/>
  <c r="A28" i="19"/>
  <c r="G27" i="19"/>
  <c r="F27" i="19"/>
  <c r="E27" i="19"/>
  <c r="C27" i="19"/>
  <c r="A27" i="19"/>
  <c r="G26" i="19"/>
  <c r="F26" i="19"/>
  <c r="E26" i="19"/>
  <c r="C26" i="19"/>
  <c r="A26" i="19"/>
  <c r="G25" i="19"/>
  <c r="F25" i="19"/>
  <c r="E25" i="19"/>
  <c r="C25" i="19"/>
  <c r="A25" i="19"/>
  <c r="G24" i="19"/>
  <c r="F24" i="19"/>
  <c r="E24" i="19"/>
  <c r="C24" i="19"/>
  <c r="A24" i="19"/>
  <c r="G23" i="19"/>
  <c r="F23" i="19"/>
  <c r="E23" i="19"/>
  <c r="C23" i="19"/>
  <c r="A23" i="19"/>
  <c r="G22" i="19"/>
  <c r="F22" i="19"/>
  <c r="E22" i="19"/>
  <c r="C22" i="19"/>
  <c r="A22" i="19"/>
  <c r="G21" i="19"/>
  <c r="F21" i="19"/>
  <c r="E21" i="19"/>
  <c r="C21" i="19"/>
  <c r="A21" i="19"/>
  <c r="G20" i="19"/>
  <c r="F20" i="19"/>
  <c r="E20" i="19"/>
  <c r="C20" i="19"/>
  <c r="A20" i="19"/>
  <c r="G19" i="19"/>
  <c r="F19" i="19"/>
  <c r="E19" i="19"/>
  <c r="C19" i="19"/>
  <c r="A19" i="19"/>
  <c r="G18" i="19"/>
  <c r="F18" i="19"/>
  <c r="E18" i="19"/>
  <c r="C18" i="19"/>
  <c r="A18" i="19"/>
  <c r="G17" i="19"/>
  <c r="F17" i="19"/>
  <c r="E17" i="19"/>
  <c r="C17" i="19"/>
  <c r="A17" i="19"/>
  <c r="G16" i="19"/>
  <c r="F16" i="19"/>
  <c r="E16" i="19"/>
  <c r="C16" i="19"/>
  <c r="A16" i="19"/>
  <c r="G15" i="19"/>
  <c r="F15" i="19"/>
  <c r="E15" i="19"/>
  <c r="C15" i="19"/>
  <c r="A15" i="19"/>
  <c r="G14" i="19"/>
  <c r="F14" i="19"/>
  <c r="E14" i="19"/>
  <c r="C14" i="19"/>
  <c r="A14" i="19"/>
  <c r="G13" i="19"/>
  <c r="F13" i="19"/>
  <c r="E13" i="19"/>
  <c r="C13" i="19"/>
  <c r="A13" i="19"/>
  <c r="G12" i="19"/>
  <c r="F12" i="19"/>
  <c r="E12" i="19"/>
  <c r="C12" i="19"/>
  <c r="A12" i="19"/>
  <c r="G11" i="19"/>
  <c r="F11" i="19"/>
  <c r="E11" i="19"/>
  <c r="C11" i="19"/>
  <c r="A11" i="19"/>
  <c r="G10" i="19"/>
  <c r="F10" i="19"/>
  <c r="E10" i="19"/>
  <c r="C10" i="19"/>
  <c r="A10" i="19"/>
  <c r="G9" i="19"/>
  <c r="F9" i="19"/>
  <c r="E9" i="19"/>
  <c r="C9" i="19"/>
  <c r="A9" i="19"/>
  <c r="G8" i="19"/>
  <c r="F8" i="19"/>
  <c r="E8" i="19"/>
  <c r="C8" i="19"/>
  <c r="A8" i="19"/>
  <c r="G7" i="19"/>
  <c r="F7" i="19"/>
  <c r="E7" i="19"/>
  <c r="C7" i="19"/>
  <c r="A7" i="19"/>
  <c r="G6" i="19"/>
  <c r="F6" i="19"/>
  <c r="E6" i="19"/>
  <c r="C6" i="19"/>
  <c r="A6" i="19"/>
  <c r="G5" i="19"/>
  <c r="F5" i="19"/>
  <c r="E5" i="19"/>
  <c r="C5" i="19"/>
  <c r="A5" i="19"/>
  <c r="G4" i="19"/>
  <c r="F4" i="19"/>
  <c r="E4" i="19"/>
  <c r="C4" i="19"/>
  <c r="A4" i="19"/>
  <c r="G3" i="19"/>
  <c r="F3" i="19"/>
  <c r="E3" i="19"/>
  <c r="C3" i="19"/>
  <c r="A3" i="19"/>
  <c r="G2" i="19"/>
  <c r="F2" i="19"/>
  <c r="E2" i="19"/>
  <c r="C2" i="19"/>
  <c r="A2" i="19"/>
  <c r="B8" i="6"/>
  <c r="C8" i="6"/>
  <c r="D8" i="6"/>
  <c r="E67" i="14"/>
  <c r="D67" i="14"/>
  <c r="C67" i="14"/>
  <c r="E37" i="14"/>
  <c r="D37" i="14"/>
  <c r="C37" i="14"/>
  <c r="H80" i="7"/>
  <c r="H106" i="7"/>
  <c r="E52" i="14"/>
  <c r="D52" i="14"/>
  <c r="C52" i="14"/>
  <c r="C86" i="14"/>
  <c r="D86" i="14"/>
  <c r="E86" i="14"/>
  <c r="H62" i="7"/>
  <c r="H63" i="7"/>
  <c r="H107" i="7"/>
  <c r="H125" i="7"/>
  <c r="H138" i="7"/>
  <c r="H139" i="7"/>
  <c r="E6" i="16"/>
  <c r="D6" i="16"/>
  <c r="C6" i="16"/>
  <c r="E66" i="14"/>
  <c r="D66" i="14"/>
  <c r="C66" i="14"/>
  <c r="H81" i="7"/>
  <c r="D7" i="6"/>
  <c r="C7" i="6"/>
  <c r="B7" i="6"/>
  <c r="C51" i="14"/>
  <c r="D51" i="14"/>
  <c r="E51" i="14"/>
  <c r="H108" i="7"/>
  <c r="E50" i="14"/>
  <c r="D50" i="14"/>
  <c r="C50" i="14"/>
  <c r="H109" i="7"/>
  <c r="C49" i="14"/>
  <c r="D49" i="14"/>
  <c r="E49" i="14"/>
  <c r="C65" i="14"/>
  <c r="D65" i="14"/>
  <c r="E65" i="14"/>
  <c r="H110" i="7"/>
  <c r="H82" i="7"/>
  <c r="D6" i="6"/>
  <c r="C6" i="6"/>
  <c r="B6" i="6"/>
  <c r="E64" i="14"/>
  <c r="D64" i="14"/>
  <c r="C64" i="14"/>
  <c r="E48" i="14"/>
  <c r="D48" i="14"/>
  <c r="C48" i="14"/>
  <c r="H111" i="7"/>
  <c r="E5" i="16"/>
  <c r="D5" i="16"/>
  <c r="C5" i="16"/>
  <c r="C47" i="14"/>
  <c r="D47" i="14"/>
  <c r="E47" i="14"/>
  <c r="H112" i="7"/>
  <c r="E4" i="16"/>
  <c r="D4" i="16"/>
  <c r="C4" i="16"/>
  <c r="D5" i="6"/>
  <c r="C5" i="6"/>
  <c r="B5" i="6"/>
  <c r="E46" i="14"/>
  <c r="D46" i="14"/>
  <c r="C46" i="14"/>
  <c r="H113" i="7"/>
  <c r="C45" i="14"/>
  <c r="D45" i="14"/>
  <c r="E45" i="14"/>
  <c r="C91" i="14"/>
  <c r="D91" i="14"/>
  <c r="E91" i="14"/>
  <c r="H114" i="7"/>
  <c r="H55" i="7"/>
  <c r="G10" i="14"/>
  <c r="E10" i="14"/>
  <c r="D10" i="14"/>
  <c r="C10" i="14"/>
  <c r="G9" i="14"/>
  <c r="C9" i="14"/>
  <c r="D9" i="14"/>
  <c r="E9" i="14"/>
  <c r="G8" i="14"/>
  <c r="C8" i="14"/>
  <c r="D8" i="14"/>
  <c r="E8" i="14"/>
  <c r="G7" i="14"/>
  <c r="G2" i="14"/>
  <c r="G3" i="14"/>
  <c r="G4" i="14"/>
  <c r="G5" i="14"/>
  <c r="G6" i="14"/>
  <c r="E7" i="14"/>
  <c r="D7" i="14"/>
  <c r="C7" i="14"/>
  <c r="C44" i="14"/>
  <c r="D44" i="14"/>
  <c r="E44" i="14"/>
  <c r="H115" i="7"/>
  <c r="C85" i="14"/>
  <c r="C62" i="14"/>
  <c r="H116" i="7"/>
  <c r="C43" i="14"/>
  <c r="D43" i="14"/>
  <c r="E43" i="14"/>
  <c r="C63" i="14"/>
  <c r="D63" i="14"/>
  <c r="E63" i="14"/>
  <c r="H75" i="7"/>
  <c r="H151" i="7"/>
  <c r="H76" i="7"/>
  <c r="M12" i="8"/>
  <c r="L12" i="8"/>
  <c r="K12" i="8"/>
  <c r="M13" i="8"/>
  <c r="L13" i="8"/>
  <c r="K13" i="8"/>
  <c r="O12" i="8"/>
  <c r="O13" i="8"/>
  <c r="H77" i="7"/>
  <c r="C3" i="16"/>
  <c r="D3" i="16"/>
  <c r="E3" i="16"/>
  <c r="D4" i="6"/>
  <c r="C4" i="6"/>
  <c r="B4" i="6"/>
  <c r="D3" i="6"/>
  <c r="C3" i="6"/>
  <c r="B3" i="6"/>
  <c r="H117" i="7"/>
  <c r="H159" i="7"/>
  <c r="H158" i="7"/>
  <c r="H157" i="7"/>
  <c r="H156" i="7"/>
  <c r="H155" i="7"/>
  <c r="H154" i="7"/>
  <c r="H153" i="7"/>
  <c r="H152" i="7"/>
  <c r="H142" i="7"/>
  <c r="H141" i="7"/>
  <c r="H140" i="7"/>
  <c r="H128" i="7"/>
  <c r="H127" i="7"/>
  <c r="H126" i="7"/>
  <c r="H137" i="7"/>
  <c r="H123" i="7"/>
  <c r="H143" i="7"/>
  <c r="H129" i="7"/>
  <c r="H146" i="7"/>
  <c r="H147" i="7"/>
  <c r="H148" i="7"/>
  <c r="H149" i="7"/>
  <c r="H150" i="7"/>
  <c r="H78" i="7"/>
  <c r="H122" i="7"/>
  <c r="H65" i="7"/>
  <c r="H124" i="7"/>
  <c r="H136" i="7"/>
  <c r="H135" i="7"/>
  <c r="H121" i="7"/>
  <c r="H134" i="7"/>
  <c r="H120" i="7"/>
  <c r="H133" i="7"/>
  <c r="H119" i="7"/>
  <c r="H132" i="7"/>
  <c r="H118" i="7"/>
  <c r="H64" i="7"/>
  <c r="E85" i="14"/>
  <c r="D85" i="14"/>
  <c r="C2" i="14"/>
  <c r="D2" i="14"/>
  <c r="E2" i="14"/>
  <c r="C4" i="14"/>
  <c r="D4" i="14"/>
  <c r="E4" i="14"/>
  <c r="C5" i="14"/>
  <c r="D5" i="14"/>
  <c r="E5" i="14"/>
  <c r="C6" i="14"/>
  <c r="D6" i="14"/>
  <c r="E6" i="14"/>
  <c r="E62" i="14"/>
  <c r="D62" i="14"/>
  <c r="E42" i="14"/>
  <c r="D42" i="14"/>
  <c r="C42" i="14"/>
  <c r="C22" i="14"/>
  <c r="D22" i="14"/>
  <c r="E22" i="14"/>
  <c r="C41" i="14"/>
  <c r="D41" i="14"/>
  <c r="E41" i="14"/>
  <c r="C23" i="14"/>
  <c r="D23" i="14"/>
  <c r="E23" i="14"/>
  <c r="E3" i="14"/>
  <c r="D3" i="14"/>
  <c r="C3" i="14"/>
  <c r="E9" i="18"/>
  <c r="E7" i="18"/>
  <c r="I13" i="8"/>
  <c r="E6" i="18"/>
  <c r="E5" i="18"/>
  <c r="E3" i="18"/>
  <c r="E2" i="18"/>
  <c r="E36" i="14"/>
  <c r="D36" i="14"/>
  <c r="C36" i="14"/>
  <c r="E21" i="14"/>
  <c r="D21" i="14"/>
  <c r="C21" i="14"/>
  <c r="C35" i="14"/>
  <c r="D35" i="14"/>
  <c r="E35" i="14"/>
  <c r="C61" i="14"/>
  <c r="D61" i="14"/>
  <c r="E61" i="14"/>
  <c r="E20" i="14"/>
  <c r="D20" i="14"/>
  <c r="C20" i="14"/>
  <c r="E19" i="14"/>
  <c r="D19" i="14"/>
  <c r="C19" i="14"/>
  <c r="C11" i="14"/>
  <c r="D11" i="14"/>
  <c r="E11" i="14"/>
  <c r="C12" i="14"/>
  <c r="D12" i="14"/>
  <c r="E12" i="14"/>
  <c r="C13" i="14"/>
  <c r="D13" i="14"/>
  <c r="E13" i="14"/>
  <c r="C28" i="14"/>
  <c r="D28" i="14"/>
  <c r="E28" i="14"/>
  <c r="C29" i="14"/>
  <c r="D29" i="14"/>
  <c r="E29" i="14"/>
  <c r="C30" i="14"/>
  <c r="D30" i="14"/>
  <c r="E30" i="14"/>
  <c r="C60" i="14"/>
  <c r="D60" i="14"/>
  <c r="E60" i="14"/>
  <c r="C18" i="14"/>
  <c r="D18" i="14"/>
  <c r="E18" i="14"/>
  <c r="C31" i="14"/>
  <c r="D31" i="14"/>
  <c r="E31" i="14"/>
  <c r="C16" i="14"/>
  <c r="D16" i="14"/>
  <c r="E16" i="14"/>
  <c r="C33" i="14"/>
  <c r="D33" i="14"/>
  <c r="E33" i="14"/>
  <c r="C27" i="14"/>
  <c r="D27" i="14"/>
  <c r="E27" i="14"/>
  <c r="C17" i="14"/>
  <c r="D17" i="14"/>
  <c r="E17" i="14"/>
  <c r="C34" i="14"/>
  <c r="D34" i="14"/>
  <c r="E34" i="14"/>
  <c r="C32" i="14"/>
  <c r="D32" i="14"/>
  <c r="E32" i="14"/>
  <c r="G12" i="8"/>
  <c r="H12" i="8"/>
  <c r="I12" i="8"/>
  <c r="H13" i="8"/>
  <c r="G13" i="8"/>
  <c r="C2" i="6"/>
  <c r="B2" i="6"/>
  <c r="D2" i="16"/>
  <c r="C2" i="16"/>
  <c r="E2" i="16"/>
  <c r="D2" i="6"/>
  <c r="E12" i="8"/>
  <c r="D12" i="8"/>
  <c r="C12" i="8"/>
  <c r="E13" i="8"/>
  <c r="D13" i="8"/>
  <c r="C13" i="8"/>
</calcChain>
</file>

<file path=xl/comments1.xml><?xml version="1.0" encoding="utf-8"?>
<comments xmlns="http://schemas.openxmlformats.org/spreadsheetml/2006/main">
  <authors>
    <author>加藤 雅大</author>
  </authors>
  <commentList>
    <comment ref="F64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開催期間以外にも出てしまうのでここは必ず毎回入力</t>
        </r>
      </text>
    </comment>
    <comment ref="F15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ゲリラ系は無期限にするとやばい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B85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開催期間以外にも出てしまうのでここは必ず毎回入力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B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v1.1.6より廃止予定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H1" authorId="0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2"/>
            <charset val="128"/>
          </rPr>
          <t xml:space="preserve">
'experience','bit','drop','stamina','link'</t>
        </r>
      </text>
    </comment>
  </commentList>
</comments>
</file>

<file path=xl/sharedStrings.xml><?xml version="1.0" encoding="utf-8"?>
<sst xmlns="http://schemas.openxmlformats.org/spreadsheetml/2006/main" count="1303" uniqueCount="510">
  <si>
    <t>start_date</t>
    <phoneticPr fontId="5"/>
  </si>
  <si>
    <t>end_date</t>
    <phoneticPr fontId="5"/>
  </si>
  <si>
    <t>big_success_rate</t>
    <phoneticPr fontId="5"/>
  </si>
  <si>
    <t>super_success_rate</t>
    <phoneticPr fontId="5"/>
  </si>
  <si>
    <t>jump_to</t>
    <phoneticPr fontId="5"/>
  </si>
  <si>
    <t>banner_no</t>
    <phoneticPr fontId="5"/>
  </si>
  <si>
    <t>tips_no</t>
    <phoneticPr fontId="5"/>
  </si>
  <si>
    <t>period_id</t>
  </si>
  <si>
    <t>period_id</t>
    <phoneticPr fontId="5"/>
  </si>
  <si>
    <t>内容</t>
    <rPh sb="0" eb="2">
      <t>ナイヨウ</t>
    </rPh>
    <phoneticPr fontId="5"/>
  </si>
  <si>
    <t>period_id</t>
    <phoneticPr fontId="5"/>
  </si>
  <si>
    <t>big_success_rate</t>
  </si>
  <si>
    <t>super_success_rate</t>
  </si>
  <si>
    <t>message</t>
    <phoneticPr fontId="5"/>
  </si>
  <si>
    <t>banner_no</t>
  </si>
  <si>
    <t>tips_no</t>
  </si>
  <si>
    <t>ja</t>
    <phoneticPr fontId="5"/>
  </si>
  <si>
    <t>quest11001</t>
    <phoneticPr fontId="5"/>
  </si>
  <si>
    <t>quest11002</t>
    <phoneticPr fontId="5"/>
  </si>
  <si>
    <t>quest11003</t>
    <phoneticPr fontId="5"/>
  </si>
  <si>
    <t>quest11004</t>
    <phoneticPr fontId="5"/>
  </si>
  <si>
    <t>quest11005</t>
    <phoneticPr fontId="5"/>
  </si>
  <si>
    <t>quest11006</t>
    <phoneticPr fontId="5"/>
  </si>
  <si>
    <t>quest12001</t>
    <phoneticPr fontId="5"/>
  </si>
  <si>
    <t>name</t>
    <phoneticPr fontId="37"/>
  </si>
  <si>
    <t>jump_to</t>
    <phoneticPr fontId="37"/>
  </si>
  <si>
    <t>内容</t>
    <rPh sb="0" eb="2">
      <t>ナイヨウ</t>
    </rPh>
    <phoneticPr fontId="37"/>
  </si>
  <si>
    <t>end_date</t>
    <phoneticPr fontId="37"/>
  </si>
  <si>
    <t>start_date</t>
    <phoneticPr fontId="37"/>
  </si>
  <si>
    <t>priority</t>
  </si>
  <si>
    <t>friend_links</t>
  </si>
  <si>
    <t>links</t>
  </si>
  <si>
    <t>image_filename</t>
    <phoneticPr fontId="5"/>
  </si>
  <si>
    <t>quest13001</t>
    <phoneticPr fontId="5"/>
  </si>
  <si>
    <t>image_filename</t>
    <phoneticPr fontId="37"/>
  </si>
  <si>
    <t>ノーマルクエストに詰まったらチャレンジタワーにも挑戦してみましょう！</t>
    <phoneticPr fontId="5"/>
  </si>
  <si>
    <t>quest20003</t>
    <phoneticPr fontId="5"/>
  </si>
  <si>
    <t>quest20002</t>
    <phoneticPr fontId="5"/>
  </si>
  <si>
    <t>quest20004</t>
    <phoneticPr fontId="5"/>
  </si>
  <si>
    <t>quest30003</t>
    <phoneticPr fontId="5"/>
  </si>
  <si>
    <t>quest30004</t>
    <phoneticPr fontId="5"/>
  </si>
  <si>
    <t>start_date</t>
    <phoneticPr fontId="5"/>
  </si>
  <si>
    <t>quest30002</t>
    <phoneticPr fontId="5"/>
  </si>
  <si>
    <t>quest20007</t>
    <phoneticPr fontId="5"/>
  </si>
  <si>
    <t>quest30005</t>
    <phoneticPr fontId="5"/>
  </si>
  <si>
    <t>quest20005</t>
    <phoneticPr fontId="5"/>
  </si>
  <si>
    <t>quest30007</t>
    <phoneticPr fontId="5"/>
  </si>
  <si>
    <t>quest20001</t>
    <phoneticPr fontId="5"/>
  </si>
  <si>
    <t>start_rank</t>
    <phoneticPr fontId="37"/>
  </si>
  <si>
    <t>end_rank</t>
    <phoneticPr fontId="37"/>
  </si>
  <si>
    <t>priority</t>
    <phoneticPr fontId="37"/>
  </si>
  <si>
    <t>null</t>
    <phoneticPr fontId="5"/>
  </si>
  <si>
    <t>quest30001</t>
    <phoneticPr fontId="5"/>
  </si>
  <si>
    <t>quest11103</t>
  </si>
  <si>
    <t>quest11104</t>
  </si>
  <si>
    <t>quest11105</t>
  </si>
  <si>
    <t>quest11106</t>
  </si>
  <si>
    <t>quest11006.png</t>
  </si>
  <si>
    <t>quest11101</t>
    <phoneticPr fontId="5"/>
  </si>
  <si>
    <t>quest11102</t>
    <phoneticPr fontId="5"/>
  </si>
  <si>
    <t>quest30008</t>
    <phoneticPr fontId="5"/>
  </si>
  <si>
    <t>quest11207</t>
    <phoneticPr fontId="5"/>
  </si>
  <si>
    <t>quest20006</t>
    <phoneticPr fontId="5"/>
  </si>
  <si>
    <t>quest30006</t>
    <phoneticPr fontId="5"/>
  </si>
  <si>
    <t>quest_schedule_id</t>
    <phoneticPr fontId="5"/>
  </si>
  <si>
    <t>gacha_schedule_id</t>
    <phoneticPr fontId="5"/>
  </si>
  <si>
    <t>null</t>
    <phoneticPr fontId="5"/>
  </si>
  <si>
    <t>null</t>
    <phoneticPr fontId="5"/>
  </si>
  <si>
    <t>quest_schedule_id</t>
    <phoneticPr fontId="5"/>
  </si>
  <si>
    <t>gacha_schedule_id</t>
    <phoneticPr fontId="5"/>
  </si>
  <si>
    <t>name</t>
    <phoneticPr fontId="5"/>
  </si>
  <si>
    <t>start_date</t>
    <phoneticPr fontId="5"/>
  </si>
  <si>
    <t>end_date</t>
    <phoneticPr fontId="5"/>
  </si>
  <si>
    <t>null</t>
    <phoneticPr fontId="5"/>
  </si>
  <si>
    <t>quest20009</t>
    <phoneticPr fontId="5"/>
  </si>
  <si>
    <t>quest30009</t>
    <phoneticPr fontId="5"/>
  </si>
  <si>
    <t>quest20008</t>
    <phoneticPr fontId="5"/>
  </si>
  <si>
    <t>quest20010</t>
    <phoneticPr fontId="5"/>
  </si>
  <si>
    <t>quest30010</t>
    <phoneticPr fontId="5"/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</si>
  <si>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</si>
  <si>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</si>
  <si>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</si>
  <si>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</si>
  <si>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</si>
  <si>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</si>
  <si>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.csv</t>
    <phoneticPr fontId="5"/>
  </si>
  <si>
    <t>enhance_bonuses</t>
    <phoneticPr fontId="5"/>
  </si>
  <si>
    <t>mypage_banners</t>
    <phoneticPr fontId="5"/>
  </si>
  <si>
    <t>mypage_tips</t>
    <phoneticPr fontId="5"/>
  </si>
  <si>
    <t>language</t>
    <phoneticPr fontId="5"/>
  </si>
  <si>
    <t>quest_banners</t>
    <phoneticPr fontId="5"/>
  </si>
  <si>
    <t>quest_helper_links</t>
    <phoneticPr fontId="5"/>
  </si>
  <si>
    <t>enhance_bonuses</t>
    <phoneticPr fontId="5"/>
  </si>
  <si>
    <t>mypage_tips_i18n</t>
    <phoneticPr fontId="5"/>
  </si>
  <si>
    <t>quest_helper_links</t>
    <phoneticPr fontId="5"/>
  </si>
  <si>
    <t>quest11207_3.png</t>
    <phoneticPr fontId="5"/>
  </si>
  <si>
    <t>quest20011</t>
    <phoneticPr fontId="5"/>
  </si>
  <si>
    <t>quest20012</t>
    <phoneticPr fontId="5"/>
  </si>
  <si>
    <t>quest30011</t>
    <phoneticPr fontId="5"/>
  </si>
  <si>
    <t>&lt;font color="#ff2626"&gt;【緊急】ただいまゲリラクエスト発生中！【緊急】&lt;/font&gt;</t>
  </si>
  <si>
    <t>出力flg</t>
    <rPh sb="0" eb="2">
      <t>シュツリョク</t>
    </rPh>
    <phoneticPr fontId="5"/>
  </si>
  <si>
    <t>old</t>
    <phoneticPr fontId="5"/>
  </si>
  <si>
    <t>quest30012</t>
    <phoneticPr fontId="5"/>
  </si>
  <si>
    <t>quest00001</t>
    <phoneticPr fontId="5"/>
  </si>
  <si>
    <t>quest00002</t>
    <phoneticPr fontId="5"/>
  </si>
  <si>
    <t>quest00003</t>
    <phoneticPr fontId="5"/>
  </si>
  <si>
    <t>quest00004</t>
    <phoneticPr fontId="5"/>
  </si>
  <si>
    <t>quest11210.png</t>
  </si>
  <si>
    <t>quest30013</t>
    <phoneticPr fontId="5"/>
  </si>
  <si>
    <t>quest30013_2.png</t>
    <phoneticPr fontId="5"/>
  </si>
  <si>
    <t>quest11212</t>
    <phoneticPr fontId="5"/>
  </si>
  <si>
    <t>quest11209</t>
    <phoneticPr fontId="5"/>
  </si>
  <si>
    <t>quest00005</t>
    <phoneticPr fontId="5"/>
  </si>
  <si>
    <t>quest12002</t>
    <phoneticPr fontId="5"/>
  </si>
  <si>
    <t>quest11016</t>
    <phoneticPr fontId="5"/>
  </si>
  <si>
    <t>quest30014</t>
    <phoneticPr fontId="5"/>
  </si>
  <si>
    <t>gacha203.png</t>
    <phoneticPr fontId="5"/>
  </si>
  <si>
    <t>quest30015</t>
    <phoneticPr fontId="5"/>
  </si>
  <si>
    <t>quest30015_2.png</t>
    <phoneticPr fontId="5"/>
  </si>
  <si>
    <t>quest12003</t>
    <phoneticPr fontId="5"/>
  </si>
  <si>
    <t>quest10008</t>
    <phoneticPr fontId="5"/>
  </si>
  <si>
    <t>quest10008.png</t>
    <phoneticPr fontId="5"/>
  </si>
  <si>
    <t>quest10010.png</t>
    <phoneticPr fontId="5"/>
  </si>
  <si>
    <t>quest10010</t>
    <phoneticPr fontId="5"/>
  </si>
  <si>
    <t>quest10015</t>
    <phoneticPr fontId="5"/>
  </si>
  <si>
    <t>quest10015.png</t>
    <phoneticPr fontId="5"/>
  </si>
  <si>
    <t>quest10020</t>
    <phoneticPr fontId="5"/>
  </si>
  <si>
    <t>quest10020.png</t>
    <phoneticPr fontId="5"/>
  </si>
  <si>
    <t>quest30016</t>
  </si>
  <si>
    <t>quest20006_1.png</t>
    <phoneticPr fontId="5"/>
  </si>
  <si>
    <t>quest30017</t>
    <phoneticPr fontId="5"/>
  </si>
  <si>
    <t>quest30018</t>
    <phoneticPr fontId="5"/>
  </si>
  <si>
    <t>quest11215</t>
    <phoneticPr fontId="5"/>
  </si>
  <si>
    <t>quest11214</t>
    <phoneticPr fontId="5"/>
  </si>
  <si>
    <t>quest30019</t>
    <phoneticPr fontId="5"/>
  </si>
  <si>
    <t>gacha200_4.png</t>
    <phoneticPr fontId="5"/>
  </si>
  <si>
    <t>quest11216</t>
    <phoneticPr fontId="5"/>
  </si>
  <si>
    <t>quest11217</t>
    <phoneticPr fontId="5"/>
  </si>
  <si>
    <t>gacha200_5.png</t>
    <phoneticPr fontId="5"/>
  </si>
  <si>
    <t>gacha204</t>
    <phoneticPr fontId="5"/>
  </si>
  <si>
    <t>gacha205</t>
    <phoneticPr fontId="5"/>
  </si>
  <si>
    <t>quest30020</t>
    <phoneticPr fontId="5"/>
  </si>
  <si>
    <t>quest30021</t>
    <phoneticPr fontId="5"/>
  </si>
  <si>
    <t>quest30022</t>
  </si>
  <si>
    <t>gacha206</t>
    <phoneticPr fontId="5"/>
  </si>
  <si>
    <t>link_gacha206.png</t>
    <phoneticPr fontId="5"/>
  </si>
  <si>
    <t>quest30023</t>
    <phoneticPr fontId="5"/>
  </si>
  <si>
    <t>quest39001</t>
    <phoneticPr fontId="5"/>
  </si>
  <si>
    <t>quest49001</t>
    <phoneticPr fontId="5"/>
  </si>
  <si>
    <t>quest30024</t>
  </si>
  <si>
    <t>temp_id</t>
    <phoneticPr fontId="37"/>
  </si>
  <si>
    <t>quest_id</t>
  </si>
  <si>
    <t>name</t>
    <phoneticPr fontId="37"/>
  </si>
  <si>
    <t>period_id</t>
    <phoneticPr fontId="37"/>
  </si>
  <si>
    <t>内容</t>
    <rPh sb="0" eb="2">
      <t>ナドデ</t>
    </rPh>
    <phoneticPr fontId="37"/>
  </si>
  <si>
    <t>start_date</t>
    <phoneticPr fontId="37"/>
  </si>
  <si>
    <t>end_date</t>
    <phoneticPr fontId="37"/>
  </si>
  <si>
    <t>bonus_type</t>
  </si>
  <si>
    <t>bonus_value</t>
  </si>
  <si>
    <t>priority</t>
    <phoneticPr fontId="37"/>
  </si>
  <si>
    <t>drop</t>
    <phoneticPr fontId="37"/>
  </si>
  <si>
    <t>drop</t>
    <phoneticPr fontId="37"/>
  </si>
  <si>
    <t>drop</t>
    <phoneticPr fontId="37"/>
  </si>
  <si>
    <t>drop</t>
    <phoneticPr fontId="37"/>
  </si>
  <si>
    <t>drop</t>
    <phoneticPr fontId="37"/>
  </si>
  <si>
    <t>drop</t>
    <phoneticPr fontId="37"/>
  </si>
  <si>
    <t>stamina</t>
    <phoneticPr fontId="37"/>
  </si>
  <si>
    <t>experience</t>
  </si>
  <si>
    <t>2015-12-05 18:00:00</t>
    <phoneticPr fontId="37"/>
  </si>
  <si>
    <t>2015-12-05 23:59:59</t>
    <phoneticPr fontId="37"/>
  </si>
  <si>
    <t>drop</t>
    <phoneticPr fontId="37"/>
  </si>
  <si>
    <t>2015-12-12 18:00:00</t>
    <phoneticPr fontId="37"/>
  </si>
  <si>
    <t>2015-12-12 23:59:59</t>
    <phoneticPr fontId="37"/>
  </si>
  <si>
    <t>2015-12-19 18:00:00</t>
    <phoneticPr fontId="37"/>
  </si>
  <si>
    <t>2015-12-19 23:59:59</t>
    <phoneticPr fontId="37"/>
  </si>
  <si>
    <t>2015-12-18 21:00:00</t>
    <phoneticPr fontId="37"/>
  </si>
  <si>
    <t>2015-12-18 23:59:59</t>
    <phoneticPr fontId="37"/>
  </si>
  <si>
    <t>2015-12-19 12:00:00</t>
    <phoneticPr fontId="37"/>
  </si>
  <si>
    <t>2015-12-19 14:59:59</t>
    <phoneticPr fontId="37"/>
  </si>
  <si>
    <t>2015-12-25 18:00:00</t>
    <phoneticPr fontId="37"/>
  </si>
  <si>
    <t>2015-12-25 23:59:59</t>
    <phoneticPr fontId="37"/>
  </si>
  <si>
    <t>2015-12-25 21:00:00</t>
    <phoneticPr fontId="37"/>
  </si>
  <si>
    <t>2015-12-26 12:00:00</t>
    <phoneticPr fontId="37"/>
  </si>
  <si>
    <t>2015-12-26 14:59:59</t>
    <phoneticPr fontId="37"/>
  </si>
  <si>
    <t>2016-01-08 18:00:00</t>
    <phoneticPr fontId="37"/>
  </si>
  <si>
    <t>2016-01-08 23:59:59</t>
    <phoneticPr fontId="37"/>
  </si>
  <si>
    <t>2016-01-15 18:00:00</t>
    <phoneticPr fontId="37"/>
  </si>
  <si>
    <t>2016-01-15 23:59:59</t>
    <phoneticPr fontId="37"/>
  </si>
  <si>
    <t>drop</t>
    <phoneticPr fontId="37"/>
  </si>
  <si>
    <t>2016-01-22 21:00:00</t>
    <phoneticPr fontId="37"/>
  </si>
  <si>
    <t>2016-01-22 23:59:59</t>
    <phoneticPr fontId="37"/>
  </si>
  <si>
    <t>drop</t>
    <phoneticPr fontId="37"/>
  </si>
  <si>
    <t>2016-01-23 12:00:00</t>
    <phoneticPr fontId="37"/>
  </si>
  <si>
    <t>2016-01-23 14:59:59</t>
    <phoneticPr fontId="37"/>
  </si>
  <si>
    <t>2016-01-28 18:00:00</t>
    <phoneticPr fontId="37"/>
  </si>
  <si>
    <t>2016-01-28 23:59:59</t>
    <phoneticPr fontId="37"/>
  </si>
  <si>
    <t>drop</t>
    <phoneticPr fontId="37"/>
  </si>
  <si>
    <t>2016-02-09 23:59:59</t>
    <phoneticPr fontId="37"/>
  </si>
  <si>
    <t>quest_bonuses</t>
    <phoneticPr fontId="37"/>
  </si>
  <si>
    <t>quest_bonuses</t>
    <phoneticPr fontId="37"/>
  </si>
  <si>
    <t>quest_id</t>
    <phoneticPr fontId="37"/>
  </si>
  <si>
    <t>start_date</t>
    <phoneticPr fontId="37"/>
  </si>
  <si>
    <t>end_date</t>
    <phoneticPr fontId="37"/>
  </si>
  <si>
    <t>2016-02-03 18:00:00</t>
    <phoneticPr fontId="37"/>
  </si>
  <si>
    <t>2016-02-03 23:59:59</t>
    <phoneticPr fontId="37"/>
  </si>
  <si>
    <t>2016-02-04 18:00:00</t>
    <phoneticPr fontId="37"/>
  </si>
  <si>
    <t>2016-02-04 23:59:59</t>
    <phoneticPr fontId="37"/>
  </si>
  <si>
    <t>2016-02-06 18:00:00</t>
    <phoneticPr fontId="37"/>
  </si>
  <si>
    <t>2016-02-06 23:59:59</t>
    <phoneticPr fontId="37"/>
  </si>
  <si>
    <t>2016-02-07 18:00:00</t>
    <phoneticPr fontId="37"/>
  </si>
  <si>
    <t>2016-02-07 23:59:59</t>
    <phoneticPr fontId="37"/>
  </si>
  <si>
    <t>2016-02-09 18:00:00</t>
    <phoneticPr fontId="37"/>
  </si>
  <si>
    <t>2016-02-10 18:00:00</t>
    <phoneticPr fontId="37"/>
  </si>
  <si>
    <t>2016-02-10 23:59:59</t>
    <phoneticPr fontId="37"/>
  </si>
  <si>
    <t>2016-02-12 12:00:00</t>
    <phoneticPr fontId="37"/>
  </si>
  <si>
    <t>2016-02-12 14:59:59</t>
    <phoneticPr fontId="37"/>
  </si>
  <si>
    <t>2016-02-12 21:00:00</t>
    <phoneticPr fontId="37"/>
  </si>
  <si>
    <t>2016-02-12 23:59:59</t>
    <phoneticPr fontId="37"/>
  </si>
  <si>
    <t>2016-02-10 18:00:00</t>
    <phoneticPr fontId="37"/>
  </si>
  <si>
    <t>quest11218</t>
    <phoneticPr fontId="5"/>
  </si>
  <si>
    <t>quest40009</t>
  </si>
  <si>
    <t>2016-02-13 21:00:00</t>
    <phoneticPr fontId="37"/>
  </si>
  <si>
    <t>2016-02-13 23:59:59</t>
    <phoneticPr fontId="37"/>
  </si>
  <si>
    <t>2016-02-14 12:00:00</t>
    <phoneticPr fontId="37"/>
  </si>
  <si>
    <t>2016-02-14 14:59:59</t>
    <phoneticPr fontId="37"/>
  </si>
  <si>
    <t>quest30025</t>
  </si>
  <si>
    <t>2016-02-22 18:00:00</t>
    <phoneticPr fontId="37"/>
  </si>
  <si>
    <t>2016-02-22 23:59:59</t>
    <phoneticPr fontId="37"/>
  </si>
  <si>
    <t>quest30026</t>
  </si>
  <si>
    <t>2016-02-29 18:00:00</t>
    <phoneticPr fontId="37"/>
  </si>
  <si>
    <t>2016-02-29 23:59:59</t>
    <phoneticPr fontId="37"/>
  </si>
  <si>
    <t>gacha207</t>
    <phoneticPr fontId="5"/>
  </si>
  <si>
    <t>quest12004</t>
    <phoneticPr fontId="5"/>
  </si>
  <si>
    <t>quest30027</t>
  </si>
  <si>
    <t>quest40010</t>
    <phoneticPr fontId="5"/>
  </si>
  <si>
    <t>2016-03-04 21:00:00</t>
    <phoneticPr fontId="37"/>
  </si>
  <si>
    <t>2016-03-04 23:59:59</t>
    <phoneticPr fontId="37"/>
  </si>
  <si>
    <t>2016-03-06 12:00:00</t>
    <phoneticPr fontId="37"/>
  </si>
  <si>
    <t>2016-03-06 14:59:59</t>
    <phoneticPr fontId="37"/>
  </si>
  <si>
    <t>2016-03-06 18:00:00</t>
    <phoneticPr fontId="37"/>
  </si>
  <si>
    <t>2016-03-06 23:59:59</t>
    <phoneticPr fontId="37"/>
  </si>
  <si>
    <t>gacha301</t>
    <phoneticPr fontId="5"/>
  </si>
  <si>
    <t>gacha302</t>
    <phoneticPr fontId="5"/>
  </si>
  <si>
    <t>【レアガチャ限定】新ユニット追加！今だけ確定で新ユニット１体が出現！</t>
    <rPh sb="20" eb="23">
      <t>カクテ</t>
    </rPh>
    <rPh sb="29" eb="30">
      <t>タ</t>
    </rPh>
    <phoneticPr fontId="5"/>
  </si>
  <si>
    <t>gacha304</t>
    <phoneticPr fontId="5"/>
  </si>
  <si>
    <t>gacha303</t>
    <phoneticPr fontId="5"/>
  </si>
  <si>
    <t>gacha303.png</t>
    <phoneticPr fontId="5"/>
  </si>
  <si>
    <t>gacha320</t>
  </si>
  <si>
    <t>gacha305</t>
    <phoneticPr fontId="5"/>
  </si>
  <si>
    <t>gacha307</t>
    <phoneticPr fontId="5"/>
  </si>
  <si>
    <t>gacha306</t>
    <phoneticPr fontId="5"/>
  </si>
  <si>
    <t>quest30028</t>
  </si>
  <si>
    <t>quest40011</t>
  </si>
  <si>
    <t>2016-03-11 21:00:00</t>
    <phoneticPr fontId="37"/>
  </si>
  <si>
    <t>2016-03-11 23:59:59</t>
    <phoneticPr fontId="37"/>
  </si>
  <si>
    <t>2016-03-13 12:00:00</t>
    <phoneticPr fontId="37"/>
  </si>
  <si>
    <t>2016-03-13 14:59:59</t>
    <phoneticPr fontId="37"/>
  </si>
  <si>
    <t>2016-03-13 18:00:00</t>
    <phoneticPr fontId="37"/>
  </si>
  <si>
    <t>2016-03-13 23:59:59</t>
    <phoneticPr fontId="37"/>
  </si>
  <si>
    <t>quest11220</t>
    <phoneticPr fontId="5"/>
  </si>
  <si>
    <t>null</t>
    <phoneticPr fontId="5"/>
  </si>
  <si>
    <t>gacha309</t>
    <phoneticPr fontId="5"/>
  </si>
  <si>
    <t>gacha308</t>
    <phoneticPr fontId="5"/>
  </si>
  <si>
    <t>gacha311</t>
    <phoneticPr fontId="5"/>
  </si>
  <si>
    <t>mypage_banners_i18n</t>
    <phoneticPr fontId="5"/>
  </si>
  <si>
    <t>language</t>
    <phoneticPr fontId="5"/>
  </si>
  <si>
    <t>ja</t>
    <phoneticPr fontId="5"/>
  </si>
  <si>
    <t>quest_banners_i18n</t>
    <phoneticPr fontId="5"/>
  </si>
  <si>
    <t>ja</t>
    <phoneticPr fontId="5"/>
  </si>
  <si>
    <t>language</t>
    <phoneticPr fontId="5"/>
  </si>
  <si>
    <t>quest30029</t>
  </si>
  <si>
    <t>quest40012</t>
  </si>
  <si>
    <t>2016-03-18 21:00:00</t>
    <phoneticPr fontId="37"/>
  </si>
  <si>
    <t>2016-03-18 23:59:59</t>
    <phoneticPr fontId="37"/>
  </si>
  <si>
    <t>2016-03-20 12:00:00</t>
    <phoneticPr fontId="37"/>
  </si>
  <si>
    <t>2016-03-20 14:59:59</t>
    <phoneticPr fontId="37"/>
  </si>
  <si>
    <t>2016-03-20 18:00:00</t>
    <phoneticPr fontId="37"/>
  </si>
  <si>
    <t>2016-03-20 23:59:59</t>
    <phoneticPr fontId="37"/>
  </si>
  <si>
    <t>name</t>
    <phoneticPr fontId="37"/>
  </si>
  <si>
    <t>quest11221</t>
    <phoneticPr fontId="5"/>
  </si>
  <si>
    <t>gacha312</t>
    <phoneticPr fontId="5"/>
  </si>
  <si>
    <t>quest30030</t>
  </si>
  <si>
    <t>quest40014</t>
    <phoneticPr fontId="5"/>
  </si>
  <si>
    <t>2016-03-25 21:00:00</t>
    <phoneticPr fontId="37"/>
  </si>
  <si>
    <t>2016-03-25 23:59:59</t>
    <phoneticPr fontId="37"/>
  </si>
  <si>
    <t>2016-03-27 12:00:00</t>
    <phoneticPr fontId="37"/>
  </si>
  <si>
    <t>2016-03-27 14:59:59</t>
    <phoneticPr fontId="37"/>
  </si>
  <si>
    <t>2016-03-27 18:00:00</t>
    <phoneticPr fontId="37"/>
  </si>
  <si>
    <t>2016-03-27 23:59:59</t>
    <phoneticPr fontId="37"/>
  </si>
  <si>
    <t>gacha313</t>
  </si>
  <si>
    <t>gacha314</t>
  </si>
  <si>
    <t>gacha315</t>
  </si>
  <si>
    <t>gacha316</t>
  </si>
  <si>
    <t>gacha317</t>
  </si>
  <si>
    <t>quest30031</t>
    <phoneticPr fontId="5"/>
  </si>
  <si>
    <t>quest40013</t>
    <phoneticPr fontId="5"/>
  </si>
  <si>
    <t>2016-04-01 21:00:00</t>
    <phoneticPr fontId="37"/>
  </si>
  <si>
    <t>2016-04-01 23:59:59</t>
    <phoneticPr fontId="37"/>
  </si>
  <si>
    <t>2016-04-03 12:00:00</t>
    <phoneticPr fontId="37"/>
  </si>
  <si>
    <t>2016-04-03 14:59:59</t>
    <phoneticPr fontId="37"/>
  </si>
  <si>
    <t>2016-04-03 18:00:00</t>
    <phoneticPr fontId="37"/>
  </si>
  <si>
    <t>2016-04-03 23:59:59</t>
    <phoneticPr fontId="37"/>
  </si>
  <si>
    <t>gacha203</t>
    <phoneticPr fontId="5"/>
  </si>
  <si>
    <t>gacha318</t>
  </si>
  <si>
    <t>gacha319</t>
  </si>
  <si>
    <t>skip</t>
    <phoneticPr fontId="37"/>
  </si>
  <si>
    <t>quest30032</t>
    <phoneticPr fontId="5"/>
  </si>
  <si>
    <t>quest40015</t>
    <phoneticPr fontId="5"/>
  </si>
  <si>
    <t>gacha321</t>
    <phoneticPr fontId="5"/>
  </si>
  <si>
    <t>gacha322</t>
    <phoneticPr fontId="5"/>
  </si>
  <si>
    <t>gacha323</t>
    <phoneticPr fontId="5"/>
  </si>
  <si>
    <t>2016-04-11 15:00:00</t>
    <phoneticPr fontId="5"/>
  </si>
  <si>
    <t>2016-04-14 14:59:59</t>
    <phoneticPr fontId="5"/>
  </si>
  <si>
    <t>skip</t>
    <phoneticPr fontId="5"/>
  </si>
  <si>
    <t>skip</t>
    <phoneticPr fontId="5"/>
  </si>
  <si>
    <t>quest20013</t>
    <phoneticPr fontId="5"/>
  </si>
  <si>
    <t>quest30033</t>
    <phoneticPr fontId="5"/>
  </si>
  <si>
    <t>quest40016</t>
    <phoneticPr fontId="5"/>
  </si>
  <si>
    <t>【レアガチャ限定】今だけ！ピックアップユニットの出現率UPキャンペーン開催中！！</t>
    <phoneticPr fontId="5"/>
  </si>
  <si>
    <t>gacha324</t>
  </si>
  <si>
    <t>gacha325</t>
  </si>
  <si>
    <t>gacha326</t>
  </si>
  <si>
    <t>gacha327</t>
  </si>
  <si>
    <t>gacha328</t>
  </si>
  <si>
    <t>quest39002</t>
    <phoneticPr fontId="5"/>
  </si>
  <si>
    <t>quest39003</t>
    <phoneticPr fontId="5"/>
  </si>
  <si>
    <t>quest49002</t>
    <phoneticPr fontId="5"/>
  </si>
  <si>
    <t>quest49003</t>
    <phoneticPr fontId="5"/>
  </si>
  <si>
    <t>quest50003</t>
    <phoneticPr fontId="5"/>
  </si>
  <si>
    <t>quest41001</t>
    <phoneticPr fontId="5"/>
  </si>
  <si>
    <t>quest41002</t>
    <phoneticPr fontId="5"/>
  </si>
  <si>
    <t>gacha329</t>
    <phoneticPr fontId="5"/>
  </si>
  <si>
    <t>gacha330</t>
    <phoneticPr fontId="5"/>
  </si>
  <si>
    <t>gacha331</t>
    <phoneticPr fontId="5"/>
  </si>
  <si>
    <t>quest39002_2.png</t>
    <phoneticPr fontId="5"/>
  </si>
  <si>
    <t>gacha332</t>
    <phoneticPr fontId="5"/>
  </si>
  <si>
    <t>gacha333</t>
    <phoneticPr fontId="5"/>
  </si>
  <si>
    <t>gacha334</t>
    <phoneticPr fontId="5"/>
  </si>
  <si>
    <t>gacha335</t>
    <phoneticPr fontId="5"/>
  </si>
  <si>
    <t>gacha336</t>
    <phoneticPr fontId="5"/>
  </si>
  <si>
    <t>gacha337</t>
    <phoneticPr fontId="5"/>
  </si>
  <si>
    <t>gacha335</t>
    <phoneticPr fontId="5"/>
  </si>
  <si>
    <t>quest20014</t>
    <phoneticPr fontId="5"/>
  </si>
  <si>
    <t>ステップアップガチャ開催中！５回目には★6覚醒可能ユニット１体確定出現！</t>
    <rPh sb="21" eb="23">
      <t>カクセイ</t>
    </rPh>
    <rPh sb="23" eb="25">
      <t>カノウ</t>
    </rPh>
    <rPh sb="30" eb="31">
      <t>タイ</t>
    </rPh>
    <phoneticPr fontId="5"/>
  </si>
  <si>
    <t>【レアガチャ限定】初回限定！リトルハンプティ１体プレゼント！</t>
    <rPh sb="9" eb="11">
      <t>ショカイ</t>
    </rPh>
    <rPh sb="11" eb="13">
      <t>ゲンテイ</t>
    </rPh>
    <rPh sb="23" eb="24">
      <t>タイ</t>
    </rPh>
    <phoneticPr fontId="5"/>
  </si>
  <si>
    <t>quest11224</t>
    <phoneticPr fontId="5"/>
  </si>
  <si>
    <t>quest30034</t>
  </si>
  <si>
    <t>gacha338</t>
    <phoneticPr fontId="5"/>
  </si>
  <si>
    <t>gacha339</t>
    <phoneticPr fontId="5"/>
  </si>
  <si>
    <t>gacha338</t>
    <phoneticPr fontId="5"/>
  </si>
  <si>
    <t>gacha339</t>
    <phoneticPr fontId="5"/>
  </si>
  <si>
    <t>TVCM記念！１回限定で★６覚醒済みユニット１体確定！</t>
    <rPh sb="4" eb="6">
      <t>キネン</t>
    </rPh>
    <rPh sb="8" eb="9">
      <t>カイ</t>
    </rPh>
    <rPh sb="9" eb="11">
      <t>ゲンテイ</t>
    </rPh>
    <rPh sb="14" eb="16">
      <t>カクセイ</t>
    </rPh>
    <rPh sb="16" eb="17">
      <t>ズミ</t>
    </rPh>
    <rPh sb="23" eb="24">
      <t>タイ</t>
    </rPh>
    <rPh sb="24" eb="26">
      <t>カクテイ</t>
    </rPh>
    <phoneticPr fontId="5"/>
  </si>
  <si>
    <t>quest41003</t>
    <phoneticPr fontId="5"/>
  </si>
  <si>
    <t>quest41004</t>
    <phoneticPr fontId="5"/>
  </si>
  <si>
    <t>gacha340</t>
    <phoneticPr fontId="5"/>
  </si>
  <si>
    <t>gacha341</t>
    <phoneticPr fontId="5"/>
  </si>
  <si>
    <t>gacha342</t>
    <phoneticPr fontId="5"/>
  </si>
  <si>
    <t>gacha343</t>
    <phoneticPr fontId="5"/>
  </si>
  <si>
    <t>gacha344</t>
    <phoneticPr fontId="5"/>
  </si>
  <si>
    <t>gacha345</t>
    <phoneticPr fontId="5"/>
  </si>
  <si>
    <t>gacha340</t>
    <phoneticPr fontId="5"/>
  </si>
  <si>
    <t>gacha346</t>
    <phoneticPr fontId="5"/>
  </si>
  <si>
    <t>TVCM記念ガチャ！新限定ユニットがWで登場中！</t>
    <rPh sb="4" eb="6">
      <t>キネン</t>
    </rPh>
    <rPh sb="10" eb="11">
      <t>シン</t>
    </rPh>
    <rPh sb="11" eb="13">
      <t>ゲンテイ</t>
    </rPh>
    <rPh sb="20" eb="22">
      <t>トウジョウ</t>
    </rPh>
    <rPh sb="22" eb="23">
      <t>チュウ</t>
    </rPh>
    <phoneticPr fontId="5"/>
  </si>
  <si>
    <t>【レアガチャ限定】超フィーバーフェス開催！今だけフィーバーフェスユニット４体同時出現中！</t>
    <rPh sb="9" eb="10">
      <t>チョウ</t>
    </rPh>
    <rPh sb="18" eb="20">
      <t>カイサイチュウ</t>
    </rPh>
    <rPh sb="20" eb="21">
      <t>シン</t>
    </rPh>
    <rPh sb="32" eb="36">
      <t>ゲン</t>
    </rPh>
    <rPh sb="37" eb="38">
      <t>タイ</t>
    </rPh>
    <rPh sb="38" eb="40">
      <t>ドウジ</t>
    </rPh>
    <rPh sb="42" eb="44">
      <t>チュ</t>
    </rPh>
    <phoneticPr fontId="5"/>
  </si>
  <si>
    <t>quest51001</t>
    <phoneticPr fontId="5"/>
  </si>
  <si>
    <t>quest51002</t>
    <phoneticPr fontId="5"/>
  </si>
  <si>
    <t>gacha346</t>
    <phoneticPr fontId="5"/>
  </si>
  <si>
    <t>gacha348</t>
    <phoneticPr fontId="5"/>
  </si>
  <si>
    <t>gacha349</t>
    <phoneticPr fontId="5"/>
  </si>
  <si>
    <t>gacha348</t>
    <phoneticPr fontId="5"/>
  </si>
  <si>
    <t>.tmp</t>
    <phoneticPr fontId="5"/>
  </si>
  <si>
    <t>.tmp</t>
    <phoneticPr fontId="5"/>
  </si>
  <si>
    <t>_base</t>
    <phoneticPr fontId="5"/>
  </si>
  <si>
    <t>_base</t>
    <phoneticPr fontId="5"/>
  </si>
  <si>
    <t>_base</t>
    <phoneticPr fontId="5"/>
  </si>
  <si>
    <t>備考</t>
    <phoneticPr fontId="5"/>
  </si>
  <si>
    <t>ノーマルガチャシリーズ</t>
    <phoneticPr fontId="5"/>
  </si>
  <si>
    <t>リンクガチャシリーズ</t>
    <phoneticPr fontId="5"/>
  </si>
  <si>
    <t>5003</t>
  </si>
  <si>
    <t>5002</t>
  </si>
  <si>
    <t>5001</t>
  </si>
  <si>
    <t>4921</t>
  </si>
  <si>
    <t>4920</t>
  </si>
  <si>
    <t>4919</t>
  </si>
  <si>
    <t>4918</t>
  </si>
  <si>
    <t>4917</t>
  </si>
  <si>
    <t>4916</t>
  </si>
  <si>
    <t>4915</t>
  </si>
  <si>
    <t>4914</t>
  </si>
  <si>
    <t>4913</t>
  </si>
  <si>
    <t>4912</t>
  </si>
  <si>
    <t>4911</t>
  </si>
  <si>
    <t>4910</t>
  </si>
  <si>
    <t>4909</t>
  </si>
  <si>
    <t>4908</t>
  </si>
  <si>
    <t>4907</t>
  </si>
  <si>
    <t>4906</t>
  </si>
  <si>
    <t>4905</t>
  </si>
  <si>
    <t>4904</t>
  </si>
  <si>
    <t>4903</t>
  </si>
  <si>
    <t>4902</t>
  </si>
  <si>
    <t>4901</t>
  </si>
  <si>
    <t>4004</t>
  </si>
  <si>
    <t>4003</t>
  </si>
  <si>
    <t>4002</t>
  </si>
  <si>
    <t>4001</t>
  </si>
  <si>
    <t>4016</t>
  </si>
  <si>
    <t>4015</t>
  </si>
  <si>
    <t>4014</t>
  </si>
  <si>
    <t>4013</t>
  </si>
  <si>
    <t>4012</t>
  </si>
  <si>
    <t>4011</t>
  </si>
  <si>
    <t>4010</t>
  </si>
  <si>
    <t>4009</t>
  </si>
  <si>
    <t>4008</t>
  </si>
  <si>
    <t>4007</t>
  </si>
  <si>
    <t>4006</t>
  </si>
  <si>
    <t>4005</t>
  </si>
  <si>
    <t>3034</t>
  </si>
  <si>
    <t>3033</t>
  </si>
  <si>
    <t>3032</t>
  </si>
  <si>
    <t>3031</t>
  </si>
  <si>
    <t>3030</t>
  </si>
  <si>
    <t>3029</t>
  </si>
  <si>
    <t>3028</t>
  </si>
  <si>
    <t>3027</t>
  </si>
  <si>
    <t>3026</t>
  </si>
  <si>
    <t>3025</t>
  </si>
  <si>
    <t>3024</t>
  </si>
  <si>
    <t>3023</t>
  </si>
  <si>
    <t>3022</t>
  </si>
  <si>
    <t>3021</t>
  </si>
  <si>
    <t>3020</t>
  </si>
  <si>
    <t>3019</t>
  </si>
  <si>
    <t>3018</t>
  </si>
  <si>
    <t>3017</t>
  </si>
  <si>
    <t>3016</t>
  </si>
  <si>
    <t>3015</t>
  </si>
  <si>
    <t>3014</t>
  </si>
  <si>
    <t>3013</t>
  </si>
  <si>
    <t>3012</t>
  </si>
  <si>
    <t>3011</t>
  </si>
  <si>
    <t>3010</t>
  </si>
  <si>
    <t>3009</t>
  </si>
  <si>
    <t>3008</t>
  </si>
  <si>
    <t>3007</t>
  </si>
  <si>
    <t>3006</t>
  </si>
  <si>
    <t>3005</t>
  </si>
  <si>
    <t>3004</t>
  </si>
  <si>
    <t>3003</t>
  </si>
  <si>
    <t>3002</t>
  </si>
  <si>
    <t>3001</t>
  </si>
  <si>
    <t>2014</t>
  </si>
  <si>
    <t>2013</t>
  </si>
  <si>
    <t>2012</t>
  </si>
  <si>
    <t>2011</t>
  </si>
  <si>
    <t>2010</t>
  </si>
  <si>
    <t>2009</t>
  </si>
  <si>
    <t>2008</t>
  </si>
  <si>
    <t>2007</t>
  </si>
  <si>
    <t>2006</t>
  </si>
  <si>
    <t>2005</t>
  </si>
  <si>
    <t>2004</t>
  </si>
  <si>
    <t>2003</t>
  </si>
  <si>
    <t>2002</t>
  </si>
  <si>
    <t>2001</t>
  </si>
  <si>
    <t>1014</t>
  </si>
  <si>
    <t>1013</t>
  </si>
  <si>
    <t>1012</t>
  </si>
  <si>
    <t>1011</t>
  </si>
  <si>
    <t>1010</t>
  </si>
  <si>
    <t>1009</t>
  </si>
  <si>
    <t>1008</t>
  </si>
  <si>
    <t>1007</t>
  </si>
  <si>
    <t>1006</t>
  </si>
  <si>
    <t>1005</t>
  </si>
  <si>
    <t>1004</t>
  </si>
  <si>
    <t>1003</t>
  </si>
  <si>
    <t>1002</t>
  </si>
  <si>
    <t>1001</t>
  </si>
  <si>
    <t>超級</t>
    <phoneticPr fontId="5"/>
  </si>
  <si>
    <t>超絶</t>
    <phoneticPr fontId="5"/>
  </si>
  <si>
    <t>ウィザード</t>
    <phoneticPr fontId="5"/>
  </si>
  <si>
    <t>超ウィザード</t>
    <phoneticPr fontId="5"/>
  </si>
  <si>
    <t>ランキング</t>
    <phoneticPr fontId="5"/>
  </si>
  <si>
    <t xml:space="preserve"> </t>
    <phoneticPr fontId="5"/>
  </si>
  <si>
    <t>quest_schedule_id</t>
    <phoneticPr fontId="5"/>
  </si>
  <si>
    <t>ステップアップガチャ開催中！STEP6以降は新限定ユニットの出現率10倍！</t>
    <phoneticPr fontId="5"/>
  </si>
  <si>
    <t>mypage_banners_data</t>
    <phoneticPr fontId="5"/>
  </si>
  <si>
    <t>mypage_tips_data</t>
    <phoneticPr fontId="5"/>
  </si>
  <si>
    <t>quest_banners_data</t>
    <phoneticPr fontId="5"/>
  </si>
  <si>
    <t>quest41005</t>
    <phoneticPr fontId="5"/>
  </si>
  <si>
    <t>quest41006</t>
    <phoneticPr fontId="5"/>
  </si>
  <si>
    <t>quest49004</t>
    <phoneticPr fontId="5"/>
  </si>
  <si>
    <t>quest39004</t>
    <phoneticPr fontId="5"/>
  </si>
  <si>
    <t>quest41007</t>
    <phoneticPr fontId="5"/>
  </si>
  <si>
    <t>quest41008</t>
    <phoneticPr fontId="5"/>
  </si>
  <si>
    <t>quest11007</t>
    <phoneticPr fontId="5"/>
  </si>
  <si>
    <t>quest11008</t>
    <phoneticPr fontId="5"/>
  </si>
  <si>
    <t>1015</t>
    <phoneticPr fontId="5"/>
  </si>
  <si>
    <t>1016</t>
    <phoneticPr fontId="5"/>
  </si>
  <si>
    <t>beginner1_9.png</t>
  </si>
  <si>
    <t>beginner1_9.png</t>
    <phoneticPr fontId="5"/>
  </si>
  <si>
    <t>ghost_store</t>
    <phoneticPr fontId="5"/>
  </si>
  <si>
    <t>ゴーストストア_マジシャン</t>
    <phoneticPr fontId="5"/>
  </si>
  <si>
    <t>ja</t>
    <phoneticPr fontId="5"/>
  </si>
  <si>
    <t>ghost_magician.png</t>
    <phoneticPr fontId="5"/>
  </si>
  <si>
    <t>null</t>
    <phoneticPr fontId="5"/>
  </si>
  <si>
    <t>quest30008_2.png</t>
    <phoneticPr fontId="5"/>
  </si>
  <si>
    <t>gold_casino_new.png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</si>
</sst>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  <font>
      <sz val="12"/>
      <color theme="0"/>
      <name val="ＭＳ Ｐゴシック"/>
      <family val="2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39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1" fillId="5" borderId="2" applyNumberFormat="0" applyAlignment="0" applyProtection="0"/>
    <xf numFmtId="0" fontId="12" fillId="6" borderId="0" applyNumberFormat="0" applyBorder="0" applyAlignment="0" applyProtection="0"/>
    <xf numFmtId="0" fontId="13" fillId="7" borderId="3" applyNumberFormat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1" fillId="7" borderId="0" applyNumberFormat="0" applyBorder="0" applyAlignment="0" applyProtection="0"/>
    <xf numFmtId="0" fontId="21" fillId="6" borderId="0" applyNumberFormat="0" applyBorder="0" applyAlignment="0" applyProtection="0"/>
    <xf numFmtId="0" fontId="21" fillId="10" borderId="0" applyNumberFormat="0" applyBorder="0" applyAlignment="0" applyProtection="0"/>
    <xf numFmtId="0" fontId="21" fillId="7" borderId="0" applyNumberFormat="0" applyBorder="0" applyAlignment="0" applyProtection="0"/>
    <xf numFmtId="0" fontId="21" fillId="11" borderId="0" applyNumberFormat="0" applyBorder="0" applyAlignment="0" applyProtection="0"/>
    <xf numFmtId="0" fontId="21" fillId="5" borderId="0" applyNumberFormat="0" applyBorder="0" applyAlignment="0" applyProtection="0"/>
    <xf numFmtId="0" fontId="21" fillId="7" borderId="0" applyNumberFormat="0" applyBorder="0" applyAlignment="0" applyProtection="0"/>
    <xf numFmtId="0" fontId="21" fillId="12" borderId="0" applyNumberFormat="0" applyBorder="0" applyAlignment="0" applyProtection="0"/>
    <xf numFmtId="0" fontId="21" fillId="10" borderId="0" applyNumberFormat="0" applyBorder="0" applyAlignment="0" applyProtection="0"/>
    <xf numFmtId="0" fontId="21" fillId="7" borderId="0" applyNumberFormat="0" applyBorder="0" applyAlignment="0" applyProtection="0"/>
    <xf numFmtId="0" fontId="21" fillId="13" borderId="0" applyNumberFormat="0" applyBorder="0" applyAlignment="0" applyProtection="0"/>
    <xf numFmtId="0" fontId="21" fillId="6" borderId="0" applyNumberFormat="0" applyBorder="0" applyAlignment="0" applyProtection="0"/>
    <xf numFmtId="0" fontId="22" fillId="14" borderId="0" applyNumberFormat="0" applyBorder="0" applyAlignment="0" applyProtection="0"/>
    <xf numFmtId="0" fontId="22" fillId="12" borderId="0" applyNumberFormat="0" applyBorder="0" applyAlignment="0" applyProtection="0"/>
    <xf numFmtId="0" fontId="22" fillId="10" borderId="0" applyNumberFormat="0" applyBorder="0" applyAlignment="0" applyProtection="0"/>
    <xf numFmtId="0" fontId="22" fillId="7" borderId="0" applyNumberFormat="0" applyBorder="0" applyAlignment="0" applyProtection="0"/>
    <xf numFmtId="0" fontId="22" fillId="14" borderId="0" applyNumberFormat="0" applyBorder="0" applyAlignment="0" applyProtection="0"/>
    <xf numFmtId="0" fontId="22" fillId="6" borderId="0" applyNumberFormat="0" applyBorder="0" applyAlignment="0" applyProtection="0"/>
    <xf numFmtId="0" fontId="14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0" borderId="0" applyNumberFormat="0" applyBorder="0" applyAlignment="0" applyProtection="0"/>
    <xf numFmtId="0" fontId="22" fillId="16" borderId="0" applyNumberFormat="0" applyBorder="0" applyAlignment="0" applyProtection="0"/>
    <xf numFmtId="0" fontId="22" fillId="14" borderId="0" applyNumberFormat="0" applyBorder="0" applyAlignment="0" applyProtection="0"/>
    <xf numFmtId="0" fontId="22" fillId="12" borderId="0" applyNumberFormat="0" applyBorder="0" applyAlignment="0" applyProtection="0"/>
    <xf numFmtId="0" fontId="23" fillId="17" borderId="0" applyNumberFormat="0" applyBorder="0" applyAlignment="0" applyProtection="0"/>
    <xf numFmtId="0" fontId="12" fillId="6" borderId="0" applyNumberFormat="0" applyBorder="0" applyAlignment="0" applyProtection="0"/>
    <xf numFmtId="0" fontId="24" fillId="0" borderId="0"/>
    <xf numFmtId="0" fontId="25" fillId="0" borderId="8" applyNumberFormat="0" applyFill="0" applyAlignment="0" applyProtection="0"/>
    <xf numFmtId="0" fontId="26" fillId="7" borderId="9" applyNumberFormat="0" applyAlignment="0" applyProtection="0"/>
    <xf numFmtId="0" fontId="26" fillId="18" borderId="9" applyNumberFormat="0" applyAlignment="0" applyProtection="0"/>
    <xf numFmtId="0" fontId="13" fillId="6" borderId="3" applyNumberFormat="0" applyAlignment="0" applyProtection="0"/>
    <xf numFmtId="0" fontId="27" fillId="0" borderId="10" applyNumberFormat="0" applyFill="0" applyAlignment="0" applyProtection="0"/>
    <xf numFmtId="0" fontId="28" fillId="18" borderId="3" applyNumberFormat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1" applyNumberFormat="0" applyFill="0" applyAlignment="0" applyProtection="0"/>
    <xf numFmtId="0" fontId="31" fillId="19" borderId="0" applyNumberFormat="0" applyBorder="0" applyAlignment="0" applyProtection="0"/>
    <xf numFmtId="0" fontId="32" fillId="20" borderId="0" applyNumberFormat="0" applyBorder="0" applyAlignment="0" applyProtection="0"/>
    <xf numFmtId="0" fontId="11" fillId="0" borderId="0"/>
    <xf numFmtId="0" fontId="3" fillId="0" borderId="0"/>
    <xf numFmtId="0" fontId="33" fillId="20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vertical="center"/>
    </xf>
    <xf numFmtId="0" fontId="0" fillId="0" borderId="1" xfId="0" quotePrefix="1" applyBorder="1" applyAlignment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quotePrefix="1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34" fillId="0" borderId="0" xfId="388" applyFont="1"/>
    <xf numFmtId="0" fontId="35" fillId="3" borderId="12" xfId="329" applyFont="1" applyFill="1" applyBorder="1" applyAlignment="1">
      <alignment vertical="center" wrapText="1"/>
    </xf>
    <xf numFmtId="0" fontId="34" fillId="0" borderId="0" xfId="388" applyFont="1" applyAlignment="1">
      <alignment horizontal="center"/>
    </xf>
    <xf numFmtId="0" fontId="36" fillId="3" borderId="12" xfId="329" applyFont="1" applyFill="1" applyBorder="1" applyAlignment="1">
      <alignment horizontal="center" vertical="center"/>
    </xf>
    <xf numFmtId="0" fontId="34" fillId="2" borderId="12" xfId="388" applyFont="1" applyFill="1" applyBorder="1" applyAlignment="1">
      <alignment horizontal="center"/>
    </xf>
    <xf numFmtId="0" fontId="36" fillId="3" borderId="1" xfId="329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/>
    <xf numFmtId="0" fontId="34" fillId="3" borderId="12" xfId="388" applyFont="1" applyFill="1" applyBorder="1"/>
    <xf numFmtId="0" fontId="0" fillId="21" borderId="12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4" fillId="0" borderId="12" xfId="388" applyFont="1" applyFill="1" applyBorder="1"/>
    <xf numFmtId="0" fontId="0" fillId="3" borderId="12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36" fillId="4" borderId="1" xfId="329" applyFont="1" applyFill="1" applyBorder="1" applyAlignment="1">
      <alignment horizontal="center" vertical="center"/>
    </xf>
    <xf numFmtId="0" fontId="40" fillId="24" borderId="1" xfId="0" applyFont="1" applyFill="1" applyBorder="1"/>
    <xf numFmtId="0" fontId="0" fillId="24" borderId="1" xfId="0" applyFill="1" applyBorder="1"/>
    <xf numFmtId="0" fontId="10" fillId="0" borderId="1" xfId="0" applyFont="1" applyFill="1" applyBorder="1"/>
    <xf numFmtId="0" fontId="36" fillId="2" borderId="12" xfId="329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0" fillId="4" borderId="1" xfId="0" applyFont="1" applyFill="1" applyBorder="1"/>
    <xf numFmtId="0" fontId="2" fillId="2" borderId="1" xfId="389" applyNumberFormat="1" applyFont="1" applyFill="1" applyBorder="1" applyAlignment="1">
      <alignment horizontal="left"/>
    </xf>
    <xf numFmtId="0" fontId="34" fillId="2" borderId="1" xfId="388" applyFont="1" applyFill="1" applyBorder="1" applyAlignment="1">
      <alignment horizontal="center"/>
    </xf>
    <xf numFmtId="0" fontId="0" fillId="2" borderId="1" xfId="389" applyNumberFormat="1" applyFont="1" applyFill="1" applyBorder="1" applyAlignment="1">
      <alignment horizontal="left"/>
    </xf>
    <xf numFmtId="0" fontId="34" fillId="0" borderId="12" xfId="388" applyFont="1" applyFill="1" applyBorder="1" applyAlignment="1">
      <alignment horizontal="right"/>
    </xf>
    <xf numFmtId="0" fontId="34" fillId="25" borderId="12" xfId="388" applyFont="1" applyFill="1" applyBorder="1"/>
    <xf numFmtId="0" fontId="34" fillId="0" borderId="0" xfId="388" applyFont="1" applyFill="1" applyAlignment="1">
      <alignment horizontal="center"/>
    </xf>
    <xf numFmtId="0" fontId="0" fillId="0" borderId="12" xfId="0" applyFill="1" applyBorder="1" applyAlignment="1">
      <alignment horizontal="right" vertical="center"/>
    </xf>
    <xf numFmtId="0" fontId="0" fillId="25" borderId="1" xfId="0" applyFill="1" applyBorder="1" applyAlignment="1">
      <alignment vertical="center"/>
    </xf>
    <xf numFmtId="0" fontId="9" fillId="0" borderId="1" xfId="238" applyFont="1" applyFill="1" applyBorder="1" applyAlignment="1">
      <alignment horizontal="center" vertical="center"/>
    </xf>
    <xf numFmtId="0" fontId="34" fillId="0" borderId="12" xfId="388" applyFont="1" applyFill="1" applyBorder="1" applyAlignment="1">
      <alignment horizontal="left"/>
    </xf>
    <xf numFmtId="0" fontId="34" fillId="0" borderId="12" xfId="388" applyFont="1" applyFill="1" applyBorder="1" applyAlignment="1"/>
    <xf numFmtId="0" fontId="0" fillId="22" borderId="1" xfId="0" applyFill="1" applyBorder="1"/>
    <xf numFmtId="0" fontId="0" fillId="0" borderId="12" xfId="0" applyBorder="1" applyAlignment="1">
      <alignment vertical="center"/>
    </xf>
    <xf numFmtId="0" fontId="0" fillId="0" borderId="1" xfId="0" applyFill="1" applyBorder="1" applyAlignment="1">
      <alignment horizontal="right" vertical="center"/>
    </xf>
    <xf numFmtId="0" fontId="34" fillId="0" borderId="1" xfId="388" applyFont="1" applyFill="1" applyBorder="1"/>
    <xf numFmtId="0" fontId="0" fillId="0" borderId="1" xfId="0" applyFill="1" applyBorder="1"/>
    <xf numFmtId="0" fontId="41" fillId="25" borderId="1" xfId="0" applyFont="1" applyFill="1" applyBorder="1" applyAlignment="1">
      <alignment vertical="center"/>
    </xf>
    <xf numFmtId="0" fontId="42" fillId="26" borderId="0" xfId="2082" applyFont="1" applyFill="1" applyAlignment="1">
      <alignment horizontal="center" vertical="center"/>
    </xf>
    <xf numFmtId="0" fontId="10" fillId="2" borderId="0" xfId="329" applyFont="1" applyFill="1" applyAlignment="1">
      <alignment vertical="center"/>
    </xf>
    <xf numFmtId="0" fontId="43" fillId="3" borderId="1" xfId="329" applyFont="1" applyFill="1" applyBorder="1" applyAlignment="1">
      <alignment horizontal="center" vertical="center"/>
    </xf>
    <xf numFmtId="0" fontId="10" fillId="2" borderId="1" xfId="329" applyFont="1" applyFill="1" applyBorder="1" applyAlignment="1">
      <alignment horizontal="center" vertical="center"/>
    </xf>
    <xf numFmtId="0" fontId="10" fillId="3" borderId="1" xfId="329" applyFont="1" applyFill="1" applyBorder="1" applyAlignment="1">
      <alignment horizontal="center" vertical="center"/>
    </xf>
    <xf numFmtId="0" fontId="9" fillId="0" borderId="0" xfId="2082" applyFont="1" applyAlignment="1">
      <alignment horizontal="center" vertical="center"/>
    </xf>
    <xf numFmtId="0" fontId="42" fillId="26" borderId="0" xfId="2082" applyFont="1" applyFill="1" applyAlignment="1">
      <alignment vertical="center"/>
    </xf>
    <xf numFmtId="0" fontId="43" fillId="0" borderId="13" xfId="329" applyFont="1" applyBorder="1" applyAlignment="1">
      <alignment vertical="center"/>
    </xf>
    <xf numFmtId="0" fontId="43" fillId="3" borderId="12" xfId="329" applyFont="1" applyFill="1" applyBorder="1" applyAlignment="1">
      <alignment vertical="center"/>
    </xf>
    <xf numFmtId="0" fontId="43" fillId="0" borderId="12" xfId="329" applyFont="1" applyFill="1" applyBorder="1" applyAlignment="1">
      <alignment vertical="center"/>
    </xf>
    <xf numFmtId="0" fontId="11" fillId="3" borderId="12" xfId="329" applyFill="1" applyBorder="1" applyAlignment="1">
      <alignment vertical="center"/>
    </xf>
    <xf numFmtId="0" fontId="9" fillId="0" borderId="12" xfId="2082" applyFont="1" applyFill="1" applyBorder="1" applyAlignment="1">
      <alignment vertical="center"/>
    </xf>
    <xf numFmtId="0" fontId="11" fillId="0" borderId="12" xfId="329" applyFill="1" applyBorder="1" applyAlignment="1">
      <alignment vertical="center"/>
    </xf>
    <xf numFmtId="0" fontId="9" fillId="0" borderId="0" xfId="2082" applyFont="1" applyAlignment="1">
      <alignment vertical="center"/>
    </xf>
    <xf numFmtId="0" fontId="11" fillId="25" borderId="12" xfId="329" quotePrefix="1" applyFill="1" applyBorder="1" applyAlignment="1">
      <alignment vertical="center"/>
    </xf>
    <xf numFmtId="0" fontId="1" fillId="0" borderId="1" xfId="2084" applyBorder="1"/>
    <xf numFmtId="0" fontId="1" fillId="24" borderId="1" xfId="2084" applyFill="1" applyBorder="1"/>
    <xf numFmtId="0" fontId="1" fillId="2" borderId="1" xfId="2082" applyNumberFormat="1" applyFont="1" applyFill="1" applyBorder="1" applyAlignment="1">
      <alignment horizontal="left"/>
    </xf>
    <xf numFmtId="0" fontId="1" fillId="0" borderId="0" xfId="2084"/>
    <xf numFmtId="0" fontId="35" fillId="0" borderId="12" xfId="329" applyFont="1" applyFill="1" applyBorder="1" applyAlignment="1">
      <alignment vertical="center" wrapText="1"/>
    </xf>
    <xf numFmtId="0" fontId="36" fillId="27" borderId="12" xfId="329" applyFont="1" applyFill="1" applyBorder="1" applyAlignment="1">
      <alignment horizontal="center" vertical="center"/>
    </xf>
    <xf numFmtId="0" fontId="0" fillId="0" borderId="1" xfId="2084" applyFont="1" applyBorder="1"/>
    <xf numFmtId="0" fontId="34" fillId="25" borderId="1" xfId="388" applyFont="1" applyFill="1" applyBorder="1"/>
    <xf numFmtId="0" fontId="0" fillId="3" borderId="12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34" fillId="0" borderId="1" xfId="388" applyFont="1" applyFill="1" applyBorder="1" applyAlignment="1">
      <alignment horizontal="left"/>
    </xf>
    <xf numFmtId="0" fontId="0" fillId="4" borderId="1" xfId="0" quotePrefix="1" applyFill="1" applyBorder="1" applyAlignment="1">
      <alignment vertical="center"/>
    </xf>
    <xf numFmtId="0" fontId="35" fillId="25" borderId="12" xfId="329" applyFont="1" applyFill="1" applyBorder="1" applyAlignment="1">
      <alignment vertical="center" wrapText="1"/>
    </xf>
  </cellXfs>
  <cellStyles count="2391">
    <cellStyle name="20% - ANZg1" xfId="290"/>
    <cellStyle name="20% - ANZg2" xfId="291"/>
    <cellStyle name="20% - ANZg3" xfId="292"/>
    <cellStyle name="20% - ANZg4" xfId="293"/>
    <cellStyle name="20% - ANZg5" xfId="294"/>
    <cellStyle name="20% - ANZg6" xfId="295"/>
    <cellStyle name="40% - ANZg1" xfId="296"/>
    <cellStyle name="40% - ANZg2" xfId="297"/>
    <cellStyle name="40% - ANZg3" xfId="298"/>
    <cellStyle name="40% - ANZg4" xfId="299"/>
    <cellStyle name="40% - ANZg5" xfId="300"/>
    <cellStyle name="40% - ANZg6" xfId="301"/>
    <cellStyle name="60% - ANZg1" xfId="302"/>
    <cellStyle name="60% - ANZg2" xfId="303"/>
    <cellStyle name="60% - ANZg3" xfId="304"/>
    <cellStyle name="60% - ANZg4" xfId="305"/>
    <cellStyle name="60% - ANZg5" xfId="306"/>
    <cellStyle name="60% - ANZg6" xfId="307"/>
    <cellStyle name="Excel Built-in Normal" xfId="317"/>
    <cellStyle name="^Cg" xfId="285"/>
    <cellStyle name="`FbN Z" xfId="284"/>
    <cellStyle name="ANZg 1" xfId="309"/>
    <cellStyle name="ANZg 2" xfId="310"/>
    <cellStyle name="ANZg 3" xfId="311"/>
    <cellStyle name="ANZg 4" xfId="312"/>
    <cellStyle name="ANZg 5" xfId="313"/>
    <cellStyle name="ANZg 6" xfId="314"/>
    <cellStyle name="" xfId="279"/>
    <cellStyle name="N Z" xfId="318"/>
    <cellStyle name="_" xfId="280"/>
    <cellStyle name="«¢" xfId="283"/>
    <cellStyle name="vZ" xfId="323"/>
    <cellStyle name="x÷" xfId="325"/>
    <cellStyle name="x¶" xfId="324"/>
    <cellStyle name="ýo_ 1" xfId="326"/>
    <cellStyle name="©oµ 1" xfId="286"/>
    <cellStyle name="©oµ 2" xfId="287"/>
    <cellStyle name="©oµ 3" xfId="288"/>
    <cellStyle name="©oµ 4" xfId="289"/>
    <cellStyle name="v" xfId="322"/>
    <cellStyle name="o_" xfId="319"/>
    <cellStyle name="oÍ" xfId="320"/>
    <cellStyle name="__÷" xfId="282"/>
    <cellStyle name="à¾¶" xfId="308"/>
    <cellStyle name="__" xfId="281"/>
    <cellStyle name="üÍ" xfId="321"/>
    <cellStyle name="Ê" xfId="316"/>
    <cellStyle name="Ç¢" xfId="31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桁区切り 2" xfId="139"/>
    <cellStyle name="標準" xfId="0" builtinId="0"/>
    <cellStyle name="標準 2" xfId="238"/>
    <cellStyle name="標準 3" xfId="329"/>
    <cellStyle name="標準 4" xfId="330"/>
    <cellStyle name="標準 4 2" xfId="389"/>
    <cellStyle name="標準 4 3" xfId="2082"/>
    <cellStyle name="標準 5" xfId="388"/>
    <cellStyle name="標準 5 2" xfId="2083"/>
    <cellStyle name="標準 6" xfId="2084"/>
    <cellStyle name="無題1" xfId="33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赤字強調" xfId="328"/>
    <cellStyle name="青字強調" xfId="32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1</xdr:row>
      <xdr:rowOff>190500</xdr:rowOff>
    </xdr:from>
    <xdr:to>
      <xdr:col>6</xdr:col>
      <xdr:colOff>38100</xdr:colOff>
      <xdr:row>8</xdr:row>
      <xdr:rowOff>101600</xdr:rowOff>
    </xdr:to>
    <xdr:sp macro="" textlink="">
      <xdr:nvSpPr>
        <xdr:cNvPr id="2" name="テキスト ボックス 1"/>
        <xdr:cNvSpPr txBox="1"/>
      </xdr:nvSpPr>
      <xdr:spPr>
        <a:xfrm>
          <a:off x="1016000" y="457200"/>
          <a:ext cx="7975600" cy="177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4400">
              <a:solidFill>
                <a:srgbClr val="FF0000"/>
              </a:solidFill>
            </a:rPr>
            <a:t>こちらのシートは廃止されました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0</xdr:row>
      <xdr:rowOff>139700</xdr:rowOff>
    </xdr:from>
    <xdr:to>
      <xdr:col>8</xdr:col>
      <xdr:colOff>88900</xdr:colOff>
      <xdr:row>10</xdr:row>
      <xdr:rowOff>12700</xdr:rowOff>
    </xdr:to>
    <xdr:sp macro="" textlink="">
      <xdr:nvSpPr>
        <xdr:cNvPr id="2" name="テキスト ボックス 1"/>
        <xdr:cNvSpPr txBox="1"/>
      </xdr:nvSpPr>
      <xdr:spPr>
        <a:xfrm>
          <a:off x="1574800" y="139700"/>
          <a:ext cx="7975600" cy="177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4400">
              <a:solidFill>
                <a:srgbClr val="FF0000"/>
              </a:solidFill>
            </a:rPr>
            <a:t>こちらのシートは廃止されました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2</xdr:row>
      <xdr:rowOff>228600</xdr:rowOff>
    </xdr:from>
    <xdr:to>
      <xdr:col>7</xdr:col>
      <xdr:colOff>622300</xdr:colOff>
      <xdr:row>9</xdr:row>
      <xdr:rowOff>139700</xdr:rowOff>
    </xdr:to>
    <xdr:sp macro="" textlink="">
      <xdr:nvSpPr>
        <xdr:cNvPr id="2" name="テキスト ボックス 1"/>
        <xdr:cNvSpPr txBox="1"/>
      </xdr:nvSpPr>
      <xdr:spPr>
        <a:xfrm>
          <a:off x="1054100" y="762000"/>
          <a:ext cx="7975600" cy="177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4400">
              <a:solidFill>
                <a:srgbClr val="FF0000"/>
              </a:solidFill>
            </a:rPr>
            <a:t>こちらのシートは廃止されました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MasterData_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eriod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スキル仕様"/>
      <sheetName val="unit_skills"/>
      <sheetName val="unit_skill_up_patterns"/>
      <sheetName val="クラッシュスキル仕様"/>
      <sheetName val="crash_skills"/>
      <sheetName val="スキルラベル"/>
      <sheetName val="unit_skills.csv"/>
      <sheetName val="unit_skills_i18n.csv"/>
      <sheetName val="unit_skill_up_patterns.csv"/>
      <sheetName val="crash_skills.csv"/>
      <sheetName val="crash_skills_i18n.csv"/>
      <sheetName val="localized_texts"/>
      <sheetName val="ユニット"/>
      <sheetName val="unit_levels"/>
      <sheetName val="characters"/>
      <sheetName val="units"/>
      <sheetName val="character_types"/>
      <sheetName val="character_tribes"/>
      <sheetName val="mst_evolution"/>
      <sheetName val="group_skills"/>
      <sheetName val="grimoires(extended)"/>
      <sheetName val="経験値"/>
      <sheetName val="RC6SV"/>
      <sheetName val="レベル"/>
      <sheetName val="コスト"/>
      <sheetName val="属性"/>
      <sheetName val="マナ"/>
      <sheetName val="経験値テーブル"/>
      <sheetName val="素材経験値"/>
      <sheetName val="売却ビット係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gachas"/>
      <sheetName val="gacha_elements"/>
      <sheetName val="gacha_patterns"/>
      <sheetName val="gacha_schedules"/>
      <sheetName val="banners_tips"/>
      <sheetName val="gacha_types"/>
      <sheetName val="gacha_rarity_bump"/>
      <sheetName val="gacha_groups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gacha_schedule_id</v>
          </cell>
          <cell r="C1" t="str">
            <v>gacha_id</v>
          </cell>
          <cell r="D1" t="str">
            <v>内容</v>
          </cell>
          <cell r="E1" t="str">
            <v>start_date</v>
          </cell>
          <cell r="F1" t="str">
            <v>end_date</v>
          </cell>
          <cell r="G1" t="str">
            <v>priority</v>
          </cell>
          <cell r="H1" t="str">
            <v>order</v>
          </cell>
        </row>
        <row r="2">
          <cell r="A2" t="str">
            <v>9999202</v>
          </cell>
          <cell r="B2">
            <v>9999</v>
          </cell>
        </row>
        <row r="3">
          <cell r="A3" t="str">
            <v>10012212</v>
          </cell>
          <cell r="B3">
            <v>10012</v>
          </cell>
        </row>
        <row r="4">
          <cell r="A4" t="str">
            <v>10000203</v>
          </cell>
          <cell r="B4">
            <v>10000</v>
          </cell>
        </row>
        <row r="5">
          <cell r="A5" t="str">
            <v>10001204</v>
          </cell>
          <cell r="B5">
            <v>10001</v>
          </cell>
        </row>
        <row r="6">
          <cell r="A6" t="str">
            <v>10002205</v>
          </cell>
          <cell r="B6">
            <v>10002</v>
          </cell>
        </row>
        <row r="7">
          <cell r="A7" t="str">
            <v>10003206</v>
          </cell>
          <cell r="B7">
            <v>10003</v>
          </cell>
        </row>
        <row r="8">
          <cell r="A8" t="str">
            <v>10004207</v>
          </cell>
          <cell r="B8">
            <v>10004</v>
          </cell>
        </row>
        <row r="9">
          <cell r="A9" t="str">
            <v>10005208</v>
          </cell>
          <cell r="B9">
            <v>10005</v>
          </cell>
        </row>
        <row r="10">
          <cell r="A10" t="str">
            <v>10006209</v>
          </cell>
          <cell r="B10">
            <v>10006</v>
          </cell>
        </row>
        <row r="11">
          <cell r="A11" t="str">
            <v>10007210</v>
          </cell>
          <cell r="B11">
            <v>10007</v>
          </cell>
        </row>
        <row r="12">
          <cell r="A12" t="str">
            <v>10008209</v>
          </cell>
          <cell r="B12">
            <v>10008</v>
          </cell>
        </row>
        <row r="13">
          <cell r="A13" t="str">
            <v>10009203</v>
          </cell>
          <cell r="B13">
            <v>10009</v>
          </cell>
        </row>
        <row r="14">
          <cell r="A14" t="str">
            <v>10010209</v>
          </cell>
          <cell r="B14">
            <v>10010</v>
          </cell>
        </row>
        <row r="15">
          <cell r="A15" t="str">
            <v>10011211</v>
          </cell>
          <cell r="B15">
            <v>10011</v>
          </cell>
        </row>
        <row r="16">
          <cell r="A16" t="str">
            <v>10013209</v>
          </cell>
          <cell r="B16">
            <v>10013</v>
          </cell>
        </row>
        <row r="17">
          <cell r="A17" t="str">
            <v>10014209</v>
          </cell>
          <cell r="B17">
            <v>10014</v>
          </cell>
        </row>
        <row r="18">
          <cell r="A18" t="str">
            <v>10015203</v>
          </cell>
          <cell r="B18">
            <v>10015</v>
          </cell>
        </row>
        <row r="19">
          <cell r="A19" t="str">
            <v>10016211</v>
          </cell>
          <cell r="B19">
            <v>10016</v>
          </cell>
        </row>
        <row r="20">
          <cell r="A20" t="str">
            <v>10017213</v>
          </cell>
          <cell r="B20">
            <v>10017</v>
          </cell>
        </row>
        <row r="21">
          <cell r="A21" t="str">
            <v>10018211</v>
          </cell>
          <cell r="B21">
            <v>10018</v>
          </cell>
        </row>
        <row r="22">
          <cell r="A22" t="str">
            <v>10019213</v>
          </cell>
          <cell r="B22">
            <v>10019</v>
          </cell>
        </row>
        <row r="23">
          <cell r="A23" t="str">
            <v>10020211</v>
          </cell>
          <cell r="B23">
            <v>10020</v>
          </cell>
        </row>
        <row r="24">
          <cell r="A24" t="str">
            <v>10021214</v>
          </cell>
          <cell r="B24">
            <v>10021</v>
          </cell>
        </row>
        <row r="25">
          <cell r="A25" t="str">
            <v>60026002</v>
          </cell>
          <cell r="B25">
            <v>6002</v>
          </cell>
        </row>
        <row r="26">
          <cell r="A26" t="str">
            <v>60036003</v>
          </cell>
          <cell r="B26">
            <v>6003</v>
          </cell>
        </row>
        <row r="27">
          <cell r="A27" t="str">
            <v>60046004</v>
          </cell>
          <cell r="B27">
            <v>6004</v>
          </cell>
        </row>
        <row r="28">
          <cell r="A28" t="str">
            <v>60056005</v>
          </cell>
          <cell r="B28">
            <v>6005</v>
          </cell>
        </row>
        <row r="29">
          <cell r="A29" t="str">
            <v>60066006</v>
          </cell>
          <cell r="B29">
            <v>6006</v>
          </cell>
        </row>
        <row r="30">
          <cell r="A30" t="str">
            <v>60076007</v>
          </cell>
          <cell r="B30">
            <v>6007</v>
          </cell>
        </row>
        <row r="31">
          <cell r="A31" t="str">
            <v>60086008</v>
          </cell>
          <cell r="B31">
            <v>6008</v>
          </cell>
        </row>
        <row r="32">
          <cell r="A32" t="str">
            <v>60096009</v>
          </cell>
          <cell r="B32">
            <v>6009</v>
          </cell>
        </row>
        <row r="33">
          <cell r="A33" t="str">
            <v>60106010</v>
          </cell>
          <cell r="B33">
            <v>6010</v>
          </cell>
        </row>
        <row r="34">
          <cell r="A34" t="str">
            <v>70007000</v>
          </cell>
          <cell r="B34">
            <v>7000</v>
          </cell>
        </row>
        <row r="35">
          <cell r="A35" t="str">
            <v>70017001</v>
          </cell>
          <cell r="B35">
            <v>7001</v>
          </cell>
        </row>
        <row r="36">
          <cell r="A36" t="str">
            <v>70027002</v>
          </cell>
          <cell r="B36">
            <v>7002</v>
          </cell>
        </row>
        <row r="37">
          <cell r="A37" t="str">
            <v>70037003</v>
          </cell>
          <cell r="B37">
            <v>7003</v>
          </cell>
        </row>
        <row r="38">
          <cell r="A38" t="str">
            <v>70047004</v>
          </cell>
          <cell r="B38">
            <v>7004</v>
          </cell>
        </row>
        <row r="39">
          <cell r="A39" t="str">
            <v>70057005</v>
          </cell>
          <cell r="B39">
            <v>7005</v>
          </cell>
        </row>
        <row r="40">
          <cell r="A40" t="str">
            <v>70067006</v>
          </cell>
          <cell r="B40">
            <v>7006</v>
          </cell>
        </row>
        <row r="41">
          <cell r="A41" t="str">
            <v>70077007</v>
          </cell>
          <cell r="B41">
            <v>7007</v>
          </cell>
        </row>
        <row r="42">
          <cell r="A42" t="str">
            <v>70087008</v>
          </cell>
          <cell r="B42">
            <v>7008</v>
          </cell>
        </row>
        <row r="43">
          <cell r="A43" t="str">
            <v>70097009</v>
          </cell>
          <cell r="B43">
            <v>7009</v>
          </cell>
        </row>
        <row r="44">
          <cell r="A44" t="str">
            <v>70107010</v>
          </cell>
          <cell r="B44">
            <v>7010</v>
          </cell>
        </row>
        <row r="45">
          <cell r="A45" t="str">
            <v>70117011</v>
          </cell>
          <cell r="B45">
            <v>7011</v>
          </cell>
        </row>
        <row r="46">
          <cell r="A46" t="str">
            <v>70127012</v>
          </cell>
          <cell r="B46">
            <v>7012</v>
          </cell>
        </row>
        <row r="47">
          <cell r="A47" t="str">
            <v>70137013</v>
          </cell>
          <cell r="B47">
            <v>7013</v>
          </cell>
        </row>
        <row r="48">
          <cell r="A48" t="str">
            <v>70147014</v>
          </cell>
          <cell r="B48">
            <v>7014</v>
          </cell>
        </row>
        <row r="49">
          <cell r="A49" t="str">
            <v>70157015</v>
          </cell>
          <cell r="B49">
            <v>7015</v>
          </cell>
        </row>
        <row r="50">
          <cell r="A50" t="str">
            <v>70167016</v>
          </cell>
          <cell r="B50">
            <v>7016</v>
          </cell>
        </row>
        <row r="51">
          <cell r="A51" t="str">
            <v>70177017</v>
          </cell>
          <cell r="B51">
            <v>7017</v>
          </cell>
        </row>
        <row r="52">
          <cell r="A52" t="str">
            <v>70187018</v>
          </cell>
          <cell r="B52">
            <v>7018</v>
          </cell>
        </row>
        <row r="53">
          <cell r="A53" t="str">
            <v>70197019</v>
          </cell>
          <cell r="B53">
            <v>7019</v>
          </cell>
        </row>
        <row r="54">
          <cell r="A54" t="str">
            <v>70207020</v>
          </cell>
          <cell r="B54">
            <v>7020</v>
          </cell>
        </row>
        <row r="55">
          <cell r="A55" t="str">
            <v>70217021</v>
          </cell>
          <cell r="B55">
            <v>7021</v>
          </cell>
        </row>
        <row r="56">
          <cell r="A56" t="str">
            <v>70227022</v>
          </cell>
          <cell r="B56">
            <v>7022</v>
          </cell>
        </row>
        <row r="57">
          <cell r="A57" t="str">
            <v>70237023</v>
          </cell>
          <cell r="B57">
            <v>7023</v>
          </cell>
        </row>
        <row r="58">
          <cell r="A58" t="str">
            <v>70247024</v>
          </cell>
          <cell r="B58">
            <v>7024</v>
          </cell>
        </row>
        <row r="59">
          <cell r="A59" t="str">
            <v>70257025</v>
          </cell>
          <cell r="B59">
            <v>7025</v>
          </cell>
        </row>
        <row r="60">
          <cell r="A60" t="str">
            <v>70267026</v>
          </cell>
          <cell r="B60">
            <v>7026</v>
          </cell>
        </row>
        <row r="61">
          <cell r="A61" t="str">
            <v>70277027</v>
          </cell>
          <cell r="B61">
            <v>7027</v>
          </cell>
        </row>
        <row r="62">
          <cell r="A62" t="str">
            <v>70287028</v>
          </cell>
          <cell r="B62">
            <v>7028</v>
          </cell>
        </row>
        <row r="63">
          <cell r="A63" t="str">
            <v>70297029</v>
          </cell>
          <cell r="B63">
            <v>7029</v>
          </cell>
        </row>
        <row r="64">
          <cell r="A64" t="str">
            <v>71007100</v>
          </cell>
          <cell r="B64">
            <v>7100</v>
          </cell>
        </row>
        <row r="65">
          <cell r="A65" t="str">
            <v>71017101</v>
          </cell>
          <cell r="B65">
            <v>7101</v>
          </cell>
        </row>
        <row r="66">
          <cell r="A66" t="str">
            <v>71027102</v>
          </cell>
          <cell r="B66">
            <v>7102</v>
          </cell>
        </row>
        <row r="67">
          <cell r="A67" t="str">
            <v>71037103</v>
          </cell>
          <cell r="B67">
            <v>7103</v>
          </cell>
        </row>
        <row r="68">
          <cell r="A68" t="str">
            <v>71047104</v>
          </cell>
          <cell r="B68">
            <v>7104</v>
          </cell>
        </row>
        <row r="69">
          <cell r="A69" t="str">
            <v>71057105</v>
          </cell>
          <cell r="B69">
            <v>7105</v>
          </cell>
        </row>
        <row r="70">
          <cell r="A70" t="str">
            <v>71067106</v>
          </cell>
          <cell r="B70">
            <v>7106</v>
          </cell>
        </row>
        <row r="71">
          <cell r="A71" t="str">
            <v>71077107</v>
          </cell>
          <cell r="B71">
            <v>7107</v>
          </cell>
        </row>
        <row r="72">
          <cell r="A72" t="str">
            <v>71087108</v>
          </cell>
          <cell r="B72">
            <v>7108</v>
          </cell>
        </row>
        <row r="73">
          <cell r="A73" t="str">
            <v>71097109</v>
          </cell>
          <cell r="B73">
            <v>7109</v>
          </cell>
        </row>
        <row r="74">
          <cell r="A74" t="str">
            <v>71107110</v>
          </cell>
          <cell r="B74">
            <v>7110</v>
          </cell>
        </row>
        <row r="75">
          <cell r="A75" t="str">
            <v>71117111</v>
          </cell>
          <cell r="B75">
            <v>7111</v>
          </cell>
        </row>
        <row r="76">
          <cell r="A76" t="str">
            <v>71127112</v>
          </cell>
          <cell r="B76">
            <v>7112</v>
          </cell>
        </row>
        <row r="77">
          <cell r="A77" t="str">
            <v>71137113</v>
          </cell>
          <cell r="B77">
            <v>7113</v>
          </cell>
        </row>
        <row r="78">
          <cell r="A78" t="str">
            <v>71147114</v>
          </cell>
          <cell r="B78">
            <v>7114</v>
          </cell>
        </row>
        <row r="79">
          <cell r="A79" t="str">
            <v>71157115</v>
          </cell>
          <cell r="B79">
            <v>7115</v>
          </cell>
        </row>
        <row r="80">
          <cell r="A80" t="str">
            <v>71167116</v>
          </cell>
          <cell r="B80">
            <v>7116</v>
          </cell>
        </row>
        <row r="81">
          <cell r="A81" t="str">
            <v>71177117</v>
          </cell>
          <cell r="B81">
            <v>7117</v>
          </cell>
        </row>
        <row r="82">
          <cell r="A82" t="str">
            <v>71187118</v>
          </cell>
          <cell r="B82">
            <v>7118</v>
          </cell>
        </row>
        <row r="83">
          <cell r="A83" t="str">
            <v>71197119</v>
          </cell>
          <cell r="B83">
            <v>7119</v>
          </cell>
        </row>
        <row r="84">
          <cell r="A84" t="str">
            <v>71207120</v>
          </cell>
          <cell r="B84">
            <v>7120</v>
          </cell>
        </row>
        <row r="85">
          <cell r="A85" t="str">
            <v>71217121</v>
          </cell>
          <cell r="B85">
            <v>7121</v>
          </cell>
        </row>
        <row r="86">
          <cell r="A86" t="str">
            <v>71227122</v>
          </cell>
          <cell r="B86">
            <v>7122</v>
          </cell>
        </row>
        <row r="87">
          <cell r="A87" t="str">
            <v>71237123</v>
          </cell>
          <cell r="B87">
            <v>7123</v>
          </cell>
        </row>
        <row r="88">
          <cell r="A88" t="str">
            <v>71247124</v>
          </cell>
          <cell r="B88">
            <v>7124</v>
          </cell>
        </row>
        <row r="89">
          <cell r="A89" t="str">
            <v>71257125</v>
          </cell>
          <cell r="B89">
            <v>7125</v>
          </cell>
        </row>
        <row r="90">
          <cell r="A90" t="str">
            <v>72007200</v>
          </cell>
          <cell r="B90">
            <v>7200</v>
          </cell>
        </row>
        <row r="91">
          <cell r="A91" t="str">
            <v>72017201</v>
          </cell>
          <cell r="B91">
            <v>7201</v>
          </cell>
        </row>
        <row r="92">
          <cell r="A92" t="str">
            <v>72027202</v>
          </cell>
          <cell r="B92">
            <v>7202</v>
          </cell>
        </row>
        <row r="93">
          <cell r="A93" t="str">
            <v>72037203</v>
          </cell>
          <cell r="B93">
            <v>7203</v>
          </cell>
        </row>
        <row r="94">
          <cell r="A94" t="str">
            <v>72047204</v>
          </cell>
          <cell r="B94">
            <v>7204</v>
          </cell>
        </row>
        <row r="95">
          <cell r="A95" t="str">
            <v>72057205</v>
          </cell>
          <cell r="B95">
            <v>7205</v>
          </cell>
        </row>
        <row r="96">
          <cell r="A96" t="str">
            <v>72067206</v>
          </cell>
          <cell r="B96">
            <v>7206</v>
          </cell>
        </row>
        <row r="97">
          <cell r="A97" t="str">
            <v>72077207</v>
          </cell>
          <cell r="B97">
            <v>7207</v>
          </cell>
        </row>
        <row r="98">
          <cell r="A98" t="str">
            <v>72087208</v>
          </cell>
          <cell r="B98">
            <v>7208</v>
          </cell>
        </row>
        <row r="99">
          <cell r="A99" t="str">
            <v>72097209</v>
          </cell>
          <cell r="B99">
            <v>7209</v>
          </cell>
        </row>
        <row r="100">
          <cell r="A100" t="str">
            <v>72107210</v>
          </cell>
          <cell r="B100">
            <v>7210</v>
          </cell>
        </row>
        <row r="101">
          <cell r="A101" t="str">
            <v>72117211</v>
          </cell>
          <cell r="B101">
            <v>7211</v>
          </cell>
        </row>
        <row r="102">
          <cell r="A102" t="str">
            <v>72127212</v>
          </cell>
          <cell r="B102">
            <v>7212</v>
          </cell>
        </row>
        <row r="103">
          <cell r="A103" t="str">
            <v>72137213</v>
          </cell>
          <cell r="B103">
            <v>7213</v>
          </cell>
        </row>
        <row r="104">
          <cell r="A104" t="str">
            <v>72147214</v>
          </cell>
          <cell r="B104">
            <v>7214</v>
          </cell>
        </row>
        <row r="105">
          <cell r="A105" t="str">
            <v>72157215</v>
          </cell>
          <cell r="B105">
            <v>7215</v>
          </cell>
        </row>
        <row r="106">
          <cell r="A106" t="str">
            <v>72167216</v>
          </cell>
          <cell r="B106">
            <v>7216</v>
          </cell>
        </row>
        <row r="107">
          <cell r="A107" t="str">
            <v>72177217</v>
          </cell>
          <cell r="B107">
            <v>7217</v>
          </cell>
        </row>
        <row r="108">
          <cell r="A108" t="str">
            <v>72187218</v>
          </cell>
          <cell r="B108">
            <v>7218</v>
          </cell>
        </row>
        <row r="109">
          <cell r="A109" t="str">
            <v>72197219</v>
          </cell>
          <cell r="B109">
            <v>7219</v>
          </cell>
        </row>
        <row r="110">
          <cell r="A110" t="str">
            <v>72207220</v>
          </cell>
          <cell r="B110">
            <v>7220</v>
          </cell>
        </row>
        <row r="111">
          <cell r="A111" t="str">
            <v>72217221</v>
          </cell>
          <cell r="B111">
            <v>7221</v>
          </cell>
        </row>
        <row r="112">
          <cell r="A112" t="str">
            <v>72227222</v>
          </cell>
          <cell r="B112">
            <v>7222</v>
          </cell>
        </row>
        <row r="113">
          <cell r="A113" t="str">
            <v>72237223</v>
          </cell>
          <cell r="B113">
            <v>7223</v>
          </cell>
        </row>
        <row r="114">
          <cell r="A114" t="str">
            <v>72247224</v>
          </cell>
          <cell r="B114">
            <v>7224</v>
          </cell>
        </row>
        <row r="115">
          <cell r="A115" t="str">
            <v>00</v>
          </cell>
          <cell r="B115">
            <v>0</v>
          </cell>
        </row>
        <row r="116">
          <cell r="A116" t="str">
            <v>11</v>
          </cell>
          <cell r="B116">
            <v>1</v>
          </cell>
        </row>
        <row r="117">
          <cell r="A117" t="str">
            <v>22</v>
          </cell>
          <cell r="B117">
            <v>2</v>
          </cell>
        </row>
        <row r="118">
          <cell r="A118" t="str">
            <v>33</v>
          </cell>
          <cell r="B118">
            <v>3</v>
          </cell>
        </row>
        <row r="119">
          <cell r="A119" t="str">
            <v>44</v>
          </cell>
          <cell r="B119">
            <v>4</v>
          </cell>
        </row>
        <row r="120">
          <cell r="A120" t="str">
            <v>55</v>
          </cell>
          <cell r="B120">
            <v>5</v>
          </cell>
        </row>
        <row r="121">
          <cell r="A121" t="str">
            <v>66</v>
          </cell>
          <cell r="B121">
            <v>6</v>
          </cell>
        </row>
        <row r="122">
          <cell r="A122" t="str">
            <v>1010100</v>
          </cell>
          <cell r="B122">
            <v>1010</v>
          </cell>
        </row>
        <row r="123">
          <cell r="A123" t="str">
            <v>1011101</v>
          </cell>
          <cell r="B123">
            <v>1011</v>
          </cell>
        </row>
        <row r="124">
          <cell r="A124" t="str">
            <v>1020102</v>
          </cell>
          <cell r="B124">
            <v>1020</v>
          </cell>
        </row>
        <row r="125">
          <cell r="A125" t="str">
            <v>1021103</v>
          </cell>
          <cell r="B125">
            <v>1021</v>
          </cell>
        </row>
        <row r="126">
          <cell r="A126" t="str">
            <v>1030104</v>
          </cell>
          <cell r="B126">
            <v>1030</v>
          </cell>
        </row>
        <row r="127">
          <cell r="A127" t="str">
            <v>1040105</v>
          </cell>
          <cell r="B127">
            <v>1040</v>
          </cell>
        </row>
        <row r="128">
          <cell r="A128" t="str">
            <v>1050106</v>
          </cell>
          <cell r="B128">
            <v>1050</v>
          </cell>
        </row>
        <row r="129">
          <cell r="A129" t="str">
            <v>1060107</v>
          </cell>
          <cell r="B129">
            <v>1060</v>
          </cell>
        </row>
        <row r="130">
          <cell r="A130" t="str">
            <v>1070108</v>
          </cell>
          <cell r="B130">
            <v>1070</v>
          </cell>
        </row>
        <row r="131">
          <cell r="A131" t="str">
            <v>1080109</v>
          </cell>
          <cell r="B131">
            <v>1080</v>
          </cell>
        </row>
        <row r="132">
          <cell r="A132" t="str">
            <v>1090110</v>
          </cell>
          <cell r="B132">
            <v>1090</v>
          </cell>
        </row>
        <row r="133">
          <cell r="A133" t="str">
            <v>1100111</v>
          </cell>
          <cell r="B133">
            <v>1100</v>
          </cell>
        </row>
        <row r="134">
          <cell r="A134" t="str">
            <v>1110112</v>
          </cell>
          <cell r="B134">
            <v>1110</v>
          </cell>
        </row>
        <row r="135">
          <cell r="A135" t="str">
            <v>1120113</v>
          </cell>
          <cell r="B135">
            <v>1120</v>
          </cell>
        </row>
        <row r="136">
          <cell r="A136" t="str">
            <v>1130114</v>
          </cell>
          <cell r="B136">
            <v>1130</v>
          </cell>
        </row>
        <row r="137">
          <cell r="A137" t="str">
            <v>1131115</v>
          </cell>
          <cell r="B137">
            <v>1131</v>
          </cell>
        </row>
        <row r="138">
          <cell r="A138" t="str">
            <v>1132116</v>
          </cell>
          <cell r="B138">
            <v>1132</v>
          </cell>
        </row>
        <row r="139">
          <cell r="A139" t="str">
            <v>1140117</v>
          </cell>
          <cell r="B139">
            <v>1140</v>
          </cell>
        </row>
        <row r="140">
          <cell r="A140" t="str">
            <v>1141118</v>
          </cell>
          <cell r="B140">
            <v>1141</v>
          </cell>
        </row>
        <row r="141">
          <cell r="A141" t="str">
            <v>1142119</v>
          </cell>
          <cell r="B141">
            <v>1142</v>
          </cell>
        </row>
        <row r="142">
          <cell r="A142" t="str">
            <v>1143120</v>
          </cell>
          <cell r="B142">
            <v>1143</v>
          </cell>
        </row>
        <row r="143">
          <cell r="A143" t="str">
            <v>1144121</v>
          </cell>
          <cell r="B143">
            <v>1144</v>
          </cell>
        </row>
        <row r="144">
          <cell r="A144" t="str">
            <v>114411</v>
          </cell>
          <cell r="B144">
            <v>11441</v>
          </cell>
        </row>
        <row r="145">
          <cell r="A145" t="str">
            <v>1145122</v>
          </cell>
          <cell r="B145">
            <v>1145</v>
          </cell>
        </row>
        <row r="146">
          <cell r="A146" t="str">
            <v>1146123</v>
          </cell>
          <cell r="B146">
            <v>1146</v>
          </cell>
        </row>
        <row r="147">
          <cell r="A147" t="str">
            <v>1150124</v>
          </cell>
          <cell r="B147">
            <v>1150</v>
          </cell>
        </row>
        <row r="148">
          <cell r="A148" t="str">
            <v>1160125</v>
          </cell>
          <cell r="B148">
            <v>1160</v>
          </cell>
        </row>
        <row r="149">
          <cell r="A149" t="str">
            <v>1170126</v>
          </cell>
          <cell r="B149">
            <v>1170</v>
          </cell>
        </row>
        <row r="150">
          <cell r="A150" t="str">
            <v>1171127</v>
          </cell>
          <cell r="B150">
            <v>1171</v>
          </cell>
        </row>
        <row r="151">
          <cell r="A151" t="str">
            <v>1172128</v>
          </cell>
          <cell r="B151">
            <v>1172</v>
          </cell>
        </row>
        <row r="152">
          <cell r="A152" t="str">
            <v>1173129</v>
          </cell>
          <cell r="B152">
            <v>1173</v>
          </cell>
        </row>
        <row r="153">
          <cell r="A153" t="str">
            <v>1180130</v>
          </cell>
          <cell r="B153">
            <v>1180</v>
          </cell>
        </row>
        <row r="154">
          <cell r="A154" t="str">
            <v>1181131</v>
          </cell>
          <cell r="B154">
            <v>1181</v>
          </cell>
        </row>
        <row r="155">
          <cell r="A155" t="str">
            <v>1182132</v>
          </cell>
          <cell r="B155">
            <v>1182</v>
          </cell>
        </row>
        <row r="156">
          <cell r="A156" t="str">
            <v>1190133</v>
          </cell>
          <cell r="B156">
            <v>1190</v>
          </cell>
        </row>
        <row r="157">
          <cell r="A157" t="str">
            <v>1191134</v>
          </cell>
          <cell r="B157">
            <v>1191</v>
          </cell>
        </row>
        <row r="158">
          <cell r="A158" t="str">
            <v>1192135</v>
          </cell>
          <cell r="B158">
            <v>1192</v>
          </cell>
        </row>
        <row r="159">
          <cell r="A159" t="str">
            <v>1200136</v>
          </cell>
          <cell r="B159">
            <v>1200</v>
          </cell>
        </row>
        <row r="160">
          <cell r="A160" t="str">
            <v>1210138</v>
          </cell>
          <cell r="B160">
            <v>1210</v>
          </cell>
        </row>
        <row r="161">
          <cell r="A161" t="str">
            <v>1220140</v>
          </cell>
          <cell r="B161">
            <v>1220</v>
          </cell>
        </row>
        <row r="162">
          <cell r="A162" t="str">
            <v>1230142</v>
          </cell>
          <cell r="B162">
            <v>1230</v>
          </cell>
        </row>
        <row r="163">
          <cell r="A163" t="str">
            <v>144144</v>
          </cell>
          <cell r="B163">
            <v>144</v>
          </cell>
        </row>
        <row r="164">
          <cell r="A164" t="str">
            <v>146146</v>
          </cell>
          <cell r="B164">
            <v>146</v>
          </cell>
        </row>
        <row r="165">
          <cell r="A165" t="str">
            <v>148148</v>
          </cell>
          <cell r="B165">
            <v>148</v>
          </cell>
        </row>
        <row r="166">
          <cell r="A166" t="str">
            <v>149149</v>
          </cell>
          <cell r="B166">
            <v>149</v>
          </cell>
        </row>
        <row r="167">
          <cell r="A167" t="str">
            <v>150150</v>
          </cell>
          <cell r="B167">
            <v>150</v>
          </cell>
        </row>
        <row r="168">
          <cell r="A168" t="str">
            <v>151151</v>
          </cell>
          <cell r="B168">
            <v>151</v>
          </cell>
        </row>
        <row r="169">
          <cell r="A169" t="str">
            <v>152152</v>
          </cell>
          <cell r="B169">
            <v>152</v>
          </cell>
        </row>
        <row r="170">
          <cell r="A170" t="str">
            <v>153153</v>
          </cell>
          <cell r="B170">
            <v>153</v>
          </cell>
        </row>
        <row r="171">
          <cell r="A171" t="str">
            <v>154154</v>
          </cell>
          <cell r="B171">
            <v>154</v>
          </cell>
        </row>
        <row r="172">
          <cell r="A172" t="str">
            <v>155155</v>
          </cell>
          <cell r="B172">
            <v>155</v>
          </cell>
        </row>
        <row r="173">
          <cell r="A173" t="str">
            <v>156156</v>
          </cell>
          <cell r="B173">
            <v>156</v>
          </cell>
        </row>
        <row r="174">
          <cell r="A174" t="str">
            <v>157157</v>
          </cell>
          <cell r="B174">
            <v>157</v>
          </cell>
        </row>
        <row r="175">
          <cell r="A175" t="str">
            <v>158158</v>
          </cell>
          <cell r="B175">
            <v>158</v>
          </cell>
        </row>
        <row r="176">
          <cell r="A176" t="str">
            <v>159159</v>
          </cell>
          <cell r="B176">
            <v>159</v>
          </cell>
        </row>
        <row r="177">
          <cell r="A177" t="str">
            <v>160160</v>
          </cell>
          <cell r="B177">
            <v>160</v>
          </cell>
        </row>
        <row r="178">
          <cell r="A178" t="str">
            <v>161161</v>
          </cell>
          <cell r="B178">
            <v>161</v>
          </cell>
        </row>
        <row r="179">
          <cell r="A179" t="str">
            <v>162162</v>
          </cell>
          <cell r="B179">
            <v>162</v>
          </cell>
        </row>
        <row r="180">
          <cell r="A180" t="str">
            <v>163163</v>
          </cell>
          <cell r="B180">
            <v>163</v>
          </cell>
        </row>
        <row r="181">
          <cell r="A181" t="str">
            <v>164164</v>
          </cell>
          <cell r="B181">
            <v>164</v>
          </cell>
        </row>
        <row r="182">
          <cell r="A182" t="str">
            <v>165165</v>
          </cell>
          <cell r="B182">
            <v>165</v>
          </cell>
        </row>
        <row r="183">
          <cell r="A183" t="str">
            <v>166166</v>
          </cell>
          <cell r="B183">
            <v>166</v>
          </cell>
        </row>
        <row r="184">
          <cell r="A184" t="str">
            <v>167167</v>
          </cell>
          <cell r="B184">
            <v>167</v>
          </cell>
        </row>
        <row r="185">
          <cell r="A185" t="str">
            <v>168168</v>
          </cell>
          <cell r="B185">
            <v>168</v>
          </cell>
        </row>
        <row r="186">
          <cell r="A186" t="str">
            <v>169169</v>
          </cell>
          <cell r="B186">
            <v>169</v>
          </cell>
        </row>
        <row r="187">
          <cell r="A187" t="str">
            <v>170170</v>
          </cell>
          <cell r="B187">
            <v>170</v>
          </cell>
        </row>
        <row r="188">
          <cell r="A188" t="str">
            <v>171171</v>
          </cell>
          <cell r="B188">
            <v>171</v>
          </cell>
        </row>
        <row r="189">
          <cell r="A189" t="str">
            <v>172172</v>
          </cell>
          <cell r="B189">
            <v>172</v>
          </cell>
        </row>
        <row r="190">
          <cell r="A190" t="str">
            <v>173173</v>
          </cell>
          <cell r="B190">
            <v>173</v>
          </cell>
        </row>
        <row r="191">
          <cell r="A191" t="str">
            <v>174174</v>
          </cell>
          <cell r="B191">
            <v>174</v>
          </cell>
        </row>
        <row r="192">
          <cell r="A192" t="str">
            <v>175175</v>
          </cell>
          <cell r="B192">
            <v>175</v>
          </cell>
        </row>
        <row r="193">
          <cell r="A193" t="str">
            <v>176176</v>
          </cell>
          <cell r="B193">
            <v>176</v>
          </cell>
        </row>
        <row r="194">
          <cell r="A194" t="str">
            <v>177177</v>
          </cell>
          <cell r="B194">
            <v>177</v>
          </cell>
        </row>
        <row r="195">
          <cell r="A195" t="str">
            <v>178178</v>
          </cell>
          <cell r="B195">
            <v>178</v>
          </cell>
        </row>
        <row r="196">
          <cell r="A196" t="str">
            <v>179179</v>
          </cell>
          <cell r="B196">
            <v>179</v>
          </cell>
        </row>
        <row r="197">
          <cell r="A197" t="str">
            <v>180180</v>
          </cell>
          <cell r="B197">
            <v>180</v>
          </cell>
        </row>
        <row r="198">
          <cell r="A198" t="str">
            <v>181181</v>
          </cell>
          <cell r="B198">
            <v>181</v>
          </cell>
        </row>
        <row r="199">
          <cell r="A199" t="str">
            <v>182182</v>
          </cell>
          <cell r="B199">
            <v>182</v>
          </cell>
        </row>
        <row r="200">
          <cell r="A200" t="str">
            <v>184184</v>
          </cell>
          <cell r="B200">
            <v>184</v>
          </cell>
        </row>
        <row r="201">
          <cell r="A201" t="str">
            <v>185185</v>
          </cell>
          <cell r="B201">
            <v>185</v>
          </cell>
        </row>
        <row r="202">
          <cell r="A202" t="str">
            <v>186186</v>
          </cell>
          <cell r="B202">
            <v>186</v>
          </cell>
        </row>
        <row r="203">
          <cell r="A203" t="str">
            <v>187187</v>
          </cell>
          <cell r="B203">
            <v>187</v>
          </cell>
        </row>
        <row r="204">
          <cell r="A204" t="str">
            <v>188188</v>
          </cell>
          <cell r="B204">
            <v>188</v>
          </cell>
        </row>
        <row r="205">
          <cell r="A205" t="str">
            <v>189189</v>
          </cell>
          <cell r="B205">
            <v>189</v>
          </cell>
        </row>
        <row r="206">
          <cell r="A206" t="str">
            <v>190190</v>
          </cell>
          <cell r="B206">
            <v>190</v>
          </cell>
        </row>
        <row r="207">
          <cell r="A207" t="str">
            <v>196196</v>
          </cell>
          <cell r="B207">
            <v>196</v>
          </cell>
        </row>
        <row r="208">
          <cell r="A208" t="str">
            <v>197197</v>
          </cell>
          <cell r="B208">
            <v>197</v>
          </cell>
        </row>
        <row r="209">
          <cell r="A209" t="str">
            <v>198198</v>
          </cell>
          <cell r="B209">
            <v>198</v>
          </cell>
        </row>
        <row r="210">
          <cell r="A210" t="str">
            <v>199199</v>
          </cell>
          <cell r="B210">
            <v>199</v>
          </cell>
        </row>
        <row r="211">
          <cell r="A211" t="str">
            <v>300300</v>
          </cell>
          <cell r="B211">
            <v>300</v>
          </cell>
        </row>
        <row r="212">
          <cell r="A212" t="str">
            <v>301301</v>
          </cell>
          <cell r="B212">
            <v>301</v>
          </cell>
        </row>
        <row r="213">
          <cell r="A213" t="str">
            <v>302302</v>
          </cell>
          <cell r="B213">
            <v>302</v>
          </cell>
        </row>
        <row r="214">
          <cell r="A214" t="str">
            <v>303303</v>
          </cell>
          <cell r="B214">
            <v>303</v>
          </cell>
        </row>
        <row r="215">
          <cell r="A215" t="str">
            <v>304304</v>
          </cell>
          <cell r="B215">
            <v>304</v>
          </cell>
        </row>
        <row r="216">
          <cell r="A216" t="str">
            <v>305305</v>
          </cell>
          <cell r="B216">
            <v>305</v>
          </cell>
        </row>
        <row r="217">
          <cell r="A217" t="str">
            <v>306306</v>
          </cell>
          <cell r="B217">
            <v>306</v>
          </cell>
        </row>
        <row r="218">
          <cell r="A218" t="str">
            <v>307307</v>
          </cell>
          <cell r="B218">
            <v>307</v>
          </cell>
        </row>
        <row r="219">
          <cell r="A219" t="str">
            <v>308308</v>
          </cell>
          <cell r="B219">
            <v>308</v>
          </cell>
        </row>
        <row r="220">
          <cell r="A220" t="str">
            <v>309309</v>
          </cell>
          <cell r="B220">
            <v>309</v>
          </cell>
        </row>
        <row r="221">
          <cell r="A221" t="str">
            <v>310310</v>
          </cell>
          <cell r="B221">
            <v>310</v>
          </cell>
        </row>
        <row r="222">
          <cell r="A222" t="str">
            <v>311311</v>
          </cell>
          <cell r="B222">
            <v>311</v>
          </cell>
        </row>
        <row r="223">
          <cell r="A223" t="str">
            <v>312312</v>
          </cell>
          <cell r="B223">
            <v>312</v>
          </cell>
        </row>
        <row r="224">
          <cell r="A224" t="str">
            <v>313313</v>
          </cell>
          <cell r="B224">
            <v>313</v>
          </cell>
        </row>
        <row r="225">
          <cell r="A225" t="str">
            <v>314314</v>
          </cell>
          <cell r="B225">
            <v>314</v>
          </cell>
        </row>
        <row r="226">
          <cell r="A226" t="str">
            <v>315315</v>
          </cell>
          <cell r="B226">
            <v>315</v>
          </cell>
        </row>
        <row r="227">
          <cell r="A227" t="str">
            <v>316316</v>
          </cell>
          <cell r="B227">
            <v>316</v>
          </cell>
        </row>
        <row r="228">
          <cell r="A228" t="str">
            <v>317317</v>
          </cell>
          <cell r="B228">
            <v>317</v>
          </cell>
        </row>
        <row r="229">
          <cell r="A229" t="str">
            <v>318318</v>
          </cell>
          <cell r="B229">
            <v>318</v>
          </cell>
        </row>
        <row r="230">
          <cell r="A230" t="str">
            <v>319319</v>
          </cell>
          <cell r="B230">
            <v>319</v>
          </cell>
        </row>
        <row r="231">
          <cell r="A231" t="str">
            <v>320320</v>
          </cell>
          <cell r="B231">
            <v>320</v>
          </cell>
        </row>
        <row r="232">
          <cell r="A232" t="str">
            <v>321321</v>
          </cell>
          <cell r="B232">
            <v>321</v>
          </cell>
        </row>
        <row r="233">
          <cell r="A233" t="str">
            <v>322322</v>
          </cell>
          <cell r="B233">
            <v>322</v>
          </cell>
        </row>
        <row r="234">
          <cell r="A234" t="str">
            <v>323323</v>
          </cell>
          <cell r="B234">
            <v>323</v>
          </cell>
        </row>
        <row r="235">
          <cell r="A235" t="str">
            <v>324324</v>
          </cell>
          <cell r="B235">
            <v>324</v>
          </cell>
        </row>
        <row r="236">
          <cell r="A236" t="str">
            <v>325325</v>
          </cell>
          <cell r="B236">
            <v>325</v>
          </cell>
        </row>
        <row r="237">
          <cell r="A237" t="str">
            <v>326326</v>
          </cell>
          <cell r="B237">
            <v>326</v>
          </cell>
        </row>
        <row r="238">
          <cell r="A238" t="str">
            <v>327327</v>
          </cell>
          <cell r="B238">
            <v>327</v>
          </cell>
        </row>
        <row r="239">
          <cell r="A239" t="str">
            <v>328328</v>
          </cell>
          <cell r="B239">
            <v>328</v>
          </cell>
        </row>
        <row r="240">
          <cell r="A240" t="str">
            <v>60006000</v>
          </cell>
          <cell r="B240">
            <v>6000</v>
          </cell>
        </row>
        <row r="241">
          <cell r="A241" t="str">
            <v>60016001</v>
          </cell>
          <cell r="B241">
            <v>6001</v>
          </cell>
        </row>
        <row r="242">
          <cell r="A242" t="str">
            <v>329329</v>
          </cell>
          <cell r="B242">
            <v>329</v>
          </cell>
        </row>
        <row r="243">
          <cell r="A243" t="str">
            <v>330330</v>
          </cell>
          <cell r="B243">
            <v>330</v>
          </cell>
        </row>
        <row r="244">
          <cell r="A244" t="str">
            <v>1330330</v>
          </cell>
          <cell r="B244">
            <v>1330</v>
          </cell>
        </row>
        <row r="245">
          <cell r="A245" t="str">
            <v>2330330</v>
          </cell>
          <cell r="B245">
            <v>2330</v>
          </cell>
        </row>
        <row r="246">
          <cell r="A246" t="str">
            <v>331331</v>
          </cell>
          <cell r="B246">
            <v>331</v>
          </cell>
        </row>
        <row r="247">
          <cell r="A247" t="str">
            <v>1331331</v>
          </cell>
          <cell r="B247">
            <v>1331</v>
          </cell>
        </row>
        <row r="248">
          <cell r="A248" t="str">
            <v>2331331</v>
          </cell>
          <cell r="B248">
            <v>2331</v>
          </cell>
        </row>
        <row r="249">
          <cell r="A249" t="str">
            <v>1325325</v>
          </cell>
          <cell r="B249">
            <v>1325</v>
          </cell>
        </row>
        <row r="250">
          <cell r="A250" t="str">
            <v>332332</v>
          </cell>
          <cell r="B250">
            <v>332</v>
          </cell>
        </row>
        <row r="251">
          <cell r="A251" t="str">
            <v>333333</v>
          </cell>
          <cell r="B251">
            <v>333</v>
          </cell>
        </row>
        <row r="252">
          <cell r="A252" t="str">
            <v>334334</v>
          </cell>
          <cell r="B252">
            <v>334</v>
          </cell>
        </row>
        <row r="253">
          <cell r="A253" t="str">
            <v>335335</v>
          </cell>
          <cell r="B253">
            <v>335</v>
          </cell>
        </row>
        <row r="254">
          <cell r="A254" t="str">
            <v>13355000</v>
          </cell>
          <cell r="B254">
            <v>1335</v>
          </cell>
        </row>
        <row r="255">
          <cell r="A255" t="str">
            <v>336336</v>
          </cell>
          <cell r="B255">
            <v>336</v>
          </cell>
        </row>
        <row r="256">
          <cell r="A256" t="str">
            <v>337337</v>
          </cell>
          <cell r="B256">
            <v>337</v>
          </cell>
        </row>
        <row r="257">
          <cell r="A257" t="str">
            <v>338338</v>
          </cell>
          <cell r="B257">
            <v>338</v>
          </cell>
        </row>
        <row r="258">
          <cell r="A258" t="str">
            <v>339339</v>
          </cell>
          <cell r="B258">
            <v>339</v>
          </cell>
        </row>
        <row r="259">
          <cell r="A259" t="str">
            <v>340340</v>
          </cell>
          <cell r="B259">
            <v>340</v>
          </cell>
        </row>
        <row r="260">
          <cell r="A260" t="str">
            <v>341341</v>
          </cell>
          <cell r="B260">
            <v>341</v>
          </cell>
        </row>
        <row r="261">
          <cell r="A261" t="str">
            <v>342342</v>
          </cell>
          <cell r="B261">
            <v>342</v>
          </cell>
        </row>
        <row r="262">
          <cell r="A262" t="str">
            <v>343343</v>
          </cell>
          <cell r="B262">
            <v>343</v>
          </cell>
        </row>
        <row r="263">
          <cell r="A263" t="str">
            <v>344344</v>
          </cell>
          <cell r="B263">
            <v>344</v>
          </cell>
        </row>
        <row r="264">
          <cell r="A264" t="str">
            <v>345345</v>
          </cell>
          <cell r="B264">
            <v>345</v>
          </cell>
        </row>
        <row r="265">
          <cell r="A265" t="str">
            <v>346346</v>
          </cell>
          <cell r="B265">
            <v>346</v>
          </cell>
        </row>
        <row r="266">
          <cell r="A266" t="str">
            <v>347347</v>
          </cell>
          <cell r="B266">
            <v>347</v>
          </cell>
        </row>
        <row r="267">
          <cell r="A267" t="str">
            <v>348348</v>
          </cell>
          <cell r="B267">
            <v>348</v>
          </cell>
        </row>
        <row r="268">
          <cell r="A268" t="str">
            <v>349349</v>
          </cell>
          <cell r="B268">
            <v>349</v>
          </cell>
        </row>
        <row r="269">
          <cell r="A269" t="str">
            <v>350350</v>
          </cell>
          <cell r="B269">
            <v>350</v>
          </cell>
        </row>
        <row r="270">
          <cell r="A270" t="str">
            <v>351351</v>
          </cell>
          <cell r="B270">
            <v>351</v>
          </cell>
        </row>
        <row r="271">
          <cell r="A271" t="str">
            <v>352352</v>
          </cell>
          <cell r="B271">
            <v>352</v>
          </cell>
        </row>
        <row r="272">
          <cell r="A272" t="str">
            <v>353353</v>
          </cell>
          <cell r="B272">
            <v>353</v>
          </cell>
        </row>
        <row r="273">
          <cell r="A273" t="str">
            <v>354354</v>
          </cell>
          <cell r="B273">
            <v>354</v>
          </cell>
        </row>
        <row r="274">
          <cell r="A274" t="str">
            <v>355355</v>
          </cell>
          <cell r="B274">
            <v>355</v>
          </cell>
        </row>
        <row r="275">
          <cell r="A275" t="str">
            <v>356356</v>
          </cell>
          <cell r="B275">
            <v>356</v>
          </cell>
        </row>
        <row r="276">
          <cell r="A276" t="str">
            <v>357357</v>
          </cell>
          <cell r="B276">
            <v>357</v>
          </cell>
        </row>
        <row r="277">
          <cell r="A277" t="str">
            <v>358358</v>
          </cell>
          <cell r="B277">
            <v>358</v>
          </cell>
        </row>
        <row r="278">
          <cell r="A278" t="str">
            <v>359359</v>
          </cell>
          <cell r="B278">
            <v>359</v>
          </cell>
        </row>
        <row r="279">
          <cell r="A279" t="str">
            <v>360360</v>
          </cell>
          <cell r="B279">
            <v>360</v>
          </cell>
        </row>
        <row r="280">
          <cell r="A280" t="str">
            <v>361361</v>
          </cell>
          <cell r="B280">
            <v>361</v>
          </cell>
        </row>
        <row r="281">
          <cell r="A281" t="str">
            <v>362362</v>
          </cell>
          <cell r="B281">
            <v>362</v>
          </cell>
        </row>
        <row r="282">
          <cell r="A282" t="str">
            <v>363363</v>
          </cell>
          <cell r="B282">
            <v>363</v>
          </cell>
        </row>
        <row r="283">
          <cell r="A283" t="str">
            <v>364364</v>
          </cell>
          <cell r="B283">
            <v>364</v>
          </cell>
        </row>
        <row r="284">
          <cell r="A284" t="str">
            <v>365365</v>
          </cell>
          <cell r="B284">
            <v>365</v>
          </cell>
        </row>
        <row r="285">
          <cell r="A285" t="str">
            <v>366366</v>
          </cell>
          <cell r="B285">
            <v>366</v>
          </cell>
        </row>
        <row r="286">
          <cell r="A286" t="str">
            <v>367367</v>
          </cell>
          <cell r="B286">
            <v>367</v>
          </cell>
        </row>
        <row r="287">
          <cell r="A287" t="str">
            <v>368368</v>
          </cell>
          <cell r="B287">
            <v>368</v>
          </cell>
        </row>
        <row r="288">
          <cell r="A288" t="str">
            <v>369369</v>
          </cell>
          <cell r="B288">
            <v>369</v>
          </cell>
        </row>
        <row r="289">
          <cell r="A289" t="str">
            <v>370370</v>
          </cell>
          <cell r="B289">
            <v>370</v>
          </cell>
        </row>
        <row r="290">
          <cell r="A290" t="str">
            <v>371371</v>
          </cell>
          <cell r="B290">
            <v>371</v>
          </cell>
        </row>
        <row r="291">
          <cell r="A291" t="str">
            <v>372372</v>
          </cell>
          <cell r="B291">
            <v>372</v>
          </cell>
        </row>
        <row r="292">
          <cell r="A292" t="str">
            <v>73007300</v>
          </cell>
          <cell r="B292">
            <v>7300</v>
          </cell>
        </row>
        <row r="293">
          <cell r="A293" t="str">
            <v>73017301</v>
          </cell>
          <cell r="B293">
            <v>7301</v>
          </cell>
        </row>
        <row r="294">
          <cell r="A294" t="str">
            <v>373373</v>
          </cell>
          <cell r="B294">
            <v>373</v>
          </cell>
        </row>
        <row r="295">
          <cell r="A295" t="str">
            <v>374374</v>
          </cell>
          <cell r="B295">
            <v>374</v>
          </cell>
        </row>
        <row r="296">
          <cell r="A296" t="str">
            <v>375375</v>
          </cell>
          <cell r="B296">
            <v>375</v>
          </cell>
        </row>
        <row r="297">
          <cell r="A297" t="str">
            <v>376376</v>
          </cell>
          <cell r="B297">
            <v>376</v>
          </cell>
        </row>
        <row r="298">
          <cell r="A298" t="str">
            <v>377377</v>
          </cell>
          <cell r="B298">
            <v>377</v>
          </cell>
        </row>
        <row r="299">
          <cell r="A299" t="str">
            <v>378378</v>
          </cell>
          <cell r="B299">
            <v>378</v>
          </cell>
        </row>
        <row r="300">
          <cell r="A300" t="str">
            <v>379379</v>
          </cell>
          <cell r="B300">
            <v>379</v>
          </cell>
        </row>
        <row r="301">
          <cell r="A301" t="str">
            <v>380380</v>
          </cell>
          <cell r="B301">
            <v>380</v>
          </cell>
        </row>
        <row r="302">
          <cell r="A302" t="str">
            <v>381381</v>
          </cell>
          <cell r="B302">
            <v>381</v>
          </cell>
        </row>
        <row r="303">
          <cell r="A303" t="str">
            <v>382382</v>
          </cell>
          <cell r="B303">
            <v>382</v>
          </cell>
        </row>
        <row r="304">
          <cell r="A304" t="str">
            <v>383383</v>
          </cell>
          <cell r="B304">
            <v>383</v>
          </cell>
        </row>
        <row r="305">
          <cell r="A305" t="str">
            <v>384384</v>
          </cell>
          <cell r="B305">
            <v>384</v>
          </cell>
        </row>
        <row r="306">
          <cell r="A306" t="str">
            <v>385385</v>
          </cell>
          <cell r="B306">
            <v>385</v>
          </cell>
        </row>
        <row r="307">
          <cell r="A307" t="str">
            <v>386386</v>
          </cell>
          <cell r="B307">
            <v>386</v>
          </cell>
        </row>
        <row r="308">
          <cell r="A308" t="str">
            <v>387387</v>
          </cell>
          <cell r="B308">
            <v>387</v>
          </cell>
        </row>
        <row r="309">
          <cell r="A309" t="str">
            <v>388388</v>
          </cell>
          <cell r="B309">
            <v>388</v>
          </cell>
        </row>
        <row r="310">
          <cell r="A310" t="str">
            <v>389389</v>
          </cell>
          <cell r="B310">
            <v>389</v>
          </cell>
        </row>
        <row r="311">
          <cell r="A311" t="str">
            <v>390390</v>
          </cell>
          <cell r="B311">
            <v>390</v>
          </cell>
        </row>
        <row r="312">
          <cell r="A312" t="str">
            <v>391391</v>
          </cell>
          <cell r="B312">
            <v>391</v>
          </cell>
        </row>
        <row r="313">
          <cell r="A313" t="str">
            <v>392392</v>
          </cell>
          <cell r="B313">
            <v>392</v>
          </cell>
        </row>
        <row r="314">
          <cell r="A314" t="str">
            <v>393393</v>
          </cell>
          <cell r="B314">
            <v>393</v>
          </cell>
        </row>
        <row r="315">
          <cell r="A315" t="str">
            <v>394394</v>
          </cell>
          <cell r="B315">
            <v>394</v>
          </cell>
        </row>
        <row r="316">
          <cell r="A316" t="str">
            <v>395395</v>
          </cell>
          <cell r="B316">
            <v>395</v>
          </cell>
        </row>
        <row r="317">
          <cell r="A317" t="str">
            <v>396396</v>
          </cell>
          <cell r="B317">
            <v>396</v>
          </cell>
        </row>
        <row r="318">
          <cell r="A318" t="str">
            <v>397397</v>
          </cell>
          <cell r="B318">
            <v>397</v>
          </cell>
        </row>
        <row r="319">
          <cell r="A319" t="str">
            <v>398398</v>
          </cell>
          <cell r="B319">
            <v>398</v>
          </cell>
        </row>
        <row r="320">
          <cell r="A320" t="str">
            <v>399399</v>
          </cell>
          <cell r="B320">
            <v>399</v>
          </cell>
        </row>
        <row r="321">
          <cell r="A321" t="str">
            <v>400400</v>
          </cell>
          <cell r="B321">
            <v>400</v>
          </cell>
        </row>
        <row r="322">
          <cell r="A322" t="str">
            <v>401401</v>
          </cell>
          <cell r="B322">
            <v>401</v>
          </cell>
        </row>
        <row r="323">
          <cell r="A323" t="str">
            <v>402402</v>
          </cell>
          <cell r="B323">
            <v>402</v>
          </cell>
        </row>
        <row r="324">
          <cell r="A324" t="str">
            <v>403403</v>
          </cell>
          <cell r="B324">
            <v>403</v>
          </cell>
        </row>
        <row r="325">
          <cell r="A325" t="str">
            <v>404404</v>
          </cell>
          <cell r="B325">
            <v>404</v>
          </cell>
        </row>
        <row r="326">
          <cell r="A326" t="str">
            <v>405405</v>
          </cell>
          <cell r="B326">
            <v>405</v>
          </cell>
        </row>
        <row r="327">
          <cell r="A327" t="str">
            <v>406406</v>
          </cell>
          <cell r="B327">
            <v>406</v>
          </cell>
        </row>
        <row r="328">
          <cell r="A328" t="str">
            <v>407407</v>
          </cell>
          <cell r="B328">
            <v>407</v>
          </cell>
        </row>
        <row r="329">
          <cell r="A329" t="str">
            <v>409409</v>
          </cell>
          <cell r="B329">
            <v>409</v>
          </cell>
        </row>
        <row r="330">
          <cell r="A330" t="str">
            <v>73027302</v>
          </cell>
          <cell r="B330">
            <v>7302</v>
          </cell>
        </row>
        <row r="331">
          <cell r="A331" t="str">
            <v>410410</v>
          </cell>
          <cell r="B331">
            <v>410</v>
          </cell>
        </row>
        <row r="332">
          <cell r="A332" t="str">
            <v>411411</v>
          </cell>
          <cell r="B332">
            <v>411</v>
          </cell>
        </row>
        <row r="333">
          <cell r="A333" t="str">
            <v>412412</v>
          </cell>
          <cell r="B333">
            <v>412</v>
          </cell>
        </row>
        <row r="334">
          <cell r="A334" t="str">
            <v>413413</v>
          </cell>
          <cell r="B334">
            <v>413</v>
          </cell>
        </row>
        <row r="335">
          <cell r="A335" t="str">
            <v>414414</v>
          </cell>
          <cell r="B335">
            <v>414</v>
          </cell>
        </row>
        <row r="336">
          <cell r="A336" t="str">
            <v>415415</v>
          </cell>
          <cell r="B336">
            <v>415</v>
          </cell>
        </row>
        <row r="337">
          <cell r="A337" t="str">
            <v>416416</v>
          </cell>
          <cell r="B337">
            <v>416</v>
          </cell>
        </row>
        <row r="338">
          <cell r="A338" t="str">
            <v>417417</v>
          </cell>
          <cell r="B338">
            <v>417</v>
          </cell>
        </row>
        <row r="339">
          <cell r="A339" t="str">
            <v>418418</v>
          </cell>
          <cell r="B339">
            <v>418</v>
          </cell>
        </row>
        <row r="340">
          <cell r="A340" t="str">
            <v>419419</v>
          </cell>
          <cell r="B340">
            <v>419</v>
          </cell>
        </row>
        <row r="341">
          <cell r="A341" t="str">
            <v>420420</v>
          </cell>
          <cell r="B341">
            <v>420</v>
          </cell>
        </row>
        <row r="342">
          <cell r="A342" t="str">
            <v>421421</v>
          </cell>
          <cell r="B342">
            <v>421</v>
          </cell>
        </row>
        <row r="343">
          <cell r="A343" t="str">
            <v>422422</v>
          </cell>
          <cell r="B343">
            <v>422</v>
          </cell>
        </row>
        <row r="344">
          <cell r="A344" t="str">
            <v>423423</v>
          </cell>
          <cell r="B344">
            <v>423</v>
          </cell>
        </row>
        <row r="345">
          <cell r="A345" t="str">
            <v>424424</v>
          </cell>
          <cell r="B345">
            <v>424</v>
          </cell>
        </row>
        <row r="346">
          <cell r="A346" t="str">
            <v>425425</v>
          </cell>
          <cell r="B346">
            <v>425</v>
          </cell>
        </row>
        <row r="347">
          <cell r="A347" t="str">
            <v>426426</v>
          </cell>
          <cell r="B347">
            <v>426</v>
          </cell>
        </row>
        <row r="348">
          <cell r="A348" t="str">
            <v>427427</v>
          </cell>
          <cell r="B348">
            <v>427</v>
          </cell>
        </row>
        <row r="349">
          <cell r="A349" t="str">
            <v>428428</v>
          </cell>
          <cell r="B349">
            <v>428</v>
          </cell>
        </row>
        <row r="350">
          <cell r="A350" t="str">
            <v>73037303</v>
          </cell>
          <cell r="B350">
            <v>7303</v>
          </cell>
        </row>
        <row r="351">
          <cell r="A351" t="str">
            <v>429429</v>
          </cell>
          <cell r="B351">
            <v>429</v>
          </cell>
        </row>
        <row r="352">
          <cell r="A352" t="str">
            <v>430430</v>
          </cell>
          <cell r="B352">
            <v>430</v>
          </cell>
        </row>
        <row r="353">
          <cell r="A353" t="str">
            <v>431431</v>
          </cell>
          <cell r="B353">
            <v>431</v>
          </cell>
        </row>
        <row r="354">
          <cell r="A354" t="str">
            <v>432432</v>
          </cell>
          <cell r="B354">
            <v>432</v>
          </cell>
        </row>
        <row r="355">
          <cell r="A355" t="str">
            <v>433433</v>
          </cell>
          <cell r="B355">
            <v>433</v>
          </cell>
        </row>
        <row r="356">
          <cell r="A356" t="str">
            <v>434434</v>
          </cell>
          <cell r="B356">
            <v>434</v>
          </cell>
        </row>
        <row r="357">
          <cell r="A357" t="str">
            <v>435435</v>
          </cell>
          <cell r="B357">
            <v>435</v>
          </cell>
        </row>
        <row r="358">
          <cell r="A358" t="str">
            <v>73047304</v>
          </cell>
          <cell r="B358">
            <v>7304</v>
          </cell>
        </row>
        <row r="359">
          <cell r="A359" t="str">
            <v>73057305</v>
          </cell>
          <cell r="B359">
            <v>7305</v>
          </cell>
        </row>
        <row r="360">
          <cell r="A360" t="str">
            <v>436436</v>
          </cell>
          <cell r="B360">
            <v>436</v>
          </cell>
        </row>
        <row r="361">
          <cell r="A361" t="str">
            <v>437437</v>
          </cell>
          <cell r="B361">
            <v>437</v>
          </cell>
        </row>
        <row r="362">
          <cell r="A362" t="str">
            <v>438438</v>
          </cell>
          <cell r="B362">
            <v>438</v>
          </cell>
        </row>
        <row r="363">
          <cell r="A363" t="str">
            <v>439439</v>
          </cell>
          <cell r="B363">
            <v>439</v>
          </cell>
        </row>
        <row r="364">
          <cell r="A364" t="str">
            <v>440440</v>
          </cell>
          <cell r="B364">
            <v>440</v>
          </cell>
        </row>
        <row r="365">
          <cell r="A365" t="str">
            <v>441441</v>
          </cell>
          <cell r="B365">
            <v>441</v>
          </cell>
        </row>
        <row r="366">
          <cell r="A366" t="str">
            <v>442442</v>
          </cell>
          <cell r="B366">
            <v>442</v>
          </cell>
        </row>
        <row r="367">
          <cell r="A367" t="str">
            <v>443443</v>
          </cell>
          <cell r="B367">
            <v>443</v>
          </cell>
        </row>
        <row r="368">
          <cell r="A368" t="str">
            <v>444444</v>
          </cell>
          <cell r="B368">
            <v>444</v>
          </cell>
        </row>
        <row r="369">
          <cell r="A369" t="str">
            <v>445445</v>
          </cell>
          <cell r="B369">
            <v>445</v>
          </cell>
        </row>
        <row r="370">
          <cell r="A370" t="str">
            <v>446446</v>
          </cell>
          <cell r="B370">
            <v>446</v>
          </cell>
        </row>
        <row r="371">
          <cell r="A371" t="str">
            <v>447447</v>
          </cell>
          <cell r="B371">
            <v>447</v>
          </cell>
        </row>
        <row r="372">
          <cell r="A372" t="str">
            <v>448448</v>
          </cell>
          <cell r="B372">
            <v>448</v>
          </cell>
        </row>
        <row r="373">
          <cell r="A373" t="str">
            <v>449449</v>
          </cell>
          <cell r="B373">
            <v>449</v>
          </cell>
        </row>
        <row r="374">
          <cell r="A374" t="str">
            <v>450450</v>
          </cell>
          <cell r="B374">
            <v>450</v>
          </cell>
        </row>
        <row r="375">
          <cell r="A375" t="str">
            <v>451451</v>
          </cell>
          <cell r="B375">
            <v>451</v>
          </cell>
        </row>
        <row r="376">
          <cell r="A376" t="str">
            <v>452452</v>
          </cell>
          <cell r="B376">
            <v>452</v>
          </cell>
        </row>
        <row r="377">
          <cell r="A377" t="str">
            <v>453453</v>
          </cell>
          <cell r="B377">
            <v>453</v>
          </cell>
        </row>
        <row r="378">
          <cell r="A378" t="str">
            <v>73067306</v>
          </cell>
          <cell r="B378">
            <v>7306</v>
          </cell>
        </row>
        <row r="379">
          <cell r="A379" t="str">
            <v>454454</v>
          </cell>
          <cell r="B379">
            <v>454</v>
          </cell>
        </row>
        <row r="380">
          <cell r="A380" t="str">
            <v>455455</v>
          </cell>
          <cell r="B380">
            <v>455</v>
          </cell>
        </row>
        <row r="381">
          <cell r="A381" t="str">
            <v>456456</v>
          </cell>
          <cell r="B381">
            <v>456</v>
          </cell>
        </row>
        <row r="382">
          <cell r="A382" t="str">
            <v>457457</v>
          </cell>
          <cell r="B382">
            <v>457</v>
          </cell>
        </row>
        <row r="383">
          <cell r="A383" t="str">
            <v>458458</v>
          </cell>
          <cell r="B383">
            <v>458</v>
          </cell>
        </row>
        <row r="384">
          <cell r="A384" t="str">
            <v>459459</v>
          </cell>
          <cell r="B384">
            <v>459</v>
          </cell>
        </row>
        <row r="385">
          <cell r="A385" t="str">
            <v>460460</v>
          </cell>
          <cell r="B385">
            <v>460</v>
          </cell>
        </row>
        <row r="386">
          <cell r="A386" t="str">
            <v>461461</v>
          </cell>
          <cell r="B386">
            <v>461</v>
          </cell>
        </row>
        <row r="387">
          <cell r="A387" t="str">
            <v>462462</v>
          </cell>
          <cell r="B387">
            <v>462</v>
          </cell>
        </row>
        <row r="388">
          <cell r="A388" t="str">
            <v>463463</v>
          </cell>
          <cell r="B388">
            <v>463</v>
          </cell>
        </row>
        <row r="389">
          <cell r="A389" t="str">
            <v>464464</v>
          </cell>
          <cell r="B389">
            <v>464</v>
          </cell>
        </row>
        <row r="390">
          <cell r="A390" t="str">
            <v>465465</v>
          </cell>
          <cell r="B390">
            <v>465</v>
          </cell>
        </row>
        <row r="391">
          <cell r="A391" t="str">
            <v>73077307</v>
          </cell>
          <cell r="B391">
            <v>7307</v>
          </cell>
        </row>
        <row r="392">
          <cell r="A392" t="str">
            <v>466466</v>
          </cell>
          <cell r="B392">
            <v>466</v>
          </cell>
        </row>
        <row r="393">
          <cell r="A393" t="str">
            <v>467467</v>
          </cell>
          <cell r="B393">
            <v>467</v>
          </cell>
        </row>
        <row r="394">
          <cell r="A394" t="str">
            <v>468468</v>
          </cell>
          <cell r="B394">
            <v>468</v>
          </cell>
        </row>
        <row r="395">
          <cell r="A395" t="str">
            <v>469469</v>
          </cell>
          <cell r="B395">
            <v>469</v>
          </cell>
        </row>
        <row r="396">
          <cell r="A396" t="str">
            <v>470470</v>
          </cell>
          <cell r="B396">
            <v>470</v>
          </cell>
        </row>
        <row r="397">
          <cell r="A397" t="str">
            <v>471471</v>
          </cell>
          <cell r="B397">
            <v>471</v>
          </cell>
        </row>
        <row r="398">
          <cell r="A398" t="str">
            <v>472472</v>
          </cell>
          <cell r="B398">
            <v>472</v>
          </cell>
        </row>
        <row r="399">
          <cell r="A399" t="str">
            <v>473473</v>
          </cell>
          <cell r="B399">
            <v>473</v>
          </cell>
        </row>
        <row r="400">
          <cell r="A400" t="str">
            <v>474474</v>
          </cell>
          <cell r="B400">
            <v>474</v>
          </cell>
        </row>
        <row r="401">
          <cell r="A401" t="str">
            <v>475475</v>
          </cell>
          <cell r="B401">
            <v>475</v>
          </cell>
        </row>
        <row r="402">
          <cell r="A402" t="str">
            <v>476476</v>
          </cell>
          <cell r="B402">
            <v>476</v>
          </cell>
        </row>
        <row r="403">
          <cell r="A403" t="str">
            <v>477477</v>
          </cell>
          <cell r="B403">
            <v>477</v>
          </cell>
        </row>
        <row r="404">
          <cell r="A404" t="str">
            <v>478478</v>
          </cell>
          <cell r="B404">
            <v>478</v>
          </cell>
        </row>
        <row r="405">
          <cell r="A405" t="str">
            <v>479479</v>
          </cell>
          <cell r="B405">
            <v>479</v>
          </cell>
        </row>
        <row r="406">
          <cell r="A406" t="str">
            <v>480480</v>
          </cell>
          <cell r="B406">
            <v>480</v>
          </cell>
        </row>
        <row r="407">
          <cell r="A407" t="str">
            <v>481481</v>
          </cell>
          <cell r="B407">
            <v>481</v>
          </cell>
        </row>
        <row r="408">
          <cell r="A408" t="str">
            <v>482482</v>
          </cell>
          <cell r="B408">
            <v>482</v>
          </cell>
        </row>
        <row r="409">
          <cell r="A409" t="str">
            <v>483483</v>
          </cell>
          <cell r="B409">
            <v>483</v>
          </cell>
        </row>
        <row r="410">
          <cell r="A410" t="str">
            <v>484484</v>
          </cell>
          <cell r="B410">
            <v>484</v>
          </cell>
        </row>
        <row r="411">
          <cell r="A411" t="str">
            <v>485485</v>
          </cell>
          <cell r="B411">
            <v>485</v>
          </cell>
        </row>
        <row r="412">
          <cell r="A412" t="str">
            <v>486486</v>
          </cell>
          <cell r="B412">
            <v>486</v>
          </cell>
        </row>
        <row r="413">
          <cell r="A413" t="str">
            <v>487487</v>
          </cell>
          <cell r="B413">
            <v>487</v>
          </cell>
        </row>
        <row r="414">
          <cell r="A414" t="str">
            <v>488488</v>
          </cell>
          <cell r="B414">
            <v>488</v>
          </cell>
        </row>
        <row r="415">
          <cell r="A415" t="str">
            <v>489489</v>
          </cell>
          <cell r="B415">
            <v>489</v>
          </cell>
        </row>
        <row r="416">
          <cell r="A416" t="str">
            <v>73087308</v>
          </cell>
          <cell r="B416">
            <v>7308</v>
          </cell>
        </row>
        <row r="417">
          <cell r="A417" t="str">
            <v>73097309</v>
          </cell>
          <cell r="B417">
            <v>7309</v>
          </cell>
        </row>
        <row r="418">
          <cell r="A418" t="str">
            <v>73107310</v>
          </cell>
          <cell r="B418">
            <v>7310</v>
          </cell>
        </row>
        <row r="419">
          <cell r="A419" t="str">
            <v>490490</v>
          </cell>
          <cell r="B419">
            <v>490</v>
          </cell>
        </row>
        <row r="420">
          <cell r="A420" t="str">
            <v>491491</v>
          </cell>
          <cell r="B420">
            <v>491</v>
          </cell>
        </row>
        <row r="421">
          <cell r="A421" t="str">
            <v>492492</v>
          </cell>
          <cell r="B421">
            <v>492</v>
          </cell>
        </row>
        <row r="422">
          <cell r="A422" t="str">
            <v>493493</v>
          </cell>
          <cell r="B422">
            <v>493</v>
          </cell>
        </row>
        <row r="423">
          <cell r="A423" t="str">
            <v>494494</v>
          </cell>
          <cell r="B423">
            <v>494</v>
          </cell>
        </row>
        <row r="424">
          <cell r="A424" t="str">
            <v>495495</v>
          </cell>
          <cell r="B424">
            <v>495</v>
          </cell>
        </row>
        <row r="425">
          <cell r="A425" t="str">
            <v>496496</v>
          </cell>
          <cell r="B425">
            <v>496</v>
          </cell>
        </row>
        <row r="426">
          <cell r="A426" t="str">
            <v>497497</v>
          </cell>
          <cell r="B426">
            <v>497</v>
          </cell>
        </row>
        <row r="427">
          <cell r="A427" t="str">
            <v>498498</v>
          </cell>
          <cell r="B427">
            <v>498</v>
          </cell>
        </row>
        <row r="428">
          <cell r="A428" t="str">
            <v>499499</v>
          </cell>
          <cell r="B428">
            <v>499</v>
          </cell>
        </row>
        <row r="429">
          <cell r="A429" t="str">
            <v>500500</v>
          </cell>
          <cell r="B429">
            <v>500</v>
          </cell>
        </row>
        <row r="430">
          <cell r="A430" t="str">
            <v>501501</v>
          </cell>
          <cell r="B430">
            <v>501</v>
          </cell>
        </row>
        <row r="431">
          <cell r="A431" t="str">
            <v>502502</v>
          </cell>
          <cell r="B431">
            <v>502</v>
          </cell>
        </row>
        <row r="432">
          <cell r="A432" t="str">
            <v>503503</v>
          </cell>
          <cell r="B432">
            <v>503</v>
          </cell>
        </row>
        <row r="433">
          <cell r="A433" t="str">
            <v>504504</v>
          </cell>
          <cell r="B433">
            <v>504</v>
          </cell>
        </row>
        <row r="434">
          <cell r="A434" t="str">
            <v>505505</v>
          </cell>
          <cell r="B434">
            <v>505</v>
          </cell>
        </row>
        <row r="435">
          <cell r="A435" t="str">
            <v>506506</v>
          </cell>
          <cell r="B435">
            <v>506</v>
          </cell>
        </row>
        <row r="436">
          <cell r="A436" t="str">
            <v>507507</v>
          </cell>
          <cell r="B436">
            <v>507</v>
          </cell>
        </row>
        <row r="437">
          <cell r="A437" t="str">
            <v>508508</v>
          </cell>
          <cell r="B437">
            <v>508</v>
          </cell>
        </row>
        <row r="438">
          <cell r="A438" t="str">
            <v>509509</v>
          </cell>
          <cell r="B438">
            <v>509</v>
          </cell>
        </row>
        <row r="439">
          <cell r="A439" t="str">
            <v>510510</v>
          </cell>
          <cell r="B439">
            <v>510</v>
          </cell>
        </row>
        <row r="440">
          <cell r="A440" t="str">
            <v>511511</v>
          </cell>
          <cell r="B440">
            <v>511</v>
          </cell>
        </row>
        <row r="441">
          <cell r="A441" t="str">
            <v>512512</v>
          </cell>
          <cell r="B441">
            <v>512</v>
          </cell>
        </row>
        <row r="442">
          <cell r="A442" t="str">
            <v>513513</v>
          </cell>
          <cell r="B442">
            <v>513</v>
          </cell>
        </row>
        <row r="443">
          <cell r="A443" t="str">
            <v>514514</v>
          </cell>
          <cell r="B443">
            <v>514</v>
          </cell>
        </row>
        <row r="444">
          <cell r="A444" t="str">
            <v>515515</v>
          </cell>
          <cell r="B444">
            <v>515</v>
          </cell>
        </row>
        <row r="445">
          <cell r="A445" t="str">
            <v>516516</v>
          </cell>
          <cell r="B445">
            <v>516</v>
          </cell>
        </row>
        <row r="446">
          <cell r="A446" t="str">
            <v>517517</v>
          </cell>
          <cell r="B446">
            <v>517</v>
          </cell>
        </row>
        <row r="447">
          <cell r="A447" t="str">
            <v>518518</v>
          </cell>
          <cell r="B447">
            <v>518</v>
          </cell>
        </row>
        <row r="448">
          <cell r="A448" t="str">
            <v>519519</v>
          </cell>
          <cell r="B448">
            <v>519</v>
          </cell>
        </row>
        <row r="449">
          <cell r="A449" t="str">
            <v>73117311</v>
          </cell>
          <cell r="B449">
            <v>7311</v>
          </cell>
        </row>
        <row r="450">
          <cell r="A450" t="str">
            <v>520520</v>
          </cell>
          <cell r="B450">
            <v>520</v>
          </cell>
        </row>
        <row r="451">
          <cell r="A451" t="str">
            <v>521521</v>
          </cell>
          <cell r="B451">
            <v>521</v>
          </cell>
        </row>
        <row r="452">
          <cell r="A452" t="str">
            <v>522522</v>
          </cell>
          <cell r="B452">
            <v>522</v>
          </cell>
        </row>
        <row r="453">
          <cell r="A453" t="str">
            <v>523523</v>
          </cell>
          <cell r="B453">
            <v>523</v>
          </cell>
        </row>
        <row r="454">
          <cell r="A454" t="str">
            <v>524524</v>
          </cell>
          <cell r="B454">
            <v>524</v>
          </cell>
        </row>
        <row r="455">
          <cell r="A455" t="str">
            <v>525525</v>
          </cell>
          <cell r="B455">
            <v>525</v>
          </cell>
        </row>
        <row r="456">
          <cell r="A456" t="str">
            <v>526526</v>
          </cell>
          <cell r="B456">
            <v>526</v>
          </cell>
        </row>
        <row r="457">
          <cell r="A457" t="str">
            <v>527527</v>
          </cell>
          <cell r="B457">
            <v>527</v>
          </cell>
        </row>
        <row r="458">
          <cell r="A458" t="str">
            <v>528528</v>
          </cell>
          <cell r="B458">
            <v>528</v>
          </cell>
        </row>
        <row r="459">
          <cell r="A459" t="str">
            <v>529529</v>
          </cell>
          <cell r="B459">
            <v>529</v>
          </cell>
        </row>
        <row r="460">
          <cell r="A460" t="str">
            <v>530530</v>
          </cell>
          <cell r="B460">
            <v>530</v>
          </cell>
        </row>
        <row r="461">
          <cell r="A461" t="str">
            <v>531531</v>
          </cell>
          <cell r="B461">
            <v>531</v>
          </cell>
        </row>
        <row r="462">
          <cell r="A462" t="str">
            <v>532532</v>
          </cell>
          <cell r="B462">
            <v>532</v>
          </cell>
        </row>
        <row r="463">
          <cell r="A463" t="str">
            <v>533533</v>
          </cell>
          <cell r="B463">
            <v>533</v>
          </cell>
        </row>
        <row r="464">
          <cell r="A464" t="str">
            <v>534534</v>
          </cell>
          <cell r="B464">
            <v>534</v>
          </cell>
        </row>
        <row r="465">
          <cell r="A465" t="str">
            <v>535535</v>
          </cell>
          <cell r="B465">
            <v>535</v>
          </cell>
        </row>
        <row r="466">
          <cell r="A466" t="str">
            <v>536536</v>
          </cell>
          <cell r="B466">
            <v>536</v>
          </cell>
        </row>
        <row r="467">
          <cell r="A467" t="str">
            <v>537537</v>
          </cell>
          <cell r="B467">
            <v>537</v>
          </cell>
        </row>
        <row r="468">
          <cell r="A468" t="str">
            <v>538538</v>
          </cell>
          <cell r="B468">
            <v>538</v>
          </cell>
        </row>
        <row r="469">
          <cell r="A469" t="str">
            <v>73127312</v>
          </cell>
          <cell r="B469">
            <v>7312</v>
          </cell>
        </row>
        <row r="470">
          <cell r="A470" t="str">
            <v>70307030</v>
          </cell>
          <cell r="B470">
            <v>7030</v>
          </cell>
        </row>
        <row r="471">
          <cell r="A471" t="str">
            <v>70317031</v>
          </cell>
          <cell r="B471">
            <v>7031</v>
          </cell>
        </row>
        <row r="472">
          <cell r="A472" t="str">
            <v>70327032</v>
          </cell>
          <cell r="B472">
            <v>7032</v>
          </cell>
        </row>
        <row r="473">
          <cell r="A473" t="str">
            <v>70337033</v>
          </cell>
          <cell r="B473">
            <v>7033</v>
          </cell>
        </row>
        <row r="474">
          <cell r="A474" t="str">
            <v>70347034</v>
          </cell>
          <cell r="B474">
            <v>7034</v>
          </cell>
        </row>
        <row r="475">
          <cell r="A475" t="str">
            <v>73137313</v>
          </cell>
          <cell r="B475">
            <v>7313</v>
          </cell>
        </row>
        <row r="476">
          <cell r="A476" t="str">
            <v>73147314</v>
          </cell>
          <cell r="B476">
            <v>7314</v>
          </cell>
        </row>
        <row r="477">
          <cell r="A477" t="str">
            <v>73157315</v>
          </cell>
          <cell r="B477">
            <v>7315</v>
          </cell>
        </row>
        <row r="478">
          <cell r="A478" t="str">
            <v>73167316</v>
          </cell>
          <cell r="B478">
            <v>7316</v>
          </cell>
        </row>
        <row r="479">
          <cell r="A479" t="str">
            <v>73177317</v>
          </cell>
          <cell r="B479">
            <v>7317</v>
          </cell>
        </row>
        <row r="480">
          <cell r="A480" t="str">
            <v>73187318</v>
          </cell>
          <cell r="B480">
            <v>7318</v>
          </cell>
        </row>
        <row r="481">
          <cell r="A481" t="str">
            <v>539539</v>
          </cell>
          <cell r="B481">
            <v>539</v>
          </cell>
        </row>
        <row r="482">
          <cell r="A482" t="str">
            <v>540540</v>
          </cell>
          <cell r="B482">
            <v>540</v>
          </cell>
        </row>
        <row r="483">
          <cell r="A483" t="str">
            <v>541541</v>
          </cell>
          <cell r="B483">
            <v>541</v>
          </cell>
        </row>
        <row r="484">
          <cell r="A484" t="str">
            <v>542542</v>
          </cell>
          <cell r="B484">
            <v>542</v>
          </cell>
        </row>
        <row r="485">
          <cell r="A485" t="str">
            <v>543543</v>
          </cell>
          <cell r="B485">
            <v>543</v>
          </cell>
        </row>
        <row r="486">
          <cell r="A486" t="str">
            <v>544544</v>
          </cell>
          <cell r="B486">
            <v>544</v>
          </cell>
        </row>
        <row r="487">
          <cell r="A487" t="str">
            <v>545545</v>
          </cell>
          <cell r="B487">
            <v>545</v>
          </cell>
        </row>
        <row r="488">
          <cell r="A488" t="str">
            <v>546546</v>
          </cell>
          <cell r="B488">
            <v>546</v>
          </cell>
        </row>
        <row r="489">
          <cell r="A489" t="str">
            <v>547547</v>
          </cell>
          <cell r="B489">
            <v>547</v>
          </cell>
        </row>
        <row r="490">
          <cell r="A490" t="str">
            <v>548548</v>
          </cell>
          <cell r="B490">
            <v>548</v>
          </cell>
        </row>
        <row r="491">
          <cell r="A491" t="str">
            <v>549549</v>
          </cell>
          <cell r="B491">
            <v>549</v>
          </cell>
        </row>
        <row r="492">
          <cell r="A492" t="str">
            <v>550550</v>
          </cell>
          <cell r="B492">
            <v>550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periods"/>
      <sheetName val="periods.csv"/>
    </sheetNames>
    <sheetDataSet>
      <sheetData sheetId="0"/>
      <sheetData sheetId="1"/>
      <sheetData sheetId="2">
        <row r="1">
          <cell r="A1" t="str">
            <v>period_id</v>
          </cell>
          <cell r="B1" t="str">
            <v>start_date</v>
          </cell>
          <cell r="C1" t="str">
            <v>end_date</v>
          </cell>
          <cell r="D1" t="str">
            <v>内容</v>
          </cell>
        </row>
        <row r="2">
          <cell r="A2">
            <v>0</v>
          </cell>
          <cell r="B2" t="str">
            <v>2015-03-27 00:00:00</v>
          </cell>
        </row>
        <row r="3">
          <cell r="A3">
            <v>5010</v>
          </cell>
          <cell r="B3" t="str">
            <v>2015-03-01 09:00:00</v>
          </cell>
        </row>
        <row r="4">
          <cell r="A4">
            <v>5011</v>
          </cell>
          <cell r="B4" t="str">
            <v>2500-08-20 15:00:00</v>
          </cell>
        </row>
        <row r="5">
          <cell r="A5">
            <v>5020</v>
          </cell>
          <cell r="B5" t="str">
            <v>2015-09-02 15:00:00</v>
          </cell>
        </row>
        <row r="6">
          <cell r="A6">
            <v>5021</v>
          </cell>
          <cell r="B6" t="str">
            <v>2015-08-28 15:00:00</v>
          </cell>
        </row>
        <row r="7">
          <cell r="A7">
            <v>5022</v>
          </cell>
          <cell r="B7" t="str">
            <v>2015-09-11 15:00:00</v>
          </cell>
        </row>
        <row r="8">
          <cell r="A8">
            <v>5023</v>
          </cell>
          <cell r="B8" t="str">
            <v>2015-09-14 00:00:00</v>
          </cell>
        </row>
        <row r="9">
          <cell r="A9">
            <v>5024</v>
          </cell>
          <cell r="B9" t="str">
            <v>2015-09-15 00:00:00</v>
          </cell>
        </row>
        <row r="10">
          <cell r="A10">
            <v>5025</v>
          </cell>
          <cell r="B10" t="str">
            <v>2015-09-15 15:00:00</v>
          </cell>
        </row>
        <row r="11">
          <cell r="A11">
            <v>5026</v>
          </cell>
          <cell r="B11" t="str">
            <v>2015-09-16 15:00:00</v>
          </cell>
        </row>
        <row r="12">
          <cell r="A12">
            <v>5027</v>
          </cell>
          <cell r="B12" t="str">
            <v>2015-09-26 15:00:00</v>
          </cell>
        </row>
        <row r="13">
          <cell r="A13">
            <v>5033</v>
          </cell>
          <cell r="B13" t="str">
            <v>2015-09-28 00:00:00</v>
          </cell>
        </row>
        <row r="14">
          <cell r="A14">
            <v>5028</v>
          </cell>
          <cell r="B14" t="str">
            <v>2015-09-27 00:00:00</v>
          </cell>
        </row>
        <row r="15">
          <cell r="A15">
            <v>5029</v>
          </cell>
          <cell r="B15" t="str">
            <v>2015-09-28 15:00:00</v>
          </cell>
        </row>
        <row r="16">
          <cell r="A16">
            <v>5030</v>
          </cell>
          <cell r="B16" t="str">
            <v>2015-09-22 15:00:00</v>
          </cell>
        </row>
        <row r="17">
          <cell r="A17">
            <v>5031</v>
          </cell>
          <cell r="B17" t="str">
            <v>2015-09-24 00:00:00</v>
          </cell>
        </row>
        <row r="18">
          <cell r="A18">
            <v>5032</v>
          </cell>
          <cell r="B18" t="str">
            <v>2015-09-25 00:00:00</v>
          </cell>
        </row>
        <row r="19">
          <cell r="A19">
            <v>5034</v>
          </cell>
          <cell r="B19" t="str">
            <v>2015-09-25 15:00:00</v>
          </cell>
        </row>
        <row r="20">
          <cell r="A20">
            <v>5035</v>
          </cell>
          <cell r="B20" t="str">
            <v>2015-09-30 15:00:00</v>
          </cell>
        </row>
        <row r="21">
          <cell r="A21">
            <v>5036</v>
          </cell>
          <cell r="B21" t="str">
            <v>2015-10-05 15:00:00</v>
          </cell>
        </row>
        <row r="22">
          <cell r="A22">
            <v>5037</v>
          </cell>
          <cell r="B22" t="str">
            <v>2015-10-06 00:00:00</v>
          </cell>
        </row>
        <row r="23">
          <cell r="A23">
            <v>5038</v>
          </cell>
          <cell r="B23" t="str">
            <v>2015-10-07 00:00:00</v>
          </cell>
        </row>
        <row r="24">
          <cell r="A24">
            <v>5039</v>
          </cell>
          <cell r="B24" t="str">
            <v>2015-10-08 15:00:00</v>
          </cell>
        </row>
        <row r="25">
          <cell r="A25">
            <v>5040</v>
          </cell>
          <cell r="B25" t="str">
            <v>2015-10-10 15:00:00</v>
          </cell>
        </row>
        <row r="26">
          <cell r="A26">
            <v>5041</v>
          </cell>
          <cell r="B26" t="str">
            <v>2015-10-12 00:00:00</v>
          </cell>
        </row>
        <row r="27">
          <cell r="A27">
            <v>5042</v>
          </cell>
          <cell r="B27" t="str">
            <v>2015-10-13 00:00:00</v>
          </cell>
        </row>
        <row r="28">
          <cell r="A28">
            <v>5043</v>
          </cell>
          <cell r="B28" t="str">
            <v>2015-10-12 15:00:00</v>
          </cell>
        </row>
        <row r="29">
          <cell r="A29">
            <v>5044</v>
          </cell>
          <cell r="B29" t="str">
            <v>2015-10-04 00:00:00</v>
          </cell>
        </row>
        <row r="30">
          <cell r="A30">
            <v>5045</v>
          </cell>
          <cell r="B30" t="str">
            <v>2015-10-05 00:00:00</v>
          </cell>
        </row>
        <row r="31">
          <cell r="A31">
            <v>5046</v>
          </cell>
          <cell r="B31" t="str">
            <v>2015-10-07 15:00:00</v>
          </cell>
        </row>
        <row r="32">
          <cell r="A32">
            <v>5047</v>
          </cell>
          <cell r="B32" t="str">
            <v>2015-10-09 00:00:00</v>
          </cell>
        </row>
        <row r="33">
          <cell r="A33">
            <v>5048</v>
          </cell>
          <cell r="B33" t="str">
            <v>2015-10-10 00:00:00</v>
          </cell>
        </row>
        <row r="34">
          <cell r="A34">
            <v>5049</v>
          </cell>
          <cell r="B34" t="str">
            <v>2015-10-13 15:00:00</v>
          </cell>
        </row>
        <row r="35">
          <cell r="A35">
            <v>5050</v>
          </cell>
          <cell r="B35" t="str">
            <v>2015-10-15 00:00:00</v>
          </cell>
        </row>
        <row r="36">
          <cell r="A36">
            <v>5051</v>
          </cell>
          <cell r="B36" t="str">
            <v>2015-10-16 00:00:00</v>
          </cell>
        </row>
        <row r="37">
          <cell r="A37">
            <v>5052</v>
          </cell>
          <cell r="B37" t="str">
            <v>2015-10-16 15:00:00</v>
          </cell>
        </row>
        <row r="38">
          <cell r="A38">
            <v>5053</v>
          </cell>
          <cell r="B38" t="str">
            <v>2015-10-18 00:00:00</v>
          </cell>
        </row>
        <row r="39">
          <cell r="A39">
            <v>5054</v>
          </cell>
          <cell r="B39" t="str">
            <v>2015-10-19 00:00:00</v>
          </cell>
        </row>
        <row r="40">
          <cell r="A40">
            <v>5055</v>
          </cell>
          <cell r="B40" t="str">
            <v>2015-10-19 15:00:00</v>
          </cell>
        </row>
        <row r="41">
          <cell r="A41">
            <v>5056</v>
          </cell>
          <cell r="B41" t="str">
            <v>2015-10-22 00:00:00</v>
          </cell>
        </row>
        <row r="42">
          <cell r="A42">
            <v>5057</v>
          </cell>
          <cell r="B42" t="str">
            <v>2015-10-23 00:00:00</v>
          </cell>
        </row>
        <row r="43">
          <cell r="A43">
            <v>5058</v>
          </cell>
          <cell r="B43" t="str">
            <v>2015-10-23 15:00:00</v>
          </cell>
        </row>
        <row r="44">
          <cell r="A44">
            <v>5059</v>
          </cell>
          <cell r="B44" t="str">
            <v>2015-10-28 00:00:00</v>
          </cell>
        </row>
        <row r="45">
          <cell r="A45">
            <v>5060</v>
          </cell>
          <cell r="B45" t="str">
            <v>2015-10-28 15:00:00</v>
          </cell>
        </row>
        <row r="46">
          <cell r="A46">
            <v>5061</v>
          </cell>
          <cell r="B46" t="str">
            <v>2015-10-31 00:00:00</v>
          </cell>
        </row>
        <row r="47">
          <cell r="A47">
            <v>5062</v>
          </cell>
          <cell r="B47" t="str">
            <v>2015-11-02 15:00:00</v>
          </cell>
        </row>
        <row r="48">
          <cell r="A48">
            <v>5063</v>
          </cell>
          <cell r="B48" t="str">
            <v>2015-11-08 00:00:00</v>
          </cell>
        </row>
        <row r="49">
          <cell r="A49">
            <v>5064</v>
          </cell>
          <cell r="B49" t="str">
            <v>2015-11-08 15:00:00</v>
          </cell>
        </row>
        <row r="50">
          <cell r="A50">
            <v>5065</v>
          </cell>
          <cell r="B50" t="str">
            <v>2015-10-31 15:00:00</v>
          </cell>
        </row>
        <row r="51">
          <cell r="A51">
            <v>5066</v>
          </cell>
          <cell r="B51" t="str">
            <v>2015-11-06 15:00:00</v>
          </cell>
        </row>
        <row r="52">
          <cell r="A52">
            <v>5067</v>
          </cell>
          <cell r="B52" t="str">
            <v>2015-11-13 15:00:00</v>
          </cell>
        </row>
        <row r="53">
          <cell r="A53">
            <v>5068</v>
          </cell>
          <cell r="B53" t="str">
            <v>2015-11-26 10:55:00</v>
          </cell>
        </row>
        <row r="54">
          <cell r="A54">
            <v>5069</v>
          </cell>
          <cell r="B54" t="str">
            <v>2015-11-19 15:00:00</v>
          </cell>
        </row>
        <row r="55">
          <cell r="A55">
            <v>5070</v>
          </cell>
          <cell r="B55" t="str">
            <v>2015-11-20 15:00:00</v>
          </cell>
        </row>
        <row r="56">
          <cell r="A56">
            <v>5071</v>
          </cell>
          <cell r="B56" t="str">
            <v>2015-11-30 15:00:00</v>
          </cell>
        </row>
        <row r="57">
          <cell r="A57">
            <v>5072</v>
          </cell>
          <cell r="B57" t="str">
            <v>2015-12-03 15:00:00</v>
          </cell>
        </row>
        <row r="58">
          <cell r="A58">
            <v>5073</v>
          </cell>
          <cell r="B58" t="str">
            <v>2015-12-04 15:00:00</v>
          </cell>
        </row>
        <row r="59">
          <cell r="A59">
            <v>5074</v>
          </cell>
          <cell r="B59" t="str">
            <v>2015-12-07 15:00:00</v>
          </cell>
        </row>
        <row r="60">
          <cell r="A60">
            <v>5075</v>
          </cell>
          <cell r="B60" t="str">
            <v>2015-12-11 15:00:00</v>
          </cell>
        </row>
        <row r="61">
          <cell r="A61">
            <v>5076</v>
          </cell>
          <cell r="B61" t="str">
            <v>2015-12-11 15:00:00</v>
          </cell>
        </row>
        <row r="62">
          <cell r="A62">
            <v>5077</v>
          </cell>
          <cell r="B62" t="str">
            <v>2015-12-16 15:00:00</v>
          </cell>
        </row>
        <row r="63">
          <cell r="A63">
            <v>5078</v>
          </cell>
          <cell r="B63" t="str">
            <v>2015-12-14 15:00:00</v>
          </cell>
        </row>
        <row r="64">
          <cell r="A64">
            <v>5079</v>
          </cell>
          <cell r="B64" t="str">
            <v>2015-12-18 15:00:00</v>
          </cell>
        </row>
        <row r="65">
          <cell r="A65">
            <v>5080</v>
          </cell>
          <cell r="B65" t="str">
            <v>2015-12-21 15:00:00</v>
          </cell>
        </row>
        <row r="66">
          <cell r="A66">
            <v>5081</v>
          </cell>
          <cell r="B66" t="str">
            <v>2015-12-25 15:00:00</v>
          </cell>
        </row>
        <row r="67">
          <cell r="A67">
            <v>5082</v>
          </cell>
          <cell r="B67" t="str">
            <v>2015-12-25 15:00:00</v>
          </cell>
        </row>
        <row r="68">
          <cell r="A68">
            <v>5083</v>
          </cell>
          <cell r="B68" t="str">
            <v>2015-12-31 15:00:00</v>
          </cell>
        </row>
        <row r="69">
          <cell r="A69">
            <v>5084</v>
          </cell>
          <cell r="B69" t="str">
            <v>2016-01-01 15:00:00</v>
          </cell>
        </row>
        <row r="70">
          <cell r="A70">
            <v>5085</v>
          </cell>
          <cell r="B70" t="str">
            <v>2016-01-02 15:00:00</v>
          </cell>
        </row>
        <row r="71">
          <cell r="A71">
            <v>5000</v>
          </cell>
          <cell r="B71" t="str">
            <v>2015-11-24 15:00:00</v>
          </cell>
        </row>
        <row r="72">
          <cell r="A72">
            <v>5001</v>
          </cell>
          <cell r="B72" t="str">
            <v>2015-12-21 15:00:00</v>
          </cell>
        </row>
        <row r="73">
          <cell r="A73">
            <v>5999</v>
          </cell>
          <cell r="B73" t="str">
            <v>2015-10-08 00:00:00</v>
          </cell>
        </row>
        <row r="74">
          <cell r="A74">
            <v>6000</v>
          </cell>
          <cell r="B74" t="str">
            <v>2100-01-01 00:00:00</v>
          </cell>
        </row>
        <row r="75">
          <cell r="A75">
            <v>11</v>
          </cell>
          <cell r="B75" t="str">
            <v>2015-11-25 15:00:00</v>
          </cell>
        </row>
        <row r="76">
          <cell r="A76">
            <v>12</v>
          </cell>
          <cell r="B76" t="str">
            <v>2015-12-06 15:00:00</v>
          </cell>
        </row>
        <row r="77">
          <cell r="A77">
            <v>13</v>
          </cell>
          <cell r="B77" t="str">
            <v>2015-12-07 15:00:00</v>
          </cell>
        </row>
        <row r="78">
          <cell r="A78">
            <v>14</v>
          </cell>
          <cell r="B78" t="str">
            <v>2015-11-22 15:00:00</v>
          </cell>
        </row>
        <row r="79">
          <cell r="A79">
            <v>15</v>
          </cell>
          <cell r="B79" t="str">
            <v>2014-12-01 15:00:00</v>
          </cell>
        </row>
        <row r="80">
          <cell r="A80">
            <v>16</v>
          </cell>
          <cell r="B80" t="str">
            <v>2015-11-29 15:00:00</v>
          </cell>
        </row>
        <row r="81">
          <cell r="A81">
            <v>17</v>
          </cell>
          <cell r="B81" t="str">
            <v>2015-12-10 15:00:00</v>
          </cell>
        </row>
        <row r="82">
          <cell r="A82">
            <v>18</v>
          </cell>
          <cell r="B82" t="str">
            <v>2015-12-10 15:00:00</v>
          </cell>
        </row>
        <row r="83">
          <cell r="A83">
            <v>19</v>
          </cell>
          <cell r="B83" t="str">
            <v>2015-12-05 15:00:00</v>
          </cell>
        </row>
        <row r="84">
          <cell r="A84">
            <v>20</v>
          </cell>
          <cell r="B84" t="str">
            <v>2015-07-31 15:00:00</v>
          </cell>
        </row>
        <row r="85">
          <cell r="A85">
            <v>21</v>
          </cell>
          <cell r="B85" t="str">
            <v>2015-08-02 06:00:00</v>
          </cell>
        </row>
        <row r="86">
          <cell r="A86">
            <v>22</v>
          </cell>
          <cell r="B86" t="str">
            <v>2015-08-07 15:00:00</v>
          </cell>
        </row>
        <row r="87">
          <cell r="A87">
            <v>23</v>
          </cell>
          <cell r="B87" t="str">
            <v>2015-08-09 06:00:00</v>
          </cell>
        </row>
        <row r="88">
          <cell r="A88">
            <v>24</v>
          </cell>
          <cell r="B88" t="str">
            <v>2015-08-15 15:00:00</v>
          </cell>
        </row>
        <row r="89">
          <cell r="A89">
            <v>25</v>
          </cell>
          <cell r="B89" t="str">
            <v>2015-08-17 06:00:00</v>
          </cell>
        </row>
        <row r="90">
          <cell r="A90">
            <v>26</v>
          </cell>
          <cell r="B90" t="str">
            <v>2015-08-22 15:00:00</v>
          </cell>
        </row>
        <row r="91">
          <cell r="A91">
            <v>27</v>
          </cell>
          <cell r="B91" t="str">
            <v>2015-08-24 06:00:00</v>
          </cell>
        </row>
        <row r="92">
          <cell r="A92">
            <v>28</v>
          </cell>
          <cell r="B92" t="str">
            <v>2015-08-03 12:00:00</v>
          </cell>
        </row>
        <row r="93">
          <cell r="A93">
            <v>29</v>
          </cell>
          <cell r="B93" t="str">
            <v>2015-08-05 12:00:00</v>
          </cell>
        </row>
        <row r="94">
          <cell r="A94">
            <v>30</v>
          </cell>
          <cell r="B94" t="str">
            <v>2015-08-12 12:00:00</v>
          </cell>
        </row>
        <row r="95">
          <cell r="A95">
            <v>31</v>
          </cell>
          <cell r="B95" t="str">
            <v>2015-08-14 12:00:00</v>
          </cell>
        </row>
        <row r="96">
          <cell r="A96">
            <v>32</v>
          </cell>
          <cell r="B96" t="str">
            <v>2015-08-19 12:00:00</v>
          </cell>
        </row>
        <row r="97">
          <cell r="A97">
            <v>33</v>
          </cell>
          <cell r="B97" t="str">
            <v>2015-08-21 12:00:00</v>
          </cell>
        </row>
        <row r="98">
          <cell r="A98">
            <v>34</v>
          </cell>
          <cell r="B98" t="str">
            <v>2015-08-26 12:00:00</v>
          </cell>
        </row>
        <row r="99">
          <cell r="A99">
            <v>35</v>
          </cell>
          <cell r="B99" t="str">
            <v>2015-08-28 12:00:00</v>
          </cell>
        </row>
        <row r="100">
          <cell r="A100">
            <v>100</v>
          </cell>
          <cell r="B100" t="str">
            <v>2015-12-03 15:00:00</v>
          </cell>
        </row>
        <row r="101">
          <cell r="A101">
            <v>101</v>
          </cell>
          <cell r="B101" t="str">
            <v>2015-08-30 15:00:00</v>
          </cell>
        </row>
        <row r="102">
          <cell r="A102">
            <v>102</v>
          </cell>
          <cell r="B102" t="str">
            <v>2015-09-02 06:00:00</v>
          </cell>
        </row>
        <row r="103">
          <cell r="A103">
            <v>110</v>
          </cell>
          <cell r="B103" t="str">
            <v>2015-11-30 15:00:00</v>
          </cell>
        </row>
        <row r="104">
          <cell r="A104">
            <v>111</v>
          </cell>
          <cell r="B104" t="str">
            <v>2015-09-12 15:00:00</v>
          </cell>
        </row>
        <row r="105">
          <cell r="A105">
            <v>112</v>
          </cell>
          <cell r="B105" t="str">
            <v>2015-09-15 06:00:00</v>
          </cell>
        </row>
        <row r="106">
          <cell r="A106">
            <v>120</v>
          </cell>
          <cell r="B106" t="str">
            <v>2015-11-29 15:00:00</v>
          </cell>
        </row>
        <row r="107">
          <cell r="A107">
            <v>121</v>
          </cell>
          <cell r="B107" t="str">
            <v>2015-09-26 15:00:00</v>
          </cell>
        </row>
        <row r="108">
          <cell r="A108">
            <v>122</v>
          </cell>
          <cell r="B108" t="str">
            <v>2015-09-29 06:00:00</v>
          </cell>
        </row>
        <row r="109">
          <cell r="A109">
            <v>130</v>
          </cell>
          <cell r="B109" t="str">
            <v>2015-12-04 15:00:00</v>
          </cell>
        </row>
        <row r="110">
          <cell r="A110">
            <v>131</v>
          </cell>
          <cell r="B110" t="str">
            <v>2015-10-11 15:00:00</v>
          </cell>
        </row>
        <row r="111">
          <cell r="A111">
            <v>132</v>
          </cell>
          <cell r="B111" t="str">
            <v>2015-10-14 06:00:00</v>
          </cell>
        </row>
        <row r="112">
          <cell r="A112">
            <v>140</v>
          </cell>
          <cell r="B112" t="str">
            <v>2015-12-08 15:00:00</v>
          </cell>
        </row>
        <row r="113">
          <cell r="A113">
            <v>141</v>
          </cell>
          <cell r="B113" t="str">
            <v>2015-09-04 15:00:00</v>
          </cell>
        </row>
        <row r="114">
          <cell r="A114">
            <v>142</v>
          </cell>
          <cell r="B114" t="str">
            <v>2015-09-07 12:00:00</v>
          </cell>
        </row>
        <row r="115">
          <cell r="A115">
            <v>150</v>
          </cell>
          <cell r="B115" t="str">
            <v>2015-12-01 15:00:00</v>
          </cell>
        </row>
        <row r="116">
          <cell r="A116">
            <v>151</v>
          </cell>
          <cell r="B116" t="str">
            <v>2015-09-17 15:00:00</v>
          </cell>
        </row>
        <row r="117">
          <cell r="A117">
            <v>152</v>
          </cell>
          <cell r="B117" t="str">
            <v>2015-09-20 12:00:00</v>
          </cell>
        </row>
        <row r="118">
          <cell r="A118">
            <v>160</v>
          </cell>
          <cell r="B118" t="str">
            <v>2015-12-08 15:00:00</v>
          </cell>
        </row>
        <row r="119">
          <cell r="A119">
            <v>161</v>
          </cell>
          <cell r="B119" t="str">
            <v>2015-10-05 15:00:00</v>
          </cell>
        </row>
        <row r="120">
          <cell r="A120">
            <v>162</v>
          </cell>
          <cell r="B120" t="str">
            <v>2015-10-08 12:00:00</v>
          </cell>
        </row>
        <row r="121">
          <cell r="A121">
            <v>170</v>
          </cell>
          <cell r="B121" t="str">
            <v>2015-11-24 15:00:00</v>
          </cell>
        </row>
        <row r="122">
          <cell r="A122">
            <v>171</v>
          </cell>
          <cell r="B122" t="str">
            <v>2015-09-30 15:00:00</v>
          </cell>
        </row>
        <row r="123">
          <cell r="A123">
            <v>172</v>
          </cell>
          <cell r="B123" t="str">
            <v>2015-10-03 12:00:00</v>
          </cell>
        </row>
        <row r="124">
          <cell r="A124">
            <v>180</v>
          </cell>
          <cell r="B124" t="str">
            <v>2015-10-12 15:00:00</v>
          </cell>
        </row>
        <row r="125">
          <cell r="A125">
            <v>190</v>
          </cell>
          <cell r="B125" t="str">
            <v>2015-12-01 15:00:00</v>
          </cell>
        </row>
        <row r="126">
          <cell r="A126">
            <v>200</v>
          </cell>
          <cell r="B126" t="str">
            <v>2015-11-27 15:00:00</v>
          </cell>
        </row>
        <row r="127">
          <cell r="A127">
            <v>201</v>
          </cell>
          <cell r="B127" t="str">
            <v>2015-10-11 15:00:00</v>
          </cell>
        </row>
        <row r="128">
          <cell r="A128">
            <v>202</v>
          </cell>
          <cell r="B128" t="str">
            <v>2015-10-15 06:00:00</v>
          </cell>
        </row>
        <row r="129">
          <cell r="A129">
            <v>210</v>
          </cell>
          <cell r="B129" t="str">
            <v>2015-12-06 15:00:00</v>
          </cell>
        </row>
        <row r="130">
          <cell r="A130">
            <v>211</v>
          </cell>
          <cell r="B130" t="str">
            <v>2015-10-14 15:00:00</v>
          </cell>
        </row>
        <row r="131">
          <cell r="A131">
            <v>212</v>
          </cell>
          <cell r="B131" t="str">
            <v>2015-10-18 12:00:00</v>
          </cell>
        </row>
        <row r="132">
          <cell r="A132">
            <v>220</v>
          </cell>
          <cell r="B132" t="str">
            <v>2015-11-26 15:00:00</v>
          </cell>
        </row>
        <row r="133">
          <cell r="A133">
            <v>221</v>
          </cell>
          <cell r="B133" t="str">
            <v>2015-10-09 21:00:00</v>
          </cell>
        </row>
        <row r="134">
          <cell r="A134">
            <v>222</v>
          </cell>
          <cell r="B134" t="str">
            <v>2015-10-10 12:00:00</v>
          </cell>
        </row>
        <row r="135">
          <cell r="A135">
            <v>230</v>
          </cell>
          <cell r="B135" t="str">
            <v>2015-12-09 15:00:00</v>
          </cell>
        </row>
        <row r="136">
          <cell r="A136">
            <v>231</v>
          </cell>
          <cell r="B136" t="str">
            <v>2015-10-17 15:00:00</v>
          </cell>
        </row>
        <row r="137">
          <cell r="A137">
            <v>232</v>
          </cell>
          <cell r="B137" t="str">
            <v>2015-10-21 06:00:00</v>
          </cell>
        </row>
        <row r="138">
          <cell r="A138">
            <v>240</v>
          </cell>
          <cell r="B138" t="str">
            <v>2015-12-02 15:00:00</v>
          </cell>
        </row>
        <row r="139">
          <cell r="A139">
            <v>241</v>
          </cell>
          <cell r="B139" t="str">
            <v>2015-10-18 15:00:00</v>
          </cell>
        </row>
        <row r="140">
          <cell r="A140">
            <v>242</v>
          </cell>
          <cell r="B140" t="str">
            <v>2015-10-22 12:00:00</v>
          </cell>
        </row>
        <row r="141">
          <cell r="A141">
            <v>250</v>
          </cell>
          <cell r="B141" t="str">
            <v>2015-12-06 15:00:00</v>
          </cell>
        </row>
        <row r="142">
          <cell r="A142">
            <v>251</v>
          </cell>
          <cell r="B142" t="str">
            <v>2015-10-25 15:00:00</v>
          </cell>
        </row>
        <row r="143">
          <cell r="A143">
            <v>252</v>
          </cell>
          <cell r="B143" t="str">
            <v>2015-10-29 06:00:00</v>
          </cell>
        </row>
        <row r="144">
          <cell r="A144">
            <v>260</v>
          </cell>
          <cell r="B144" t="str">
            <v>2015-12-05 15:00:00</v>
          </cell>
        </row>
        <row r="145">
          <cell r="A145">
            <v>261</v>
          </cell>
          <cell r="B145" t="str">
            <v>2015-10-29 12:00:00</v>
          </cell>
        </row>
        <row r="146">
          <cell r="A146">
            <v>262</v>
          </cell>
          <cell r="B146" t="str">
            <v>2015-11-02 12:00:00</v>
          </cell>
        </row>
        <row r="147">
          <cell r="A147">
            <v>270</v>
          </cell>
          <cell r="B147" t="str">
            <v>2015-11-27 15:00:00</v>
          </cell>
        </row>
        <row r="148">
          <cell r="A148">
            <v>271</v>
          </cell>
          <cell r="B148" t="str">
            <v>2015-11-01 15:00:00</v>
          </cell>
        </row>
        <row r="149">
          <cell r="A149">
            <v>272</v>
          </cell>
          <cell r="B149" t="str">
            <v>2015-11-05 06:00:00</v>
          </cell>
        </row>
        <row r="150">
          <cell r="A150">
            <v>280</v>
          </cell>
          <cell r="B150" t="str">
            <v>2015-12-05 15:00:00</v>
          </cell>
        </row>
        <row r="151">
          <cell r="A151">
            <v>281</v>
          </cell>
          <cell r="B151" t="str">
            <v>2015-11-05 12:00:00</v>
          </cell>
        </row>
        <row r="152">
          <cell r="A152">
            <v>282</v>
          </cell>
          <cell r="B152" t="str">
            <v>2015-11-09 12:00:00</v>
          </cell>
        </row>
        <row r="153">
          <cell r="A153">
            <v>290</v>
          </cell>
          <cell r="B153" t="str">
            <v>2015-11-24 15:00:00</v>
          </cell>
        </row>
        <row r="154">
          <cell r="A154">
            <v>291</v>
          </cell>
          <cell r="B154" t="str">
            <v>2015-10-29 21:00:00</v>
          </cell>
        </row>
        <row r="155">
          <cell r="A155">
            <v>292</v>
          </cell>
          <cell r="B155" t="str">
            <v>2015-10-30 12:00:00</v>
          </cell>
        </row>
        <row r="156">
          <cell r="A156">
            <v>300</v>
          </cell>
          <cell r="B156" t="str">
            <v>2015-11-27 15:00:00</v>
          </cell>
        </row>
        <row r="157">
          <cell r="A157">
            <v>301</v>
          </cell>
          <cell r="B157" t="str">
            <v>2015-11-08 15:00:00</v>
          </cell>
        </row>
        <row r="158">
          <cell r="A158">
            <v>302</v>
          </cell>
          <cell r="B158" t="str">
            <v>2015-11-13 12:00:00</v>
          </cell>
        </row>
        <row r="159">
          <cell r="A159">
            <v>310</v>
          </cell>
          <cell r="B159" t="str">
            <v>2015-12-03 15:00:00</v>
          </cell>
        </row>
        <row r="160">
          <cell r="A160">
            <v>311</v>
          </cell>
          <cell r="B160" t="str">
            <v>2015-11-15 15:00:00</v>
          </cell>
        </row>
        <row r="161">
          <cell r="A161">
            <v>312</v>
          </cell>
          <cell r="B161" t="str">
            <v>2015-11-20 12:00:00</v>
          </cell>
        </row>
        <row r="162">
          <cell r="A162">
            <v>320</v>
          </cell>
          <cell r="B162" t="str">
            <v>2015-11-28 15:00:00</v>
          </cell>
        </row>
        <row r="163">
          <cell r="A163">
            <v>321</v>
          </cell>
          <cell r="B163" t="str">
            <v>2015-11-13 21:00:00</v>
          </cell>
        </row>
        <row r="164">
          <cell r="A164">
            <v>322</v>
          </cell>
          <cell r="B164" t="str">
            <v>2015-11-14 12:00:00</v>
          </cell>
        </row>
        <row r="165">
          <cell r="A165">
            <v>330</v>
          </cell>
          <cell r="B165" t="str">
            <v>2015-12-09 15:00:00</v>
          </cell>
        </row>
        <row r="166">
          <cell r="A166">
            <v>331</v>
          </cell>
          <cell r="B166" t="str">
            <v>2015-11-22 15:00:00</v>
          </cell>
        </row>
        <row r="167">
          <cell r="A167">
            <v>332</v>
          </cell>
          <cell r="B167" t="str">
            <v>2015-11-27 12:00:00</v>
          </cell>
        </row>
        <row r="168">
          <cell r="A168">
            <v>340</v>
          </cell>
          <cell r="B168" t="str">
            <v>2015-11-27 15:00:00</v>
          </cell>
        </row>
        <row r="169">
          <cell r="A169">
            <v>341</v>
          </cell>
          <cell r="B169" t="str">
            <v>2015-11-29 15:00:00</v>
          </cell>
        </row>
        <row r="170">
          <cell r="A170">
            <v>342</v>
          </cell>
          <cell r="B170" t="str">
            <v>2015-12-04 12:00:00</v>
          </cell>
        </row>
        <row r="171">
          <cell r="A171">
            <v>350</v>
          </cell>
          <cell r="B171" t="str">
            <v>2015-11-30 15:00:00</v>
          </cell>
        </row>
        <row r="172">
          <cell r="A172">
            <v>351</v>
          </cell>
          <cell r="B172" t="str">
            <v>2015-11-30 21:00:00</v>
          </cell>
        </row>
        <row r="173">
          <cell r="A173">
            <v>352</v>
          </cell>
          <cell r="B173" t="str">
            <v>2015-12-01 12:00:00</v>
          </cell>
        </row>
        <row r="174">
          <cell r="A174">
            <v>11101</v>
          </cell>
          <cell r="B174" t="str">
            <v>2015-09-11 15:00:00</v>
          </cell>
        </row>
        <row r="175">
          <cell r="A175">
            <v>11102</v>
          </cell>
          <cell r="B175" t="str">
            <v>2015-09-11 15:00:00</v>
          </cell>
        </row>
        <row r="176">
          <cell r="A176">
            <v>11103</v>
          </cell>
          <cell r="B176" t="str">
            <v>2015-09-11 15:00:00</v>
          </cell>
        </row>
        <row r="177">
          <cell r="A177">
            <v>11104</v>
          </cell>
          <cell r="B177" t="str">
            <v>2015-09-11 15:00:00</v>
          </cell>
        </row>
        <row r="178">
          <cell r="A178">
            <v>11105</v>
          </cell>
          <cell r="B178" t="str">
            <v>2015-09-14 15:00:00</v>
          </cell>
        </row>
        <row r="179">
          <cell r="A179">
            <v>11106</v>
          </cell>
          <cell r="B179" t="str">
            <v>2015-09-11 15:00:00</v>
          </cell>
        </row>
        <row r="180">
          <cell r="A180">
            <v>11206</v>
          </cell>
          <cell r="B180" t="str">
            <v>2015-09-14 00:00:00</v>
          </cell>
        </row>
        <row r="181">
          <cell r="A181">
            <v>11207</v>
          </cell>
          <cell r="B181" t="str">
            <v>2015-11-21 15:00:00</v>
          </cell>
        </row>
        <row r="182">
          <cell r="A182">
            <v>11208</v>
          </cell>
          <cell r="B182" t="str">
            <v>2015-09-26 15:00:00</v>
          </cell>
        </row>
        <row r="183">
          <cell r="A183">
            <v>11209</v>
          </cell>
          <cell r="B183" t="str">
            <v>2015-09-19 15:00:00</v>
          </cell>
        </row>
        <row r="184">
          <cell r="A184">
            <v>11210</v>
          </cell>
          <cell r="B184" t="str">
            <v>2015-09-19 15:00:00</v>
          </cell>
        </row>
        <row r="185">
          <cell r="A185">
            <v>11211</v>
          </cell>
          <cell r="B185" t="str">
            <v>2015-09-19 15:00:00</v>
          </cell>
        </row>
        <row r="186">
          <cell r="A186">
            <v>11212</v>
          </cell>
          <cell r="B186" t="str">
            <v>2015-09-19 15:00:00</v>
          </cell>
        </row>
        <row r="187">
          <cell r="A187">
            <v>11213</v>
          </cell>
          <cell r="B187" t="str">
            <v>2015-09-19 15:00:00</v>
          </cell>
        </row>
        <row r="188">
          <cell r="A188">
            <v>11214</v>
          </cell>
          <cell r="B188" t="str">
            <v>2015-09-21 15:00:00</v>
          </cell>
        </row>
        <row r="189">
          <cell r="A189">
            <v>11215</v>
          </cell>
          <cell r="B189" t="str">
            <v>2015-09-21 00:00:00</v>
          </cell>
        </row>
        <row r="190">
          <cell r="A190">
            <v>11216</v>
          </cell>
          <cell r="B190" t="str">
            <v>2015-09-19 00:00:00</v>
          </cell>
        </row>
        <row r="191">
          <cell r="A191">
            <v>11217</v>
          </cell>
          <cell r="B191" t="str">
            <v>2015-09-26 00:00:00</v>
          </cell>
        </row>
        <row r="192">
          <cell r="A192">
            <v>11218</v>
          </cell>
          <cell r="B192" t="str">
            <v>2015-11-16 15:00:00</v>
          </cell>
        </row>
        <row r="193">
          <cell r="A193">
            <v>11219</v>
          </cell>
          <cell r="B193" t="str">
            <v>2015-11-21 15:00:00</v>
          </cell>
        </row>
        <row r="194">
          <cell r="A194">
            <v>11220</v>
          </cell>
          <cell r="B194" t="str">
            <v>2015-11-28 15:00:00</v>
          </cell>
        </row>
        <row r="195">
          <cell r="A195">
            <v>11221</v>
          </cell>
          <cell r="B195" t="str">
            <v>2015-11-16 15:00:00</v>
          </cell>
        </row>
        <row r="196">
          <cell r="A196">
            <v>11222</v>
          </cell>
          <cell r="B196" t="str">
            <v>2015-11-16 15:00:00</v>
          </cell>
        </row>
        <row r="197">
          <cell r="A197">
            <v>11223</v>
          </cell>
          <cell r="B197" t="str">
            <v>2015-11-16 15:00:00</v>
          </cell>
        </row>
        <row r="198">
          <cell r="A198">
            <v>11224</v>
          </cell>
          <cell r="B198" t="str">
            <v>2015-11-16 15:00:00</v>
          </cell>
        </row>
        <row r="199">
          <cell r="A199">
            <v>11225</v>
          </cell>
          <cell r="B199" t="str">
            <v>2015-11-06 00:00:00</v>
          </cell>
        </row>
        <row r="200">
          <cell r="A200">
            <v>11226</v>
          </cell>
          <cell r="B200" t="str">
            <v>2015-11-06 18:00:00</v>
          </cell>
        </row>
        <row r="201">
          <cell r="A201">
            <v>1001</v>
          </cell>
          <cell r="B201" t="str">
            <v>2015-11-21 15:00:00</v>
          </cell>
        </row>
        <row r="202">
          <cell r="A202">
            <v>1002</v>
          </cell>
          <cell r="B202" t="str">
            <v>2015-11-28 15:00:00</v>
          </cell>
        </row>
        <row r="203">
          <cell r="A203">
            <v>1003</v>
          </cell>
          <cell r="B203" t="str">
            <v>2016-02-29 15:00:00</v>
          </cell>
        </row>
        <row r="204">
          <cell r="A204">
            <v>1004</v>
          </cell>
          <cell r="B204" t="str">
            <v>2016-02-22 15:00:00</v>
          </cell>
        </row>
        <row r="205">
          <cell r="A205">
            <v>1005</v>
          </cell>
          <cell r="B205" t="str">
            <v>2015-11-16 00:00:00</v>
          </cell>
        </row>
        <row r="206">
          <cell r="A206">
            <v>1006</v>
          </cell>
          <cell r="B206" t="str">
            <v>2015-11-21 00:00:00</v>
          </cell>
        </row>
        <row r="207">
          <cell r="A207">
            <v>1007</v>
          </cell>
          <cell r="B207" t="str">
            <v>2015-11-28 00:00:00</v>
          </cell>
        </row>
        <row r="208">
          <cell r="A208">
            <v>1008</v>
          </cell>
          <cell r="B208" t="str">
            <v>2015-12-03 15:00:00</v>
          </cell>
        </row>
        <row r="209">
          <cell r="A209">
            <v>1009</v>
          </cell>
          <cell r="B209" t="str">
            <v>2015-12-21 00:00:00</v>
          </cell>
        </row>
        <row r="210">
          <cell r="A210">
            <v>1010</v>
          </cell>
          <cell r="B210" t="str">
            <v>2015-12-21 15:00:00</v>
          </cell>
        </row>
        <row r="211">
          <cell r="A211">
            <v>1011</v>
          </cell>
          <cell r="B211" t="str">
            <v>2015-12-26 15:00:00</v>
          </cell>
        </row>
        <row r="212">
          <cell r="A212">
            <v>1012</v>
          </cell>
          <cell r="B212" t="str">
            <v>2016-01-01 15:00:00</v>
          </cell>
        </row>
        <row r="213">
          <cell r="A213">
            <v>1013</v>
          </cell>
          <cell r="B213" t="str">
            <v>2015-12-26 15:00:00</v>
          </cell>
        </row>
        <row r="214">
          <cell r="A214">
            <v>1014</v>
          </cell>
          <cell r="B214" t="str">
            <v>2016-01-20 15:00:00</v>
          </cell>
        </row>
        <row r="215">
          <cell r="A215">
            <v>1015</v>
          </cell>
          <cell r="B215" t="str">
            <v>2016-01-29 15:00:00</v>
          </cell>
        </row>
        <row r="216">
          <cell r="A216">
            <v>1016</v>
          </cell>
          <cell r="B216" t="str">
            <v>2016-02-04 15:00:00</v>
          </cell>
        </row>
        <row r="217">
          <cell r="A217">
            <v>1017</v>
          </cell>
          <cell r="B217" t="str">
            <v>2016-02-12 15:00:00</v>
          </cell>
        </row>
        <row r="218">
          <cell r="A218">
            <v>1018</v>
          </cell>
          <cell r="B218" t="str">
            <v>2016-02-12 15:00:00</v>
          </cell>
        </row>
        <row r="219">
          <cell r="A219">
            <v>1019</v>
          </cell>
          <cell r="B219" t="str">
            <v>2016-02-13 15:00:00</v>
          </cell>
        </row>
        <row r="220">
          <cell r="A220">
            <v>1020</v>
          </cell>
          <cell r="B220" t="str">
            <v>2016-03-02 00:00:00</v>
          </cell>
        </row>
        <row r="221">
          <cell r="A221">
            <v>1021</v>
          </cell>
          <cell r="B221" t="str">
            <v>2016-03-30 15:00:00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10"/>
  <sheetViews>
    <sheetView workbookViewId="0">
      <selection activeCell="A8" sqref="A8:XFD8"/>
    </sheetView>
  </sheetViews>
  <sheetFormatPr baseColWidth="12" defaultRowHeight="15" x14ac:dyDescent="0.15"/>
  <cols>
    <col min="2" max="2" width="17.1640625" bestFit="1" customWidth="1"/>
    <col min="5" max="5" width="27.1640625" bestFit="1" customWidth="1"/>
    <col min="6" max="6" width="16" bestFit="1" customWidth="1"/>
  </cols>
  <sheetData>
    <row r="1" spans="1:34" x14ac:dyDescent="0.15">
      <c r="A1" s="24" t="s">
        <v>100</v>
      </c>
      <c r="B1" s="24" t="s">
        <v>79</v>
      </c>
      <c r="C1" s="24" t="s">
        <v>80</v>
      </c>
      <c r="D1" s="24" t="s">
        <v>81</v>
      </c>
      <c r="E1" s="24" t="s">
        <v>82</v>
      </c>
      <c r="F1" s="24" t="s">
        <v>83</v>
      </c>
      <c r="G1" s="24" t="s">
        <v>84</v>
      </c>
      <c r="H1" s="25"/>
      <c r="I1" s="25"/>
      <c r="J1" s="25"/>
      <c r="K1" s="25"/>
      <c r="L1" s="25"/>
      <c r="M1" s="25"/>
      <c r="N1" s="25"/>
    </row>
    <row r="2" spans="1:34" x14ac:dyDescent="0.15">
      <c r="A2" s="16" t="s">
        <v>313</v>
      </c>
      <c r="B2" s="16" t="s">
        <v>92</v>
      </c>
      <c r="C2" s="16"/>
      <c r="D2" s="16" t="s">
        <v>85</v>
      </c>
      <c r="E2" s="25" t="str">
        <f t="shared" ref="E2:E10" si="0">B2&amp;C2&amp;D2</f>
        <v>enhance_bonuses.csv</v>
      </c>
      <c r="F2" s="16" t="s">
        <v>86</v>
      </c>
      <c r="G2" s="28" t="s">
        <v>8</v>
      </c>
      <c r="H2" s="29" t="s">
        <v>11</v>
      </c>
      <c r="I2" s="29" t="s">
        <v>12</v>
      </c>
      <c r="J2" s="29" t="s">
        <v>71</v>
      </c>
      <c r="K2" s="29" t="s">
        <v>72</v>
      </c>
      <c r="L2" s="16"/>
      <c r="M2" s="16"/>
      <c r="N2" s="16"/>
    </row>
    <row r="3" spans="1:34" x14ac:dyDescent="0.15">
      <c r="A3" s="16" t="s">
        <v>101</v>
      </c>
      <c r="B3" s="16" t="s">
        <v>488</v>
      </c>
      <c r="C3" s="16" t="s">
        <v>372</v>
      </c>
      <c r="D3" s="16" t="s">
        <v>370</v>
      </c>
      <c r="E3" s="25" t="str">
        <f t="shared" si="0"/>
        <v>mypage_banners_data_base.tmp</v>
      </c>
      <c r="F3" s="16" t="s">
        <v>87</v>
      </c>
      <c r="G3" s="28" t="s">
        <v>14</v>
      </c>
      <c r="H3" s="29" t="s">
        <v>4</v>
      </c>
      <c r="I3" s="29" t="s">
        <v>32</v>
      </c>
      <c r="J3" s="29" t="s">
        <v>68</v>
      </c>
      <c r="K3" s="29" t="s">
        <v>69</v>
      </c>
      <c r="L3" s="16"/>
      <c r="M3" s="16"/>
      <c r="N3" s="16"/>
    </row>
    <row r="4" spans="1:34" x14ac:dyDescent="0.15">
      <c r="A4" s="16" t="s">
        <v>101</v>
      </c>
      <c r="B4" s="16" t="s">
        <v>264</v>
      </c>
      <c r="C4" s="16" t="s">
        <v>372</v>
      </c>
      <c r="D4" s="16" t="s">
        <v>370</v>
      </c>
      <c r="E4" s="25" t="str">
        <f t="shared" ref="E4" si="1">B4&amp;C4&amp;D4</f>
        <v>mypage_banners_i18n_base.tmp</v>
      </c>
      <c r="F4" s="16" t="s">
        <v>87</v>
      </c>
      <c r="G4" s="28" t="s">
        <v>14</v>
      </c>
      <c r="H4" s="29" t="s">
        <v>265</v>
      </c>
      <c r="I4" s="29" t="s">
        <v>32</v>
      </c>
      <c r="J4" s="29"/>
      <c r="K4" s="29"/>
      <c r="L4" s="29"/>
      <c r="M4" s="16"/>
      <c r="N4" s="16"/>
    </row>
    <row r="5" spans="1:34" x14ac:dyDescent="0.15">
      <c r="A5" s="16" t="s">
        <v>101</v>
      </c>
      <c r="B5" s="16" t="s">
        <v>489</v>
      </c>
      <c r="C5" s="16" t="s">
        <v>373</v>
      </c>
      <c r="D5" s="16" t="s">
        <v>371</v>
      </c>
      <c r="E5" s="25" t="str">
        <f t="shared" si="0"/>
        <v>mypage_tips_data_base.tmp</v>
      </c>
      <c r="F5" s="16" t="s">
        <v>88</v>
      </c>
      <c r="G5" s="28" t="s">
        <v>15</v>
      </c>
      <c r="H5" s="29" t="s">
        <v>4</v>
      </c>
      <c r="I5" s="29" t="s">
        <v>68</v>
      </c>
      <c r="J5" s="29" t="s">
        <v>69</v>
      </c>
      <c r="K5" s="16"/>
      <c r="L5" s="16"/>
      <c r="M5" s="16"/>
      <c r="N5" s="16"/>
    </row>
    <row r="6" spans="1:34" x14ac:dyDescent="0.15">
      <c r="A6" s="16" t="s">
        <v>101</v>
      </c>
      <c r="B6" s="16" t="s">
        <v>93</v>
      </c>
      <c r="C6" s="16" t="s">
        <v>374</v>
      </c>
      <c r="D6" s="16" t="s">
        <v>370</v>
      </c>
      <c r="E6" s="25" t="str">
        <f t="shared" si="0"/>
        <v>mypage_tips_i18n_base.tmp</v>
      </c>
      <c r="F6" s="16" t="s">
        <v>88</v>
      </c>
      <c r="G6" s="28" t="s">
        <v>15</v>
      </c>
      <c r="H6" s="29" t="s">
        <v>269</v>
      </c>
      <c r="I6" s="29" t="s">
        <v>13</v>
      </c>
      <c r="J6" s="16"/>
      <c r="K6" s="16"/>
      <c r="L6" s="16"/>
      <c r="M6" s="16"/>
      <c r="N6" s="16"/>
    </row>
    <row r="7" spans="1:34" x14ac:dyDescent="0.15">
      <c r="A7" s="16" t="s">
        <v>101</v>
      </c>
      <c r="B7" s="16" t="s">
        <v>490</v>
      </c>
      <c r="C7" s="16" t="s">
        <v>373</v>
      </c>
      <c r="D7" s="16" t="s">
        <v>371</v>
      </c>
      <c r="E7" s="25" t="str">
        <f t="shared" si="0"/>
        <v>quest_banners_data_base.tmp</v>
      </c>
      <c r="F7" s="16" t="s">
        <v>90</v>
      </c>
      <c r="G7" s="30" t="s">
        <v>14</v>
      </c>
      <c r="H7" s="30" t="s">
        <v>25</v>
      </c>
      <c r="I7" s="31" t="s">
        <v>34</v>
      </c>
      <c r="J7" s="31" t="s">
        <v>48</v>
      </c>
      <c r="K7" s="31" t="s">
        <v>49</v>
      </c>
      <c r="L7" s="31" t="s">
        <v>50</v>
      </c>
      <c r="M7" s="32" t="s">
        <v>68</v>
      </c>
      <c r="N7" s="32"/>
    </row>
    <row r="8" spans="1:34" x14ac:dyDescent="0.15">
      <c r="A8" s="16" t="s">
        <v>101</v>
      </c>
      <c r="B8" s="16" t="s">
        <v>267</v>
      </c>
      <c r="C8" s="16" t="s">
        <v>373</v>
      </c>
      <c r="D8" s="16" t="s">
        <v>371</v>
      </c>
      <c r="E8" s="25" t="str">
        <f t="shared" ref="E8" si="2">B8&amp;C8&amp;D8</f>
        <v>quest_banners_i18n_base.tmp</v>
      </c>
      <c r="F8" s="16" t="s">
        <v>90</v>
      </c>
      <c r="G8" s="30" t="s">
        <v>14</v>
      </c>
      <c r="H8" s="32" t="s">
        <v>265</v>
      </c>
      <c r="I8" s="31" t="s">
        <v>34</v>
      </c>
      <c r="J8" s="31"/>
      <c r="K8" s="31"/>
      <c r="L8" s="31"/>
      <c r="M8" s="32"/>
      <c r="N8" s="32"/>
    </row>
    <row r="9" spans="1:34" x14ac:dyDescent="0.15">
      <c r="A9" s="16" t="s">
        <v>314</v>
      </c>
      <c r="B9" s="16" t="s">
        <v>94</v>
      </c>
      <c r="C9" s="16"/>
      <c r="D9" s="16" t="s">
        <v>85</v>
      </c>
      <c r="E9" s="25" t="str">
        <f t="shared" si="0"/>
        <v>quest_helper_links.csv</v>
      </c>
      <c r="F9" s="16" t="s">
        <v>91</v>
      </c>
      <c r="G9" s="30" t="s">
        <v>31</v>
      </c>
      <c r="H9" s="30" t="s">
        <v>7</v>
      </c>
      <c r="I9" s="30" t="s">
        <v>30</v>
      </c>
      <c r="J9" s="30" t="s">
        <v>29</v>
      </c>
      <c r="K9" s="32" t="s">
        <v>71</v>
      </c>
      <c r="L9" s="32" t="s">
        <v>72</v>
      </c>
      <c r="M9" s="16"/>
      <c r="N9" s="16"/>
    </row>
    <row r="10" spans="1:34" s="65" customFormat="1" x14ac:dyDescent="0.15">
      <c r="A10" s="68" t="s">
        <v>305</v>
      </c>
      <c r="B10" s="62" t="s">
        <v>198</v>
      </c>
      <c r="C10" s="62"/>
      <c r="D10" s="62" t="s">
        <v>85</v>
      </c>
      <c r="E10" s="63" t="str">
        <f t="shared" si="0"/>
        <v>quest_bonuses.csv</v>
      </c>
      <c r="F10" s="62" t="s">
        <v>199</v>
      </c>
      <c r="G10" s="64" t="s">
        <v>200</v>
      </c>
      <c r="H10" s="64" t="s">
        <v>7</v>
      </c>
      <c r="I10" s="64" t="s">
        <v>157</v>
      </c>
      <c r="J10" s="64" t="s">
        <v>158</v>
      </c>
      <c r="K10" s="64" t="s">
        <v>29</v>
      </c>
      <c r="L10" s="64" t="s">
        <v>201</v>
      </c>
      <c r="M10" s="64" t="s">
        <v>202</v>
      </c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9" tint="0.79998168889431442"/>
    <outlinePr summaryBelow="0" summaryRight="0"/>
  </sheetPr>
  <dimension ref="A1:J159"/>
  <sheetViews>
    <sheetView showGridLines="0" zoomScale="90" zoomScaleNormal="75" zoomScalePageLayoutView="75" workbookViewId="0">
      <pane xSplit="1" ySplit="1" topLeftCell="B2" activePane="bottomRight" state="frozen"/>
      <selection activeCell="B11" sqref="B11"/>
      <selection pane="topRight" activeCell="B11" sqref="B11"/>
      <selection pane="bottomLeft" activeCell="B11" sqref="B11"/>
      <selection pane="bottomRight" activeCell="E153" sqref="E153"/>
    </sheetView>
  </sheetViews>
  <sheetFormatPr baseColWidth="12" defaultColWidth="8.83203125" defaultRowHeight="21" customHeight="1" outlineLevelCol="1" x14ac:dyDescent="0.15"/>
  <cols>
    <col min="1" max="1" width="15.6640625" style="1" customWidth="1"/>
    <col min="2" max="2" width="11.1640625" style="1" bestFit="1" customWidth="1"/>
    <col min="3" max="3" width="41.1640625" style="1" customWidth="1" outlineLevel="1"/>
    <col min="4" max="4" width="9.33203125" style="1" bestFit="1" customWidth="1" outlineLevel="1"/>
    <col min="5" max="5" width="26" style="1" customWidth="1"/>
    <col min="6" max="6" width="16.1640625" style="1" bestFit="1" customWidth="1"/>
    <col min="7" max="7" width="19.5" style="1" customWidth="1"/>
    <col min="8" max="8" width="16.33203125" style="1" customWidth="1"/>
    <col min="9" max="16384" width="8.83203125" style="1"/>
  </cols>
  <sheetData>
    <row r="1" spans="1:8" ht="21" customHeight="1" x14ac:dyDescent="0.15">
      <c r="A1" s="7" t="s">
        <v>5</v>
      </c>
      <c r="B1" s="7" t="s">
        <v>4</v>
      </c>
      <c r="C1" s="23" t="s">
        <v>278</v>
      </c>
      <c r="D1" s="23" t="s">
        <v>265</v>
      </c>
      <c r="E1" s="7" t="s">
        <v>32</v>
      </c>
      <c r="F1" s="7" t="s">
        <v>64</v>
      </c>
      <c r="G1" s="7" t="s">
        <v>65</v>
      </c>
      <c r="H1" s="4" t="s">
        <v>375</v>
      </c>
    </row>
    <row r="2" spans="1:8" ht="21" customHeight="1" x14ac:dyDescent="0.15">
      <c r="A2" s="71" t="str">
        <f t="shared" ref="A2:A44" si="0">"9"&amp;TEXT(RIGHT(B2,3),"000")</f>
        <v>9348</v>
      </c>
      <c r="B2" s="3" t="s">
        <v>367</v>
      </c>
      <c r="C2" s="9"/>
      <c r="D2" s="66" t="s">
        <v>16</v>
      </c>
      <c r="E2" s="3" t="str">
        <f t="shared" ref="E2:E41" si="1">B2&amp;".png"</f>
        <v>gacha348.png</v>
      </c>
      <c r="F2" s="3" t="s">
        <v>51</v>
      </c>
      <c r="G2" s="3" t="str">
        <f t="shared" ref="G2:G10" si="2">RIGHT(B2,3)</f>
        <v>348</v>
      </c>
      <c r="H2" s="6"/>
    </row>
    <row r="3" spans="1:8" ht="21" customHeight="1" x14ac:dyDescent="0.15">
      <c r="A3" s="71" t="str">
        <f t="shared" si="0"/>
        <v>9346</v>
      </c>
      <c r="B3" s="3" t="s">
        <v>366</v>
      </c>
      <c r="C3" s="9"/>
      <c r="D3" s="66" t="s">
        <v>16</v>
      </c>
      <c r="E3" s="3" t="str">
        <f t="shared" si="1"/>
        <v>gacha346.png</v>
      </c>
      <c r="F3" s="3" t="s">
        <v>51</v>
      </c>
      <c r="G3" s="3" t="str">
        <f t="shared" si="2"/>
        <v>346</v>
      </c>
      <c r="H3" s="6"/>
    </row>
    <row r="4" spans="1:8" ht="21" customHeight="1" x14ac:dyDescent="0.15">
      <c r="A4" s="71" t="str">
        <f t="shared" si="0"/>
        <v>9342</v>
      </c>
      <c r="B4" s="3" t="s">
        <v>356</v>
      </c>
      <c r="C4" s="9"/>
      <c r="D4" s="66" t="s">
        <v>16</v>
      </c>
      <c r="E4" s="3" t="str">
        <f t="shared" si="1"/>
        <v>gacha342.png</v>
      </c>
      <c r="F4" s="3" t="s">
        <v>51</v>
      </c>
      <c r="G4" s="3" t="str">
        <f t="shared" si="2"/>
        <v>342</v>
      </c>
      <c r="H4" s="6"/>
    </row>
    <row r="5" spans="1:8" ht="21" customHeight="1" x14ac:dyDescent="0.15">
      <c r="A5" s="71" t="str">
        <f t="shared" si="0"/>
        <v>9343</v>
      </c>
      <c r="B5" s="3" t="s">
        <v>357</v>
      </c>
      <c r="C5" s="9"/>
      <c r="D5" s="66" t="s">
        <v>16</v>
      </c>
      <c r="E5" s="3" t="str">
        <f t="shared" si="1"/>
        <v>gacha343.png</v>
      </c>
      <c r="F5" s="3" t="s">
        <v>51</v>
      </c>
      <c r="G5" s="3" t="str">
        <f t="shared" si="2"/>
        <v>343</v>
      </c>
      <c r="H5" s="6"/>
    </row>
    <row r="6" spans="1:8" ht="21" customHeight="1" x14ac:dyDescent="0.15">
      <c r="A6" s="71" t="str">
        <f t="shared" si="0"/>
        <v>9344</v>
      </c>
      <c r="B6" s="3" t="s">
        <v>358</v>
      </c>
      <c r="C6" s="9"/>
      <c r="D6" s="66" t="s">
        <v>16</v>
      </c>
      <c r="E6" s="3" t="str">
        <f t="shared" si="1"/>
        <v>gacha344.png</v>
      </c>
      <c r="F6" s="3" t="s">
        <v>51</v>
      </c>
      <c r="G6" s="3" t="str">
        <f t="shared" si="2"/>
        <v>344</v>
      </c>
      <c r="H6" s="6"/>
    </row>
    <row r="7" spans="1:8" ht="21" customHeight="1" x14ac:dyDescent="0.15">
      <c r="A7" s="71" t="str">
        <f t="shared" si="0"/>
        <v>9345</v>
      </c>
      <c r="B7" s="3" t="s">
        <v>359</v>
      </c>
      <c r="C7" s="9"/>
      <c r="D7" s="66" t="s">
        <v>16</v>
      </c>
      <c r="E7" s="3" t="str">
        <f t="shared" si="1"/>
        <v>gacha345.png</v>
      </c>
      <c r="F7" s="3" t="s">
        <v>51</v>
      </c>
      <c r="G7" s="3" t="str">
        <f t="shared" si="2"/>
        <v>345</v>
      </c>
      <c r="H7" s="6"/>
    </row>
    <row r="8" spans="1:8" ht="21" customHeight="1" x14ac:dyDescent="0.15">
      <c r="A8" s="71" t="str">
        <f t="shared" si="0"/>
        <v>9340</v>
      </c>
      <c r="B8" s="3" t="s">
        <v>354</v>
      </c>
      <c r="C8" s="9"/>
      <c r="D8" s="66" t="s">
        <v>16</v>
      </c>
      <c r="E8" s="3" t="str">
        <f t="shared" si="1"/>
        <v>gacha340.png</v>
      </c>
      <c r="F8" s="3" t="s">
        <v>51</v>
      </c>
      <c r="G8" s="3" t="str">
        <f t="shared" si="2"/>
        <v>340</v>
      </c>
      <c r="H8" s="6"/>
    </row>
    <row r="9" spans="1:8" ht="21" customHeight="1" x14ac:dyDescent="0.15">
      <c r="A9" s="71" t="str">
        <f t="shared" si="0"/>
        <v>9341</v>
      </c>
      <c r="B9" s="3" t="s">
        <v>355</v>
      </c>
      <c r="C9" s="9"/>
      <c r="D9" s="66" t="s">
        <v>16</v>
      </c>
      <c r="E9" s="3" t="str">
        <f t="shared" si="1"/>
        <v>gacha341.png</v>
      </c>
      <c r="F9" s="3" t="s">
        <v>51</v>
      </c>
      <c r="G9" s="3" t="str">
        <f t="shared" si="2"/>
        <v>341</v>
      </c>
      <c r="H9" s="6"/>
    </row>
    <row r="10" spans="1:8" ht="21" customHeight="1" x14ac:dyDescent="0.15">
      <c r="A10" s="71" t="str">
        <f t="shared" si="0"/>
        <v>9339</v>
      </c>
      <c r="B10" s="3" t="s">
        <v>348</v>
      </c>
      <c r="C10" s="9"/>
      <c r="D10" s="66" t="s">
        <v>16</v>
      </c>
      <c r="E10" s="3" t="str">
        <f t="shared" si="1"/>
        <v>gacha339.png</v>
      </c>
      <c r="F10" s="3" t="s">
        <v>51</v>
      </c>
      <c r="G10" s="3" t="str">
        <f t="shared" si="2"/>
        <v>339</v>
      </c>
      <c r="H10" s="6"/>
    </row>
    <row r="11" spans="1:8" ht="21" customHeight="1" x14ac:dyDescent="0.15">
      <c r="A11" s="71" t="str">
        <f t="shared" si="0"/>
        <v>9338</v>
      </c>
      <c r="B11" s="3" t="s">
        <v>347</v>
      </c>
      <c r="C11" s="9"/>
      <c r="D11" s="66" t="s">
        <v>16</v>
      </c>
      <c r="E11" s="3" t="str">
        <f t="shared" si="1"/>
        <v>gacha338.png</v>
      </c>
      <c r="F11" s="3" t="s">
        <v>51</v>
      </c>
      <c r="G11" s="3">
        <v>338</v>
      </c>
      <c r="H11" s="6"/>
    </row>
    <row r="12" spans="1:8" ht="21" customHeight="1" x14ac:dyDescent="0.15">
      <c r="A12" s="71" t="str">
        <f t="shared" si="0"/>
        <v>9336</v>
      </c>
      <c r="B12" s="3" t="s">
        <v>339</v>
      </c>
      <c r="C12" s="9"/>
      <c r="D12" s="66" t="s">
        <v>16</v>
      </c>
      <c r="E12" s="3" t="str">
        <f t="shared" si="1"/>
        <v>gacha336.png</v>
      </c>
      <c r="F12" s="3" t="s">
        <v>51</v>
      </c>
      <c r="G12" s="3">
        <v>336</v>
      </c>
      <c r="H12" s="6"/>
    </row>
    <row r="13" spans="1:8" ht="21" customHeight="1" x14ac:dyDescent="0.15">
      <c r="A13" s="71" t="str">
        <f t="shared" si="0"/>
        <v>9335</v>
      </c>
      <c r="B13" s="3" t="s">
        <v>338</v>
      </c>
      <c r="C13" s="9"/>
      <c r="D13" s="66" t="s">
        <v>16</v>
      </c>
      <c r="E13" s="3" t="str">
        <f t="shared" si="1"/>
        <v>gacha335.png</v>
      </c>
      <c r="F13" s="3" t="s">
        <v>51</v>
      </c>
      <c r="G13" s="3">
        <v>335</v>
      </c>
      <c r="H13" s="6"/>
    </row>
    <row r="14" spans="1:8" ht="21" customHeight="1" x14ac:dyDescent="0.15">
      <c r="A14" s="71" t="str">
        <f t="shared" si="0"/>
        <v>9334</v>
      </c>
      <c r="B14" s="3" t="s">
        <v>337</v>
      </c>
      <c r="C14" s="9"/>
      <c r="D14" s="66" t="s">
        <v>16</v>
      </c>
      <c r="E14" s="3" t="str">
        <f t="shared" si="1"/>
        <v>gacha334.png</v>
      </c>
      <c r="F14" s="3" t="s">
        <v>51</v>
      </c>
      <c r="G14" s="3">
        <v>334</v>
      </c>
      <c r="H14" s="6"/>
    </row>
    <row r="15" spans="1:8" ht="21" customHeight="1" x14ac:dyDescent="0.15">
      <c r="A15" s="71" t="str">
        <f t="shared" si="0"/>
        <v>9333</v>
      </c>
      <c r="B15" s="3" t="s">
        <v>336</v>
      </c>
      <c r="C15" s="9"/>
      <c r="D15" s="66" t="s">
        <v>16</v>
      </c>
      <c r="E15" s="3" t="str">
        <f t="shared" si="1"/>
        <v>gacha333.png</v>
      </c>
      <c r="F15" s="3" t="s">
        <v>51</v>
      </c>
      <c r="G15" s="3">
        <v>333</v>
      </c>
      <c r="H15" s="6"/>
    </row>
    <row r="16" spans="1:8" ht="21" customHeight="1" x14ac:dyDescent="0.15">
      <c r="A16" s="71" t="str">
        <f t="shared" si="0"/>
        <v>9332</v>
      </c>
      <c r="B16" s="3" t="s">
        <v>335</v>
      </c>
      <c r="C16" s="9"/>
      <c r="D16" s="66" t="s">
        <v>16</v>
      </c>
      <c r="E16" s="3" t="str">
        <f t="shared" si="1"/>
        <v>gacha332.png</v>
      </c>
      <c r="F16" s="3" t="s">
        <v>51</v>
      </c>
      <c r="G16" s="3">
        <v>332</v>
      </c>
      <c r="H16" s="6"/>
    </row>
    <row r="17" spans="1:8" ht="21" customHeight="1" x14ac:dyDescent="0.15">
      <c r="A17" s="71" t="str">
        <f t="shared" si="0"/>
        <v>9331</v>
      </c>
      <c r="B17" s="3" t="s">
        <v>333</v>
      </c>
      <c r="C17" s="9"/>
      <c r="D17" s="66" t="s">
        <v>16</v>
      </c>
      <c r="E17" s="3" t="str">
        <f t="shared" si="1"/>
        <v>gacha331.png</v>
      </c>
      <c r="F17" s="3" t="s">
        <v>51</v>
      </c>
      <c r="G17" s="3">
        <v>331</v>
      </c>
      <c r="H17" s="6"/>
    </row>
    <row r="18" spans="1:8" ht="21" customHeight="1" x14ac:dyDescent="0.15">
      <c r="A18" s="71" t="str">
        <f t="shared" si="0"/>
        <v>9330</v>
      </c>
      <c r="B18" s="3" t="s">
        <v>332</v>
      </c>
      <c r="C18" s="9"/>
      <c r="D18" s="66" t="s">
        <v>16</v>
      </c>
      <c r="E18" s="3" t="str">
        <f t="shared" si="1"/>
        <v>gacha330.png</v>
      </c>
      <c r="F18" s="3" t="s">
        <v>51</v>
      </c>
      <c r="G18" s="3">
        <v>330</v>
      </c>
      <c r="H18" s="6"/>
    </row>
    <row r="19" spans="1:8" ht="21" customHeight="1" x14ac:dyDescent="0.15">
      <c r="A19" s="71" t="str">
        <f t="shared" si="0"/>
        <v>9329</v>
      </c>
      <c r="B19" s="3" t="s">
        <v>331</v>
      </c>
      <c r="C19" s="9"/>
      <c r="D19" s="66" t="s">
        <v>16</v>
      </c>
      <c r="E19" s="3" t="str">
        <f t="shared" si="1"/>
        <v>gacha329.png</v>
      </c>
      <c r="F19" s="3" t="s">
        <v>51</v>
      </c>
      <c r="G19" s="3">
        <v>329</v>
      </c>
      <c r="H19" s="6"/>
    </row>
    <row r="20" spans="1:8" ht="21" customHeight="1" x14ac:dyDescent="0.15">
      <c r="A20" s="71" t="str">
        <f t="shared" si="0"/>
        <v>9325</v>
      </c>
      <c r="B20" s="3" t="s">
        <v>320</v>
      </c>
      <c r="C20" s="9"/>
      <c r="D20" s="66" t="s">
        <v>16</v>
      </c>
      <c r="E20" s="3" t="str">
        <f t="shared" si="1"/>
        <v>gacha325.png</v>
      </c>
      <c r="F20" s="3" t="s">
        <v>51</v>
      </c>
      <c r="G20" s="3">
        <v>1325</v>
      </c>
      <c r="H20" s="6"/>
    </row>
    <row r="21" spans="1:8" ht="21" customHeight="1" x14ac:dyDescent="0.15">
      <c r="A21" s="71" t="str">
        <f t="shared" si="0"/>
        <v>9328</v>
      </c>
      <c r="B21" s="3" t="s">
        <v>323</v>
      </c>
      <c r="C21" s="9"/>
      <c r="D21" s="66" t="s">
        <v>16</v>
      </c>
      <c r="E21" s="3" t="str">
        <f t="shared" si="1"/>
        <v>gacha328.png</v>
      </c>
      <c r="F21" s="3" t="s">
        <v>51</v>
      </c>
      <c r="G21" s="3">
        <v>328</v>
      </c>
      <c r="H21" s="6"/>
    </row>
    <row r="22" spans="1:8" ht="21" customHeight="1" x14ac:dyDescent="0.15">
      <c r="A22" s="71" t="str">
        <f t="shared" si="0"/>
        <v>9326</v>
      </c>
      <c r="B22" s="3" t="s">
        <v>321</v>
      </c>
      <c r="C22" s="9"/>
      <c r="D22" s="66" t="s">
        <v>16</v>
      </c>
      <c r="E22" s="3" t="str">
        <f t="shared" si="1"/>
        <v>gacha326.png</v>
      </c>
      <c r="F22" s="3" t="s">
        <v>51</v>
      </c>
      <c r="G22" s="3">
        <v>326</v>
      </c>
      <c r="H22" s="6"/>
    </row>
    <row r="23" spans="1:8" ht="21" customHeight="1" x14ac:dyDescent="0.15">
      <c r="A23" s="71" t="str">
        <f t="shared" si="0"/>
        <v>9324</v>
      </c>
      <c r="B23" s="3" t="s">
        <v>319</v>
      </c>
      <c r="C23" s="9"/>
      <c r="D23" s="66" t="s">
        <v>16</v>
      </c>
      <c r="E23" s="3" t="str">
        <f t="shared" si="1"/>
        <v>gacha324.png</v>
      </c>
      <c r="F23" s="3" t="s">
        <v>51</v>
      </c>
      <c r="G23" s="3">
        <v>324</v>
      </c>
      <c r="H23" s="6"/>
    </row>
    <row r="24" spans="1:8" ht="21" customHeight="1" x14ac:dyDescent="0.15">
      <c r="A24" s="71" t="str">
        <f t="shared" si="0"/>
        <v>9323</v>
      </c>
      <c r="B24" s="3" t="s">
        <v>310</v>
      </c>
      <c r="C24" s="9"/>
      <c r="D24" s="66" t="s">
        <v>16</v>
      </c>
      <c r="E24" s="3" t="str">
        <f t="shared" si="1"/>
        <v>gacha323.png</v>
      </c>
      <c r="F24" s="3" t="s">
        <v>51</v>
      </c>
      <c r="G24" s="3">
        <v>323</v>
      </c>
      <c r="H24" s="6"/>
    </row>
    <row r="25" spans="1:8" ht="21" customHeight="1" x14ac:dyDescent="0.15">
      <c r="A25" s="71" t="str">
        <f t="shared" si="0"/>
        <v>9322</v>
      </c>
      <c r="B25" s="3" t="s">
        <v>309</v>
      </c>
      <c r="C25" s="9"/>
      <c r="D25" s="66" t="s">
        <v>16</v>
      </c>
      <c r="E25" s="3" t="str">
        <f t="shared" si="1"/>
        <v>gacha322.png</v>
      </c>
      <c r="F25" s="3" t="s">
        <v>51</v>
      </c>
      <c r="G25" s="3">
        <v>322</v>
      </c>
      <c r="H25" s="6"/>
    </row>
    <row r="26" spans="1:8" ht="21" customHeight="1" x14ac:dyDescent="0.15">
      <c r="A26" s="71" t="str">
        <f t="shared" si="0"/>
        <v>9321</v>
      </c>
      <c r="B26" s="3" t="s">
        <v>308</v>
      </c>
      <c r="C26" s="9"/>
      <c r="D26" s="66" t="s">
        <v>16</v>
      </c>
      <c r="E26" s="3" t="str">
        <f t="shared" si="1"/>
        <v>gacha321.png</v>
      </c>
      <c r="F26" s="3" t="s">
        <v>51</v>
      </c>
      <c r="G26" s="3">
        <v>321</v>
      </c>
      <c r="H26" s="6"/>
    </row>
    <row r="27" spans="1:8" ht="21" customHeight="1" x14ac:dyDescent="0.15">
      <c r="A27" s="71" t="str">
        <f t="shared" si="0"/>
        <v>9317</v>
      </c>
      <c r="B27" s="3" t="s">
        <v>293</v>
      </c>
      <c r="C27" s="9"/>
      <c r="D27" s="66" t="s">
        <v>266</v>
      </c>
      <c r="E27" s="3" t="str">
        <f t="shared" si="1"/>
        <v>gacha317.png</v>
      </c>
      <c r="F27" s="3" t="s">
        <v>51</v>
      </c>
      <c r="G27" s="3">
        <v>317</v>
      </c>
      <c r="H27" s="6"/>
    </row>
    <row r="28" spans="1:8" ht="21" customHeight="1" x14ac:dyDescent="0.15">
      <c r="A28" s="71" t="str">
        <f t="shared" si="0"/>
        <v>9319</v>
      </c>
      <c r="B28" s="3" t="s">
        <v>304</v>
      </c>
      <c r="C28" s="9"/>
      <c r="D28" s="66" t="s">
        <v>16</v>
      </c>
      <c r="E28" s="3" t="str">
        <f t="shared" si="1"/>
        <v>gacha319.png</v>
      </c>
      <c r="F28" s="3" t="s">
        <v>51</v>
      </c>
      <c r="G28" s="3">
        <v>319</v>
      </c>
      <c r="H28" s="6"/>
    </row>
    <row r="29" spans="1:8" ht="21" customHeight="1" x14ac:dyDescent="0.15">
      <c r="A29" s="71" t="str">
        <f t="shared" si="0"/>
        <v>9318</v>
      </c>
      <c r="B29" s="3" t="s">
        <v>303</v>
      </c>
      <c r="C29" s="9"/>
      <c r="D29" s="66" t="s">
        <v>16</v>
      </c>
      <c r="E29" s="3" t="str">
        <f t="shared" si="1"/>
        <v>gacha318.png</v>
      </c>
      <c r="F29" s="3" t="s">
        <v>51</v>
      </c>
      <c r="G29" s="3">
        <v>318</v>
      </c>
      <c r="H29" s="6"/>
    </row>
    <row r="30" spans="1:8" ht="21" customHeight="1" x14ac:dyDescent="0.15">
      <c r="A30" s="71" t="str">
        <f t="shared" si="0"/>
        <v>9316</v>
      </c>
      <c r="B30" s="3" t="s">
        <v>292</v>
      </c>
      <c r="C30" s="9"/>
      <c r="D30" s="66" t="s">
        <v>266</v>
      </c>
      <c r="E30" s="3" t="str">
        <f t="shared" si="1"/>
        <v>gacha316.png</v>
      </c>
      <c r="F30" s="3" t="s">
        <v>51</v>
      </c>
      <c r="G30" s="3">
        <v>316</v>
      </c>
      <c r="H30" s="6"/>
    </row>
    <row r="31" spans="1:8" ht="21" customHeight="1" x14ac:dyDescent="0.15">
      <c r="A31" s="71" t="str">
        <f t="shared" si="0"/>
        <v>9314</v>
      </c>
      <c r="B31" s="3" t="s">
        <v>290</v>
      </c>
      <c r="C31" s="9"/>
      <c r="D31" s="66" t="s">
        <v>266</v>
      </c>
      <c r="E31" s="3" t="str">
        <f t="shared" si="1"/>
        <v>gacha314.png</v>
      </c>
      <c r="F31" s="3" t="s">
        <v>51</v>
      </c>
      <c r="G31" s="3">
        <v>314</v>
      </c>
      <c r="H31" s="6"/>
    </row>
    <row r="32" spans="1:8" ht="21" customHeight="1" x14ac:dyDescent="0.15">
      <c r="A32" s="71" t="str">
        <f t="shared" si="0"/>
        <v>9313</v>
      </c>
      <c r="B32" s="3" t="s">
        <v>289</v>
      </c>
      <c r="C32" s="9"/>
      <c r="D32" s="66" t="s">
        <v>266</v>
      </c>
      <c r="E32" s="3" t="str">
        <f t="shared" si="1"/>
        <v>gacha313.png</v>
      </c>
      <c r="F32" s="3" t="s">
        <v>51</v>
      </c>
      <c r="G32" s="3">
        <v>313</v>
      </c>
      <c r="H32" s="6"/>
    </row>
    <row r="33" spans="1:8" ht="21" customHeight="1" x14ac:dyDescent="0.15">
      <c r="A33" s="71" t="str">
        <f t="shared" si="0"/>
        <v>9315</v>
      </c>
      <c r="B33" s="3" t="s">
        <v>291</v>
      </c>
      <c r="C33" s="9"/>
      <c r="D33" s="66" t="s">
        <v>266</v>
      </c>
      <c r="E33" s="3" t="str">
        <f t="shared" si="1"/>
        <v>gacha315.png</v>
      </c>
      <c r="F33" s="3" t="s">
        <v>51</v>
      </c>
      <c r="G33" s="3">
        <v>315</v>
      </c>
      <c r="H33" s="6"/>
    </row>
    <row r="34" spans="1:8" ht="21" customHeight="1" x14ac:dyDescent="0.15">
      <c r="A34" s="71" t="str">
        <f t="shared" si="0"/>
        <v>9312</v>
      </c>
      <c r="B34" s="3" t="s">
        <v>280</v>
      </c>
      <c r="C34" s="9" t="str">
        <f ca="1">IFERROR(VLOOKUP(VALUE(SUBSTITUTE(B34,"quest","")),OFFSET([2]quests!$A$1,0,0,COUNTA([2]quests!$A:$A),MATCH(C$1,[2]quests!$1:$1,0)-MATCH("quest_id",[2]quests!$1:$1,0)+1),MATCH(C$1,[2]quests!$1:$1,0)-MATCH("quest_id",[2]quests!$1:$1,0)+1,FALSE),"")</f>
        <v/>
      </c>
      <c r="D34" s="66" t="s">
        <v>266</v>
      </c>
      <c r="E34" s="3" t="str">
        <f t="shared" si="1"/>
        <v>gacha312.png</v>
      </c>
      <c r="F34" s="3" t="s">
        <v>51</v>
      </c>
      <c r="G34" s="3">
        <v>312</v>
      </c>
      <c r="H34" s="6" t="e">
        <f ca="1">IF($G34="null","",VLOOKUP($G34,OFFSET([3]gacha_schedules!$A$2,0,0,COUNTA([3]gacha_schedules!$A:$A),MATCH(H$1,[3]gacha_schedules!$1:$1,0)-MATCH($G$1,[3]gacha_schedules!$1:$1,0)+1),MATCH(H$1,[3]gacha_schedules!$1:$1,0)-MATCH($G$1,[3]gacha_schedules!$1:$1,0)+1,FALSE))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35" spans="1:8" ht="21" customHeight="1" x14ac:dyDescent="0.15">
      <c r="A35" s="71" t="str">
        <f t="shared" si="0"/>
        <v>9311</v>
      </c>
      <c r="B35" s="3" t="s">
        <v>263</v>
      </c>
      <c r="C35" s="9" t="str">
        <f ca="1">IFERROR(VLOOKUP(VALUE(SUBSTITUTE(B35,"quest","")),OFFSET([2]quests!$A$1,0,0,COUNTA([2]quests!$A:$A),MATCH(C$1,[2]quests!$1:$1,0)-MATCH("quest_id",[2]quests!$1:$1,0)+1),MATCH(C$1,[2]quests!$1:$1,0)-MATCH("quest_id",[2]quests!$1:$1,0)+1,FALSE),"")</f>
        <v/>
      </c>
      <c r="D35" s="66" t="s">
        <v>266</v>
      </c>
      <c r="E35" s="3" t="str">
        <f t="shared" si="1"/>
        <v>gacha311.png</v>
      </c>
      <c r="F35" s="3" t="s">
        <v>51</v>
      </c>
      <c r="G35" s="3">
        <v>311</v>
      </c>
      <c r="H35" s="6" t="e">
        <f ca="1">IF($G35="null","",VLOOKUP($G35,OFFSET([3]gacha_schedules!$A$2,0,0,COUNTA([3]gacha_schedules!$A:$A),MATCH(H$1,[3]gacha_schedules!$1:$1,0)-MATCH($G$1,[3]gacha_schedules!$1:$1,0)+1),MATCH(H$1,[3]gacha_schedules!$1:$1,0)-MATCH($G$1,[3]gacha_schedules!$1:$1,0)+1,FALSE))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36" spans="1:8" ht="21" customHeight="1" x14ac:dyDescent="0.15">
      <c r="A36" s="71" t="str">
        <f t="shared" si="0"/>
        <v>9309</v>
      </c>
      <c r="B36" s="3" t="s">
        <v>261</v>
      </c>
      <c r="C36" s="9" t="str">
        <f ca="1">IFERROR(VLOOKUP(VALUE(SUBSTITUTE(B36,"quest","")),OFFSET([2]quests!$A$1,0,0,COUNTA([2]quests!$A:$A),MATCH(C$1,[2]quests!$1:$1,0)-MATCH("quest_id",[2]quests!$1:$1,0)+1),MATCH(C$1,[2]quests!$1:$1,0)-MATCH("quest_id",[2]quests!$1:$1,0)+1,FALSE),"")</f>
        <v/>
      </c>
      <c r="D36" s="66" t="s">
        <v>266</v>
      </c>
      <c r="E36" s="3" t="str">
        <f t="shared" si="1"/>
        <v>gacha309.png</v>
      </c>
      <c r="F36" s="3" t="s">
        <v>51</v>
      </c>
      <c r="G36" s="3">
        <v>309</v>
      </c>
      <c r="H36" s="6" t="e">
        <f ca="1">IF($G36="null","",VLOOKUP($G36,OFFSET([3]gacha_schedules!$A$2,0,0,COUNTA([3]gacha_schedules!$A:$A),MATCH(H$1,[3]gacha_schedules!$1:$1,0)-MATCH($G$1,[3]gacha_schedules!$1:$1,0)+1),MATCH(H$1,[3]gacha_schedules!$1:$1,0)-MATCH($G$1,[3]gacha_schedules!$1:$1,0)+1,FALSE))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37" spans="1:8" ht="21" customHeight="1" x14ac:dyDescent="0.15">
      <c r="A37" s="71" t="str">
        <f t="shared" si="0"/>
        <v>9308</v>
      </c>
      <c r="B37" s="3" t="s">
        <v>262</v>
      </c>
      <c r="C37" s="9" t="str">
        <f ca="1">IFERROR(VLOOKUP(VALUE(SUBSTITUTE(B37,"quest","")),OFFSET([2]quests!$A$1,0,0,COUNTA([2]quests!$A:$A),MATCH(C$1,[2]quests!$1:$1,0)-MATCH("quest_id",[2]quests!$1:$1,0)+1),MATCH(C$1,[2]quests!$1:$1,0)-MATCH("quest_id",[2]quests!$1:$1,0)+1,FALSE),"")</f>
        <v/>
      </c>
      <c r="D37" s="66" t="s">
        <v>266</v>
      </c>
      <c r="E37" s="3" t="str">
        <f t="shared" si="1"/>
        <v>gacha308.png</v>
      </c>
      <c r="F37" s="3" t="s">
        <v>51</v>
      </c>
      <c r="G37" s="3">
        <v>308</v>
      </c>
      <c r="H37" s="6" t="e">
        <f ca="1">IF($G37="null","",VLOOKUP($G37,OFFSET([3]gacha_schedules!$A$2,0,0,COUNTA([3]gacha_schedules!$A:$A),MATCH(H$1,[3]gacha_schedules!$1:$1,0)-MATCH($G$1,[3]gacha_schedules!$1:$1,0)+1),MATCH(H$1,[3]gacha_schedules!$1:$1,0)-MATCH($G$1,[3]gacha_schedules!$1:$1,0)+1,FALSE))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38" spans="1:8" ht="21" customHeight="1" x14ac:dyDescent="0.15">
      <c r="A38" s="71" t="str">
        <f t="shared" si="0"/>
        <v>9307</v>
      </c>
      <c r="B38" s="3" t="s">
        <v>249</v>
      </c>
      <c r="C38" s="9" t="str">
        <f ca="1">IFERROR(VLOOKUP(VALUE(SUBSTITUTE(B38,"quest","")),OFFSET([2]quests!$A$1,0,0,COUNTA([2]quests!$A:$A),MATCH(C$1,[2]quests!$1:$1,0)-MATCH("quest_id",[2]quests!$1:$1,0)+1),MATCH(C$1,[2]quests!$1:$1,0)-MATCH("quest_id",[2]quests!$1:$1,0)+1,FALSE),"")</f>
        <v/>
      </c>
      <c r="D38" s="66" t="s">
        <v>266</v>
      </c>
      <c r="E38" s="3" t="str">
        <f t="shared" si="1"/>
        <v>gacha307.png</v>
      </c>
      <c r="F38" s="3" t="s">
        <v>51</v>
      </c>
      <c r="G38" s="3">
        <v>307</v>
      </c>
      <c r="H38" s="6" t="e">
        <f ca="1">IF($G38="null","",VLOOKUP($G38,OFFSET([3]gacha_schedules!$A$2,0,0,COUNTA([3]gacha_schedules!$A:$A),MATCH(H$1,[3]gacha_schedules!$1:$1,0)-MATCH($G$1,[3]gacha_schedules!$1:$1,0)+1),MATCH(H$1,[3]gacha_schedules!$1:$1,0)-MATCH($G$1,[3]gacha_schedules!$1:$1,0)+1,FALSE))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39" spans="1:8" ht="21" customHeight="1" x14ac:dyDescent="0.15">
      <c r="A39" s="71" t="str">
        <f t="shared" si="0"/>
        <v>9306</v>
      </c>
      <c r="B39" s="3" t="s">
        <v>250</v>
      </c>
      <c r="C39" s="9" t="str">
        <f ca="1">IFERROR(VLOOKUP(VALUE(SUBSTITUTE(B39,"quest","")),OFFSET([2]quests!$A$1,0,0,COUNTA([2]quests!$A:$A),MATCH(C$1,[2]quests!$1:$1,0)-MATCH("quest_id",[2]quests!$1:$1,0)+1),MATCH(C$1,[2]quests!$1:$1,0)-MATCH("quest_id",[2]quests!$1:$1,0)+1,FALSE),"")</f>
        <v/>
      </c>
      <c r="D39" s="66" t="s">
        <v>266</v>
      </c>
      <c r="E39" s="3" t="str">
        <f t="shared" si="1"/>
        <v>gacha306.png</v>
      </c>
      <c r="F39" s="3" t="s">
        <v>51</v>
      </c>
      <c r="G39" s="3">
        <v>306</v>
      </c>
      <c r="H39" s="6" t="e">
        <f ca="1">IF($G39="null","",VLOOKUP($G39,OFFSET([3]gacha_schedules!$A$2,0,0,COUNTA([3]gacha_schedules!$A:$A),MATCH(H$1,[3]gacha_schedules!$1:$1,0)-MATCH($G$1,[3]gacha_schedules!$1:$1,0)+1),MATCH(H$1,[3]gacha_schedules!$1:$1,0)-MATCH($G$1,[3]gacha_schedules!$1:$1,0)+1,FALSE))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40" spans="1:8" ht="21" customHeight="1" x14ac:dyDescent="0.15">
      <c r="A40" s="71" t="str">
        <f t="shared" si="0"/>
        <v>9305</v>
      </c>
      <c r="B40" s="3" t="s">
        <v>248</v>
      </c>
      <c r="C40" s="9" t="str">
        <f ca="1">IFERROR(VLOOKUP(VALUE(SUBSTITUTE(B40,"quest","")),OFFSET([2]quests!$A$1,0,0,COUNTA([2]quests!$A:$A),MATCH(C$1,[2]quests!$1:$1,0)-MATCH("quest_id",[2]quests!$1:$1,0)+1),MATCH(C$1,[2]quests!$1:$1,0)-MATCH("quest_id",[2]quests!$1:$1,0)+1,FALSE),"")</f>
        <v/>
      </c>
      <c r="D40" s="66" t="s">
        <v>266</v>
      </c>
      <c r="E40" s="3" t="str">
        <f t="shared" si="1"/>
        <v>gacha305.png</v>
      </c>
      <c r="F40" s="3" t="s">
        <v>51</v>
      </c>
      <c r="G40" s="3">
        <v>305</v>
      </c>
      <c r="H40" s="6" t="e">
        <f ca="1">IF($G40="null","",VLOOKUP($G40,OFFSET([3]gacha_schedules!$A$2,0,0,COUNTA([3]gacha_schedules!$A:$A),MATCH(H$1,[3]gacha_schedules!$1:$1,0)-MATCH($G$1,[3]gacha_schedules!$1:$1,0)+1),MATCH(H$1,[3]gacha_schedules!$1:$1,0)-MATCH($G$1,[3]gacha_schedules!$1:$1,0)+1,FALSE))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41" spans="1:8" ht="21" customHeight="1" x14ac:dyDescent="0.15">
      <c r="A41" s="71" t="str">
        <f t="shared" si="0"/>
        <v>9304</v>
      </c>
      <c r="B41" s="3" t="s">
        <v>244</v>
      </c>
      <c r="C41" s="9" t="str">
        <f ca="1">IFERROR(VLOOKUP(VALUE(SUBSTITUTE(B41,"quest","")),OFFSET([2]quests!$A$1,0,0,COUNTA([2]quests!$A:$A),MATCH(C$1,[2]quests!$1:$1,0)-MATCH("quest_id",[2]quests!$1:$1,0)+1),MATCH(C$1,[2]quests!$1:$1,0)-MATCH("quest_id",[2]quests!$1:$1,0)+1,FALSE),"")</f>
        <v/>
      </c>
      <c r="D41" s="66" t="s">
        <v>266</v>
      </c>
      <c r="E41" s="3" t="str">
        <f t="shared" si="1"/>
        <v>gacha304.png</v>
      </c>
      <c r="F41" s="3" t="s">
        <v>51</v>
      </c>
      <c r="G41" s="3">
        <v>304</v>
      </c>
      <c r="H41" s="6" t="e">
        <f ca="1">IF($G41="null","",VLOOKUP($G41,OFFSET([3]gacha_schedules!$A$2,0,0,COUNTA([3]gacha_schedules!$A:$A),MATCH(H$1,[3]gacha_schedules!$1:$1,0)-MATCH($G$1,[3]gacha_schedules!$1:$1,0)+1),MATCH(H$1,[3]gacha_schedules!$1:$1,0)-MATCH($G$1,[3]gacha_schedules!$1:$1,0)+1,FALSE))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42" spans="1:8" ht="21" customHeight="1" x14ac:dyDescent="0.15">
      <c r="A42" s="71" t="str">
        <f t="shared" si="0"/>
        <v>9303</v>
      </c>
      <c r="B42" s="3" t="s">
        <v>245</v>
      </c>
      <c r="C42" s="9" t="str">
        <f ca="1">IFERROR(VLOOKUP(VALUE(SUBSTITUTE(B42,"quest","")),OFFSET([2]quests!$A$1,0,0,COUNTA([2]quests!$A:$A),MATCH(C$1,[2]quests!$1:$1,0)-MATCH("quest_id",[2]quests!$1:$1,0)+1),MATCH(C$1,[2]quests!$1:$1,0)-MATCH("quest_id",[2]quests!$1:$1,0)+1,FALSE),"")</f>
        <v/>
      </c>
      <c r="D42" s="66" t="s">
        <v>266</v>
      </c>
      <c r="E42" s="3" t="s">
        <v>246</v>
      </c>
      <c r="F42" s="3" t="s">
        <v>51</v>
      </c>
      <c r="G42" s="3">
        <v>303</v>
      </c>
      <c r="H42" s="6" t="e">
        <f ca="1">IF($G42="null","",VLOOKUP($G42,OFFSET([3]gacha_schedules!$A$2,0,0,COUNTA([3]gacha_schedules!$A:$A),MATCH(H$1,[3]gacha_schedules!$1:$1,0)-MATCH($G$1,[3]gacha_schedules!$1:$1,0)+1),MATCH(H$1,[3]gacha_schedules!$1:$1,0)-MATCH($G$1,[3]gacha_schedules!$1:$1,0)+1,FALSE))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43" spans="1:8" ht="21" customHeight="1" x14ac:dyDescent="0.15">
      <c r="A43" s="71" t="str">
        <f t="shared" si="0"/>
        <v>9302</v>
      </c>
      <c r="B43" s="3" t="s">
        <v>242</v>
      </c>
      <c r="C43" s="9" t="str">
        <f ca="1">IFERROR(VLOOKUP(VALUE(SUBSTITUTE(B43,"quest","")),OFFSET([2]quests!$A$1,0,0,COUNTA([2]quests!$A:$A),MATCH(C$1,[2]quests!$1:$1,0)-MATCH("quest_id",[2]quests!$1:$1,0)+1),MATCH(C$1,[2]quests!$1:$1,0)-MATCH("quest_id",[2]quests!$1:$1,0)+1,FALSE),"")</f>
        <v/>
      </c>
      <c r="D43" s="66" t="s">
        <v>266</v>
      </c>
      <c r="E43" s="3" t="str">
        <f t="shared" ref="E43:E47" si="3">B43&amp;".png"</f>
        <v>gacha302.png</v>
      </c>
      <c r="F43" s="3" t="s">
        <v>51</v>
      </c>
      <c r="G43" s="3">
        <v>302</v>
      </c>
      <c r="H43" s="6" t="e">
        <f ca="1">IF($G43="null","",VLOOKUP($G43,OFFSET([3]gacha_schedules!$A$2,0,0,COUNTA([3]gacha_schedules!$A:$A),MATCH(H$1,[3]gacha_schedules!$1:$1,0)-MATCH($G$1,[3]gacha_schedules!$1:$1,0)+1),MATCH(H$1,[3]gacha_schedules!$1:$1,0)-MATCH($G$1,[3]gacha_schedules!$1:$1,0)+1,FALSE))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44" spans="1:8" ht="21" customHeight="1" x14ac:dyDescent="0.15">
      <c r="A44" s="71" t="str">
        <f t="shared" si="0"/>
        <v>9301</v>
      </c>
      <c r="B44" s="3" t="s">
        <v>241</v>
      </c>
      <c r="C44" s="9" t="str">
        <f ca="1">IFERROR(VLOOKUP(VALUE(SUBSTITUTE(B44,"quest","")),OFFSET([2]quests!$A$1,0,0,COUNTA([2]quests!$A:$A),MATCH(C$1,[2]quests!$1:$1,0)-MATCH("quest_id",[2]quests!$1:$1,0)+1),MATCH(C$1,[2]quests!$1:$1,0)-MATCH("quest_id",[2]quests!$1:$1,0)+1,FALSE),"")</f>
        <v/>
      </c>
      <c r="D44" s="66" t="s">
        <v>266</v>
      </c>
      <c r="E44" s="3" t="str">
        <f t="shared" si="3"/>
        <v>gacha301.png</v>
      </c>
      <c r="F44" s="3" t="s">
        <v>51</v>
      </c>
      <c r="G44" s="3">
        <v>301</v>
      </c>
      <c r="H44" s="6" t="e">
        <f ca="1">IF($G44="null","",VLOOKUP($G44,OFFSET([3]gacha_schedules!$A$2,0,0,COUNTA([3]gacha_schedules!$A:$A),MATCH(H$1,[3]gacha_schedules!$1:$1,0)-MATCH($G$1,[3]gacha_schedules!$1:$1,0)+1),MATCH(H$1,[3]gacha_schedules!$1:$1,0)-MATCH($G$1,[3]gacha_schedules!$1:$1,0)+1,FALSE))</f>
        <v>#N/A</v>
      </c>
    </row>
    <row r="45" spans="1:8" ht="21" customHeight="1" x14ac:dyDescent="0.15">
      <c r="A45" s="72" t="str">
        <f t="shared" ref="A45:A47" si="4">"8"&amp;TEXT(RIGHT(B45,3),"000")</f>
        <v>8337</v>
      </c>
      <c r="B45" s="3" t="s">
        <v>340</v>
      </c>
      <c r="C45" s="9"/>
      <c r="D45" s="66" t="s">
        <v>16</v>
      </c>
      <c r="E45" s="3" t="str">
        <f t="shared" si="3"/>
        <v>gacha337.png</v>
      </c>
      <c r="F45" s="3" t="s">
        <v>51</v>
      </c>
      <c r="G45" s="3">
        <v>337</v>
      </c>
      <c r="H45" s="6" t="s">
        <v>376</v>
      </c>
    </row>
    <row r="46" spans="1:8" ht="21" customHeight="1" x14ac:dyDescent="0.15">
      <c r="A46" s="72" t="str">
        <f t="shared" si="4"/>
        <v>8327</v>
      </c>
      <c r="B46" s="3" t="s">
        <v>322</v>
      </c>
      <c r="C46" s="9"/>
      <c r="D46" s="66" t="s">
        <v>16</v>
      </c>
      <c r="E46" s="3" t="str">
        <f t="shared" si="3"/>
        <v>gacha327.png</v>
      </c>
      <c r="F46" s="3" t="s">
        <v>51</v>
      </c>
      <c r="G46" s="3">
        <v>327</v>
      </c>
      <c r="H46" s="6" t="s">
        <v>376</v>
      </c>
    </row>
    <row r="47" spans="1:8" ht="21" customHeight="1" x14ac:dyDescent="0.15">
      <c r="A47" s="72" t="str">
        <f t="shared" si="4"/>
        <v>8320</v>
      </c>
      <c r="B47" s="3" t="s">
        <v>247</v>
      </c>
      <c r="C47" s="9"/>
      <c r="D47" s="66" t="s">
        <v>16</v>
      </c>
      <c r="E47" s="3" t="str">
        <f t="shared" si="3"/>
        <v>gacha320.png</v>
      </c>
      <c r="F47" s="3" t="s">
        <v>51</v>
      </c>
      <c r="G47" s="3">
        <v>320</v>
      </c>
      <c r="H47" s="6" t="s">
        <v>376</v>
      </c>
    </row>
    <row r="48" spans="1:8" ht="21" customHeight="1" x14ac:dyDescent="0.15">
      <c r="A48" s="71" t="str">
        <f t="shared" ref="A48:A52" si="5">"7"&amp;TEXT(RIGHT(B48,3),"000")</f>
        <v>7207</v>
      </c>
      <c r="B48" s="3" t="s">
        <v>231</v>
      </c>
      <c r="C48" s="9" t="str">
        <f ca="1">IFERROR(VLOOKUP(VALUE(SUBSTITUTE(B48,"quest","")),OFFSET([2]quests!$A$1,0,0,COUNTA([2]quests!$A:$A),MATCH(C$1,[2]quests!$1:$1,0)-MATCH("quest_id",[2]quests!$1:$1,0)+1),MATCH(C$1,[2]quests!$1:$1,0)-MATCH("quest_id",[2]quests!$1:$1,0)+1,FALSE),"")</f>
        <v/>
      </c>
      <c r="D48" s="66" t="s">
        <v>266</v>
      </c>
      <c r="E48" s="3" t="s">
        <v>138</v>
      </c>
      <c r="F48" s="3" t="s">
        <v>51</v>
      </c>
      <c r="G48" s="38">
        <v>10004</v>
      </c>
      <c r="H48" s="6" t="s">
        <v>377</v>
      </c>
    </row>
    <row r="49" spans="1:10" ht="21" customHeight="1" x14ac:dyDescent="0.15">
      <c r="A49" s="71" t="str">
        <f t="shared" si="5"/>
        <v>7206</v>
      </c>
      <c r="B49" s="3" t="s">
        <v>144</v>
      </c>
      <c r="C49" s="9" t="str">
        <f ca="1">IFERROR(VLOOKUP(VALUE(SUBSTITUTE(B49,"quest","")),OFFSET([2]quests!$A$1,0,0,COUNTA([2]quests!$A:$A),MATCH(C$1,[2]quests!$1:$1,0)-MATCH("quest_id",[2]quests!$1:$1,0)+1),MATCH(C$1,[2]quests!$1:$1,0)-MATCH("quest_id",[2]quests!$1:$1,0)+1,FALSE),"")</f>
        <v/>
      </c>
      <c r="D49" s="66" t="s">
        <v>266</v>
      </c>
      <c r="E49" s="3" t="s">
        <v>145</v>
      </c>
      <c r="F49" s="3" t="s">
        <v>51</v>
      </c>
      <c r="G49" s="38">
        <v>10003</v>
      </c>
      <c r="H49" s="6" t="s">
        <v>377</v>
      </c>
    </row>
    <row r="50" spans="1:10" ht="21" customHeight="1" x14ac:dyDescent="0.15">
      <c r="A50" s="71" t="str">
        <f t="shared" si="5"/>
        <v>7205</v>
      </c>
      <c r="B50" s="3" t="s">
        <v>140</v>
      </c>
      <c r="C50" s="9" t="str">
        <f ca="1">IFERROR(VLOOKUP(VALUE(SUBSTITUTE(B50,"quest","")),OFFSET([2]quests!$A$1,0,0,COUNTA([2]quests!$A:$A),MATCH(C$1,[2]quests!$1:$1,0)-MATCH("quest_id",[2]quests!$1:$1,0)+1),MATCH(C$1,[2]quests!$1:$1,0)-MATCH("quest_id",[2]quests!$1:$1,0)+1,FALSE),"")</f>
        <v/>
      </c>
      <c r="D50" s="66" t="s">
        <v>266</v>
      </c>
      <c r="E50" s="3" t="s">
        <v>138</v>
      </c>
      <c r="F50" s="3" t="s">
        <v>51</v>
      </c>
      <c r="G50" s="38">
        <v>10002</v>
      </c>
      <c r="H50" s="6" t="s">
        <v>377</v>
      </c>
    </row>
    <row r="51" spans="1:10" ht="21" customHeight="1" x14ac:dyDescent="0.15">
      <c r="A51" s="71" t="str">
        <f t="shared" si="5"/>
        <v>7204</v>
      </c>
      <c r="B51" s="3" t="s">
        <v>139</v>
      </c>
      <c r="C51" s="9" t="str">
        <f ca="1">IFERROR(VLOOKUP(VALUE(SUBSTITUTE(B51,"quest","")),OFFSET([2]quests!$A$1,0,0,COUNTA([2]quests!$A:$A),MATCH(C$1,[2]quests!$1:$1,0)-MATCH("quest_id",[2]quests!$1:$1,0)+1),MATCH(C$1,[2]quests!$1:$1,0)-MATCH("quest_id",[2]quests!$1:$1,0)+1,FALSE),"")</f>
        <v/>
      </c>
      <c r="D51" s="66" t="s">
        <v>266</v>
      </c>
      <c r="E51" s="3" t="s">
        <v>135</v>
      </c>
      <c r="F51" s="3" t="s">
        <v>51</v>
      </c>
      <c r="G51" s="38">
        <v>10001</v>
      </c>
      <c r="H51" s="6" t="s">
        <v>377</v>
      </c>
    </row>
    <row r="52" spans="1:10" ht="21" customHeight="1" x14ac:dyDescent="0.15">
      <c r="A52" s="71" t="str">
        <f t="shared" si="5"/>
        <v>7203</v>
      </c>
      <c r="B52" s="3" t="s">
        <v>302</v>
      </c>
      <c r="C52" s="9" t="str">
        <f ca="1">IFERROR(VLOOKUP(VALUE(SUBSTITUTE(B52,"quest","")),OFFSET([2]quests!$A$1,0,0,COUNTA([2]quests!$A:$A),MATCH(C$1,[2]quests!$1:$1,0)-MATCH("quest_id",[2]quests!$1:$1,0)+1),MATCH(C$1,[2]quests!$1:$1,0)-MATCH("quest_id",[2]quests!$1:$1,0)+1,FALSE),"")</f>
        <v/>
      </c>
      <c r="D52" s="66" t="s">
        <v>266</v>
      </c>
      <c r="E52" s="3" t="s">
        <v>116</v>
      </c>
      <c r="F52" s="3" t="s">
        <v>51</v>
      </c>
      <c r="G52" s="38">
        <v>10006</v>
      </c>
      <c r="H52" s="6" t="s">
        <v>377</v>
      </c>
    </row>
    <row r="53" spans="1:10" ht="21" customHeight="1" x14ac:dyDescent="0.15">
      <c r="A53" s="71" t="str">
        <f t="shared" ref="A53:A55" si="6">"5"&amp;TEXT(RIGHT(B53,3),"000")</f>
        <v>5003</v>
      </c>
      <c r="B53" s="3" t="s">
        <v>328</v>
      </c>
      <c r="C53" s="9" t="str">
        <f ca="1">IFERROR(VLOOKUP(VALUE(SUBSTITUTE(B53,"quest","")),OFFSET([2]quests!$A$1,0,0,COUNTA([2]quests!$A:$A),MATCH(C$1,[2]quests!$1:$1,0)-MATCH("quest_id",[2]quests!$1:$1,0)+1),MATCH(C$1,[2]quests!$1:$1,0)-MATCH("quest_id",[2]quests!$1:$1,0)+1,FALSE),"")</f>
        <v>織田信長襲来！</v>
      </c>
      <c r="D53" s="66" t="s">
        <v>16</v>
      </c>
      <c r="E53" s="19" t="str">
        <f t="shared" ref="E53:E60" si="7">B53&amp;".png"</f>
        <v>quest50003.png</v>
      </c>
      <c r="F53" s="3">
        <v>1</v>
      </c>
      <c r="G53" s="3" t="s">
        <v>51</v>
      </c>
      <c r="H53" s="6" t="str">
        <f ca="1">IF($G53="null","",VLOOKUP($G53,OFFSET([3]gacha_schedules!$A$2,0,0,COUNTA([3]gacha_schedules!$A:$A),MATCH(H$1,[3]gacha_schedules!$1:$1,0)-MATCH($G$1,[3]gacha_schedules!$1:$1,0)+1),MATCH(H$1,[3]gacha_schedules!$1:$1,0)-MATCH($G$1,[3]gacha_schedules!$1:$1,0)+1,FALSE))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54" spans="1:10" ht="21" customHeight="1" x14ac:dyDescent="0.15">
      <c r="A54" s="71" t="str">
        <f t="shared" si="6"/>
        <v>5002</v>
      </c>
      <c r="B54" s="3" t="s">
        <v>365</v>
      </c>
      <c r="C54" s="9" t="str">
        <f ca="1">IFERROR(VLOOKUP(VALUE(SUBSTITUTE(B54,"quest","")),OFFSET([2]quests!$A$1,0,0,COUNTA([2]quests!$A:$A),MATCH(C$1,[2]quests!$1:$1,0)-MATCH("quest_id",[2]quests!$1:$1,0)+1),MATCH(C$1,[2]quests!$1:$1,0)-MATCH("quest_id",[2]quests!$1:$1,0)+1,FALSE),"")</f>
        <v>オーディン襲来！</v>
      </c>
      <c r="D54" s="66" t="s">
        <v>266</v>
      </c>
      <c r="E54" s="19" t="str">
        <f t="shared" si="7"/>
        <v>quest51002.png</v>
      </c>
      <c r="F54" s="3">
        <v>1</v>
      </c>
      <c r="G54" s="3" t="s">
        <v>51</v>
      </c>
      <c r="H54" s="6" t="str">
        <f ca="1">IF($G54="null","",VLOOKUP($G54,OFFSET([3]gacha_schedules!$A$2,0,0,COUNTA([3]gacha_schedules!$A:$A),MATCH(H$1,[3]gacha_schedules!$1:$1,0)-MATCH($G$1,[3]gacha_schedules!$1:$1,0)+1),MATCH(H$1,[3]gacha_schedules!$1:$1,0)-MATCH($G$1,[3]gacha_schedules!$1:$1,0)+1,FALSE))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55" spans="1:10" ht="21" customHeight="1" x14ac:dyDescent="0.15">
      <c r="A55" s="73" t="str">
        <f t="shared" si="6"/>
        <v>5001</v>
      </c>
      <c r="B55" s="3" t="s">
        <v>364</v>
      </c>
      <c r="C55" s="9" t="str">
        <f ca="1">IFERROR(VLOOKUP(VALUE(SUBSTITUTE(B55,"quest","")),OFFSET([2]quests!$A$1,0,0,COUNTA([2]quests!$A:$A),MATCH(C$1,[2]quests!$1:$1,0)-MATCH("quest_id",[2]quests!$1:$1,0)+1),MATCH(C$1,[2]quests!$1:$1,0)-MATCH("quest_id",[2]quests!$1:$1,0)+1,FALSE),"")</f>
        <v>麒麟襲来！</v>
      </c>
      <c r="D55" s="66" t="s">
        <v>266</v>
      </c>
      <c r="E55" s="19" t="str">
        <f t="shared" si="7"/>
        <v>quest51001.png</v>
      </c>
      <c r="F55" s="3">
        <v>1</v>
      </c>
      <c r="G55" s="3" t="s">
        <v>51</v>
      </c>
      <c r="H55" s="6" t="str">
        <f ca="1">IF($G55="null","",VLOOKUP($G55,OFFSET([3]gacha_schedules!$A$2,0,0,COUNTA([3]gacha_schedules!$A:$A),MATCH(H$1,[3]gacha_schedules!$1:$1,0)-MATCH($G$1,[3]gacha_schedules!$1:$1,0)+1),MATCH(H$1,[3]gacha_schedules!$1:$1,0)-MATCH($G$1,[3]gacha_schedules!$1:$1,0)+1,FALSE))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56" spans="1:10" ht="21" customHeight="1" x14ac:dyDescent="0.15">
      <c r="A56" s="74">
        <v>4923</v>
      </c>
      <c r="B56" s="3" t="s">
        <v>493</v>
      </c>
      <c r="C56" s="9" t="str">
        <f ca="1">IFERROR(VLOOKUP(VALUE(SUBSTITUTE(B56,"quest","")),OFFSET([2]quests!$A$1,0,0,COUNTA([2]quests!$A:$A),MATCH(C$1,[2]quests!$1:$1,0)-MATCH("quest_id",[2]quests!$1:$1,0)+1),MATCH(C$1,[2]quests!$1:$1,0)-MATCH("quest_id",[2]quests!$1:$1,0)+1,FALSE),"")</f>
        <v>サンリオ好きなのだーれだ♪</v>
      </c>
      <c r="D56" s="66" t="s">
        <v>16</v>
      </c>
      <c r="E56" s="19" t="str">
        <f>B56&amp;".png"</f>
        <v>quest49004.png</v>
      </c>
      <c r="F56" s="3">
        <v>1</v>
      </c>
      <c r="G56" s="3" t="s">
        <v>51</v>
      </c>
      <c r="H56" s="6" t="str">
        <f ca="1">IF($G56="null","",VLOOKUP($G56,OFFSET([3]gacha_schedules!$A$2,0,0,COUNTA([3]gacha_schedules!$A:$A),MATCH(H$1,[3]gacha_schedules!$1:$1,0)-MATCH($G$1,[3]gacha_schedules!$1:$1,0)+1),MATCH(H$1,[3]gacha_schedules!$1:$1,0)-MATCH($G$1,[3]gacha_schedules!$1:$1,0)+1,FALSE))</f>
        <v/>
      </c>
      <c r="I56" s="1" t="str">
        <f t="shared" ref="I56:I65" si="8">LEFT(RIGHT(B56,4),1)</f>
        <v>9</v>
      </c>
      <c r="J56" s="1" t="e">
        <f t="shared" ref="J56" si="9">J57+1</f>
        <v>#REF!</v>
      </c>
    </row>
    <row r="57" spans="1:10" ht="21" customHeight="1" x14ac:dyDescent="0.15">
      <c r="A57" s="74">
        <v>4922</v>
      </c>
      <c r="B57" s="3" t="s">
        <v>494</v>
      </c>
      <c r="C57" s="9" t="str">
        <f ca="1">IFERROR(VLOOKUP(VALUE(SUBSTITUTE(B57,"quest","")),OFFSET([2]quests!$A$1,0,0,COUNTA([2]quests!$A:$A),MATCH(C$1,[2]quests!$1:$1,0)-MATCH("quest_id",[2]quests!$1:$1,0)+1),MATCH(C$1,[2]quests!$1:$1,0)-MATCH("quest_id",[2]quests!$1:$1,0)+1,FALSE),"")</f>
        <v xml:space="preserve">ニムダのおきにいり♪ </v>
      </c>
      <c r="D57" s="66" t="s">
        <v>16</v>
      </c>
      <c r="E57" s="19" t="str">
        <f t="shared" ref="E57" si="10">B57&amp;".png"</f>
        <v>quest39004.png</v>
      </c>
      <c r="F57" s="3">
        <v>1</v>
      </c>
      <c r="G57" s="3" t="s">
        <v>51</v>
      </c>
      <c r="H57" s="6" t="str">
        <f ca="1">IF($G57="null","",VLOOKUP($G57,OFFSET([3]gacha_schedules!$A$2,0,0,COUNTA([3]gacha_schedules!$A:$A),MATCH(H$1,[3]gacha_schedules!$1:$1,0)-MATCH($G$1,[3]gacha_schedules!$1:$1,0)+1),MATCH(H$1,[3]gacha_schedules!$1:$1,0)-MATCH($G$1,[3]gacha_schedules!$1:$1,0)+1,FALSE))</f>
        <v/>
      </c>
      <c r="I57" s="1" t="str">
        <f t="shared" si="8"/>
        <v>9</v>
      </c>
      <c r="J57" s="1" t="e">
        <f>#REF!+1</f>
        <v>#REF!</v>
      </c>
    </row>
    <row r="58" spans="1:10" ht="21" customHeight="1" x14ac:dyDescent="0.15">
      <c r="A58" s="72" t="str">
        <f>"49"&amp;TEXT(J58,"00")</f>
        <v>4921</v>
      </c>
      <c r="B58" s="3" t="s">
        <v>327</v>
      </c>
      <c r="C58" s="9" t="str">
        <f ca="1">IFERROR(VLOOKUP(VALUE(SUBSTITUTE(B58,"quest","")),OFFSET([2]quests!$A$1,0,0,COUNTA([2]quests!$A:$A),MATCH(C$1,[2]quests!$1:$1,0)-MATCH("quest_id",[2]quests!$1:$1,0)+1),MATCH(C$1,[2]quests!$1:$1,0)-MATCH("quest_id",[2]quests!$1:$1,0)+1,FALSE),"")</f>
        <v>折原臨也襲来！</v>
      </c>
      <c r="D58" s="66" t="s">
        <v>16</v>
      </c>
      <c r="E58" s="19" t="str">
        <f t="shared" si="7"/>
        <v>quest49003.png</v>
      </c>
      <c r="F58" s="3">
        <v>1</v>
      </c>
      <c r="G58" s="3" t="s">
        <v>51</v>
      </c>
      <c r="H58" s="6" t="str">
        <f ca="1">IF($G58="null","",VLOOKUP($G58,OFFSET([3]gacha_schedules!$A$2,0,0,COUNTA([3]gacha_schedules!$A:$A),MATCH(H$1,[3]gacha_schedules!$1:$1,0)-MATCH($G$1,[3]gacha_schedules!$1:$1,0)+1),MATCH(H$1,[3]gacha_schedules!$1:$1,0)-MATCH($G$1,[3]gacha_schedules!$1:$1,0)+1,FALSE))</f>
        <v/>
      </c>
      <c r="I58" s="1" t="str">
        <f t="shared" si="8"/>
        <v>9</v>
      </c>
      <c r="J58" s="1">
        <f t="shared" ref="J58:J76" si="11">J59+1</f>
        <v>21</v>
      </c>
    </row>
    <row r="59" spans="1:10" ht="21" customHeight="1" x14ac:dyDescent="0.15">
      <c r="A59" s="72" t="str">
        <f t="shared" ref="A59:A78" si="12">"49"&amp;TEXT(J59,"00")</f>
        <v>4920</v>
      </c>
      <c r="B59" s="3" t="s">
        <v>326</v>
      </c>
      <c r="C59" s="9" t="str">
        <f ca="1">IFERROR(VLOOKUP(VALUE(SUBSTITUTE(B59,"quest","")),OFFSET([2]quests!$A$1,0,0,COUNTA([2]quests!$A:$A),MATCH(C$1,[2]quests!$1:$1,0)-MATCH("quest_id",[2]quests!$1:$1,0)+1),MATCH(C$1,[2]quests!$1:$1,0)-MATCH("quest_id",[2]quests!$1:$1,0)+1,FALSE),"")</f>
        <v>園原杏里襲来！</v>
      </c>
      <c r="D59" s="66" t="s">
        <v>16</v>
      </c>
      <c r="E59" s="19" t="str">
        <f t="shared" si="7"/>
        <v>quest49002.png</v>
      </c>
      <c r="F59" s="3">
        <v>1</v>
      </c>
      <c r="G59" s="3" t="s">
        <v>51</v>
      </c>
      <c r="H59" s="6" t="str">
        <f ca="1">IF($G59="null","",VLOOKUP($G59,OFFSET([3]gacha_schedules!$A$2,0,0,COUNTA([3]gacha_schedules!$A:$A),MATCH(H$1,[3]gacha_schedules!$1:$1,0)-MATCH($G$1,[3]gacha_schedules!$1:$1,0)+1),MATCH(H$1,[3]gacha_schedules!$1:$1,0)-MATCH($G$1,[3]gacha_schedules!$1:$1,0)+1,FALSE))</f>
        <v/>
      </c>
      <c r="I59" s="1" t="str">
        <f t="shared" si="8"/>
        <v>9</v>
      </c>
      <c r="J59" s="1">
        <f t="shared" si="11"/>
        <v>20</v>
      </c>
    </row>
    <row r="60" spans="1:10" ht="21" customHeight="1" x14ac:dyDescent="0.15">
      <c r="A60" s="72" t="str">
        <f t="shared" si="12"/>
        <v>4919</v>
      </c>
      <c r="B60" s="3" t="s">
        <v>325</v>
      </c>
      <c r="C60" s="9" t="str">
        <f ca="1">IFERROR(VLOOKUP(VALUE(SUBSTITUTE(B60,"quest","")),OFFSET([2]quests!$A$1,0,0,COUNTA([2]quests!$A:$A),MATCH(C$1,[2]quests!$1:$1,0)-MATCH("quest_id",[2]quests!$1:$1,0)+1),MATCH(C$1,[2]quests!$1:$1,0)-MATCH("quest_id",[2]quests!$1:$1,0)+1,FALSE),"")</f>
        <v>ブルースクウェアを追え！</v>
      </c>
      <c r="D60" s="66" t="s">
        <v>16</v>
      </c>
      <c r="E60" s="19" t="str">
        <f t="shared" si="7"/>
        <v>quest39003.png</v>
      </c>
      <c r="F60" s="3">
        <v>1</v>
      </c>
      <c r="G60" s="3" t="s">
        <v>51</v>
      </c>
      <c r="H60" s="6" t="str">
        <f ca="1">IF($G60="null","",VLOOKUP($G60,OFFSET([3]gacha_schedules!$A$2,0,0,COUNTA([3]gacha_schedules!$A:$A),MATCH(H$1,[3]gacha_schedules!$1:$1,0)-MATCH($G$1,[3]gacha_schedules!$1:$1,0)+1),MATCH(H$1,[3]gacha_schedules!$1:$1,0)-MATCH($G$1,[3]gacha_schedules!$1:$1,0)+1,FALSE))</f>
        <v/>
      </c>
      <c r="I60" s="1" t="str">
        <f t="shared" si="8"/>
        <v>9</v>
      </c>
      <c r="J60" s="1">
        <f t="shared" si="11"/>
        <v>19</v>
      </c>
    </row>
    <row r="61" spans="1:10" ht="21" customHeight="1" x14ac:dyDescent="0.15">
      <c r="A61" s="72" t="str">
        <f t="shared" si="12"/>
        <v>4918</v>
      </c>
      <c r="B61" s="3" t="s">
        <v>324</v>
      </c>
      <c r="C61" s="9" t="str">
        <f ca="1">IFERROR(VLOOKUP(VALUE(SUBSTITUTE(B61,"quest","")),OFFSET([2]quests!$A$1,0,0,COUNTA([2]quests!$A:$A),MATCH(C$1,[2]quests!$1:$1,0)-MATCH("quest_id",[2]quests!$1:$1,0)+1),MATCH(C$1,[2]quests!$1:$1,0)-MATCH("quest_id",[2]quests!$1:$1,0)+1,FALSE),"")</f>
        <v>黄巾賊の暴走を止めろ！</v>
      </c>
      <c r="D61" s="66" t="s">
        <v>16</v>
      </c>
      <c r="E61" s="69" t="s">
        <v>334</v>
      </c>
      <c r="F61" s="3">
        <v>1</v>
      </c>
      <c r="G61" s="3" t="s">
        <v>51</v>
      </c>
      <c r="H61" s="6" t="str">
        <f ca="1">IF($G61="null","",VLOOKUP($G61,OFFSET([3]gacha_schedules!$A$2,0,0,COUNTA([3]gacha_schedules!$A:$A),MATCH(H$1,[3]gacha_schedules!$1:$1,0)-MATCH($G$1,[3]gacha_schedules!$1:$1,0)+1),MATCH(H$1,[3]gacha_schedules!$1:$1,0)-MATCH($G$1,[3]gacha_schedules!$1:$1,0)+1,FALSE))</f>
        <v/>
      </c>
      <c r="I61" s="1" t="str">
        <f t="shared" si="8"/>
        <v>9</v>
      </c>
      <c r="J61" s="1">
        <f t="shared" si="11"/>
        <v>18</v>
      </c>
    </row>
    <row r="62" spans="1:10" ht="21" customHeight="1" x14ac:dyDescent="0.15">
      <c r="A62" s="72" t="str">
        <f t="shared" si="12"/>
        <v>4917</v>
      </c>
      <c r="B62" s="3" t="s">
        <v>148</v>
      </c>
      <c r="C62" s="9" t="str">
        <f ca="1">IFERROR(VLOOKUP(VALUE(SUBSTITUTE(B62,"quest","")),OFFSET([2]quests!$A$1,0,0,COUNTA([2]quests!$A:$A),MATCH(C$1,[2]quests!$1:$1,0)-MATCH("quest_id",[2]quests!$1:$1,0)+1),MATCH(C$1,[2]quests!$1:$1,0)-MATCH("quest_id",[2]quests!$1:$1,0)+1,FALSE),"")</f>
        <v>熱唱！初音ミクV3</v>
      </c>
      <c r="D62" s="66" t="s">
        <v>266</v>
      </c>
      <c r="E62" s="19" t="str">
        <f>B62&amp;".png"</f>
        <v>quest49001.png</v>
      </c>
      <c r="F62" s="3">
        <v>1</v>
      </c>
      <c r="G62" s="3" t="s">
        <v>51</v>
      </c>
      <c r="H62" s="6" t="str">
        <f ca="1">IF($G62="null","",VLOOKUP($G62,OFFSET([3]gacha_schedules!$A$2,0,0,COUNTA([3]gacha_schedules!$A:$A),MATCH(H$1,[3]gacha_schedules!$1:$1,0)-MATCH($G$1,[3]gacha_schedules!$1:$1,0)+1),MATCH(H$1,[3]gacha_schedules!$1:$1,0)-MATCH($G$1,[3]gacha_schedules!$1:$1,0)+1,FALSE))</f>
        <v/>
      </c>
      <c r="I62" s="1" t="str">
        <f t="shared" si="8"/>
        <v>9</v>
      </c>
      <c r="J62" s="1">
        <f t="shared" si="11"/>
        <v>17</v>
      </c>
    </row>
    <row r="63" spans="1:10" ht="21" customHeight="1" x14ac:dyDescent="0.15">
      <c r="A63" s="72" t="str">
        <f t="shared" si="12"/>
        <v>4916</v>
      </c>
      <c r="B63" s="3" t="s">
        <v>147</v>
      </c>
      <c r="C63" s="9" t="str">
        <f ca="1">IFERROR(VLOOKUP(VALUE(SUBSTITUTE(B63,"quest","")),OFFSET([2]quests!$A$1,0,0,COUNTA([2]quests!$A:$A),MATCH(C$1,[2]quests!$1:$1,0)-MATCH("quest_id",[2]quests!$1:$1,0)+1),MATCH(C$1,[2]quests!$1:$1,0)-MATCH("quest_id",[2]quests!$1:$1,0)+1,FALSE),"")</f>
        <v>雪の歌姫</v>
      </c>
      <c r="D63" s="66" t="s">
        <v>266</v>
      </c>
      <c r="E63" s="19" t="str">
        <f>B63&amp;".png"</f>
        <v>quest39001.png</v>
      </c>
      <c r="F63" s="3">
        <v>1</v>
      </c>
      <c r="G63" s="3" t="s">
        <v>51</v>
      </c>
      <c r="H63" s="6" t="str">
        <f ca="1">IF($G63="null","",VLOOKUP($G63,OFFSET([3]gacha_schedules!$A$2,0,0,COUNTA([3]gacha_schedules!$A:$A),MATCH(H$1,[3]gacha_schedules!$1:$1,0)-MATCH($G$1,[3]gacha_schedules!$1:$1,0)+1),MATCH(H$1,[3]gacha_schedules!$1:$1,0)-MATCH($G$1,[3]gacha_schedules!$1:$1,0)+1,FALSE))</f>
        <v/>
      </c>
      <c r="I63" s="1" t="str">
        <f t="shared" si="8"/>
        <v>9</v>
      </c>
      <c r="J63" s="1">
        <f t="shared" si="11"/>
        <v>16</v>
      </c>
    </row>
    <row r="64" spans="1:10" ht="21" customHeight="1" x14ac:dyDescent="0.15">
      <c r="A64" s="72" t="str">
        <f t="shared" si="12"/>
        <v>4915</v>
      </c>
      <c r="B64" s="3" t="s">
        <v>119</v>
      </c>
      <c r="C64" s="9" t="str">
        <f ca="1">IFERROR(VLOOKUP(VALUE(SUBSTITUTE(B64,"quest","")),OFFSET([2]quests!$A$1,0,0,COUNTA([2]quests!$A:$A),MATCH(C$1,[2]quests!$1:$1,0)-MATCH("quest_id",[2]quests!$1:$1,0)+1),MATCH(C$1,[2]quests!$1:$1,0)-MATCH("quest_id",[2]quests!$1:$1,0)+1,FALSE),"")</f>
        <v>【超緊急！！】メタルジェントルを追え</v>
      </c>
      <c r="D64" s="66" t="s">
        <v>266</v>
      </c>
      <c r="E64" s="37" t="s">
        <v>107</v>
      </c>
      <c r="F64" s="37">
        <v>100</v>
      </c>
      <c r="G64" s="3" t="s">
        <v>51</v>
      </c>
      <c r="H64" s="6" t="str">
        <f ca="1">IF($G64="null","",VLOOKUP($G64,OFFSET([3]gacha_schedules!$A$2,0,0,COUNTA([3]gacha_schedules!$A:$A),MATCH(H$1,[3]gacha_schedules!$1:$1,0)-MATCH($G$1,[3]gacha_schedules!$1:$1,0)+1),MATCH(H$1,[3]gacha_schedules!$1:$1,0)-MATCH($G$1,[3]gacha_schedules!$1:$1,0)+1,FALSE))</f>
        <v/>
      </c>
      <c r="I64" s="1" t="str">
        <f t="shared" si="8"/>
        <v>2</v>
      </c>
      <c r="J64" s="1">
        <f t="shared" si="11"/>
        <v>15</v>
      </c>
    </row>
    <row r="65" spans="1:10" ht="21" customHeight="1" x14ac:dyDescent="0.15">
      <c r="A65" s="72" t="str">
        <f t="shared" si="12"/>
        <v>4914</v>
      </c>
      <c r="B65" s="3" t="s">
        <v>61</v>
      </c>
      <c r="C65" s="9" t="str">
        <f ca="1">IFERROR(VLOOKUP(VALUE(SUBSTITUTE(B65,"quest","")),OFFSET([2]quests!$A$1,0,0,COUNTA([2]quests!$A:$A),MATCH(C$1,[2]quests!$1:$1,0)-MATCH("quest_id",[2]quests!$1:$1,0)+1),MATCH(C$1,[2]quests!$1:$1,0)-MATCH("quest_id",[2]quests!$1:$1,0)+1,FALSE),"")</f>
        <v>果実達の大宴会</v>
      </c>
      <c r="D65" s="66" t="s">
        <v>266</v>
      </c>
      <c r="E65" s="37" t="s">
        <v>95</v>
      </c>
      <c r="F65" s="3">
        <v>1</v>
      </c>
      <c r="G65" s="3" t="s">
        <v>67</v>
      </c>
      <c r="H65" s="6" t="str">
        <f ca="1">IF($G65="null","",VLOOKUP($G65,OFFSET([3]gacha_schedules!$A$2,0,0,COUNTA([3]gacha_schedules!$A:$A),MATCH(H$1,[3]gacha_schedules!$1:$1,0)-MATCH($G$1,[3]gacha_schedules!$1:$1,0)+1),MATCH(H$1,[3]gacha_schedules!$1:$1,0)-MATCH($G$1,[3]gacha_schedules!$1:$1,0)+1,FALSE))</f>
        <v/>
      </c>
      <c r="I65" s="1" t="str">
        <f t="shared" si="8"/>
        <v>1</v>
      </c>
      <c r="J65" s="1">
        <f t="shared" si="11"/>
        <v>14</v>
      </c>
    </row>
    <row r="66" spans="1:10" ht="21" customHeight="1" x14ac:dyDescent="0.15">
      <c r="A66" s="72" t="str">
        <f t="shared" si="12"/>
        <v>4913</v>
      </c>
      <c r="B66" s="3" t="s">
        <v>232</v>
      </c>
      <c r="C66" s="9" t="str">
        <f ca="1">IFERROR(VLOOKUP(VALUE(SUBSTITUTE(B66,"quest","")),OFFSET([2]quests!$A$1,0,0,COUNTA([2]quests!$A:$A),MATCH(C$1,[2]quests!$1:$1,0)-MATCH("quest_id",[2]quests!$1:$1,0)+1),MATCH(C$1,[2]quests!$1:$1,0)-MATCH("quest_id",[2]quests!$1:$1,0)+1,FALSE),"")</f>
        <v>メタルフロッグをもとめて</v>
      </c>
      <c r="D66" s="66" t="s">
        <v>266</v>
      </c>
      <c r="E66" s="70" t="str">
        <f t="shared" ref="E66:E77" si="13">B66&amp;".png"</f>
        <v>quest12004.png</v>
      </c>
      <c r="F66" s="46">
        <v>1</v>
      </c>
      <c r="G66" s="3" t="s">
        <v>67</v>
      </c>
      <c r="H66" s="6"/>
      <c r="J66" s="1">
        <f t="shared" si="11"/>
        <v>13</v>
      </c>
    </row>
    <row r="67" spans="1:10" ht="21" customHeight="1" x14ac:dyDescent="0.15">
      <c r="A67" s="72" t="str">
        <f t="shared" si="12"/>
        <v>4912</v>
      </c>
      <c r="B67" s="3" t="s">
        <v>345</v>
      </c>
      <c r="C67" s="9" t="str">
        <f ca="1">IFERROR(VLOOKUP(VALUE(SUBSTITUTE(B67,"quest","")),OFFSET([2]quests!$A$1,0,0,COUNTA([2]quests!$A:$A),MATCH(C$1,[2]quests!$1:$1,0)-MATCH("quest_id",[2]quests!$1:$1,0)+1),MATCH(C$1,[2]quests!$1:$1,0)-MATCH("quest_id",[2]quests!$1:$1,0)+1,FALSE),"")</f>
        <v>TVCM放送記念★特別クエスト</v>
      </c>
      <c r="D67" s="66" t="s">
        <v>266</v>
      </c>
      <c r="E67" s="19" t="str">
        <f t="shared" si="13"/>
        <v>quest11224.png</v>
      </c>
      <c r="F67" s="3">
        <v>1</v>
      </c>
      <c r="G67" s="3" t="s">
        <v>51</v>
      </c>
      <c r="H67" s="6" t="str">
        <f ca="1">IF($G67="null","",VLOOKUP($G67,OFFSET([3]gacha_schedules!$A$2,0,0,COUNTA([3]gacha_schedules!$A:$A),MATCH(H$1,[3]gacha_schedules!$1:$1,0)-MATCH($G$1,[3]gacha_schedules!$1:$1,0)+1),MATCH(H$1,[3]gacha_schedules!$1:$1,0)-MATCH($G$1,[3]gacha_schedules!$1:$1,0)+1,FALSE))</f>
        <v/>
      </c>
      <c r="J67" s="1">
        <f t="shared" si="11"/>
        <v>12</v>
      </c>
    </row>
    <row r="68" spans="1:10" ht="21" customHeight="1" x14ac:dyDescent="0.15">
      <c r="A68" s="72" t="str">
        <f t="shared" si="12"/>
        <v>4911</v>
      </c>
      <c r="B68" s="3" t="s">
        <v>279</v>
      </c>
      <c r="C68" s="9" t="str">
        <f ca="1">IFERROR(VLOOKUP(VALUE(SUBSTITUTE(B68,"quest","")),OFFSET([2]quests!$A$1,0,0,COUNTA([2]quests!$A:$A),MATCH(C$1,[2]quests!$1:$1,0)-MATCH("quest_id",[2]quests!$1:$1,0)+1),MATCH(C$1,[2]quests!$1:$1,0)-MATCH("quest_id",[2]quests!$1:$1,0)+1,FALSE),"")</f>
        <v>新生活★応援クエスト</v>
      </c>
      <c r="D68" s="66" t="s">
        <v>266</v>
      </c>
      <c r="E68" s="19" t="str">
        <f t="shared" si="13"/>
        <v>quest11221.png</v>
      </c>
      <c r="F68" s="3">
        <v>1</v>
      </c>
      <c r="G68" s="3" t="s">
        <v>51</v>
      </c>
      <c r="H68" s="6" t="str">
        <f ca="1">IF($G68="null","",VLOOKUP($G68,OFFSET([3]gacha_schedules!$A$2,0,0,COUNTA([3]gacha_schedules!$A:$A),MATCH(H$1,[3]gacha_schedules!$1:$1,0)-MATCH($G$1,[3]gacha_schedules!$1:$1,0)+1),MATCH(H$1,[3]gacha_schedules!$1:$1,0)-MATCH($G$1,[3]gacha_schedules!$1:$1,0)+1,FALSE))</f>
        <v/>
      </c>
      <c r="J68" s="1">
        <f t="shared" si="11"/>
        <v>11</v>
      </c>
    </row>
    <row r="69" spans="1:10" ht="21" customHeight="1" x14ac:dyDescent="0.15">
      <c r="A69" s="72" t="str">
        <f t="shared" si="12"/>
        <v>4910</v>
      </c>
      <c r="B69" s="3" t="s">
        <v>259</v>
      </c>
      <c r="C69" s="9" t="str">
        <f ca="1">IFERROR(VLOOKUP(VALUE(SUBSTITUTE(B69,"quest","")),OFFSET([2]quests!$A$1,0,0,COUNTA([2]quests!$A:$A),MATCH(C$1,[2]quests!$1:$1,0)-MATCH("quest_id",[2]quests!$1:$1,0)+1),MATCH(C$1,[2]quests!$1:$1,0)-MATCH("quest_id",[2]quests!$1:$1,0)+1,FALSE),"")</f>
        <v>ホワイトデー★特別クエスト</v>
      </c>
      <c r="D69" s="66" t="s">
        <v>266</v>
      </c>
      <c r="E69" s="19" t="str">
        <f t="shared" si="13"/>
        <v>quest11220.png</v>
      </c>
      <c r="F69" s="3">
        <v>1</v>
      </c>
      <c r="G69" s="3" t="s">
        <v>51</v>
      </c>
      <c r="H69" s="6" t="str">
        <f ca="1">IF($G69="null","",VLOOKUP($G69,OFFSET([3]gacha_schedules!$A$2,0,0,COUNTA([3]gacha_schedules!$A:$A),MATCH(H$1,[3]gacha_schedules!$1:$1,0)-MATCH($G$1,[3]gacha_schedules!$1:$1,0)+1),MATCH(H$1,[3]gacha_schedules!$1:$1,0)-MATCH($G$1,[3]gacha_schedules!$1:$1,0)+1,FALSE))</f>
        <v/>
      </c>
      <c r="J69" s="1">
        <f t="shared" si="11"/>
        <v>10</v>
      </c>
    </row>
    <row r="70" spans="1:10" ht="21" customHeight="1" x14ac:dyDescent="0.15">
      <c r="A70" s="72" t="str">
        <f t="shared" si="12"/>
        <v>4909</v>
      </c>
      <c r="B70" s="3" t="s">
        <v>219</v>
      </c>
      <c r="C70" s="9" t="str">
        <f ca="1">IFERROR(VLOOKUP(VALUE(SUBSTITUTE(B70,"quest","")),OFFSET([2]quests!$A$1,0,0,COUNTA([2]quests!$A:$A),MATCH(C$1,[2]quests!$1:$1,0)-MATCH("quest_id",[2]quests!$1:$1,0)+1),MATCH(C$1,[2]quests!$1:$1,0)-MATCH("quest_id",[2]quests!$1:$1,0)+1,FALSE),"")</f>
        <v>バレンタイン★特別クエスト</v>
      </c>
      <c r="D70" s="66" t="s">
        <v>266</v>
      </c>
      <c r="E70" s="19" t="str">
        <f t="shared" si="13"/>
        <v>quest11218.png</v>
      </c>
      <c r="F70" s="3">
        <v>1</v>
      </c>
      <c r="G70" s="3" t="s">
        <v>51</v>
      </c>
      <c r="H70" s="6" t="str">
        <f ca="1">IF($G70="null","",VLOOKUP($G70,OFFSET([3]gacha_schedules!$A$2,0,0,COUNTA([3]gacha_schedules!$A:$A),MATCH(H$1,[3]gacha_schedules!$1:$1,0)-MATCH($G$1,[3]gacha_schedules!$1:$1,0)+1),MATCH(H$1,[3]gacha_schedules!$1:$1,0)-MATCH($G$1,[3]gacha_schedules!$1:$1,0)+1,FALSE))</f>
        <v/>
      </c>
      <c r="J70" s="1">
        <f t="shared" si="11"/>
        <v>9</v>
      </c>
    </row>
    <row r="71" spans="1:10" ht="21" customHeight="1" x14ac:dyDescent="0.15">
      <c r="A71" s="72" t="str">
        <f t="shared" si="12"/>
        <v>4908</v>
      </c>
      <c r="B71" s="3" t="s">
        <v>137</v>
      </c>
      <c r="C71" s="9" t="str">
        <f ca="1">IFERROR(VLOOKUP(VALUE(SUBSTITUTE(B71,"quest","")),OFFSET([2]quests!$A$1,0,0,COUNTA([2]quests!$A:$A),MATCH(C$1,[2]quests!$1:$1,0)-MATCH("quest_id",[2]quests!$1:$1,0)+1),MATCH(C$1,[2]quests!$1:$1,0)-MATCH("quest_id",[2]quests!$1:$1,0)+1,FALSE),"")</f>
        <v>年明け★特別クエスト</v>
      </c>
      <c r="D71" s="66" t="s">
        <v>266</v>
      </c>
      <c r="E71" s="19" t="str">
        <f t="shared" si="13"/>
        <v>quest11217.png</v>
      </c>
      <c r="F71" s="3">
        <v>139</v>
      </c>
      <c r="G71" s="3" t="s">
        <v>51</v>
      </c>
      <c r="H71" s="6" t="str">
        <f ca="1">IF($G71="null","",VLOOKUP($G71,OFFSET([3]gacha_schedules!$A$2,0,0,COUNTA([3]gacha_schedules!$A:$A),MATCH(H$1,[3]gacha_schedules!$1:$1,0)-MATCH($G$1,[3]gacha_schedules!$1:$1,0)+1),MATCH(H$1,[3]gacha_schedules!$1:$1,0)-MATCH($G$1,[3]gacha_schedules!$1:$1,0)+1,FALSE))</f>
        <v/>
      </c>
      <c r="J71" s="1">
        <f t="shared" si="11"/>
        <v>8</v>
      </c>
    </row>
    <row r="72" spans="1:10" ht="21" customHeight="1" x14ac:dyDescent="0.15">
      <c r="A72" s="72" t="str">
        <f t="shared" si="12"/>
        <v>4907</v>
      </c>
      <c r="B72" s="3" t="s">
        <v>136</v>
      </c>
      <c r="C72" s="9" t="str">
        <f ca="1">IFERROR(VLOOKUP(VALUE(SUBSTITUTE(B72,"quest","")),OFFSET([2]quests!$A$1,0,0,COUNTA([2]quests!$A:$A),MATCH(C$1,[2]quests!$1:$1,0)-MATCH("quest_id",[2]quests!$1:$1,0)+1),MATCH(C$1,[2]quests!$1:$1,0)-MATCH("quest_id",[2]quests!$1:$1,0)+1,FALSE),"")</f>
        <v>年越し★特別クエスト</v>
      </c>
      <c r="D72" s="66" t="s">
        <v>266</v>
      </c>
      <c r="E72" s="19" t="str">
        <f t="shared" si="13"/>
        <v>quest11216.png</v>
      </c>
      <c r="F72" s="3">
        <v>138</v>
      </c>
      <c r="G72" s="3" t="s">
        <v>51</v>
      </c>
      <c r="H72" s="6" t="str">
        <f ca="1">IF($G72="null","",VLOOKUP($G72,OFFSET([3]gacha_schedules!$A$2,0,0,COUNTA([3]gacha_schedules!$A:$A),MATCH(H$1,[3]gacha_schedules!$1:$1,0)-MATCH($G$1,[3]gacha_schedules!$1:$1,0)+1),MATCH(H$1,[3]gacha_schedules!$1:$1,0)-MATCH($G$1,[3]gacha_schedules!$1:$1,0)+1,FALSE))</f>
        <v/>
      </c>
      <c r="J72" s="1">
        <f t="shared" si="11"/>
        <v>7</v>
      </c>
    </row>
    <row r="73" spans="1:10" ht="21" customHeight="1" x14ac:dyDescent="0.15">
      <c r="A73" s="72" t="str">
        <f t="shared" si="12"/>
        <v>4906</v>
      </c>
      <c r="B73" s="3" t="s">
        <v>133</v>
      </c>
      <c r="C73" s="9" t="str">
        <f ca="1">IFERROR(VLOOKUP(VALUE(SUBSTITUTE(B73,"quest","")),OFFSET([2]quests!$A$1,0,0,COUNTA([2]quests!$A:$A),MATCH(C$1,[2]quests!$1:$1,0)-MATCH("quest_id",[2]quests!$1:$1,0)+1),MATCH(C$1,[2]quests!$1:$1,0)-MATCH("quest_id",[2]quests!$1:$1,0)+1,FALSE),"")</f>
        <v>プロメテウスの恋</v>
      </c>
      <c r="D73" s="66" t="s">
        <v>266</v>
      </c>
      <c r="E73" s="19" t="str">
        <f t="shared" si="13"/>
        <v>quest11214.png</v>
      </c>
      <c r="F73" s="3">
        <v>97</v>
      </c>
      <c r="G73" s="3" t="s">
        <v>51</v>
      </c>
      <c r="H73" s="6" t="str">
        <f ca="1">IF($G73="null","",VLOOKUP($G73,OFFSET([3]gacha_schedules!$A$2,0,0,COUNTA([3]gacha_schedules!$A:$A),MATCH(H$1,[3]gacha_schedules!$1:$1,0)-MATCH($G$1,[3]gacha_schedules!$1:$1,0)+1),MATCH(H$1,[3]gacha_schedules!$1:$1,0)-MATCH($G$1,[3]gacha_schedules!$1:$1,0)+1,FALSE))</f>
        <v/>
      </c>
      <c r="J73" s="1">
        <f t="shared" si="11"/>
        <v>6</v>
      </c>
    </row>
    <row r="74" spans="1:10" ht="21" customHeight="1" x14ac:dyDescent="0.15">
      <c r="A74" s="72" t="str">
        <f t="shared" si="12"/>
        <v>4905</v>
      </c>
      <c r="B74" s="3" t="s">
        <v>132</v>
      </c>
      <c r="C74" s="9" t="str">
        <f ca="1">IFERROR(VLOOKUP(VALUE(SUBSTITUTE(B74,"quest","")),OFFSET([2]quests!$A$1,0,0,COUNTA([2]quests!$A:$A),MATCH(C$1,[2]quests!$1:$1,0)-MATCH("quest_id",[2]quests!$1:$1,0)+1),MATCH(C$1,[2]quests!$1:$1,0)-MATCH("quest_id",[2]quests!$1:$1,0)+1,FALSE),"")</f>
        <v>【マルチ】サンタダックを捕獲せよ！</v>
      </c>
      <c r="D74" s="66" t="s">
        <v>266</v>
      </c>
      <c r="E74" s="19" t="str">
        <f t="shared" si="13"/>
        <v>quest11215.png</v>
      </c>
      <c r="F74" s="3">
        <v>115</v>
      </c>
      <c r="G74" s="3" t="s">
        <v>51</v>
      </c>
      <c r="H74" s="6" t="str">
        <f ca="1">IF($G74="null","",VLOOKUP($G74,OFFSET([3]gacha_schedules!$A$2,0,0,COUNTA([3]gacha_schedules!$A:$A),MATCH(H$1,[3]gacha_schedules!$1:$1,0)-MATCH($G$1,[3]gacha_schedules!$1:$1,0)+1),MATCH(H$1,[3]gacha_schedules!$1:$1,0)-MATCH($G$1,[3]gacha_schedules!$1:$1,0)+1,FALSE))</f>
        <v/>
      </c>
      <c r="J74" s="1">
        <f t="shared" si="11"/>
        <v>5</v>
      </c>
    </row>
    <row r="75" spans="1:10" ht="21" customHeight="1" x14ac:dyDescent="0.15">
      <c r="A75" s="72" t="str">
        <f t="shared" si="12"/>
        <v>4904</v>
      </c>
      <c r="B75" s="3" t="s">
        <v>114</v>
      </c>
      <c r="C75" s="9" t="str">
        <f ca="1">IFERROR(VLOOKUP(VALUE(SUBSTITUTE(B75,"quest","")),OFFSET([2]quests!$A$1,0,0,COUNTA([2]quests!$A:$A),MATCH(C$1,[2]quests!$1:$1,0)-MATCH("quest_id",[2]quests!$1:$1,0)+1),MATCH(C$1,[2]quests!$1:$1,0)-MATCH("quest_id",[2]quests!$1:$1,0)+1,FALSE),"")</f>
        <v>【マルチ専用1/2】 ゴールドカジノ</v>
      </c>
      <c r="D75" s="66" t="s">
        <v>266</v>
      </c>
      <c r="E75" s="19" t="str">
        <f t="shared" si="13"/>
        <v>quest11016.png</v>
      </c>
      <c r="F75" s="3">
        <v>1</v>
      </c>
      <c r="G75" s="3" t="s">
        <v>51</v>
      </c>
      <c r="H75" s="6" t="str">
        <f ca="1">IF($G75="null","",VLOOKUP($G75,OFFSET([3]gacha_schedules!$A$2,0,0,COUNTA([3]gacha_schedules!$A:$A),MATCH(H$1,[3]gacha_schedules!$1:$1,0)-MATCH($G$1,[3]gacha_schedules!$1:$1,0)+1),MATCH(H$1,[3]gacha_schedules!$1:$1,0)-MATCH($G$1,[3]gacha_schedules!$1:$1,0)+1,FALSE))</f>
        <v/>
      </c>
      <c r="J75" s="1">
        <f t="shared" si="11"/>
        <v>4</v>
      </c>
    </row>
    <row r="76" spans="1:10" ht="21" customHeight="1" x14ac:dyDescent="0.15">
      <c r="A76" s="72" t="str">
        <f t="shared" si="12"/>
        <v>4903</v>
      </c>
      <c r="B76" s="3" t="s">
        <v>111</v>
      </c>
      <c r="C76" s="9" t="str">
        <f ca="1">IFERROR(VLOOKUP(VALUE(SUBSTITUTE(B76,"quest","")),OFFSET([2]quests!$A$1,0,0,COUNTA([2]quests!$A:$A),MATCH(C$1,[2]quests!$1:$1,0)-MATCH("quest_id",[2]quests!$1:$1,0)+1),MATCH(C$1,[2]quests!$1:$1,0)-MATCH("quest_id",[2]quests!$1:$1,0)+1,FALSE),"")</f>
        <v>スタートダッシュキャンペーンクエスト</v>
      </c>
      <c r="D76" s="66" t="s">
        <v>266</v>
      </c>
      <c r="E76" s="19" t="str">
        <f t="shared" si="13"/>
        <v>quest11209.png</v>
      </c>
      <c r="F76" s="3">
        <v>55</v>
      </c>
      <c r="G76" s="3" t="s">
        <v>51</v>
      </c>
      <c r="H76" s="6" t="str">
        <f ca="1">IF($G76="null","",VLOOKUP($G76,OFFSET([3]gacha_schedules!$A$2,0,0,COUNTA([3]gacha_schedules!$A:$A),MATCH(H$1,[3]gacha_schedules!$1:$1,0)-MATCH($G$1,[3]gacha_schedules!$1:$1,0)+1),MATCH(H$1,[3]gacha_schedules!$1:$1,0)-MATCH($G$1,[3]gacha_schedules!$1:$1,0)+1,FALSE))</f>
        <v/>
      </c>
      <c r="J76" s="1">
        <f t="shared" si="11"/>
        <v>3</v>
      </c>
    </row>
    <row r="77" spans="1:10" ht="21" customHeight="1" x14ac:dyDescent="0.15">
      <c r="A77" s="72" t="str">
        <f t="shared" si="12"/>
        <v>4902</v>
      </c>
      <c r="B77" s="3" t="s">
        <v>110</v>
      </c>
      <c r="C77" s="9" t="str">
        <f ca="1">IFERROR(VLOOKUP(VALUE(SUBSTITUTE(B77,"quest","")),OFFSET([2]quests!$A$1,0,0,COUNTA([2]quests!$A:$A),MATCH(C$1,[2]quests!$1:$1,0)-MATCH("quest_id",[2]quests!$1:$1,0)+1),MATCH(C$1,[2]quests!$1:$1,0)-MATCH("quest_id",[2]quests!$1:$1,0)+1,FALSE),"")</f>
        <v>100万DL記念★特別クエスト</v>
      </c>
      <c r="D77" s="66" t="s">
        <v>266</v>
      </c>
      <c r="E77" s="19" t="str">
        <f t="shared" si="13"/>
        <v>quest11212.png</v>
      </c>
      <c r="F77" s="3">
        <v>86</v>
      </c>
      <c r="G77" s="3" t="s">
        <v>51</v>
      </c>
      <c r="H77" s="6" t="str">
        <f ca="1">IF($G77="null","",VLOOKUP($G77,OFFSET([3]gacha_schedules!$A$2,0,0,COUNTA([3]gacha_schedules!$A:$A),MATCH(H$1,[3]gacha_schedules!$1:$1,0)-MATCH($G$1,[3]gacha_schedules!$1:$1,0)+1),MATCH(H$1,[3]gacha_schedules!$1:$1,0)-MATCH($G$1,[3]gacha_schedules!$1:$1,0)+1,FALSE))</f>
        <v/>
      </c>
      <c r="J77" s="1">
        <f>J78+1</f>
        <v>2</v>
      </c>
    </row>
    <row r="78" spans="1:10" ht="21" customHeight="1" x14ac:dyDescent="0.15">
      <c r="A78" s="72" t="str">
        <f t="shared" si="12"/>
        <v>4901</v>
      </c>
      <c r="B78" s="3" t="s">
        <v>56</v>
      </c>
      <c r="C78" s="9" t="str">
        <f ca="1">IFERROR(VLOOKUP(VALUE(SUBSTITUTE(B78,"quest","")),OFFSET([2]quests!$A$1,0,0,COUNTA([2]quests!$A:$A),MATCH(C$1,[2]quests!$1:$1,0)-MATCH("quest_id",[2]quests!$1:$1,0)+1),MATCH(C$1,[2]quests!$1:$1,0)-MATCH("quest_id",[2]quests!$1:$1,0)+1,FALSE),"")</f>
        <v>【キャンペーン限定】 ゴールドカジノ</v>
      </c>
      <c r="D78" s="66" t="s">
        <v>266</v>
      </c>
      <c r="E78" s="37" t="s">
        <v>57</v>
      </c>
      <c r="F78" s="3">
        <v>51</v>
      </c>
      <c r="G78" s="3" t="s">
        <v>67</v>
      </c>
      <c r="H78" s="6" t="str">
        <f ca="1">IF($G78="null","",VLOOKUP($G78,OFFSET([3]gacha_schedules!$A$2,0,0,COUNTA([3]gacha_schedules!$A:$A),MATCH(H$1,[3]gacha_schedules!$1:$1,0)-MATCH($G$1,[3]gacha_schedules!$1:$1,0)+1),MATCH(H$1,[3]gacha_schedules!$1:$1,0)-MATCH($G$1,[3]gacha_schedules!$1:$1,0)+1,FALSE))</f>
        <v/>
      </c>
      <c r="J78" s="1">
        <v>1</v>
      </c>
    </row>
    <row r="79" spans="1:10" ht="21" customHeight="1" x14ac:dyDescent="0.15">
      <c r="A79" s="37">
        <v>4800</v>
      </c>
      <c r="B79" s="3" t="s">
        <v>503</v>
      </c>
      <c r="C79" s="77" t="s">
        <v>504</v>
      </c>
      <c r="D79" s="66" t="s">
        <v>505</v>
      </c>
      <c r="E79" s="37" t="s">
        <v>506</v>
      </c>
      <c r="F79" s="3">
        <v>1</v>
      </c>
      <c r="G79" s="3" t="s">
        <v>507</v>
      </c>
      <c r="H79" s="6"/>
    </row>
    <row r="80" spans="1:10" ht="21" customHeight="1" x14ac:dyDescent="0.15">
      <c r="A80" s="71" t="str">
        <f>"4"&amp;TEXT(RIGHT(B80,3),"000")</f>
        <v>4008</v>
      </c>
      <c r="B80" s="3" t="s">
        <v>496</v>
      </c>
      <c r="C80" s="9" t="str">
        <f ca="1">IFERROR(VLOOKUP(VALUE(SUBSTITUTE(B80,"quest","")),OFFSET([2]quests!$A$1,0,0,COUNTA([2]quests!$A:$A),MATCH(C$1,[2]quests!$1:$1,0)-MATCH("quest_id",[2]quests!$1:$1,0)+1),MATCH(C$1,[2]quests!$1:$1,0)-MATCH("quest_id",[2]quests!$1:$1,0)+1,FALSE),"")</f>
        <v>Gスター襲来！</v>
      </c>
      <c r="D80" s="66" t="s">
        <v>266</v>
      </c>
      <c r="E80" s="19" t="str">
        <f>B80&amp;".png"</f>
        <v>quest41008.png</v>
      </c>
      <c r="F80" s="3">
        <v>1</v>
      </c>
      <c r="G80" s="3" t="s">
        <v>51</v>
      </c>
      <c r="H80" s="6" t="str">
        <f ca="1">IF($G80="null","",VLOOKUP($G80,OFFSET([3]gacha_schedules!$A$2,0,0,COUNTA([3]gacha_schedules!$A:$A),MATCH(H$1,[3]gacha_schedules!$1:$1,0)-MATCH($G$1,[3]gacha_schedules!$1:$1,0)+1),MATCH(H$1,[3]gacha_schedules!$1:$1,0)-MATCH($G$1,[3]gacha_schedules!$1:$1,0)+1,FALSE))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1" spans="1:8" ht="21" customHeight="1" x14ac:dyDescent="0.15">
      <c r="A81" s="71" t="str">
        <f>"4"&amp;TEXT(RIGHT(B81,3),"000")</f>
        <v>4007</v>
      </c>
      <c r="B81" s="3" t="s">
        <v>495</v>
      </c>
      <c r="C81" s="9" t="str">
        <f ca="1">IFERROR(VLOOKUP(VALUE(SUBSTITUTE(B81,"quest","")),OFFSET([2]quests!$A$1,0,0,COUNTA([2]quests!$A:$A),MATCH(C$1,[2]quests!$1:$1,0)-MATCH("quest_id",[2]quests!$1:$1,0)+1),MATCH(C$1,[2]quests!$1:$1,0)-MATCH("quest_id",[2]quests!$1:$1,0)+1,FALSE),"")</f>
        <v>グリム襲来！</v>
      </c>
      <c r="D81" s="66" t="s">
        <v>266</v>
      </c>
      <c r="E81" s="19" t="str">
        <f>B81&amp;".png"</f>
        <v>quest41007.png</v>
      </c>
      <c r="F81" s="3">
        <v>1</v>
      </c>
      <c r="G81" s="3" t="s">
        <v>51</v>
      </c>
      <c r="H81" s="6" t="str">
        <f ca="1">IF($G81="null","",VLOOKUP($G81,OFFSET([3]gacha_schedules!$A$2,0,0,COUNTA([3]gacha_schedules!$A:$A),MATCH(H$1,[3]gacha_schedules!$1:$1,0)-MATCH($G$1,[3]gacha_schedules!$1:$1,0)+1),MATCH(H$1,[3]gacha_schedules!$1:$1,0)-MATCH($G$1,[3]gacha_schedules!$1:$1,0)+1,FALSE))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2" spans="1:8" ht="21" customHeight="1" x14ac:dyDescent="0.15">
      <c r="A82" s="71" t="str">
        <f>"4"&amp;TEXT(RIGHT(B82,3),"000")</f>
        <v>4006</v>
      </c>
      <c r="B82" s="3" t="s">
        <v>492</v>
      </c>
      <c r="C82" s="9" t="str">
        <f ca="1">IFERROR(VLOOKUP(VALUE(SUBSTITUTE(B82,"quest","")),OFFSET([2]quests!$A$1,0,0,COUNTA([2]quests!$A:$A),MATCH(C$1,[2]quests!$1:$1,0)-MATCH("quest_id",[2]quests!$1:$1,0)+1),MATCH(C$1,[2]quests!$1:$1,0)-MATCH("quest_id",[2]quests!$1:$1,0)+1,FALSE),"")</f>
        <v>アーサー襲来！</v>
      </c>
      <c r="D82" s="66" t="s">
        <v>266</v>
      </c>
      <c r="E82" s="19" t="str">
        <f>B82&amp;".png"</f>
        <v>quest41006.png</v>
      </c>
      <c r="F82" s="3">
        <v>1</v>
      </c>
      <c r="G82" s="3" t="s">
        <v>51</v>
      </c>
      <c r="H82" s="6" t="str">
        <f ca="1">IF($G82="null","",VLOOKUP($G82,OFFSET([3]gacha_schedules!$A$2,0,0,COUNTA([3]gacha_schedules!$A:$A),MATCH(H$1,[3]gacha_schedules!$1:$1,0)-MATCH($G$1,[3]gacha_schedules!$1:$1,0)+1),MATCH(H$1,[3]gacha_schedules!$1:$1,0)-MATCH($G$1,[3]gacha_schedules!$1:$1,0)+1,FALSE))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3" spans="1:8" ht="21" customHeight="1" x14ac:dyDescent="0.15">
      <c r="A83" s="71" t="str">
        <f>"4"&amp;TEXT(RIGHT(B83,3),"000")</f>
        <v>4005</v>
      </c>
      <c r="B83" s="3" t="s">
        <v>491</v>
      </c>
      <c r="C83" s="9" t="str">
        <f ca="1">IFERROR(VLOOKUP(VALUE(SUBSTITUTE(B83,"quest","")),OFFSET([2]quests!$A$1,0,0,COUNTA([2]quests!$A:$A),MATCH(C$1,[2]quests!$1:$1,0)-MATCH("quest_id",[2]quests!$1:$1,0)+1),MATCH(C$1,[2]quests!$1:$1,0)-MATCH("quest_id",[2]quests!$1:$1,0)+1,FALSE),"")</f>
        <v>オズ襲来！</v>
      </c>
      <c r="D83" s="66" t="s">
        <v>266</v>
      </c>
      <c r="E83" s="19" t="str">
        <f>B83&amp;".png"</f>
        <v>quest41005.png</v>
      </c>
      <c r="F83" s="3">
        <v>1</v>
      </c>
      <c r="G83" s="3" t="s">
        <v>51</v>
      </c>
      <c r="H83" s="6" t="str">
        <f ca="1">IF($G83="null","",VLOOKUP($G83,OFFSET([3]gacha_schedules!$A$2,0,0,COUNTA([3]gacha_schedules!$A:$A),MATCH(H$1,[3]gacha_schedules!$1:$1,0)-MATCH($G$1,[3]gacha_schedules!$1:$1,0)+1),MATCH(H$1,[3]gacha_schedules!$1:$1,0)-MATCH($G$1,[3]gacha_schedules!$1:$1,0)+1,FALSE))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4" spans="1:8" ht="21" customHeight="1" x14ac:dyDescent="0.15">
      <c r="A84" s="71" t="str">
        <f>"4"&amp;TEXT(RIGHT(B84,3),"000")</f>
        <v>4004</v>
      </c>
      <c r="B84" s="3" t="s">
        <v>353</v>
      </c>
      <c r="C84" s="9" t="str">
        <f ca="1">IFERROR(VLOOKUP(VALUE(SUBSTITUTE(B84,"quest","")),OFFSET([2]quests!$A$1,0,0,COUNTA([2]quests!$A:$A),MATCH(C$1,[2]quests!$1:$1,0)-MATCH("quest_id",[2]quests!$1:$1,0)+1),MATCH(C$1,[2]quests!$1:$1,0)-MATCH("quest_id",[2]quests!$1:$1,0)+1,FALSE),"")</f>
        <v>宮本武蔵襲来！</v>
      </c>
      <c r="D84" s="66" t="s">
        <v>16</v>
      </c>
      <c r="E84" s="19" t="str">
        <f t="shared" ref="E84:E114" si="14">B84&amp;".png"</f>
        <v>quest41004.png</v>
      </c>
      <c r="F84" s="3">
        <v>1</v>
      </c>
      <c r="G84" s="3" t="s">
        <v>51</v>
      </c>
      <c r="H84" s="6" t="str">
        <f ca="1">IF($G84="null","",VLOOKUP($G84,OFFSET([3]gacha_schedules!$A$2,0,0,COUNTA([3]gacha_schedules!$A:$A),MATCH(H$1,[3]gacha_schedules!$1:$1,0)-MATCH($G$1,[3]gacha_schedules!$1:$1,0)+1),MATCH(H$1,[3]gacha_schedules!$1:$1,0)-MATCH($G$1,[3]gacha_schedules!$1:$1,0)+1,FALSE))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5" spans="1:8" ht="21" customHeight="1" x14ac:dyDescent="0.15">
      <c r="A85" s="71" t="str">
        <f t="shared" ref="A85:A95" si="15">"4"&amp;TEXT(RIGHT(B85,3),"000")</f>
        <v>4003</v>
      </c>
      <c r="B85" s="3" t="s">
        <v>352</v>
      </c>
      <c r="C85" s="9" t="str">
        <f ca="1">IFERROR(VLOOKUP(VALUE(SUBSTITUTE(B85,"quest","")),OFFSET([2]quests!$A$1,0,0,COUNTA([2]quests!$A:$A),MATCH(C$1,[2]quests!$1:$1,0)-MATCH("quest_id",[2]quests!$1:$1,0)+1),MATCH(C$1,[2]quests!$1:$1,0)-MATCH("quest_id",[2]quests!$1:$1,0)+1,FALSE),"")</f>
        <v>ジャンヌ襲来！</v>
      </c>
      <c r="D85" s="66" t="s">
        <v>16</v>
      </c>
      <c r="E85" s="19" t="str">
        <f t="shared" si="14"/>
        <v>quest41003.png</v>
      </c>
      <c r="F85" s="3">
        <v>1</v>
      </c>
      <c r="G85" s="3" t="s">
        <v>51</v>
      </c>
      <c r="H85" s="6" t="str">
        <f ca="1">IF($G85="null","",VLOOKUP($G85,OFFSET([3]gacha_schedules!$A$2,0,0,COUNTA([3]gacha_schedules!$A:$A),MATCH(H$1,[3]gacha_schedules!$1:$1,0)-MATCH($G$1,[3]gacha_schedules!$1:$1,0)+1),MATCH(H$1,[3]gacha_schedules!$1:$1,0)-MATCH($G$1,[3]gacha_schedules!$1:$1,0)+1,FALSE))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6" spans="1:8" ht="21" customHeight="1" x14ac:dyDescent="0.15">
      <c r="A86" s="71" t="str">
        <f t="shared" si="15"/>
        <v>4002</v>
      </c>
      <c r="B86" s="3" t="s">
        <v>330</v>
      </c>
      <c r="C86" s="9" t="str">
        <f ca="1">IFERROR(VLOOKUP(VALUE(SUBSTITUTE(B86,"quest","")),OFFSET([2]quests!$A$1,0,0,COUNTA([2]quests!$A:$A),MATCH(C$1,[2]quests!$1:$1,0)-MATCH("quest_id",[2]quests!$1:$1,0)+1),MATCH(C$1,[2]quests!$1:$1,0)-MATCH("quest_id",[2]quests!$1:$1,0)+1,FALSE),"")</f>
        <v>アザゼル襲来！</v>
      </c>
      <c r="D86" s="66" t="s">
        <v>16</v>
      </c>
      <c r="E86" s="19" t="str">
        <f t="shared" si="14"/>
        <v>quest41002.png</v>
      </c>
      <c r="F86" s="3">
        <v>1</v>
      </c>
      <c r="G86" s="3" t="s">
        <v>51</v>
      </c>
      <c r="H86" s="6" t="str">
        <f ca="1">IF($G86="null","",VLOOKUP($G86,OFFSET([3]gacha_schedules!$A$2,0,0,COUNTA([3]gacha_schedules!$A:$A),MATCH(H$1,[3]gacha_schedules!$1:$1,0)-MATCH($G$1,[3]gacha_schedules!$1:$1,0)+1),MATCH(H$1,[3]gacha_schedules!$1:$1,0)-MATCH($G$1,[3]gacha_schedules!$1:$1,0)+1,FALSE))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7" spans="1:8" ht="21" customHeight="1" x14ac:dyDescent="0.15">
      <c r="A87" s="71" t="str">
        <f t="shared" si="15"/>
        <v>4001</v>
      </c>
      <c r="B87" s="3" t="s">
        <v>329</v>
      </c>
      <c r="C87" s="9" t="str">
        <f ca="1">IFERROR(VLOOKUP(VALUE(SUBSTITUTE(B87,"quest","")),OFFSET([2]quests!$A$1,0,0,COUNTA([2]quests!$A:$A),MATCH(C$1,[2]quests!$1:$1,0)-MATCH("quest_id",[2]quests!$1:$1,0)+1),MATCH(C$1,[2]quests!$1:$1,0)-MATCH("quest_id",[2]quests!$1:$1,0)+1,FALSE),"")</f>
        <v>アマテラス襲来！</v>
      </c>
      <c r="D87" s="66" t="s">
        <v>16</v>
      </c>
      <c r="E87" s="19" t="str">
        <f t="shared" si="14"/>
        <v>quest41001.png</v>
      </c>
      <c r="F87" s="3">
        <v>1</v>
      </c>
      <c r="G87" s="3" t="s">
        <v>51</v>
      </c>
      <c r="H87" s="6" t="str">
        <f ca="1">IF($G87="null","",VLOOKUP($G87,OFFSET([3]gacha_schedules!$A$2,0,0,COUNTA([3]gacha_schedules!$A:$A),MATCH(H$1,[3]gacha_schedules!$1:$1,0)-MATCH($G$1,[3]gacha_schedules!$1:$1,0)+1),MATCH(H$1,[3]gacha_schedules!$1:$1,0)-MATCH($G$1,[3]gacha_schedules!$1:$1,0)+1,FALSE))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8" spans="1:8" ht="21" customHeight="1" x14ac:dyDescent="0.15">
      <c r="A88" s="71" t="str">
        <f t="shared" si="15"/>
        <v>4016</v>
      </c>
      <c r="B88" s="3" t="s">
        <v>317</v>
      </c>
      <c r="C88" s="9" t="str">
        <f ca="1">IFERROR(VLOOKUP(VALUE(SUBSTITUTE(B88,"quest","")),OFFSET([2]quests!$A$1,0,0,COUNTA([2]quests!$A:$A),MATCH(C$1,[2]quests!$1:$1,0)-MATCH("quest_id",[2]quests!$1:$1,0)+1),MATCH(C$1,[2]quests!$1:$1,0)-MATCH("quest_id",[2]quests!$1:$1,0)+1,FALSE),"")</f>
        <v>武田信玄襲来！</v>
      </c>
      <c r="D88" s="66" t="s">
        <v>266</v>
      </c>
      <c r="E88" s="19" t="str">
        <f t="shared" si="14"/>
        <v>quest40016.png</v>
      </c>
      <c r="F88" s="3">
        <v>1</v>
      </c>
      <c r="G88" s="3" t="s">
        <v>51</v>
      </c>
      <c r="H88" s="6" t="str">
        <f ca="1">IF($G88="null","",VLOOKUP($G88,OFFSET([3]gacha_schedules!$A$2,0,0,COUNTA([3]gacha_schedules!$A:$A),MATCH(H$1,[3]gacha_schedules!$1:$1,0)-MATCH($G$1,[3]gacha_schedules!$1:$1,0)+1),MATCH(H$1,[3]gacha_schedules!$1:$1,0)-MATCH($G$1,[3]gacha_schedules!$1:$1,0)+1,FALSE))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89" spans="1:8" ht="21" customHeight="1" x14ac:dyDescent="0.15">
      <c r="A89" s="71" t="str">
        <f t="shared" si="15"/>
        <v>4015</v>
      </c>
      <c r="B89" s="3" t="s">
        <v>307</v>
      </c>
      <c r="C89" s="9" t="str">
        <f ca="1">IFERROR(VLOOKUP(VALUE(SUBSTITUTE(B89,"quest","")),OFFSET([2]quests!$A$1,0,0,COUNTA([2]quests!$A:$A),MATCH(C$1,[2]quests!$1:$1,0)-MATCH("quest_id",[2]quests!$1:$1,0)+1),MATCH(C$1,[2]quests!$1:$1,0)-MATCH("quest_id",[2]quests!$1:$1,0)+1,FALSE),"")</f>
        <v>ガレス襲来！</v>
      </c>
      <c r="D89" s="66" t="s">
        <v>266</v>
      </c>
      <c r="E89" s="19" t="str">
        <f t="shared" si="14"/>
        <v>quest40015.png</v>
      </c>
      <c r="F89" s="3">
        <v>1</v>
      </c>
      <c r="G89" s="3" t="s">
        <v>51</v>
      </c>
      <c r="H89" s="6" t="str">
        <f ca="1">IF($G89="null","",VLOOKUP($G89,OFFSET([3]gacha_schedules!$A$2,0,0,COUNTA([3]gacha_schedules!$A:$A),MATCH(H$1,[3]gacha_schedules!$1:$1,0)-MATCH($G$1,[3]gacha_schedules!$1:$1,0)+1),MATCH(H$1,[3]gacha_schedules!$1:$1,0)-MATCH($G$1,[3]gacha_schedules!$1:$1,0)+1,FALSE))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0" spans="1:8" ht="21" customHeight="1" x14ac:dyDescent="0.15">
      <c r="A90" s="71" t="str">
        <f t="shared" si="15"/>
        <v>4014</v>
      </c>
      <c r="B90" s="3" t="s">
        <v>282</v>
      </c>
      <c r="C90" s="9" t="str">
        <f ca="1">IFERROR(VLOOKUP(VALUE(SUBSTITUTE(B90,"quest","")),OFFSET([2]quests!$A$1,0,0,COUNTA([2]quests!$A:$A),MATCH(C$1,[2]quests!$1:$1,0)-MATCH("quest_id",[2]quests!$1:$1,0)+1),MATCH(C$1,[2]quests!$1:$1,0)-MATCH("quest_id",[2]quests!$1:$1,0)+1,FALSE),"")</f>
        <v>シヴァ襲来！</v>
      </c>
      <c r="D90" s="66" t="s">
        <v>266</v>
      </c>
      <c r="E90" s="19" t="str">
        <f t="shared" si="14"/>
        <v>quest40014.png</v>
      </c>
      <c r="F90" s="3">
        <v>1</v>
      </c>
      <c r="G90" s="3" t="s">
        <v>51</v>
      </c>
      <c r="H90" s="6" t="str">
        <f ca="1">IF($G90="null","",VLOOKUP($G90,OFFSET([3]gacha_schedules!$A$2,0,0,COUNTA([3]gacha_schedules!$A:$A),MATCH(H$1,[3]gacha_schedules!$1:$1,0)-MATCH($G$1,[3]gacha_schedules!$1:$1,0)+1),MATCH(H$1,[3]gacha_schedules!$1:$1,0)-MATCH($G$1,[3]gacha_schedules!$1:$1,0)+1,FALSE))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1" spans="1:8" ht="21" customHeight="1" x14ac:dyDescent="0.15">
      <c r="A91" s="71" t="str">
        <f t="shared" si="15"/>
        <v>4013</v>
      </c>
      <c r="B91" s="3" t="s">
        <v>295</v>
      </c>
      <c r="C91" s="9" t="str">
        <f ca="1">IFERROR(VLOOKUP(VALUE(SUBSTITUTE(B91,"quest","")),OFFSET([2]quests!$A$1,0,0,COUNTA([2]quests!$A:$A),MATCH(C$1,[2]quests!$1:$1,0)-MATCH("quest_id",[2]quests!$1:$1,0)+1),MATCH(C$1,[2]quests!$1:$1,0)-MATCH("quest_id",[2]quests!$1:$1,0)+1,FALSE),"")</f>
        <v>カーマ襲来！</v>
      </c>
      <c r="D91" s="66" t="s">
        <v>266</v>
      </c>
      <c r="E91" s="19" t="str">
        <f t="shared" si="14"/>
        <v>quest40013.png</v>
      </c>
      <c r="F91" s="3">
        <v>1</v>
      </c>
      <c r="G91" s="3" t="s">
        <v>51</v>
      </c>
      <c r="H91" s="6" t="str">
        <f ca="1">IF($G91="null","",VLOOKUP($G91,OFFSET([3]gacha_schedules!$A$2,0,0,COUNTA([3]gacha_schedules!$A:$A),MATCH(H$1,[3]gacha_schedules!$1:$1,0)-MATCH($G$1,[3]gacha_schedules!$1:$1,0)+1),MATCH(H$1,[3]gacha_schedules!$1:$1,0)-MATCH($G$1,[3]gacha_schedules!$1:$1,0)+1,FALSE))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2" spans="1:8" ht="21" customHeight="1" x14ac:dyDescent="0.15">
      <c r="A92" s="71" t="str">
        <f t="shared" si="15"/>
        <v>4012</v>
      </c>
      <c r="B92" s="3" t="s">
        <v>271</v>
      </c>
      <c r="C92" s="9" t="str">
        <f ca="1">IFERROR(VLOOKUP(VALUE(SUBSTITUTE(B92,"quest","")),OFFSET([2]quests!$A$1,0,0,COUNTA([2]quests!$A:$A),MATCH(C$1,[2]quests!$1:$1,0)-MATCH("quest_id",[2]quests!$1:$1,0)+1),MATCH(C$1,[2]quests!$1:$1,0)-MATCH("quest_id",[2]quests!$1:$1,0)+1,FALSE),"")</f>
        <v>ショウキ襲来！</v>
      </c>
      <c r="D92" s="66" t="s">
        <v>266</v>
      </c>
      <c r="E92" s="19" t="str">
        <f t="shared" si="14"/>
        <v>quest40012.png</v>
      </c>
      <c r="F92" s="3">
        <v>1</v>
      </c>
      <c r="G92" s="3" t="s">
        <v>51</v>
      </c>
      <c r="H92" s="6" t="str">
        <f ca="1">IF($G92="null","",VLOOKUP($G92,OFFSET([3]gacha_schedules!$A$2,0,0,COUNTA([3]gacha_schedules!$A:$A),MATCH(H$1,[3]gacha_schedules!$1:$1,0)-MATCH($G$1,[3]gacha_schedules!$1:$1,0)+1),MATCH(H$1,[3]gacha_schedules!$1:$1,0)-MATCH($G$1,[3]gacha_schedules!$1:$1,0)+1,FALSE))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3" spans="1:8" ht="21" customHeight="1" x14ac:dyDescent="0.15">
      <c r="A93" s="71" t="str">
        <f t="shared" si="15"/>
        <v>4011</v>
      </c>
      <c r="B93" s="3" t="s">
        <v>252</v>
      </c>
      <c r="C93" s="9" t="str">
        <f ca="1">IFERROR(VLOOKUP(VALUE(SUBSTITUTE(B93,"quest","")),OFFSET([2]quests!$A$1,0,0,COUNTA([2]quests!$A:$A),MATCH(C$1,[2]quests!$1:$1,0)-MATCH("quest_id",[2]quests!$1:$1,0)+1),MATCH(C$1,[2]quests!$1:$1,0)-MATCH("quest_id",[2]quests!$1:$1,0)+1,FALSE),"")</f>
        <v>ヨミ襲来！</v>
      </c>
      <c r="D93" s="66" t="s">
        <v>266</v>
      </c>
      <c r="E93" s="19" t="str">
        <f t="shared" si="14"/>
        <v>quest40011.png</v>
      </c>
      <c r="F93" s="3">
        <v>1</v>
      </c>
      <c r="G93" s="3" t="s">
        <v>51</v>
      </c>
      <c r="H93" s="6" t="str">
        <f ca="1">IF($G93="null","",VLOOKUP($G93,OFFSET([3]gacha_schedules!$A$2,0,0,COUNTA([3]gacha_schedules!$A:$A),MATCH(H$1,[3]gacha_schedules!$1:$1,0)-MATCH($G$1,[3]gacha_schedules!$1:$1,0)+1),MATCH(H$1,[3]gacha_schedules!$1:$1,0)-MATCH($G$1,[3]gacha_schedules!$1:$1,0)+1,FALSE))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4" spans="1:8" ht="21" customHeight="1" x14ac:dyDescent="0.15">
      <c r="A94" s="71" t="str">
        <f t="shared" si="15"/>
        <v>4010</v>
      </c>
      <c r="B94" s="3" t="s">
        <v>234</v>
      </c>
      <c r="C94" s="9" t="str">
        <f ca="1">IFERROR(VLOOKUP(VALUE(SUBSTITUTE(B94,"quest","")),OFFSET([2]quests!$A$1,0,0,COUNTA([2]quests!$A:$A),MATCH(C$1,[2]quests!$1:$1,0)-MATCH("quest_id",[2]quests!$1:$1,0)+1),MATCH(C$1,[2]quests!$1:$1,0)-MATCH("quest_id",[2]quests!$1:$1,0)+1,FALSE),"")</f>
        <v>フレイ襲来！</v>
      </c>
      <c r="D94" s="66" t="s">
        <v>266</v>
      </c>
      <c r="E94" s="19" t="str">
        <f t="shared" si="14"/>
        <v>quest40010.png</v>
      </c>
      <c r="F94" s="3">
        <v>1</v>
      </c>
      <c r="G94" s="3" t="s">
        <v>51</v>
      </c>
      <c r="H94" s="6" t="str">
        <f ca="1">IF($G94="null","",VLOOKUP($G94,OFFSET([3]gacha_schedules!$A$2,0,0,COUNTA([3]gacha_schedules!$A:$A),MATCH(H$1,[3]gacha_schedules!$1:$1,0)-MATCH($G$1,[3]gacha_schedules!$1:$1,0)+1),MATCH(H$1,[3]gacha_schedules!$1:$1,0)-MATCH($G$1,[3]gacha_schedules!$1:$1,0)+1,FALSE))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5" spans="1:8" ht="17" customHeight="1" x14ac:dyDescent="0.15">
      <c r="A95" s="71" t="str">
        <f t="shared" si="15"/>
        <v>4009</v>
      </c>
      <c r="B95" s="3" t="s">
        <v>220</v>
      </c>
      <c r="C95" s="9" t="str">
        <f ca="1">IFERROR(VLOOKUP(VALUE(SUBSTITUTE(B95,"quest","")),OFFSET([2]quests!$A$1,0,0,COUNTA([2]quests!$A:$A),MATCH(C$1,[2]quests!$1:$1,0)-MATCH("quest_id",[2]quests!$1:$1,0)+1),MATCH(C$1,[2]quests!$1:$1,0)-MATCH("quest_id",[2]quests!$1:$1,0)+1,FALSE),"")</f>
        <v>フギンとムニン襲来！</v>
      </c>
      <c r="D95" s="66" t="s">
        <v>266</v>
      </c>
      <c r="E95" s="19" t="str">
        <f t="shared" si="14"/>
        <v>quest40009.png</v>
      </c>
      <c r="F95" s="3">
        <v>1</v>
      </c>
      <c r="G95" s="3" t="s">
        <v>51</v>
      </c>
      <c r="H95" s="6" t="str">
        <f ca="1">IF($G95="null","",VLOOKUP($G95,OFFSET([3]gacha_schedules!$A$2,0,0,COUNTA([3]gacha_schedules!$A:$A),MATCH(H$1,[3]gacha_schedules!$1:$1,0)-MATCH($G$1,[3]gacha_schedules!$1:$1,0)+1),MATCH(H$1,[3]gacha_schedules!$1:$1,0)-MATCH($G$1,[3]gacha_schedules!$1:$1,0)+1,FALSE))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6" spans="1:8" ht="21" customHeight="1" x14ac:dyDescent="0.15">
      <c r="A96" s="72" t="str">
        <f t="shared" ref="A96:A129" si="16">"3"&amp;TEXT(RIGHT(B96,3),"000")</f>
        <v>3034</v>
      </c>
      <c r="B96" s="3" t="s">
        <v>346</v>
      </c>
      <c r="C96" s="9" t="str">
        <f ca="1">IFERROR(VLOOKUP(VALUE(SUBSTITUTE(B96,"quest","")),OFFSET([2]quests!$A$1,0,0,COUNTA([2]quests!$A:$A),MATCH(C$1,[2]quests!$1:$1,0)-MATCH("quest_id",[2]quests!$1:$1,0)+1),MATCH(C$1,[2]quests!$1:$1,0)-MATCH("quest_id",[2]quests!$1:$1,0)+1,FALSE),"")</f>
        <v>孤高の焔翼</v>
      </c>
      <c r="D96" s="66" t="s">
        <v>16</v>
      </c>
      <c r="E96" s="19" t="str">
        <f t="shared" si="14"/>
        <v>quest30034.png</v>
      </c>
      <c r="F96" s="3">
        <v>1</v>
      </c>
      <c r="G96" s="3" t="s">
        <v>51</v>
      </c>
      <c r="H96" s="6" t="str">
        <f ca="1">IF($G96="null","",VLOOKUP($G96,OFFSET([3]gacha_schedules!$A$2,0,0,COUNTA([3]gacha_schedules!$A:$A),MATCH(H$1,[3]gacha_schedules!$1:$1,0)-MATCH($G$1,[3]gacha_schedules!$1:$1,0)+1),MATCH(H$1,[3]gacha_schedules!$1:$1,0)-MATCH($G$1,[3]gacha_schedules!$1:$1,0)+1,FALSE))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7" spans="1:8" ht="21" customHeight="1" x14ac:dyDescent="0.15">
      <c r="A97" s="72" t="str">
        <f t="shared" si="16"/>
        <v>3033</v>
      </c>
      <c r="B97" s="3" t="s">
        <v>316</v>
      </c>
      <c r="C97" s="9" t="str">
        <f ca="1">IFERROR(VLOOKUP(VALUE(SUBSTITUTE(B97,"quest","")),OFFSET([2]quests!$A$1,0,0,COUNTA([2]quests!$A:$A),MATCH(C$1,[2]quests!$1:$1,0)-MATCH("quest_id",[2]quests!$1:$1,0)+1),MATCH(C$1,[2]quests!$1:$1,0)-MATCH("quest_id",[2]quests!$1:$1,0)+1,FALSE),"")</f>
        <v>御館様の懐刀</v>
      </c>
      <c r="D97" s="66" t="s">
        <v>266</v>
      </c>
      <c r="E97" s="19" t="str">
        <f t="shared" si="14"/>
        <v>quest30033.png</v>
      </c>
      <c r="F97" s="3">
        <v>1</v>
      </c>
      <c r="G97" s="3" t="s">
        <v>51</v>
      </c>
      <c r="H97" s="6" t="str">
        <f ca="1">IF($G97="null","",VLOOKUP($G97,OFFSET([3]gacha_schedules!$A$2,0,0,COUNTA([3]gacha_schedules!$A:$A),MATCH(H$1,[3]gacha_schedules!$1:$1,0)-MATCH($G$1,[3]gacha_schedules!$1:$1,0)+1),MATCH(H$1,[3]gacha_schedules!$1:$1,0)-MATCH($G$1,[3]gacha_schedules!$1:$1,0)+1,FALSE))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8" spans="1:8" ht="21" customHeight="1" x14ac:dyDescent="0.15">
      <c r="A98" s="72" t="str">
        <f t="shared" si="16"/>
        <v>3032</v>
      </c>
      <c r="B98" s="3" t="s">
        <v>306</v>
      </c>
      <c r="C98" s="9" t="str">
        <f ca="1">IFERROR(VLOOKUP(VALUE(SUBSTITUTE(B98,"quest","")),OFFSET([2]quests!$A$1,0,0,COUNTA([2]quests!$A:$A),MATCH(C$1,[2]quests!$1:$1,0)-MATCH("quest_id",[2]quests!$1:$1,0)+1),MATCH(C$1,[2]quests!$1:$1,0)-MATCH("quest_id",[2]quests!$1:$1,0)+1,FALSE),"")</f>
        <v>赤き竜の制裁</v>
      </c>
      <c r="D98" s="66" t="s">
        <v>266</v>
      </c>
      <c r="E98" s="19" t="str">
        <f t="shared" si="14"/>
        <v>quest30032.png</v>
      </c>
      <c r="F98" s="3">
        <v>1</v>
      </c>
      <c r="G98" s="3" t="s">
        <v>51</v>
      </c>
      <c r="H98" s="6" t="str">
        <f ca="1">IF($G98="null","",VLOOKUP($G98,OFFSET([3]gacha_schedules!$A$2,0,0,COUNTA([3]gacha_schedules!$A:$A),MATCH(H$1,[3]gacha_schedules!$1:$1,0)-MATCH($G$1,[3]gacha_schedules!$1:$1,0)+1),MATCH(H$1,[3]gacha_schedules!$1:$1,0)-MATCH($G$1,[3]gacha_schedules!$1:$1,0)+1,FALSE))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99" spans="1:8" ht="21" customHeight="1" x14ac:dyDescent="0.15">
      <c r="A99" s="72" t="str">
        <f t="shared" si="16"/>
        <v>3031</v>
      </c>
      <c r="B99" s="3" t="s">
        <v>294</v>
      </c>
      <c r="C99" s="9" t="str">
        <f ca="1">IFERROR(VLOOKUP(VALUE(SUBSTITUTE(B99,"quest","")),OFFSET([2]quests!$A$1,0,0,COUNTA([2]quests!$A:$A),MATCH(C$1,[2]quests!$1:$1,0)-MATCH("quest_id",[2]quests!$1:$1,0)+1),MATCH(C$1,[2]quests!$1:$1,0)-MATCH("quest_id",[2]quests!$1:$1,0)+1,FALSE),"")</f>
        <v>力への羨望</v>
      </c>
      <c r="D99" s="66" t="s">
        <v>266</v>
      </c>
      <c r="E99" s="19" t="str">
        <f t="shared" si="14"/>
        <v>quest30031.png</v>
      </c>
      <c r="F99" s="3">
        <v>1</v>
      </c>
      <c r="G99" s="3" t="s">
        <v>51</v>
      </c>
      <c r="H99" s="6" t="str">
        <f ca="1">IF($G99="null","",VLOOKUP($G99,OFFSET([3]gacha_schedules!$A$2,0,0,COUNTA([3]gacha_schedules!$A:$A),MATCH(H$1,[3]gacha_schedules!$1:$1,0)-MATCH($G$1,[3]gacha_schedules!$1:$1,0)+1),MATCH(H$1,[3]gacha_schedules!$1:$1,0)-MATCH($G$1,[3]gacha_schedules!$1:$1,0)+1,FALSE))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0" spans="1:8" ht="21" customHeight="1" x14ac:dyDescent="0.15">
      <c r="A100" s="72" t="str">
        <f t="shared" si="16"/>
        <v>3030</v>
      </c>
      <c r="B100" s="3" t="s">
        <v>281</v>
      </c>
      <c r="C100" s="9" t="str">
        <f ca="1">IFERROR(VLOOKUP(VALUE(SUBSTITUTE(B100,"quest","")),OFFSET([2]quests!$A$1,0,0,COUNTA([2]quests!$A:$A),MATCH(C$1,[2]quests!$1:$1,0)-MATCH("quest_id",[2]quests!$1:$1,0)+1),MATCH(C$1,[2]quests!$1:$1,0)-MATCH("quest_id",[2]quests!$1:$1,0)+1,FALSE),"")</f>
        <v>ここは誰の箱庭じゃ？</v>
      </c>
      <c r="D100" s="66" t="s">
        <v>266</v>
      </c>
      <c r="E100" s="19" t="str">
        <f t="shared" si="14"/>
        <v>quest30030.png</v>
      </c>
      <c r="F100" s="3">
        <v>1</v>
      </c>
      <c r="G100" s="3" t="s">
        <v>51</v>
      </c>
      <c r="H100" s="6" t="str">
        <f ca="1">IF($G100="null","",VLOOKUP($G100,OFFSET([3]gacha_schedules!$A$2,0,0,COUNTA([3]gacha_schedules!$A:$A),MATCH(H$1,[3]gacha_schedules!$1:$1,0)-MATCH($G$1,[3]gacha_schedules!$1:$1,0)+1),MATCH(H$1,[3]gacha_schedules!$1:$1,0)-MATCH($G$1,[3]gacha_schedules!$1:$1,0)+1,FALSE))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1" spans="1:8" ht="21" customHeight="1" x14ac:dyDescent="0.15">
      <c r="A101" s="72" t="str">
        <f t="shared" si="16"/>
        <v>3029</v>
      </c>
      <c r="B101" s="3" t="s">
        <v>270</v>
      </c>
      <c r="C101" s="9" t="str">
        <f ca="1">IFERROR(VLOOKUP(VALUE(SUBSTITUTE(B101,"quest","")),OFFSET([2]quests!$A$1,0,0,COUNTA([2]quests!$A:$A),MATCH(C$1,[2]quests!$1:$1,0)-MATCH("quest_id",[2]quests!$1:$1,0)+1),MATCH(C$1,[2]quests!$1:$1,0)-MATCH("quest_id",[2]quests!$1:$1,0)+1,FALSE),"")</f>
        <v>全ては主のために</v>
      </c>
      <c r="D101" s="66" t="s">
        <v>266</v>
      </c>
      <c r="E101" s="19" t="str">
        <f t="shared" si="14"/>
        <v>quest30029.png</v>
      </c>
      <c r="F101" s="3">
        <v>1</v>
      </c>
      <c r="G101" s="3" t="s">
        <v>51</v>
      </c>
      <c r="H101" s="6" t="str">
        <f ca="1">IF($G101="null","",VLOOKUP($G101,OFFSET([3]gacha_schedules!$A$2,0,0,COUNTA([3]gacha_schedules!$A:$A),MATCH(H$1,[3]gacha_schedules!$1:$1,0)-MATCH($G$1,[3]gacha_schedules!$1:$1,0)+1),MATCH(H$1,[3]gacha_schedules!$1:$1,0)-MATCH($G$1,[3]gacha_schedules!$1:$1,0)+1,FALSE))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2" spans="1:8" ht="21" customHeight="1" x14ac:dyDescent="0.15">
      <c r="A102" s="72" t="str">
        <f t="shared" si="16"/>
        <v>3028</v>
      </c>
      <c r="B102" s="3" t="s">
        <v>251</v>
      </c>
      <c r="C102" s="9" t="str">
        <f ca="1">IFERROR(VLOOKUP(VALUE(SUBSTITUTE(B102,"quest","")),OFFSET([2]quests!$A$1,0,0,COUNTA([2]quests!$A:$A),MATCH(C$1,[2]quests!$1:$1,0)-MATCH("quest_id",[2]quests!$1:$1,0)+1),MATCH(C$1,[2]quests!$1:$1,0)-MATCH("quest_id",[2]quests!$1:$1,0)+1,FALSE),"")</f>
        <v>最悪の刺客</v>
      </c>
      <c r="D102" s="66" t="s">
        <v>266</v>
      </c>
      <c r="E102" s="19" t="str">
        <f t="shared" si="14"/>
        <v>quest30028.png</v>
      </c>
      <c r="F102" s="3">
        <v>1</v>
      </c>
      <c r="G102" s="3" t="s">
        <v>51</v>
      </c>
      <c r="H102" s="6" t="str">
        <f ca="1">IF($G102="null","",VLOOKUP($G102,OFFSET([3]gacha_schedules!$A$2,0,0,COUNTA([3]gacha_schedules!$A:$A),MATCH(H$1,[3]gacha_schedules!$1:$1,0)-MATCH($G$1,[3]gacha_schedules!$1:$1,0)+1),MATCH(H$1,[3]gacha_schedules!$1:$1,0)-MATCH($G$1,[3]gacha_schedules!$1:$1,0)+1,FALSE))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3" spans="1:8" ht="21" customHeight="1" x14ac:dyDescent="0.15">
      <c r="A103" s="72" t="str">
        <f t="shared" si="16"/>
        <v>3027</v>
      </c>
      <c r="B103" s="3" t="s">
        <v>233</v>
      </c>
      <c r="C103" s="9" t="str">
        <f ca="1">IFERROR(VLOOKUP(VALUE(SUBSTITUTE(B103,"quest","")),OFFSET([2]quests!$A$1,0,0,COUNTA([2]quests!$A:$A),MATCH(C$1,[2]quests!$1:$1,0)-MATCH("quest_id",[2]quests!$1:$1,0)+1),MATCH(C$1,[2]quests!$1:$1,0)-MATCH("quest_id",[2]quests!$1:$1,0)+1,FALSE),"")</f>
        <v>凍りつくまで愛してあげる</v>
      </c>
      <c r="D103" s="66" t="s">
        <v>266</v>
      </c>
      <c r="E103" s="19" t="str">
        <f t="shared" si="14"/>
        <v>quest30027.png</v>
      </c>
      <c r="F103" s="3">
        <v>1</v>
      </c>
      <c r="G103" s="3" t="s">
        <v>51</v>
      </c>
      <c r="H103" s="6" t="str">
        <f ca="1">IF($G103="null","",VLOOKUP($G103,OFFSET([3]gacha_schedules!$A$2,0,0,COUNTA([3]gacha_schedules!$A:$A),MATCH(H$1,[3]gacha_schedules!$1:$1,0)-MATCH($G$1,[3]gacha_schedules!$1:$1,0)+1),MATCH(H$1,[3]gacha_schedules!$1:$1,0)-MATCH($G$1,[3]gacha_schedules!$1:$1,0)+1,FALSE))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4" spans="1:8" ht="21" customHeight="1" x14ac:dyDescent="0.15">
      <c r="A104" s="72" t="str">
        <f t="shared" si="16"/>
        <v>3026</v>
      </c>
      <c r="B104" s="3" t="s">
        <v>228</v>
      </c>
      <c r="C104" s="9" t="str">
        <f ca="1">IFERROR(VLOOKUP(VALUE(SUBSTITUTE(B104,"quest","")),OFFSET([2]quests!$A$1,0,0,COUNTA([2]quests!$A:$A),MATCH(C$1,[2]quests!$1:$1,0)-MATCH("quest_id",[2]quests!$1:$1,0)+1),MATCH(C$1,[2]quests!$1:$1,0)-MATCH("quest_id",[2]quests!$1:$1,0)+1,FALSE),"")</f>
        <v>道を阻む妖精夫婦</v>
      </c>
      <c r="D104" s="66" t="s">
        <v>266</v>
      </c>
      <c r="E104" s="19" t="str">
        <f t="shared" si="14"/>
        <v>quest30026.png</v>
      </c>
      <c r="F104" s="3">
        <v>1</v>
      </c>
      <c r="G104" s="3" t="s">
        <v>51</v>
      </c>
      <c r="H104" s="6" t="str">
        <f ca="1">IF($G104="null","",VLOOKUP($G104,OFFSET([3]gacha_schedules!$A$2,0,0,COUNTA([3]gacha_schedules!$A:$A),MATCH(H$1,[3]gacha_schedules!$1:$1,0)-MATCH($G$1,[3]gacha_schedules!$1:$1,0)+1),MATCH(H$1,[3]gacha_schedules!$1:$1,0)-MATCH($G$1,[3]gacha_schedules!$1:$1,0)+1,FALSE))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5" spans="1:8" ht="21" customHeight="1" x14ac:dyDescent="0.15">
      <c r="A105" s="72" t="str">
        <f t="shared" si="16"/>
        <v>3025</v>
      </c>
      <c r="B105" s="3" t="s">
        <v>225</v>
      </c>
      <c r="C105" s="9" t="str">
        <f ca="1">IFERROR(VLOOKUP(VALUE(SUBSTITUTE(B105,"quest","")),OFFSET([2]quests!$A$1,0,0,COUNTA([2]quests!$A:$A),MATCH(C$1,[2]quests!$1:$1,0)-MATCH("quest_id",[2]quests!$1:$1,0)+1),MATCH(C$1,[2]quests!$1:$1,0)-MATCH("quest_id",[2]quests!$1:$1,0)+1,FALSE),"")</f>
        <v>真実の探求者</v>
      </c>
      <c r="D105" s="66" t="s">
        <v>266</v>
      </c>
      <c r="E105" s="19" t="str">
        <f t="shared" si="14"/>
        <v>quest30025.png</v>
      </c>
      <c r="F105" s="3">
        <v>1</v>
      </c>
      <c r="G105" s="3" t="s">
        <v>51</v>
      </c>
      <c r="H105" s="6" t="str">
        <f ca="1">IF($G105="null","",VLOOKUP($G105,OFFSET([3]gacha_schedules!$A$2,0,0,COUNTA([3]gacha_schedules!$A:$A),MATCH(H$1,[3]gacha_schedules!$1:$1,0)-MATCH($G$1,[3]gacha_schedules!$1:$1,0)+1),MATCH(H$1,[3]gacha_schedules!$1:$1,0)-MATCH($G$1,[3]gacha_schedules!$1:$1,0)+1,FALSE))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6" spans="1:8" ht="21" customHeight="1" x14ac:dyDescent="0.15">
      <c r="A106" s="72" t="str">
        <f t="shared" si="16"/>
        <v>3024</v>
      </c>
      <c r="B106" s="3" t="s">
        <v>149</v>
      </c>
      <c r="C106" s="9" t="str">
        <f ca="1">IFERROR(VLOOKUP(VALUE(SUBSTITUTE(B106,"quest","")),OFFSET([2]quests!$A$1,0,0,COUNTA([2]quests!$A:$A),MATCH(C$1,[2]quests!$1:$1,0)-MATCH("quest_id",[2]quests!$1:$1,0)+1),MATCH(C$1,[2]quests!$1:$1,0)-MATCH("quest_id",[2]quests!$1:$1,0)+1,FALSE),"")</f>
        <v>雷鎚の選定</v>
      </c>
      <c r="D106" s="66" t="s">
        <v>266</v>
      </c>
      <c r="E106" s="19" t="str">
        <f t="shared" si="14"/>
        <v>quest30024.png</v>
      </c>
      <c r="F106" s="3">
        <v>1</v>
      </c>
      <c r="G106" s="3" t="s">
        <v>51</v>
      </c>
      <c r="H106" s="6" t="str">
        <f ca="1">IF($G106="null","",VLOOKUP($G106,OFFSET([3]gacha_schedules!$A$2,0,0,COUNTA([3]gacha_schedules!$A:$A),MATCH(H$1,[3]gacha_schedules!$1:$1,0)-MATCH($G$1,[3]gacha_schedules!$1:$1,0)+1),MATCH(H$1,[3]gacha_schedules!$1:$1,0)-MATCH($G$1,[3]gacha_schedules!$1:$1,0)+1,FALSE))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7" spans="1:8" ht="21" customHeight="1" x14ac:dyDescent="0.15">
      <c r="A107" s="72" t="str">
        <f t="shared" si="16"/>
        <v>3023</v>
      </c>
      <c r="B107" s="3" t="s">
        <v>146</v>
      </c>
      <c r="C107" s="9" t="str">
        <f ca="1">IFERROR(VLOOKUP(VALUE(SUBSTITUTE(B107,"quest","")),OFFSET([2]quests!$A$1,0,0,COUNTA([2]quests!$A:$A),MATCH(C$1,[2]quests!$1:$1,0)-MATCH("quest_id",[2]quests!$1:$1,0)+1),MATCH(C$1,[2]quests!$1:$1,0)-MATCH("quest_id",[2]quests!$1:$1,0)+1,FALSE),"")</f>
        <v>隔離からのエスケイプ</v>
      </c>
      <c r="D107" s="66" t="s">
        <v>266</v>
      </c>
      <c r="E107" s="19" t="str">
        <f t="shared" si="14"/>
        <v>quest30023.png</v>
      </c>
      <c r="F107" s="3">
        <v>1</v>
      </c>
      <c r="G107" s="3" t="s">
        <v>51</v>
      </c>
      <c r="H107" s="6" t="str">
        <f ca="1">IF($G107="null","",VLOOKUP($G107,OFFSET([3]gacha_schedules!$A$2,0,0,COUNTA([3]gacha_schedules!$A:$A),MATCH(H$1,[3]gacha_schedules!$1:$1,0)-MATCH($G$1,[3]gacha_schedules!$1:$1,0)+1),MATCH(H$1,[3]gacha_schedules!$1:$1,0)-MATCH($G$1,[3]gacha_schedules!$1:$1,0)+1,FALSE))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8" spans="1:8" ht="21" customHeight="1" x14ac:dyDescent="0.15">
      <c r="A108" s="72" t="str">
        <f t="shared" si="16"/>
        <v>3022</v>
      </c>
      <c r="B108" s="3" t="s">
        <v>143</v>
      </c>
      <c r="C108" s="9" t="str">
        <f ca="1">IFERROR(VLOOKUP(VALUE(SUBSTITUTE(B108,"quest","")),OFFSET([2]quests!$A$1,0,0,COUNTA([2]quests!$A:$A),MATCH(C$1,[2]quests!$1:$1,0)-MATCH("quest_id",[2]quests!$1:$1,0)+1),MATCH(C$1,[2]quests!$1:$1,0)-MATCH("quest_id",[2]quests!$1:$1,0)+1,FALSE),"")</f>
        <v>凶鼠ネコを咬む</v>
      </c>
      <c r="D108" s="66" t="s">
        <v>266</v>
      </c>
      <c r="E108" s="19" t="str">
        <f t="shared" si="14"/>
        <v>quest30022.png</v>
      </c>
      <c r="F108" s="3">
        <v>1</v>
      </c>
      <c r="G108" s="3" t="s">
        <v>51</v>
      </c>
      <c r="H108" s="6" t="str">
        <f ca="1">IF($G108="null","",VLOOKUP($G108,OFFSET([3]gacha_schedules!$A$2,0,0,COUNTA([3]gacha_schedules!$A:$A),MATCH(H$1,[3]gacha_schedules!$1:$1,0)-MATCH($G$1,[3]gacha_schedules!$1:$1,0)+1),MATCH(H$1,[3]gacha_schedules!$1:$1,0)-MATCH($G$1,[3]gacha_schedules!$1:$1,0)+1,FALSE))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09" spans="1:8" ht="21" customHeight="1" x14ac:dyDescent="0.15">
      <c r="A109" s="72" t="str">
        <f t="shared" si="16"/>
        <v>3021</v>
      </c>
      <c r="B109" s="3" t="s">
        <v>142</v>
      </c>
      <c r="C109" s="9" t="str">
        <f ca="1">IFERROR(VLOOKUP(VALUE(SUBSTITUTE(B109,"quest","")),OFFSET([2]quests!$A$1,0,0,COUNTA([2]quests!$A:$A),MATCH(C$1,[2]quests!$1:$1,0)-MATCH("quest_id",[2]quests!$1:$1,0)+1),MATCH(C$1,[2]quests!$1:$1,0)-MATCH("quest_id",[2]quests!$1:$1,0)+1,FALSE),"")</f>
        <v>野獣死すべしっ！</v>
      </c>
      <c r="D109" s="66" t="s">
        <v>266</v>
      </c>
      <c r="E109" s="19" t="str">
        <f t="shared" si="14"/>
        <v>quest30021.png</v>
      </c>
      <c r="F109" s="3">
        <v>1</v>
      </c>
      <c r="G109" s="3" t="s">
        <v>51</v>
      </c>
      <c r="H109" s="6" t="str">
        <f ca="1">IF($G109="null","",VLOOKUP($G109,OFFSET([3]gacha_schedules!$A$2,0,0,COUNTA([3]gacha_schedules!$A:$A),MATCH(H$1,[3]gacha_schedules!$1:$1,0)-MATCH($G$1,[3]gacha_schedules!$1:$1,0)+1),MATCH(H$1,[3]gacha_schedules!$1:$1,0)-MATCH($G$1,[3]gacha_schedules!$1:$1,0)+1,FALSE))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0" spans="1:8" ht="21" customHeight="1" x14ac:dyDescent="0.15">
      <c r="A110" s="72" t="str">
        <f t="shared" si="16"/>
        <v>3020</v>
      </c>
      <c r="B110" s="3" t="s">
        <v>141</v>
      </c>
      <c r="C110" s="9" t="str">
        <f ca="1">IFERROR(VLOOKUP(VALUE(SUBSTITUTE(B110,"quest","")),OFFSET([2]quests!$A$1,0,0,COUNTA([2]quests!$A:$A),MATCH(C$1,[2]quests!$1:$1,0)-MATCH("quest_id",[2]quests!$1:$1,0)+1),MATCH(C$1,[2]quests!$1:$1,0)-MATCH("quest_id",[2]quests!$1:$1,0)+1,FALSE),"")</f>
        <v>若造よ、身の程を知れ</v>
      </c>
      <c r="D110" s="66" t="s">
        <v>266</v>
      </c>
      <c r="E110" s="19" t="str">
        <f t="shared" si="14"/>
        <v>quest30020.png</v>
      </c>
      <c r="F110" s="3">
        <v>1</v>
      </c>
      <c r="G110" s="3" t="s">
        <v>51</v>
      </c>
      <c r="H110" s="6" t="str">
        <f ca="1">IF($G110="null","",VLOOKUP($G110,OFFSET([3]gacha_schedules!$A$2,0,0,COUNTA([3]gacha_schedules!$A:$A),MATCH(H$1,[3]gacha_schedules!$1:$1,0)-MATCH($G$1,[3]gacha_schedules!$1:$1,0)+1),MATCH(H$1,[3]gacha_schedules!$1:$1,0)-MATCH($G$1,[3]gacha_schedules!$1:$1,0)+1,FALSE))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1" spans="1:8" ht="21" customHeight="1" x14ac:dyDescent="0.15">
      <c r="A111" s="72" t="str">
        <f t="shared" si="16"/>
        <v>3019</v>
      </c>
      <c r="B111" s="3" t="s">
        <v>134</v>
      </c>
      <c r="C111" s="9" t="str">
        <f ca="1">IFERROR(VLOOKUP(VALUE(SUBSTITUTE(B111,"quest","")),OFFSET([2]quests!$A$1,0,0,COUNTA([2]quests!$A:$A),MATCH(C$1,[2]quests!$1:$1,0)-MATCH("quest_id",[2]quests!$1:$1,0)+1),MATCH(C$1,[2]quests!$1:$1,0)-MATCH("quest_id",[2]quests!$1:$1,0)+1,FALSE),"")</f>
        <v>狙撃は終わらない</v>
      </c>
      <c r="D111" s="66" t="s">
        <v>266</v>
      </c>
      <c r="E111" s="19" t="str">
        <f t="shared" si="14"/>
        <v>quest30019.png</v>
      </c>
      <c r="F111" s="3">
        <v>1</v>
      </c>
      <c r="G111" s="3" t="s">
        <v>51</v>
      </c>
      <c r="H111" s="6" t="str">
        <f ca="1">IF($G111="null","",VLOOKUP($G111,OFFSET([3]gacha_schedules!$A$2,0,0,COUNTA([3]gacha_schedules!$A:$A),MATCH(H$1,[3]gacha_schedules!$1:$1,0)-MATCH($G$1,[3]gacha_schedules!$1:$1,0)+1),MATCH(H$1,[3]gacha_schedules!$1:$1,0)-MATCH($G$1,[3]gacha_schedules!$1:$1,0)+1,FALSE))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2" spans="1:8" ht="21" customHeight="1" x14ac:dyDescent="0.15">
      <c r="A112" s="72" t="str">
        <f t="shared" si="16"/>
        <v>3018</v>
      </c>
      <c r="B112" s="3" t="s">
        <v>131</v>
      </c>
      <c r="C112" s="9" t="str">
        <f ca="1">IFERROR(VLOOKUP(VALUE(SUBSTITUTE(B112,"quest","")),OFFSET([2]quests!$A$1,0,0,COUNTA([2]quests!$A:$A),MATCH(C$1,[2]quests!$1:$1,0)-MATCH("quest_id",[2]quests!$1:$1,0)+1),MATCH(C$1,[2]quests!$1:$1,0)-MATCH("quest_id",[2]quests!$1:$1,0)+1,FALSE),"")</f>
        <v>バックストリートファイト</v>
      </c>
      <c r="D112" s="66" t="s">
        <v>266</v>
      </c>
      <c r="E112" s="19" t="str">
        <f t="shared" si="14"/>
        <v>quest30018.png</v>
      </c>
      <c r="F112" s="3">
        <v>1</v>
      </c>
      <c r="G112" s="3" t="s">
        <v>51</v>
      </c>
      <c r="H112" s="6" t="str">
        <f ca="1">IF($G112="null","",VLOOKUP($G112,OFFSET([3]gacha_schedules!$A$2,0,0,COUNTA([3]gacha_schedules!$A:$A),MATCH(H$1,[3]gacha_schedules!$1:$1,0)-MATCH($G$1,[3]gacha_schedules!$1:$1,0)+1),MATCH(H$1,[3]gacha_schedules!$1:$1,0)-MATCH($G$1,[3]gacha_schedules!$1:$1,0)+1,FALSE))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3" spans="1:8" ht="21" customHeight="1" x14ac:dyDescent="0.15">
      <c r="A113" s="72" t="str">
        <f t="shared" si="16"/>
        <v>3017</v>
      </c>
      <c r="B113" s="3" t="s">
        <v>130</v>
      </c>
      <c r="C113" s="9" t="str">
        <f ca="1">IFERROR(VLOOKUP(VALUE(SUBSTITUTE(B113,"quest","")),OFFSET([2]quests!$A$1,0,0,COUNTA([2]quests!$A:$A),MATCH(C$1,[2]quests!$1:$1,0)-MATCH("quest_id",[2]quests!$1:$1,0)+1),MATCH(C$1,[2]quests!$1:$1,0)-MATCH("quest_id",[2]quests!$1:$1,0)+1,FALSE),"")</f>
        <v>狩人の挽歌</v>
      </c>
      <c r="D113" s="66" t="s">
        <v>266</v>
      </c>
      <c r="E113" s="19" t="str">
        <f t="shared" si="14"/>
        <v>quest30017.png</v>
      </c>
      <c r="F113" s="3">
        <v>1</v>
      </c>
      <c r="G113" s="3" t="s">
        <v>51</v>
      </c>
      <c r="H113" s="6" t="str">
        <f ca="1">IF($G113="null","",VLOOKUP($G113,OFFSET([3]gacha_schedules!$A$2,0,0,COUNTA([3]gacha_schedules!$A:$A),MATCH(H$1,[3]gacha_schedules!$1:$1,0)-MATCH($G$1,[3]gacha_schedules!$1:$1,0)+1),MATCH(H$1,[3]gacha_schedules!$1:$1,0)-MATCH($G$1,[3]gacha_schedules!$1:$1,0)+1,FALSE))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4" spans="1:8" ht="21" customHeight="1" x14ac:dyDescent="0.15">
      <c r="A114" s="72" t="str">
        <f t="shared" si="16"/>
        <v>3016</v>
      </c>
      <c r="B114" s="3" t="s">
        <v>128</v>
      </c>
      <c r="C114" s="9" t="str">
        <f ca="1">IFERROR(VLOOKUP(VALUE(SUBSTITUTE(B114,"quest","")),OFFSET([2]quests!$A$1,0,0,COUNTA([2]quests!$A:$A),MATCH(C$1,[2]quests!$1:$1,0)-MATCH("quest_id",[2]quests!$1:$1,0)+1),MATCH(C$1,[2]quests!$1:$1,0)-MATCH("quest_id",[2]quests!$1:$1,0)+1,FALSE),"")</f>
        <v>私がワニの天敵よ？</v>
      </c>
      <c r="D114" s="66" t="s">
        <v>266</v>
      </c>
      <c r="E114" s="19" t="str">
        <f t="shared" si="14"/>
        <v>quest30016.png</v>
      </c>
      <c r="F114" s="3">
        <v>1</v>
      </c>
      <c r="G114" s="3" t="s">
        <v>51</v>
      </c>
      <c r="H114" s="6" t="str">
        <f ca="1">IF($G114="null","",VLOOKUP($G114,OFFSET([3]gacha_schedules!$A$2,0,0,COUNTA([3]gacha_schedules!$A:$A),MATCH(H$1,[3]gacha_schedules!$1:$1,0)-MATCH($G$1,[3]gacha_schedules!$1:$1,0)+1),MATCH(H$1,[3]gacha_schedules!$1:$1,0)-MATCH($G$1,[3]gacha_schedules!$1:$1,0)+1,FALSE))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5" spans="1:8" ht="21" customHeight="1" x14ac:dyDescent="0.15">
      <c r="A115" s="72" t="str">
        <f t="shared" si="16"/>
        <v>3015</v>
      </c>
      <c r="B115" s="3" t="s">
        <v>117</v>
      </c>
      <c r="C115" s="9" t="str">
        <f ca="1">IFERROR(VLOOKUP(VALUE(SUBSTITUTE(B115,"quest","")),OFFSET([2]quests!$A$1,0,0,COUNTA([2]quests!$A:$A),MATCH(C$1,[2]quests!$1:$1,0)-MATCH("quest_id",[2]quests!$1:$1,0)+1),MATCH(C$1,[2]quests!$1:$1,0)-MATCH("quest_id",[2]quests!$1:$1,0)+1,FALSE),"")</f>
        <v>兄妹の大冒険</v>
      </c>
      <c r="D115" s="66" t="s">
        <v>266</v>
      </c>
      <c r="E115" s="37" t="s">
        <v>118</v>
      </c>
      <c r="F115" s="3">
        <v>1</v>
      </c>
      <c r="G115" s="3" t="s">
        <v>51</v>
      </c>
      <c r="H115" s="6" t="str">
        <f ca="1">IF($G115="null","",VLOOKUP($G115,OFFSET([3]gacha_schedules!$A$2,0,0,COUNTA([3]gacha_schedules!$A:$A),MATCH(H$1,[3]gacha_schedules!$1:$1,0)-MATCH($G$1,[3]gacha_schedules!$1:$1,0)+1),MATCH(H$1,[3]gacha_schedules!$1:$1,0)-MATCH($G$1,[3]gacha_schedules!$1:$1,0)+1,FALSE))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6" spans="1:8" ht="21" customHeight="1" x14ac:dyDescent="0.15">
      <c r="A116" s="72" t="str">
        <f t="shared" si="16"/>
        <v>3014</v>
      </c>
      <c r="B116" s="3" t="s">
        <v>115</v>
      </c>
      <c r="C116" s="9" t="str">
        <f ca="1">IFERROR(VLOOKUP(VALUE(SUBSTITUTE(B116,"quest","")),OFFSET([2]quests!$A$1,0,0,COUNTA([2]quests!$A:$A),MATCH(C$1,[2]quests!$1:$1,0)-MATCH("quest_id",[2]quests!$1:$1,0)+1),MATCH(C$1,[2]quests!$1:$1,0)-MATCH("quest_id",[2]quests!$1:$1,0)+1,FALSE),"")</f>
        <v>親指を突き立てろ！</v>
      </c>
      <c r="D116" s="66" t="s">
        <v>266</v>
      </c>
      <c r="E116" s="19" t="str">
        <f>B116&amp;".png"</f>
        <v>quest30014.png</v>
      </c>
      <c r="F116" s="3">
        <v>1</v>
      </c>
      <c r="G116" s="3" t="s">
        <v>51</v>
      </c>
      <c r="H116" s="6" t="str">
        <f ca="1">IF($G116="null","",VLOOKUP($G116,OFFSET([3]gacha_schedules!$A$2,0,0,COUNTA([3]gacha_schedules!$A:$A),MATCH(H$1,[3]gacha_schedules!$1:$1,0)-MATCH($G$1,[3]gacha_schedules!$1:$1,0)+1),MATCH(H$1,[3]gacha_schedules!$1:$1,0)-MATCH($G$1,[3]gacha_schedules!$1:$1,0)+1,FALSE))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7" spans="1:8" ht="21" customHeight="1" x14ac:dyDescent="0.15">
      <c r="A117" s="72" t="str">
        <f t="shared" si="16"/>
        <v>3013</v>
      </c>
      <c r="B117" s="3" t="s">
        <v>108</v>
      </c>
      <c r="C117" s="9" t="str">
        <f ca="1">IFERROR(VLOOKUP(VALUE(SUBSTITUTE(B117,"quest","")),OFFSET([2]quests!$A$1,0,0,COUNTA([2]quests!$A:$A),MATCH(C$1,[2]quests!$1:$1,0)-MATCH("quest_id",[2]quests!$1:$1,0)+1),MATCH(C$1,[2]quests!$1:$1,0)-MATCH("quest_id",[2]quests!$1:$1,0)+1,FALSE),"")</f>
        <v>決戦・竜宮城</v>
      </c>
      <c r="D117" s="66" t="s">
        <v>266</v>
      </c>
      <c r="E117" s="37" t="s">
        <v>109</v>
      </c>
      <c r="F117" s="3">
        <v>1</v>
      </c>
      <c r="G117" s="3" t="s">
        <v>51</v>
      </c>
      <c r="H117" s="6" t="str">
        <f ca="1">IF($G117="null","",VLOOKUP($G117,OFFSET([3]gacha_schedules!$A$2,0,0,COUNTA([3]gacha_schedules!$A:$A),MATCH(H$1,[3]gacha_schedules!$1:$1,0)-MATCH($G$1,[3]gacha_schedules!$1:$1,0)+1),MATCH(H$1,[3]gacha_schedules!$1:$1,0)-MATCH($G$1,[3]gacha_schedules!$1:$1,0)+1,FALSE))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8" spans="1:8" ht="21" customHeight="1" x14ac:dyDescent="0.15">
      <c r="A118" s="72" t="str">
        <f t="shared" si="16"/>
        <v>3012</v>
      </c>
      <c r="B118" s="3" t="s">
        <v>102</v>
      </c>
      <c r="C118" s="9" t="str">
        <f ca="1">IFERROR(VLOOKUP(VALUE(SUBSTITUTE(B118,"quest","")),OFFSET([2]quests!$A$1,0,0,COUNTA([2]quests!$A:$A),MATCH(C$1,[2]quests!$1:$1,0)-MATCH("quest_id",[2]quests!$1:$1,0)+1),MATCH(C$1,[2]quests!$1:$1,0)-MATCH("quest_id",[2]quests!$1:$1,0)+1,FALSE),"")</f>
        <v>底なしの胃袋</v>
      </c>
      <c r="D118" s="66" t="s">
        <v>266</v>
      </c>
      <c r="E118" s="19" t="str">
        <f>B118&amp;"_1.png"</f>
        <v>quest30012_1.png</v>
      </c>
      <c r="F118" s="3">
        <v>1</v>
      </c>
      <c r="G118" s="3" t="s">
        <v>51</v>
      </c>
      <c r="H118" s="6" t="str">
        <f ca="1">IF($G118="null","",VLOOKUP($G118,OFFSET([3]gacha_schedules!$A$2,0,0,COUNTA([3]gacha_schedules!$A:$A),MATCH(H$1,[3]gacha_schedules!$1:$1,0)-MATCH($G$1,[3]gacha_schedules!$1:$1,0)+1),MATCH(H$1,[3]gacha_schedules!$1:$1,0)-MATCH($G$1,[3]gacha_schedules!$1:$1,0)+1,FALSE))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19" spans="1:8" ht="21" customHeight="1" x14ac:dyDescent="0.15">
      <c r="A119" s="72" t="str">
        <f t="shared" si="16"/>
        <v>3011</v>
      </c>
      <c r="B119" s="3" t="s">
        <v>98</v>
      </c>
      <c r="C119" s="9" t="str">
        <f ca="1">IFERROR(VLOOKUP(VALUE(SUBSTITUTE(B119,"quest","")),OFFSET([2]quests!$A$1,0,0,COUNTA([2]quests!$A:$A),MATCH(C$1,[2]quests!$1:$1,0)-MATCH("quest_id",[2]quests!$1:$1,0)+1),MATCH(C$1,[2]quests!$1:$1,0)-MATCH("quest_id",[2]quests!$1:$1,0)+1,FALSE),"")</f>
        <v>気怠い巨読者</v>
      </c>
      <c r="D119" s="66" t="s">
        <v>266</v>
      </c>
      <c r="E119" s="19" t="str">
        <f>B119&amp;"_1.png"</f>
        <v>quest30011_1.png</v>
      </c>
      <c r="F119" s="3">
        <v>1</v>
      </c>
      <c r="G119" s="3" t="s">
        <v>51</v>
      </c>
      <c r="H119" s="6" t="str">
        <f ca="1">IF($G119="null","",VLOOKUP($G119,OFFSET([3]gacha_schedules!$A$2,0,0,COUNTA([3]gacha_schedules!$A:$A),MATCH(H$1,[3]gacha_schedules!$1:$1,0)-MATCH($G$1,[3]gacha_schedules!$1:$1,0)+1),MATCH(H$1,[3]gacha_schedules!$1:$1,0)-MATCH($G$1,[3]gacha_schedules!$1:$1,0)+1,FALSE))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0" spans="1:8" ht="21" customHeight="1" x14ac:dyDescent="0.15">
      <c r="A120" s="72" t="str">
        <f t="shared" si="16"/>
        <v>3010</v>
      </c>
      <c r="B120" s="3" t="s">
        <v>78</v>
      </c>
      <c r="C120" s="9" t="str">
        <f ca="1">IFERROR(VLOOKUP(VALUE(SUBSTITUTE(B120,"quest","")),OFFSET([2]quests!$A$1,0,0,COUNTA([2]quests!$A:$A),MATCH(C$1,[2]quests!$1:$1,0)-MATCH("quest_id",[2]quests!$1:$1,0)+1),MATCH(C$1,[2]quests!$1:$1,0)-MATCH("quest_id",[2]quests!$1:$1,0)+1,FALSE),"")</f>
        <v>最大最凶</v>
      </c>
      <c r="D120" s="66" t="s">
        <v>266</v>
      </c>
      <c r="E120" s="19" t="str">
        <f>B120&amp;"_1.png"</f>
        <v>quest30010_1.png</v>
      </c>
      <c r="F120" s="3">
        <v>1</v>
      </c>
      <c r="G120" s="3" t="s">
        <v>51</v>
      </c>
      <c r="H120" s="6" t="str">
        <f ca="1">IF($G120="null","",VLOOKUP($G120,OFFSET([3]gacha_schedules!$A$2,0,0,COUNTA([3]gacha_schedules!$A:$A),MATCH(H$1,[3]gacha_schedules!$1:$1,0)-MATCH($G$1,[3]gacha_schedules!$1:$1,0)+1),MATCH(H$1,[3]gacha_schedules!$1:$1,0)-MATCH($G$1,[3]gacha_schedules!$1:$1,0)+1,FALSE))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1" spans="1:8" ht="21" customHeight="1" x14ac:dyDescent="0.15">
      <c r="A121" s="72" t="str">
        <f t="shared" si="16"/>
        <v>3009</v>
      </c>
      <c r="B121" s="3" t="s">
        <v>75</v>
      </c>
      <c r="C121" s="9" t="str">
        <f ca="1">IFERROR(VLOOKUP(VALUE(SUBSTITUTE(B121,"quest","")),OFFSET([2]quests!$A$1,0,0,COUNTA([2]quests!$A:$A),MATCH(C$1,[2]quests!$1:$1,0)-MATCH("quest_id",[2]quests!$1:$1,0)+1),MATCH(C$1,[2]quests!$1:$1,0)-MATCH("quest_id",[2]quests!$1:$1,0)+1,FALSE),"")</f>
        <v>復活の捕食者</v>
      </c>
      <c r="D121" s="66" t="s">
        <v>266</v>
      </c>
      <c r="E121" s="19" t="str">
        <f>B121&amp;"_1.png"</f>
        <v>quest30009_1.png</v>
      </c>
      <c r="F121" s="3">
        <v>1</v>
      </c>
      <c r="G121" s="3" t="s">
        <v>51</v>
      </c>
      <c r="H121" s="6" t="str">
        <f ca="1">IF($G121="null","",VLOOKUP($G121,OFFSET([3]gacha_schedules!$A$2,0,0,COUNTA([3]gacha_schedules!$A:$A),MATCH(H$1,[3]gacha_schedules!$1:$1,0)-MATCH($G$1,[3]gacha_schedules!$1:$1,0)+1),MATCH(H$1,[3]gacha_schedules!$1:$1,0)-MATCH($G$1,[3]gacha_schedules!$1:$1,0)+1,FALSE))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2" spans="1:8" ht="21" customHeight="1" x14ac:dyDescent="0.15">
      <c r="A122" s="72" t="str">
        <f t="shared" si="16"/>
        <v>3008</v>
      </c>
      <c r="B122" s="3" t="s">
        <v>60</v>
      </c>
      <c r="C122" s="9" t="str">
        <f ca="1">IFERROR(VLOOKUP(VALUE(SUBSTITUTE(B122,"quest","")),OFFSET([2]quests!$A$1,0,0,COUNTA([2]quests!$A:$A),MATCH(C$1,[2]quests!$1:$1,0)-MATCH("quest_id",[2]quests!$1:$1,0)+1),MATCH(C$1,[2]quests!$1:$1,0)-MATCH("quest_id",[2]quests!$1:$1,0)+1,FALSE),"")</f>
        <v>わたしの嫁を返してもらおう</v>
      </c>
      <c r="D122" s="66" t="s">
        <v>266</v>
      </c>
      <c r="E122" s="37" t="s">
        <v>508</v>
      </c>
      <c r="F122" s="3">
        <v>1</v>
      </c>
      <c r="G122" s="3" t="s">
        <v>67</v>
      </c>
      <c r="H122" s="6" t="str">
        <f ca="1">IF($G122="null","",VLOOKUP($G122,OFFSET([3]gacha_schedules!$A$2,0,0,COUNTA([3]gacha_schedules!$A:$A),MATCH(H$1,[3]gacha_schedules!$1:$1,0)-MATCH($G$1,[3]gacha_schedules!$1:$1,0)+1),MATCH(H$1,[3]gacha_schedules!$1:$1,0)-MATCH($G$1,[3]gacha_schedules!$1:$1,0)+1,FALSE))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3" spans="1:8" ht="21" customHeight="1" x14ac:dyDescent="0.15">
      <c r="A123" s="72" t="str">
        <f t="shared" si="16"/>
        <v>3007</v>
      </c>
      <c r="B123" s="3" t="s">
        <v>46</v>
      </c>
      <c r="C123" s="9" t="str">
        <f ca="1">IFERROR(VLOOKUP(VALUE(SUBSTITUTE(B123,"quest","")),OFFSET([2]quests!$A$1,0,0,COUNTA([2]quests!$A:$A),MATCH(C$1,[2]quests!$1:$1,0)-MATCH("quest_id",[2]quests!$1:$1,0)+1),MATCH(C$1,[2]quests!$1:$1,0)-MATCH("quest_id",[2]quests!$1:$1,0)+1,FALSE),"")</f>
        <v>ガラスの靴は私のもの</v>
      </c>
      <c r="D123" s="66" t="s">
        <v>266</v>
      </c>
      <c r="E123" s="19" t="str">
        <f>B123&amp;"_1.png"</f>
        <v>quest30007_1.png</v>
      </c>
      <c r="F123" s="3">
        <v>1</v>
      </c>
      <c r="G123" s="3" t="s">
        <v>67</v>
      </c>
      <c r="H123" s="6" t="str">
        <f ca="1">IF($G123="null","",VLOOKUP($G123,OFFSET([3]gacha_schedules!$A$2,0,0,COUNTA([3]gacha_schedules!$A:$A),MATCH(H$1,[3]gacha_schedules!$1:$1,0)-MATCH($G$1,[3]gacha_schedules!$1:$1,0)+1),MATCH(H$1,[3]gacha_schedules!$1:$1,0)-MATCH($G$1,[3]gacha_schedules!$1:$1,0)+1,FALSE))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4" spans="1:8" ht="21" customHeight="1" x14ac:dyDescent="0.15">
      <c r="A124" s="72" t="str">
        <f t="shared" si="16"/>
        <v>3006</v>
      </c>
      <c r="B124" s="3" t="s">
        <v>63</v>
      </c>
      <c r="C124" s="9" t="str">
        <f ca="1">IFERROR(VLOOKUP(VALUE(SUBSTITUTE(B124,"quest","")),OFFSET([2]quests!$A$1,0,0,COUNTA([2]quests!$A:$A),MATCH(C$1,[2]quests!$1:$1,0)-MATCH("quest_id",[2]quests!$1:$1,0)+1),MATCH(C$1,[2]quests!$1:$1,0)-MATCH("quest_id",[2]quests!$1:$1,0)+1,FALSE),"")</f>
        <v>それはお前を食べるためさ</v>
      </c>
      <c r="D124" s="66" t="s">
        <v>266</v>
      </c>
      <c r="E124" s="37" t="str">
        <f>B124&amp;"_2.png"</f>
        <v>quest30006_2.png</v>
      </c>
      <c r="F124" s="3">
        <v>1</v>
      </c>
      <c r="G124" s="3" t="s">
        <v>67</v>
      </c>
      <c r="H124" s="6" t="str">
        <f ca="1">IF($G124="null","",VLOOKUP($G124,OFFSET([3]gacha_schedules!$A$2,0,0,COUNTA([3]gacha_schedules!$A:$A),MATCH(H$1,[3]gacha_schedules!$1:$1,0)-MATCH($G$1,[3]gacha_schedules!$1:$1,0)+1),MATCH(H$1,[3]gacha_schedules!$1:$1,0)-MATCH($G$1,[3]gacha_schedules!$1:$1,0)+1,FALSE))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5" spans="1:8" ht="21" customHeight="1" x14ac:dyDescent="0.15">
      <c r="A125" s="72" t="str">
        <f t="shared" si="16"/>
        <v>3005</v>
      </c>
      <c r="B125" s="3" t="s">
        <v>44</v>
      </c>
      <c r="C125" s="9" t="str">
        <f ca="1">IFERROR(VLOOKUP(VALUE(SUBSTITUTE(B125,"quest","")),OFFSET([2]quests!$A$1,0,0,COUNTA([2]quests!$A:$A),MATCH(C$1,[2]quests!$1:$1,0)-MATCH("quest_id",[2]quests!$1:$1,0)+1),MATCH(C$1,[2]quests!$1:$1,0)-MATCH("quest_id",[2]quests!$1:$1,0)+1,FALSE),"")</f>
        <v>ニンゲンにしてあげる☆</v>
      </c>
      <c r="D125" s="66" t="s">
        <v>266</v>
      </c>
      <c r="E125" s="19" t="str">
        <f>B125&amp;"_1.png"</f>
        <v>quest30005_1.png</v>
      </c>
      <c r="F125" s="3">
        <v>1</v>
      </c>
      <c r="G125" s="3" t="s">
        <v>51</v>
      </c>
      <c r="H125" s="6" t="str">
        <f ca="1">IF($G125="null","",VLOOKUP($G125,OFFSET([3]gacha_schedules!$A$2,0,0,COUNTA([3]gacha_schedules!$A:$A),MATCH(H$1,[3]gacha_schedules!$1:$1,0)-MATCH($G$1,[3]gacha_schedules!$1:$1,0)+1),MATCH(H$1,[3]gacha_schedules!$1:$1,0)-MATCH($G$1,[3]gacha_schedules!$1:$1,0)+1,FALSE))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6" spans="1:8" ht="21" customHeight="1" x14ac:dyDescent="0.15">
      <c r="A126" s="72" t="str">
        <f t="shared" si="16"/>
        <v>3004</v>
      </c>
      <c r="B126" s="3" t="s">
        <v>40</v>
      </c>
      <c r="C126" s="9" t="str">
        <f ca="1">IFERROR(VLOOKUP(VALUE(SUBSTITUTE(B126,"quest","")),OFFSET([2]quests!$A$1,0,0,COUNTA([2]quests!$A:$A),MATCH(C$1,[2]quests!$1:$1,0)-MATCH("quest_id",[2]quests!$1:$1,0)+1),MATCH(C$1,[2]quests!$1:$1,0)-MATCH("quest_id",[2]quests!$1:$1,0)+1,FALSE),"")</f>
        <v>危険な仲裁者</v>
      </c>
      <c r="D126" s="66" t="s">
        <v>266</v>
      </c>
      <c r="E126" s="19" t="str">
        <f>B126&amp;"_3.png"</f>
        <v>quest30004_3.png</v>
      </c>
      <c r="F126" s="3">
        <v>1</v>
      </c>
      <c r="G126" s="3" t="s">
        <v>67</v>
      </c>
      <c r="H126" s="6" t="str">
        <f ca="1">IF($G126="null","",VLOOKUP($G126,OFFSET([3]gacha_schedules!$A$2,0,0,COUNTA([3]gacha_schedules!$A:$A),MATCH(H$1,[3]gacha_schedules!$1:$1,0)-MATCH($G$1,[3]gacha_schedules!$1:$1,0)+1),MATCH(H$1,[3]gacha_schedules!$1:$1,0)-MATCH($G$1,[3]gacha_schedules!$1:$1,0)+1,FALSE))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7" spans="1:8" ht="21" customHeight="1" x14ac:dyDescent="0.15">
      <c r="A127" s="72" t="str">
        <f t="shared" si="16"/>
        <v>3003</v>
      </c>
      <c r="B127" s="3" t="s">
        <v>39</v>
      </c>
      <c r="C127" s="9" t="str">
        <f ca="1">IFERROR(VLOOKUP(VALUE(SUBSTITUTE(B127,"quest","")),OFFSET([2]quests!$A$1,0,0,COUNTA([2]quests!$A:$A),MATCH(C$1,[2]quests!$1:$1,0)-MATCH("quest_id",[2]quests!$1:$1,0)+1),MATCH(C$1,[2]quests!$1:$1,0)-MATCH("quest_id",[2]quests!$1:$1,0)+1,FALSE),"")</f>
        <v>打ち下ろされる砕棒</v>
      </c>
      <c r="D127" s="66" t="s">
        <v>266</v>
      </c>
      <c r="E127" s="19" t="str">
        <f>B127&amp;"_3.png"</f>
        <v>quest30003_3.png</v>
      </c>
      <c r="F127" s="3">
        <v>1</v>
      </c>
      <c r="G127" s="3" t="s">
        <v>67</v>
      </c>
      <c r="H127" s="6" t="str">
        <f ca="1">IF($G127="null","",VLOOKUP($G127,OFFSET([3]gacha_schedules!$A$2,0,0,COUNTA([3]gacha_schedules!$A:$A),MATCH(H$1,[3]gacha_schedules!$1:$1,0)-MATCH($G$1,[3]gacha_schedules!$1:$1,0)+1),MATCH(H$1,[3]gacha_schedules!$1:$1,0)-MATCH($G$1,[3]gacha_schedules!$1:$1,0)+1,FALSE))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8" spans="1:8" ht="21" customHeight="1" x14ac:dyDescent="0.15">
      <c r="A128" s="72" t="str">
        <f t="shared" si="16"/>
        <v>3002</v>
      </c>
      <c r="B128" s="3" t="s">
        <v>42</v>
      </c>
      <c r="C128" s="9" t="str">
        <f ca="1">IFERROR(VLOOKUP(VALUE(SUBSTITUTE(B128,"quest","")),OFFSET([2]quests!$A$1,0,0,COUNTA([2]quests!$A:$A),MATCH(C$1,[2]quests!$1:$1,0)-MATCH("quest_id",[2]quests!$1:$1,0)+1),MATCH(C$1,[2]quests!$1:$1,0)-MATCH("quest_id",[2]quests!$1:$1,0)+1,FALSE),"")</f>
        <v>トリックスター</v>
      </c>
      <c r="D128" s="66" t="s">
        <v>266</v>
      </c>
      <c r="E128" s="19" t="str">
        <f>B128&amp;"_3.png"</f>
        <v>quest30002_3.png</v>
      </c>
      <c r="F128" s="3">
        <v>1</v>
      </c>
      <c r="G128" s="3" t="s">
        <v>67</v>
      </c>
      <c r="H128" s="6" t="str">
        <f ca="1">IF($G128="null","",VLOOKUP($G128,OFFSET([3]gacha_schedules!$A$2,0,0,COUNTA([3]gacha_schedules!$A:$A),MATCH(H$1,[3]gacha_schedules!$1:$1,0)-MATCH($G$1,[3]gacha_schedules!$1:$1,0)+1),MATCH(H$1,[3]gacha_schedules!$1:$1,0)-MATCH($G$1,[3]gacha_schedules!$1:$1,0)+1,FALSE))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29" spans="1:9" ht="21" customHeight="1" x14ac:dyDescent="0.15">
      <c r="A129" s="72" t="str">
        <f t="shared" si="16"/>
        <v>3001</v>
      </c>
      <c r="B129" s="3" t="s">
        <v>52</v>
      </c>
      <c r="C129" s="9" t="str">
        <f ca="1">IFERROR(VLOOKUP(VALUE(SUBSTITUTE(B129,"quest","")),OFFSET([2]quests!$A$1,0,0,COUNTA([2]quests!$A:$A),MATCH(C$1,[2]quests!$1:$1,0)-MATCH("quest_id",[2]quests!$1:$1,0)+1),MATCH(C$1,[2]quests!$1:$1,0)-MATCH("quest_id",[2]quests!$1:$1,0)+1,FALSE),"")</f>
        <v>ハンター・オブ・ハンター</v>
      </c>
      <c r="D129" s="66" t="s">
        <v>266</v>
      </c>
      <c r="E129" s="37" t="str">
        <f>B129&amp;"_4.png"</f>
        <v>quest30001_4.png</v>
      </c>
      <c r="F129" s="3">
        <v>1</v>
      </c>
      <c r="G129" s="3" t="s">
        <v>67</v>
      </c>
      <c r="H129" s="6" t="str">
        <f ca="1">IF($G129="null","",VLOOKUP($G129,OFFSET([3]gacha_schedules!$A$2,0,0,COUNTA([3]gacha_schedules!$A:$A),MATCH(H$1,[3]gacha_schedules!$1:$1,0)-MATCH($G$1,[3]gacha_schedules!$1:$1,0)+1),MATCH(H$1,[3]gacha_schedules!$1:$1,0)-MATCH($G$1,[3]gacha_schedules!$1:$1,0)+1,FALSE))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0" spans="1:9" ht="21" customHeight="1" x14ac:dyDescent="0.15">
      <c r="A130" s="71" t="str">
        <f t="shared" ref="A130:A143" si="17">"2"&amp;TEXT(RIGHT(B130,3),"000")</f>
        <v>2014</v>
      </c>
      <c r="B130" s="3" t="s">
        <v>342</v>
      </c>
      <c r="C130" s="9" t="str">
        <f ca="1">IFERROR(VLOOKUP(VALUE(SUBSTITUTE(B130,"quest","")),OFFSET([2]quests!$A$1,0,0,COUNTA([2]quests!$A:$A),MATCH(C$1,[2]quests!$1:$1,0)-MATCH("quest_id",[2]quests!$1:$1,0)+1),MATCH(C$1,[2]quests!$1:$1,0)-MATCH("quest_id",[2]quests!$1:$1,0)+1,FALSE),"")</f>
        <v>魅了する歌声</v>
      </c>
      <c r="D130" s="66" t="s">
        <v>16</v>
      </c>
      <c r="E130" s="37" t="str">
        <f>B130&amp;".png"</f>
        <v>quest20014.png</v>
      </c>
      <c r="F130" s="3">
        <v>1</v>
      </c>
      <c r="G130" s="3" t="s">
        <v>51</v>
      </c>
      <c r="H130" s="6" t="str">
        <f ca="1">IF($G130="null","",VLOOKUP($G130,OFFSET([3]gacha_schedules!$A$2,0,0,COUNTA([3]gacha_schedules!$A:$A),MATCH(H$1,[3]gacha_schedules!$1:$1,0)-MATCH($G$1,[3]gacha_schedules!$1:$1,0)+1),MATCH(H$1,[3]gacha_schedules!$1:$1,0)-MATCH($G$1,[3]gacha_schedules!$1:$1,0)+1,FALSE))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1" spans="1:9" ht="21" customHeight="1" x14ac:dyDescent="0.15">
      <c r="A131" s="71" t="str">
        <f t="shared" si="17"/>
        <v>2013</v>
      </c>
      <c r="B131" s="3" t="s">
        <v>315</v>
      </c>
      <c r="C131" s="9" t="str">
        <f ca="1">IFERROR(VLOOKUP(VALUE(SUBSTITUTE(B131,"quest","")),OFFSET([2]quests!$A$1,0,0,COUNTA([2]quests!$A:$A),MATCH(C$1,[2]quests!$1:$1,0)-MATCH("quest_id",[2]quests!$1:$1,0)+1),MATCH(C$1,[2]quests!$1:$1,0)-MATCH("quest_id",[2]quests!$1:$1,0)+1,FALSE),"")</f>
        <v>天の時、地の利、人の和</v>
      </c>
      <c r="D131" s="66" t="s">
        <v>266</v>
      </c>
      <c r="E131" s="37" t="str">
        <f>B131&amp;".png"</f>
        <v>quest20013.png</v>
      </c>
      <c r="F131" s="3">
        <v>1</v>
      </c>
      <c r="G131" s="3" t="s">
        <v>51</v>
      </c>
      <c r="H131" s="6" t="str">
        <f ca="1">IF($G131="null","",VLOOKUP($G131,OFFSET([3]gacha_schedules!$A$2,0,0,COUNTA([3]gacha_schedules!$A:$A),MATCH(H$1,[3]gacha_schedules!$1:$1,0)-MATCH($G$1,[3]gacha_schedules!$1:$1,0)+1),MATCH(H$1,[3]gacha_schedules!$1:$1,0)-MATCH($G$1,[3]gacha_schedules!$1:$1,0)+1,FALSE))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2" spans="1:9" ht="21" customHeight="1" x14ac:dyDescent="0.15">
      <c r="A132" s="71" t="str">
        <f t="shared" si="17"/>
        <v>2012</v>
      </c>
      <c r="B132" s="3" t="s">
        <v>97</v>
      </c>
      <c r="C132" s="9" t="str">
        <f ca="1">IFERROR(VLOOKUP(VALUE(SUBSTITUTE(B132,"quest","")),OFFSET([2]quests!$A$1,0,0,COUNTA([2]quests!$A:$A),MATCH(C$1,[2]quests!$1:$1,0)-MATCH("quest_id",[2]quests!$1:$1,0)+1),MATCH(C$1,[2]quests!$1:$1,0)-MATCH("quest_id",[2]quests!$1:$1,0)+1,FALSE),"")</f>
        <v>罪と劇薬</v>
      </c>
      <c r="D132" s="66" t="s">
        <v>266</v>
      </c>
      <c r="E132" s="37" t="str">
        <f>B132&amp;"_2.png"</f>
        <v>quest20012_2.png</v>
      </c>
      <c r="F132" s="3">
        <v>1</v>
      </c>
      <c r="G132" s="3" t="s">
        <v>51</v>
      </c>
      <c r="H132" s="6" t="str">
        <f ca="1">IF($G132="null","",VLOOKUP($G132,OFFSET([3]gacha_schedules!$A$2,0,0,COUNTA([3]gacha_schedules!$A:$A),MATCH(H$1,[3]gacha_schedules!$1:$1,0)-MATCH($G$1,[3]gacha_schedules!$1:$1,0)+1),MATCH(H$1,[3]gacha_schedules!$1:$1,0)-MATCH($G$1,[3]gacha_schedules!$1:$1,0)+1,FALSE))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3" spans="1:9" ht="21" customHeight="1" x14ac:dyDescent="0.15">
      <c r="A133" s="71" t="str">
        <f t="shared" si="17"/>
        <v>2011</v>
      </c>
      <c r="B133" s="3" t="s">
        <v>96</v>
      </c>
      <c r="C133" s="9" t="str">
        <f ca="1">IFERROR(VLOOKUP(VALUE(SUBSTITUTE(B133,"quest","")),OFFSET([2]quests!$A$1,0,0,COUNTA([2]quests!$A:$A),MATCH(C$1,[2]quests!$1:$1,0)-MATCH("quest_id",[2]quests!$1:$1,0)+1),MATCH(C$1,[2]quests!$1:$1,0)-MATCH("quest_id",[2]quests!$1:$1,0)+1,FALSE),"")</f>
        <v>すべてが灰になる</v>
      </c>
      <c r="D133" s="66" t="s">
        <v>266</v>
      </c>
      <c r="E133" s="19" t="str">
        <f>B133&amp;"_1.png"</f>
        <v>quest20011_1.png</v>
      </c>
      <c r="F133" s="3">
        <v>1</v>
      </c>
      <c r="G133" s="3" t="s">
        <v>51</v>
      </c>
      <c r="H133" s="6" t="str">
        <f ca="1">IF($G133="null","",VLOOKUP($G133,OFFSET([3]gacha_schedules!$A$2,0,0,COUNTA([3]gacha_schedules!$A:$A),MATCH(H$1,[3]gacha_schedules!$1:$1,0)-MATCH($G$1,[3]gacha_schedules!$1:$1,0)+1),MATCH(H$1,[3]gacha_schedules!$1:$1,0)-MATCH($G$1,[3]gacha_schedules!$1:$1,0)+1,FALSE))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4" spans="1:9" ht="21" customHeight="1" x14ac:dyDescent="0.15">
      <c r="A134" s="71" t="str">
        <f t="shared" si="17"/>
        <v>2010</v>
      </c>
      <c r="B134" s="3" t="s">
        <v>77</v>
      </c>
      <c r="C134" s="9" t="str">
        <f ca="1">IFERROR(VLOOKUP(VALUE(SUBSTITUTE(B134,"quest","")),OFFSET([2]quests!$A$1,0,0,COUNTA([2]quests!$A:$A),MATCH(C$1,[2]quests!$1:$1,0)-MATCH("quest_id",[2]quests!$1:$1,0)+1),MATCH(C$1,[2]quests!$1:$1,0)-MATCH("quest_id",[2]quests!$1:$1,0)+1,FALSE),"")</f>
        <v>悪夢の一目惚れ</v>
      </c>
      <c r="D134" s="66" t="s">
        <v>266</v>
      </c>
      <c r="E134" s="19" t="str">
        <f>B134&amp;"_1.png"</f>
        <v>quest20010_1.png</v>
      </c>
      <c r="F134" s="3">
        <v>1</v>
      </c>
      <c r="G134" s="3" t="s">
        <v>51</v>
      </c>
      <c r="H134" s="6" t="str">
        <f ca="1">IF($G134="null","",VLOOKUP($G134,OFFSET([3]gacha_schedules!$A$2,0,0,COUNTA([3]gacha_schedules!$A:$A),MATCH(H$1,[3]gacha_schedules!$1:$1,0)-MATCH($G$1,[3]gacha_schedules!$1:$1,0)+1),MATCH(H$1,[3]gacha_schedules!$1:$1,0)-MATCH($G$1,[3]gacha_schedules!$1:$1,0)+1,FALSE))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5" spans="1:9" ht="21" customHeight="1" x14ac:dyDescent="0.15">
      <c r="A135" s="71" t="str">
        <f t="shared" si="17"/>
        <v>2009</v>
      </c>
      <c r="B135" s="3" t="s">
        <v>74</v>
      </c>
      <c r="C135" s="9" t="str">
        <f ca="1">IFERROR(VLOOKUP(VALUE(SUBSTITUTE(B135,"quest","")),OFFSET([2]quests!$A$1,0,0,COUNTA([2]quests!$A:$A),MATCH(C$1,[2]quests!$1:$1,0)-MATCH("quest_id",[2]quests!$1:$1,0)+1),MATCH(C$1,[2]quests!$1:$1,0)-MATCH("quest_id",[2]quests!$1:$1,0)+1,FALSE),"")</f>
        <v>迫り来る窒息</v>
      </c>
      <c r="D135" s="66" t="s">
        <v>266</v>
      </c>
      <c r="E135" s="37" t="str">
        <f>B135&amp;"_2.png"</f>
        <v>quest20009_2.png</v>
      </c>
      <c r="F135" s="3">
        <v>1</v>
      </c>
      <c r="G135" s="3" t="s">
        <v>51</v>
      </c>
      <c r="H135" s="6" t="str">
        <f ca="1">IF($G135="null","",VLOOKUP($G135,OFFSET([3]gacha_schedules!$A$2,0,0,COUNTA([3]gacha_schedules!$A:$A),MATCH(H$1,[3]gacha_schedules!$1:$1,0)-MATCH($G$1,[3]gacha_schedules!$1:$1,0)+1),MATCH(H$1,[3]gacha_schedules!$1:$1,0)-MATCH($G$1,[3]gacha_schedules!$1:$1,0)+1,FALSE))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6" spans="1:9" ht="21" customHeight="1" x14ac:dyDescent="0.15">
      <c r="A136" s="71" t="str">
        <f t="shared" si="17"/>
        <v>2008</v>
      </c>
      <c r="B136" s="3" t="s">
        <v>76</v>
      </c>
      <c r="C136" s="9" t="str">
        <f ca="1">IFERROR(VLOOKUP(VALUE(SUBSTITUTE(B136,"quest","")),OFFSET([2]quests!$A$1,0,0,COUNTA([2]quests!$A:$A),MATCH(C$1,[2]quests!$1:$1,0)-MATCH("quest_id",[2]quests!$1:$1,0)+1),MATCH(C$1,[2]quests!$1:$1,0)-MATCH("quest_id",[2]quests!$1:$1,0)+1,FALSE),"")</f>
        <v>天翔ける金轟機龍</v>
      </c>
      <c r="D136" s="66" t="s">
        <v>266</v>
      </c>
      <c r="E136" s="19" t="str">
        <f>B136&amp;"_1.png"</f>
        <v>quest20008_1.png</v>
      </c>
      <c r="F136" s="3">
        <v>1</v>
      </c>
      <c r="G136" s="3" t="s">
        <v>51</v>
      </c>
      <c r="H136" s="6" t="str">
        <f ca="1">IF($G136="null","",VLOOKUP($G136,OFFSET([3]gacha_schedules!$A$2,0,0,COUNTA([3]gacha_schedules!$A:$A),MATCH(H$1,[3]gacha_schedules!$1:$1,0)-MATCH($G$1,[3]gacha_schedules!$1:$1,0)+1),MATCH(H$1,[3]gacha_schedules!$1:$1,0)-MATCH($G$1,[3]gacha_schedules!$1:$1,0)+1,FALSE))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7" spans="1:9" ht="21" customHeight="1" x14ac:dyDescent="0.15">
      <c r="A137" s="71" t="str">
        <f t="shared" si="17"/>
        <v>2007</v>
      </c>
      <c r="B137" s="3" t="s">
        <v>43</v>
      </c>
      <c r="C137" s="9" t="str">
        <f ca="1">IFERROR(VLOOKUP(VALUE(SUBSTITUTE(B137,"quest","")),OFFSET([2]quests!$A$1,0,0,COUNTA([2]quests!$A:$A),MATCH(C$1,[2]quests!$1:$1,0)-MATCH("quest_id",[2]quests!$1:$1,0)+1),MATCH(C$1,[2]quests!$1:$1,0)-MATCH("quest_id",[2]quests!$1:$1,0)+1,FALSE),"")</f>
        <v>女王陛下の処刑龍</v>
      </c>
      <c r="D137" s="66" t="s">
        <v>266</v>
      </c>
      <c r="E137" s="19" t="str">
        <f>B137&amp;"_1.png"</f>
        <v>quest20007_1.png</v>
      </c>
      <c r="F137" s="3">
        <v>1</v>
      </c>
      <c r="G137" s="3" t="s">
        <v>67</v>
      </c>
      <c r="H137" s="6" t="str">
        <f ca="1">IF($G137="null","",VLOOKUP($G137,OFFSET([3]gacha_schedules!$A$2,0,0,COUNTA([3]gacha_schedules!$A:$A),MATCH(H$1,[3]gacha_schedules!$1:$1,0)-MATCH($G$1,[3]gacha_schedules!$1:$1,0)+1),MATCH(H$1,[3]gacha_schedules!$1:$1,0)-MATCH($G$1,[3]gacha_schedules!$1:$1,0)+1,FALSE))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8" spans="1:9" ht="21" customHeight="1" x14ac:dyDescent="0.15">
      <c r="A138" s="71" t="str">
        <f t="shared" si="17"/>
        <v>2006</v>
      </c>
      <c r="B138" s="3" t="s">
        <v>62</v>
      </c>
      <c r="C138" s="9" t="str">
        <f ca="1">IFERROR(VLOOKUP(VALUE(SUBSTITUTE(B138,"quest","")),OFFSET([2]quests!$A$1,0,0,COUNTA([2]quests!$A:$A),MATCH(C$1,[2]quests!$1:$1,0)-MATCH("quest_id",[2]quests!$1:$1,0)+1),MATCH(C$1,[2]quests!$1:$1,0)-MATCH("quest_id",[2]quests!$1:$1,0)+1,FALSE),"")</f>
        <v>スチール・プレデター</v>
      </c>
      <c r="D138" s="66" t="s">
        <v>266</v>
      </c>
      <c r="E138" s="37" t="s">
        <v>129</v>
      </c>
      <c r="F138" s="3">
        <v>1</v>
      </c>
      <c r="G138" s="3" t="s">
        <v>51</v>
      </c>
      <c r="H138" s="6" t="str">
        <f ca="1">IF($G138="null","",VLOOKUP($G138,OFFSET([3]gacha_schedules!$A$2,0,0,COUNTA([3]gacha_schedules!$A:$A),MATCH(H$1,[3]gacha_schedules!$1:$1,0)-MATCH($G$1,[3]gacha_schedules!$1:$1,0)+1),MATCH(H$1,[3]gacha_schedules!$1:$1,0)-MATCH($G$1,[3]gacha_schedules!$1:$1,0)+1,FALSE))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39" spans="1:9" ht="21" customHeight="1" x14ac:dyDescent="0.15">
      <c r="A139" s="71" t="str">
        <f t="shared" si="17"/>
        <v>2005</v>
      </c>
      <c r="B139" s="3" t="s">
        <v>45</v>
      </c>
      <c r="C139" s="9" t="str">
        <f ca="1">IFERROR(VLOOKUP(VALUE(SUBSTITUTE(B139,"quest","")),OFFSET([2]quests!$A$1,0,0,COUNTA([2]quests!$A:$A),MATCH(C$1,[2]quests!$1:$1,0)-MATCH("quest_id",[2]quests!$1:$1,0)+1),MATCH(C$1,[2]quests!$1:$1,0)-MATCH("quest_id",[2]quests!$1:$1,0)+1,FALSE),"")</f>
        <v>ザ・キャノン</v>
      </c>
      <c r="D139" s="66" t="s">
        <v>266</v>
      </c>
      <c r="E139" s="19" t="str">
        <f>B139&amp;"_1.png"</f>
        <v>quest20005_1.png</v>
      </c>
      <c r="F139" s="3">
        <v>1</v>
      </c>
      <c r="G139" s="3" t="s">
        <v>51</v>
      </c>
      <c r="H139" s="6" t="str">
        <f ca="1">IF($G139="null","",VLOOKUP($G139,OFFSET([3]gacha_schedules!$A$2,0,0,COUNTA([3]gacha_schedules!$A:$A),MATCH(H$1,[3]gacha_schedules!$1:$1,0)-MATCH($G$1,[3]gacha_schedules!$1:$1,0)+1),MATCH(H$1,[3]gacha_schedules!$1:$1,0)-MATCH($G$1,[3]gacha_schedules!$1:$1,0)+1,FALSE))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40" spans="1:9" ht="21" customHeight="1" x14ac:dyDescent="0.15">
      <c r="A140" s="71" t="str">
        <f t="shared" si="17"/>
        <v>2004</v>
      </c>
      <c r="B140" s="3" t="s">
        <v>38</v>
      </c>
      <c r="C140" s="9" t="str">
        <f ca="1">IFERROR(VLOOKUP(VALUE(SUBSTITUTE(B140,"quest","")),OFFSET([2]quests!$A$1,0,0,COUNTA([2]quests!$A:$A),MATCH(C$1,[2]quests!$1:$1,0)-MATCH("quest_id",[2]quests!$1:$1,0)+1),MATCH(C$1,[2]quests!$1:$1,0)-MATCH("quest_id",[2]quests!$1:$1,0)+1,FALSE),"")</f>
        <v>雷雲からの刺客</v>
      </c>
      <c r="D140" s="66" t="s">
        <v>266</v>
      </c>
      <c r="E140" s="19" t="str">
        <f>B140&amp;"_3.png"</f>
        <v>quest20004_3.png</v>
      </c>
      <c r="F140" s="3">
        <v>1</v>
      </c>
      <c r="G140" s="3" t="s">
        <v>67</v>
      </c>
      <c r="H140" s="6" t="str">
        <f ca="1">IF($G140="null","",VLOOKUP($G140,OFFSET([3]gacha_schedules!$A$2,0,0,COUNTA([3]gacha_schedules!$A:$A),MATCH(H$1,[3]gacha_schedules!$1:$1,0)-MATCH($G$1,[3]gacha_schedules!$1:$1,0)+1),MATCH(H$1,[3]gacha_schedules!$1:$1,0)-MATCH($G$1,[3]gacha_schedules!$1:$1,0)+1,FALSE))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41" spans="1:9" ht="21" customHeight="1" x14ac:dyDescent="0.15">
      <c r="A141" s="71" t="str">
        <f t="shared" si="17"/>
        <v>2003</v>
      </c>
      <c r="B141" s="3" t="s">
        <v>36</v>
      </c>
      <c r="C141" s="9" t="str">
        <f ca="1">IFERROR(VLOOKUP(VALUE(SUBSTITUTE(B141,"quest","")),OFFSET([2]quests!$A$1,0,0,COUNTA([2]quests!$A:$A),MATCH(C$1,[2]quests!$1:$1,0)-MATCH("quest_id",[2]quests!$1:$1,0)+1),MATCH(C$1,[2]quests!$1:$1,0)-MATCH("quest_id",[2]quests!$1:$1,0)+1,FALSE),"")</f>
        <v>忍び寄る短剣</v>
      </c>
      <c r="D141" s="66" t="s">
        <v>266</v>
      </c>
      <c r="E141" s="19" t="str">
        <f>B141&amp;"_3.png"</f>
        <v>quest20003_3.png</v>
      </c>
      <c r="F141" s="3">
        <v>1</v>
      </c>
      <c r="G141" s="3" t="s">
        <v>67</v>
      </c>
      <c r="H141" s="6" t="str">
        <f ca="1">IF($G141="null","",VLOOKUP($G141,OFFSET([3]gacha_schedules!$A$2,0,0,COUNTA([3]gacha_schedules!$A:$A),MATCH(H$1,[3]gacha_schedules!$1:$1,0)-MATCH($G$1,[3]gacha_schedules!$1:$1,0)+1),MATCH(H$1,[3]gacha_schedules!$1:$1,0)-MATCH($G$1,[3]gacha_schedules!$1:$1,0)+1,FALSE))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42" spans="1:9" ht="21" customHeight="1" x14ac:dyDescent="0.15">
      <c r="A142" s="71" t="str">
        <f t="shared" si="17"/>
        <v>2002</v>
      </c>
      <c r="B142" s="3" t="s">
        <v>37</v>
      </c>
      <c r="C142" s="9" t="str">
        <f ca="1">IFERROR(VLOOKUP(VALUE(SUBSTITUTE(B142,"quest","")),OFFSET([2]quests!$A$1,0,0,COUNTA([2]quests!$A:$A),MATCH(C$1,[2]quests!$1:$1,0)-MATCH("quest_id",[2]quests!$1:$1,0)+1),MATCH(C$1,[2]quests!$1:$1,0)-MATCH("quest_id",[2]quests!$1:$1,0)+1,FALSE),"")</f>
        <v>孤高の一角獣</v>
      </c>
      <c r="D142" s="66" t="s">
        <v>266</v>
      </c>
      <c r="E142" s="37" t="str">
        <f>B142&amp;"_4.png"</f>
        <v>quest20002_4.png</v>
      </c>
      <c r="F142" s="3">
        <v>1</v>
      </c>
      <c r="G142" s="3" t="s">
        <v>67</v>
      </c>
      <c r="H142" s="6" t="str">
        <f ca="1">IF($G142="null","",VLOOKUP($G142,OFFSET([3]gacha_schedules!$A$2,0,0,COUNTA([3]gacha_schedules!$A:$A),MATCH(H$1,[3]gacha_schedules!$1:$1,0)-MATCH($G$1,[3]gacha_schedules!$1:$1,0)+1),MATCH(H$1,[3]gacha_schedules!$1:$1,0)-MATCH($G$1,[3]gacha_schedules!$1:$1,0)+1,FALSE))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43" spans="1:9" ht="21" customHeight="1" x14ac:dyDescent="0.15">
      <c r="A143" s="71" t="str">
        <f t="shared" si="17"/>
        <v>2001</v>
      </c>
      <c r="B143" s="3" t="s">
        <v>47</v>
      </c>
      <c r="C143" s="9" t="str">
        <f ca="1">IFERROR(VLOOKUP(VALUE(SUBSTITUTE(B143,"quest","")),OFFSET([2]quests!$A$1,0,0,COUNTA([2]quests!$A:$A),MATCH(C$1,[2]quests!$1:$1,0)-MATCH("quest_id",[2]quests!$1:$1,0)+1),MATCH(C$1,[2]quests!$1:$1,0)-MATCH("quest_id",[2]quests!$1:$1,0)+1,FALSE),"")</f>
        <v>紅き執行者</v>
      </c>
      <c r="D143" s="66" t="s">
        <v>266</v>
      </c>
      <c r="E143" s="19" t="str">
        <f>B143&amp;"_1.png"</f>
        <v>quest20001_1.png</v>
      </c>
      <c r="F143" s="3">
        <v>1</v>
      </c>
      <c r="G143" s="3" t="s">
        <v>67</v>
      </c>
      <c r="H143" s="6" t="str">
        <f ca="1">IF($G143="null","",VLOOKUP($G143,OFFSET([3]gacha_schedules!$A$2,0,0,COUNTA([3]gacha_schedules!$A:$A),MATCH(H$1,[3]gacha_schedules!$1:$1,0)-MATCH($G$1,[3]gacha_schedules!$1:$1,0)+1),MATCH(H$1,[3]gacha_schedules!$1:$1,0)-MATCH($G$1,[3]gacha_schedules!$1:$1,0)+1,FALSE))</f>
        <v/>
      </c>
    </row>
    <row r="144" spans="1:9" ht="21" customHeight="1" x14ac:dyDescent="0.15">
      <c r="A144" s="72" t="str">
        <f>"10"&amp;TEXT(I144,"00")</f>
        <v>1016</v>
      </c>
      <c r="B144" s="3" t="s">
        <v>498</v>
      </c>
      <c r="C144" s="9" t="str">
        <f ca="1">IFERROR(VLOOKUP(VALUE(SUBSTITUTE(B144,"quest","")),OFFSET([2]quests!$A$1,0,0,COUNTA([2]quests!$A:$A),MATCH(C$1,[2]quests!$1:$1,0)-MATCH("quest_id",[2]quests!$1:$1,0)+1),MATCH(C$1,[2]quests!$1:$1,0)-MATCH("quest_id",[2]quests!$1:$1,0)+1,FALSE),"")</f>
        <v>【日曜限定】 青と黄の素材</v>
      </c>
      <c r="D144" s="66" t="s">
        <v>266</v>
      </c>
      <c r="E144" s="19" t="str">
        <f>B144&amp;".png"</f>
        <v>quest11008.png</v>
      </c>
      <c r="F144" s="3">
        <v>1</v>
      </c>
      <c r="G144" s="3" t="s">
        <v>67</v>
      </c>
      <c r="H144" s="6" t="str">
        <f ca="1">IF($G144="null","",VLOOKUP($G144,OFFSET([3]gacha_schedules!$A$2,0,0,COUNTA([3]gacha_schedules!$A:$A),MATCH(H$1,[3]gacha_schedules!$1:$1,0)-MATCH($G$1,[3]gacha_schedules!$1:$1,0)+1),MATCH(H$1,[3]gacha_schedules!$1:$1,0)-MATCH($G$1,[3]gacha_schedules!$1:$1,0)+1,FALSE))</f>
        <v/>
      </c>
      <c r="I144" s="1">
        <f t="shared" ref="I144:I157" si="18">I145+1</f>
        <v>16</v>
      </c>
    </row>
    <row r="145" spans="1:9" ht="21" customHeight="1" x14ac:dyDescent="0.15">
      <c r="A145" s="72" t="str">
        <f t="shared" ref="A145" si="19">"10"&amp;TEXT(I145,"00")</f>
        <v>1015</v>
      </c>
      <c r="B145" s="3" t="s">
        <v>497</v>
      </c>
      <c r="C145" s="9" t="str">
        <f ca="1">IFERROR(VLOOKUP(VALUE(SUBSTITUTE(B145,"quest","")),OFFSET([2]quests!$A$1,0,0,COUNTA([2]quests!$A:$A),MATCH(C$1,[2]quests!$1:$1,0)-MATCH("quest_id",[2]quests!$1:$1,0)+1),MATCH(C$1,[2]quests!$1:$1,0)-MATCH("quest_id",[2]quests!$1:$1,0)+1,FALSE),"")</f>
        <v>【土曜限定】 赤と緑の素材</v>
      </c>
      <c r="D145" s="66" t="s">
        <v>266</v>
      </c>
      <c r="E145" s="19" t="str">
        <f>B145&amp;".png"</f>
        <v>quest11007.png</v>
      </c>
      <c r="F145" s="3">
        <v>1</v>
      </c>
      <c r="G145" s="3" t="s">
        <v>67</v>
      </c>
      <c r="H145" s="6" t="str">
        <f ca="1">IF($G145="null","",VLOOKUP($G145,OFFSET([3]gacha_schedules!$A$2,0,0,COUNTA([3]gacha_schedules!$A:$A),MATCH(H$1,[3]gacha_schedules!$1:$1,0)-MATCH($G$1,[3]gacha_schedules!$1:$1,0)+1),MATCH(H$1,[3]gacha_schedules!$1:$1,0)-MATCH($G$1,[3]gacha_schedules!$1:$1,0)+1,FALSE))</f>
        <v/>
      </c>
      <c r="I145" s="1">
        <f t="shared" si="18"/>
        <v>15</v>
      </c>
    </row>
    <row r="146" spans="1:9" ht="21" customHeight="1" x14ac:dyDescent="0.15">
      <c r="A146" s="72" t="str">
        <f>"10"&amp;TEXT(I146,"00")</f>
        <v>1014</v>
      </c>
      <c r="B146" s="3" t="s">
        <v>58</v>
      </c>
      <c r="C146" s="9" t="str">
        <f ca="1">IFERROR(VLOOKUP(VALUE(SUBSTITUTE(B146,"quest","")),OFFSET([2]quests!$A$1,0,0,COUNTA([2]quests!$A:$A),MATCH(C$1,[2]quests!$1:$1,0)-MATCH("quest_id",[2]quests!$1:$1,0)+1),MATCH(C$1,[2]quests!$1:$1,0)-MATCH("quest_id",[2]quests!$1:$1,0)+1,FALSE),"")</f>
        <v>【期間限定】 黄の素材</v>
      </c>
      <c r="D146" s="66" t="s">
        <v>266</v>
      </c>
      <c r="E146" s="19" t="str">
        <f>B146&amp;"_3.png"</f>
        <v>quest11101_3.png</v>
      </c>
      <c r="F146" s="3">
        <v>1</v>
      </c>
      <c r="G146" s="3" t="s">
        <v>67</v>
      </c>
      <c r="H146" s="6" t="str">
        <f ca="1">IF($G146="null","",VLOOKUP($G146,OFFSET([3]gacha_schedules!$A$2,0,0,COUNTA([3]gacha_schedules!$A:$A),MATCH(H$1,[3]gacha_schedules!$1:$1,0)-MATCH($G$1,[3]gacha_schedules!$1:$1,0)+1),MATCH(H$1,[3]gacha_schedules!$1:$1,0)-MATCH($G$1,[3]gacha_schedules!$1:$1,0)+1,FALSE))</f>
        <v/>
      </c>
      <c r="I146" s="1">
        <f t="shared" si="18"/>
        <v>14</v>
      </c>
    </row>
    <row r="147" spans="1:9" ht="21" customHeight="1" x14ac:dyDescent="0.15">
      <c r="A147" s="72" t="str">
        <f t="shared" ref="A147:A159" si="20">"10"&amp;TEXT(I147,"00")</f>
        <v>1013</v>
      </c>
      <c r="B147" s="3" t="s">
        <v>59</v>
      </c>
      <c r="C147" s="9" t="str">
        <f ca="1">IFERROR(VLOOKUP(VALUE(SUBSTITUTE(B147,"quest","")),OFFSET([2]quests!$A$1,0,0,COUNTA([2]quests!$A:$A),MATCH(C$1,[2]quests!$1:$1,0)-MATCH("quest_id",[2]quests!$1:$1,0)+1),MATCH(C$1,[2]quests!$1:$1,0)-MATCH("quest_id",[2]quests!$1:$1,0)+1,FALSE),"")</f>
        <v>【期間限定】 赤の素材</v>
      </c>
      <c r="D147" s="66" t="s">
        <v>266</v>
      </c>
      <c r="E147" s="19" t="str">
        <f>B147&amp;"_3.png"</f>
        <v>quest11102_3.png</v>
      </c>
      <c r="F147" s="3">
        <v>1</v>
      </c>
      <c r="G147" s="3" t="s">
        <v>67</v>
      </c>
      <c r="H147" s="6" t="str">
        <f ca="1">IF($G147="null","",VLOOKUP($G147,OFFSET([3]gacha_schedules!$A$2,0,0,COUNTA([3]gacha_schedules!$A:$A),MATCH(H$1,[3]gacha_schedules!$1:$1,0)-MATCH($G$1,[3]gacha_schedules!$1:$1,0)+1),MATCH(H$1,[3]gacha_schedules!$1:$1,0)-MATCH($G$1,[3]gacha_schedules!$1:$1,0)+1,FALSE))</f>
        <v/>
      </c>
      <c r="I147" s="1">
        <f t="shared" si="18"/>
        <v>13</v>
      </c>
    </row>
    <row r="148" spans="1:9" ht="21" customHeight="1" x14ac:dyDescent="0.15">
      <c r="A148" s="72" t="str">
        <f t="shared" si="20"/>
        <v>1012</v>
      </c>
      <c r="B148" s="3" t="s">
        <v>53</v>
      </c>
      <c r="C148" s="9" t="str">
        <f ca="1">IFERROR(VLOOKUP(VALUE(SUBSTITUTE(B148,"quest","")),OFFSET([2]quests!$A$1,0,0,COUNTA([2]quests!$A:$A),MATCH(C$1,[2]quests!$1:$1,0)-MATCH("quest_id",[2]quests!$1:$1,0)+1),MATCH(C$1,[2]quests!$1:$1,0)-MATCH("quest_id",[2]quests!$1:$1,0)+1,FALSE),"")</f>
        <v>【期間限定】 青の素材</v>
      </c>
      <c r="D148" s="66" t="s">
        <v>266</v>
      </c>
      <c r="E148" s="19" t="str">
        <f>B148&amp;"_3.png"</f>
        <v>quest11103_3.png</v>
      </c>
      <c r="F148" s="3">
        <v>1</v>
      </c>
      <c r="G148" s="3" t="s">
        <v>67</v>
      </c>
      <c r="H148" s="6" t="str">
        <f ca="1">IF($G148="null","",VLOOKUP($G148,OFFSET([3]gacha_schedules!$A$2,0,0,COUNTA([3]gacha_schedules!$A:$A),MATCH(H$1,[3]gacha_schedules!$1:$1,0)-MATCH($G$1,[3]gacha_schedules!$1:$1,0)+1),MATCH(H$1,[3]gacha_schedules!$1:$1,0)-MATCH($G$1,[3]gacha_schedules!$1:$1,0)+1,FALSE))</f>
        <v/>
      </c>
      <c r="I148" s="1">
        <f t="shared" si="18"/>
        <v>12</v>
      </c>
    </row>
    <row r="149" spans="1:9" ht="21" customHeight="1" x14ac:dyDescent="0.15">
      <c r="A149" s="72" t="str">
        <f t="shared" si="20"/>
        <v>1011</v>
      </c>
      <c r="B149" s="3" t="s">
        <v>54</v>
      </c>
      <c r="C149" s="9" t="str">
        <f ca="1">IFERROR(VLOOKUP(VALUE(SUBSTITUTE(B149,"quest","")),OFFSET([2]quests!$A$1,0,0,COUNTA([2]quests!$A:$A),MATCH(C$1,[2]quests!$1:$1,0)-MATCH("quest_id",[2]quests!$1:$1,0)+1),MATCH(C$1,[2]quests!$1:$1,0)-MATCH("quest_id",[2]quests!$1:$1,0)+1,FALSE),"")</f>
        <v>【期間限定】 緑の素材</v>
      </c>
      <c r="D149" s="66" t="s">
        <v>266</v>
      </c>
      <c r="E149" s="19" t="str">
        <f>B149&amp;"_3.png"</f>
        <v>quest11104_3.png</v>
      </c>
      <c r="F149" s="3">
        <v>1</v>
      </c>
      <c r="G149" s="3" t="s">
        <v>67</v>
      </c>
      <c r="H149" s="6" t="str">
        <f ca="1">IF($G149="null","",VLOOKUP($G149,OFFSET([3]gacha_schedules!$A$2,0,0,COUNTA([3]gacha_schedules!$A:$A),MATCH(H$1,[3]gacha_schedules!$1:$1,0)-MATCH($G$1,[3]gacha_schedules!$1:$1,0)+1),MATCH(H$1,[3]gacha_schedules!$1:$1,0)-MATCH($G$1,[3]gacha_schedules!$1:$1,0)+1,FALSE))</f>
        <v/>
      </c>
      <c r="I149" s="1">
        <f t="shared" si="18"/>
        <v>11</v>
      </c>
    </row>
    <row r="150" spans="1:9" ht="21" customHeight="1" x14ac:dyDescent="0.15">
      <c r="A150" s="72" t="str">
        <f t="shared" si="20"/>
        <v>1010</v>
      </c>
      <c r="B150" s="3" t="s">
        <v>55</v>
      </c>
      <c r="C150" s="9" t="str">
        <f ca="1">IFERROR(VLOOKUP(VALUE(SUBSTITUTE(B150,"quest","")),OFFSET([2]quests!$A$1,0,0,COUNTA([2]quests!$A:$A),MATCH(C$1,[2]quests!$1:$1,0)-MATCH("quest_id",[2]quests!$1:$1,0)+1),MATCH(C$1,[2]quests!$1:$1,0)-MATCH("quest_id",[2]quests!$1:$1,0)+1,FALSE),"")</f>
        <v>【期間限定】 帽子屋を追え！</v>
      </c>
      <c r="D150" s="66" t="s">
        <v>266</v>
      </c>
      <c r="E150" s="19" t="str">
        <f>B150&amp;"_2.png"</f>
        <v>quest11105_2.png</v>
      </c>
      <c r="F150" s="3">
        <v>1</v>
      </c>
      <c r="G150" s="3" t="s">
        <v>67</v>
      </c>
      <c r="H150" s="6" t="str">
        <f ca="1">IF($G150="null","",VLOOKUP($G150,OFFSET([3]gacha_schedules!$A$2,0,0,COUNTA([3]gacha_schedules!$A:$A),MATCH(H$1,[3]gacha_schedules!$1:$1,0)-MATCH($G$1,[3]gacha_schedules!$1:$1,0)+1),MATCH(H$1,[3]gacha_schedules!$1:$1,0)-MATCH($G$1,[3]gacha_schedules!$1:$1,0)+1,FALSE))</f>
        <v/>
      </c>
      <c r="I150" s="1">
        <f t="shared" si="18"/>
        <v>10</v>
      </c>
    </row>
    <row r="151" spans="1:9" ht="21" customHeight="1" x14ac:dyDescent="0.15">
      <c r="A151" s="72" t="str">
        <f t="shared" si="20"/>
        <v>1009</v>
      </c>
      <c r="B151" s="3" t="s">
        <v>113</v>
      </c>
      <c r="C151" s="9" t="str">
        <f ca="1">IFERROR(VLOOKUP(VALUE(SUBSTITUTE(B151,"quest","")),OFFSET([2]quests!$A$1,0,0,COUNTA([2]quests!$A:$A),MATCH(C$1,[2]quests!$1:$1,0)-MATCH("quest_id",[2]quests!$1:$1,0)+1),MATCH(C$1,[2]quests!$1:$1,0)-MATCH("quest_id",[2]quests!$1:$1,0)+1,FALSE),"")</f>
        <v>【マルチ専用1/2】 アヒル捕獲作戦</v>
      </c>
      <c r="D151" s="66" t="s">
        <v>266</v>
      </c>
      <c r="E151" s="37" t="str">
        <f>B151&amp;"_1.png"</f>
        <v>quest12002_1.png</v>
      </c>
      <c r="F151" s="46">
        <v>100</v>
      </c>
      <c r="G151" s="3" t="s">
        <v>67</v>
      </c>
      <c r="H151" s="6" t="str">
        <f ca="1">IF($G151="null","",VLOOKUP($G151,OFFSET([3]gacha_schedules!$A$2,0,0,COUNTA([3]gacha_schedules!$A:$A),MATCH(H$1,[3]gacha_schedules!$1:$1,0)-MATCH($G$1,[3]gacha_schedules!$1:$1,0)+1),MATCH(H$1,[3]gacha_schedules!$1:$1,0)-MATCH($G$1,[3]gacha_schedules!$1:$1,0)+1,FALSE))</f>
        <v/>
      </c>
      <c r="I151" s="1">
        <f t="shared" si="18"/>
        <v>9</v>
      </c>
    </row>
    <row r="152" spans="1:9" ht="21" customHeight="1" x14ac:dyDescent="0.15">
      <c r="A152" s="72" t="str">
        <f t="shared" si="20"/>
        <v>1008</v>
      </c>
      <c r="B152" s="3" t="s">
        <v>23</v>
      </c>
      <c r="C152" s="9" t="str">
        <f ca="1">IFERROR(VLOOKUP(VALUE(SUBSTITUTE(B152,"quest","")),OFFSET([2]quests!$A$1,0,0,COUNTA([2]quests!$A:$A),MATCH(C$1,[2]quests!$1:$1,0)-MATCH("quest_id",[2]quests!$1:$1,0)+1),MATCH(C$1,[2]quests!$1:$1,0)-MATCH("quest_id",[2]quests!$1:$1,0)+1,FALSE),"")</f>
        <v>【緊急！！】 アヒル捕獲作戦</v>
      </c>
      <c r="D152" s="66" t="s">
        <v>266</v>
      </c>
      <c r="E152" s="19" t="str">
        <f t="shared" ref="E152:E154" si="21">B152&amp;".png"</f>
        <v>quest12001.png</v>
      </c>
      <c r="F152" s="3">
        <v>1</v>
      </c>
      <c r="G152" s="3" t="s">
        <v>67</v>
      </c>
      <c r="H152" s="6" t="str">
        <f ca="1">IF($G152="null","",VLOOKUP($G152,OFFSET([3]gacha_schedules!$A$2,0,0,COUNTA([3]gacha_schedules!$A:$A),MATCH(H$1,[3]gacha_schedules!$1:$1,0)-MATCH($G$1,[3]gacha_schedules!$1:$1,0)+1),MATCH(H$1,[3]gacha_schedules!$1:$1,0)-MATCH($G$1,[3]gacha_schedules!$1:$1,0)+1,FALSE))</f>
        <v/>
      </c>
      <c r="I152" s="1">
        <f>I153+1</f>
        <v>8</v>
      </c>
    </row>
    <row r="153" spans="1:9" ht="21" customHeight="1" x14ac:dyDescent="0.15">
      <c r="A153" s="72" t="str">
        <f t="shared" si="20"/>
        <v>1007</v>
      </c>
      <c r="B153" s="3" t="s">
        <v>22</v>
      </c>
      <c r="C153" s="9" t="str">
        <f ca="1">IFERROR(VLOOKUP(VALUE(SUBSTITUTE(B153,"quest","")),OFFSET([2]quests!$A$1,0,0,COUNTA([2]quests!$A:$A),MATCH(C$1,[2]quests!$1:$1,0)-MATCH("quest_id",[2]quests!$1:$1,0)+1),MATCH(C$1,[2]quests!$1:$1,0)-MATCH("quest_id",[2]quests!$1:$1,0)+1,FALSE),"")</f>
        <v>【土日限定】 ゴールドカジノ</v>
      </c>
      <c r="D153" s="66" t="s">
        <v>266</v>
      </c>
      <c r="E153" s="19" t="s">
        <v>509</v>
      </c>
      <c r="F153" s="3">
        <v>1</v>
      </c>
      <c r="G153" s="3" t="s">
        <v>67</v>
      </c>
      <c r="H153" s="6" t="str">
        <f ca="1">IF($G153="null","",VLOOKUP($G153,OFFSET([3]gacha_schedules!$A$2,0,0,COUNTA([3]gacha_schedules!$A:$A),MATCH(H$1,[3]gacha_schedules!$1:$1,0)-MATCH($G$1,[3]gacha_schedules!$1:$1,0)+1),MATCH(H$1,[3]gacha_schedules!$1:$1,0)-MATCH($G$1,[3]gacha_schedules!$1:$1,0)+1,FALSE))</f>
        <v/>
      </c>
      <c r="I153" s="1">
        <f t="shared" si="18"/>
        <v>7</v>
      </c>
    </row>
    <row r="154" spans="1:9" ht="21" customHeight="1" x14ac:dyDescent="0.15">
      <c r="A154" s="72" t="str">
        <f t="shared" si="20"/>
        <v>1006</v>
      </c>
      <c r="B154" s="3" t="s">
        <v>21</v>
      </c>
      <c r="C154" s="9" t="str">
        <f ca="1">IFERROR(VLOOKUP(VALUE(SUBSTITUTE(B154,"quest","")),OFFSET([2]quests!$A$1,0,0,COUNTA([2]quests!$A:$A),MATCH(C$1,[2]quests!$1:$1,0)-MATCH("quest_id",[2]quests!$1:$1,0)+1),MATCH(C$1,[2]quests!$1:$1,0)-MATCH("quest_id",[2]quests!$1:$1,0)+1,FALSE),"")</f>
        <v>【金曜限定】 帽子屋を追え！</v>
      </c>
      <c r="D154" s="66" t="s">
        <v>266</v>
      </c>
      <c r="E154" s="19" t="str">
        <f t="shared" si="21"/>
        <v>quest11005.png</v>
      </c>
      <c r="F154" s="3">
        <v>1</v>
      </c>
      <c r="G154" s="3" t="s">
        <v>67</v>
      </c>
      <c r="H154" s="6" t="str">
        <f ca="1">IF($G154="null","",VLOOKUP($G154,OFFSET([3]gacha_schedules!$A$2,0,0,COUNTA([3]gacha_schedules!$A:$A),MATCH(H$1,[3]gacha_schedules!$1:$1,0)-MATCH($G$1,[3]gacha_schedules!$1:$1,0)+1),MATCH(H$1,[3]gacha_schedules!$1:$1,0)-MATCH($G$1,[3]gacha_schedules!$1:$1,0)+1,FALSE))</f>
        <v/>
      </c>
      <c r="I154" s="1">
        <f t="shared" si="18"/>
        <v>6</v>
      </c>
    </row>
    <row r="155" spans="1:9" ht="21" customHeight="1" x14ac:dyDescent="0.15">
      <c r="A155" s="72" t="str">
        <f t="shared" si="20"/>
        <v>1005</v>
      </c>
      <c r="B155" s="3" t="s">
        <v>20</v>
      </c>
      <c r="C155" s="9" t="str">
        <f ca="1">IFERROR(VLOOKUP(VALUE(SUBSTITUTE(B155,"quest","")),OFFSET([2]quests!$A$1,0,0,COUNTA([2]quests!$A:$A),MATCH(C$1,[2]quests!$1:$1,0)-MATCH("quest_id",[2]quests!$1:$1,0)+1),MATCH(C$1,[2]quests!$1:$1,0)-MATCH("quest_id",[2]quests!$1:$1,0)+1,FALSE),"")</f>
        <v>【木曜限定】 緑の素材</v>
      </c>
      <c r="D155" s="66" t="s">
        <v>266</v>
      </c>
      <c r="E155" s="19" t="str">
        <f>B155&amp;"_2.png"</f>
        <v>quest11004_2.png</v>
      </c>
      <c r="F155" s="3">
        <v>1</v>
      </c>
      <c r="G155" s="3" t="s">
        <v>67</v>
      </c>
      <c r="H155" s="6" t="str">
        <f ca="1">IF($G155="null","",VLOOKUP($G155,OFFSET([3]gacha_schedules!$A$2,0,0,COUNTA([3]gacha_schedules!$A:$A),MATCH(H$1,[3]gacha_schedules!$1:$1,0)-MATCH($G$1,[3]gacha_schedules!$1:$1,0)+1),MATCH(H$1,[3]gacha_schedules!$1:$1,0)-MATCH($G$1,[3]gacha_schedules!$1:$1,0)+1,FALSE))</f>
        <v/>
      </c>
      <c r="I155" s="1">
        <f t="shared" si="18"/>
        <v>5</v>
      </c>
    </row>
    <row r="156" spans="1:9" ht="21" customHeight="1" x14ac:dyDescent="0.15">
      <c r="A156" s="72" t="str">
        <f t="shared" si="20"/>
        <v>1004</v>
      </c>
      <c r="B156" s="3" t="s">
        <v>19</v>
      </c>
      <c r="C156" s="9" t="str">
        <f ca="1">IFERROR(VLOOKUP(VALUE(SUBSTITUTE(B156,"quest","")),OFFSET([2]quests!$A$1,0,0,COUNTA([2]quests!$A:$A),MATCH(C$1,[2]quests!$1:$1,0)-MATCH("quest_id",[2]quests!$1:$1,0)+1),MATCH(C$1,[2]quests!$1:$1,0)-MATCH("quest_id",[2]quests!$1:$1,0)+1,FALSE),"")</f>
        <v>【水曜限定】 青の素材</v>
      </c>
      <c r="D156" s="66" t="s">
        <v>266</v>
      </c>
      <c r="E156" s="19" t="str">
        <f>B156&amp;"_2.png"</f>
        <v>quest11003_2.png</v>
      </c>
      <c r="F156" s="3">
        <v>1</v>
      </c>
      <c r="G156" s="3" t="s">
        <v>67</v>
      </c>
      <c r="H156" s="6" t="str">
        <f ca="1">IF($G156="null","",VLOOKUP($G156,OFFSET([3]gacha_schedules!$A$2,0,0,COUNTA([3]gacha_schedules!$A:$A),MATCH(H$1,[3]gacha_schedules!$1:$1,0)-MATCH($G$1,[3]gacha_schedules!$1:$1,0)+1),MATCH(H$1,[3]gacha_schedules!$1:$1,0)-MATCH($G$1,[3]gacha_schedules!$1:$1,0)+1,FALSE))</f>
        <v/>
      </c>
      <c r="I156" s="1">
        <f t="shared" si="18"/>
        <v>4</v>
      </c>
    </row>
    <row r="157" spans="1:9" ht="21" customHeight="1" x14ac:dyDescent="0.15">
      <c r="A157" s="72" t="str">
        <f t="shared" si="20"/>
        <v>1003</v>
      </c>
      <c r="B157" s="3" t="s">
        <v>18</v>
      </c>
      <c r="C157" s="9" t="str">
        <f ca="1">IFERROR(VLOOKUP(VALUE(SUBSTITUTE(B157,"quest","")),OFFSET([2]quests!$A$1,0,0,COUNTA([2]quests!$A:$A),MATCH(C$1,[2]quests!$1:$1,0)-MATCH("quest_id",[2]quests!$1:$1,0)+1),MATCH(C$1,[2]quests!$1:$1,0)-MATCH("quest_id",[2]quests!$1:$1,0)+1,FALSE),"")</f>
        <v>【火曜限定】 赤の素材</v>
      </c>
      <c r="D157" s="66" t="s">
        <v>266</v>
      </c>
      <c r="E157" s="19" t="str">
        <f>B157&amp;"_2.png"</f>
        <v>quest11002_2.png</v>
      </c>
      <c r="F157" s="3">
        <v>1</v>
      </c>
      <c r="G157" s="3" t="s">
        <v>67</v>
      </c>
      <c r="H157" s="6" t="str">
        <f ca="1">IF($G157="null","",VLOOKUP($G157,OFFSET([3]gacha_schedules!$A$2,0,0,COUNTA([3]gacha_schedules!$A:$A),MATCH(H$1,[3]gacha_schedules!$1:$1,0)-MATCH($G$1,[3]gacha_schedules!$1:$1,0)+1),MATCH(H$1,[3]gacha_schedules!$1:$1,0)-MATCH($G$1,[3]gacha_schedules!$1:$1,0)+1,FALSE))</f>
        <v/>
      </c>
      <c r="I157" s="1">
        <f t="shared" si="18"/>
        <v>3</v>
      </c>
    </row>
    <row r="158" spans="1:9" ht="21" customHeight="1" x14ac:dyDescent="0.15">
      <c r="A158" s="72" t="str">
        <f t="shared" si="20"/>
        <v>1002</v>
      </c>
      <c r="B158" s="3" t="s">
        <v>17</v>
      </c>
      <c r="C158" s="9" t="str">
        <f ca="1">IFERROR(VLOOKUP(VALUE(SUBSTITUTE(B158,"quest","")),OFFSET([2]quests!$A$1,0,0,COUNTA([2]quests!$A:$A),MATCH(C$1,[2]quests!$1:$1,0)-MATCH("quest_id",[2]quests!$1:$1,0)+1),MATCH(C$1,[2]quests!$1:$1,0)-MATCH("quest_id",[2]quests!$1:$1,0)+1,FALSE),"")</f>
        <v>【月曜限定】 黄の素材</v>
      </c>
      <c r="D158" s="66" t="s">
        <v>266</v>
      </c>
      <c r="E158" s="19" t="str">
        <f>B158&amp;"_2.png"</f>
        <v>quest11001_2.png</v>
      </c>
      <c r="F158" s="3">
        <v>1</v>
      </c>
      <c r="G158" s="3" t="s">
        <v>67</v>
      </c>
      <c r="H158" s="6" t="str">
        <f ca="1">IF($G158="null","",VLOOKUP($G158,OFFSET([3]gacha_schedules!$A$2,0,0,COUNTA([3]gacha_schedules!$A:$A),MATCH(H$1,[3]gacha_schedules!$1:$1,0)-MATCH($G$1,[3]gacha_schedules!$1:$1,0)+1),MATCH(H$1,[3]gacha_schedules!$1:$1,0)-MATCH($G$1,[3]gacha_schedules!$1:$1,0)+1,FALSE))</f>
        <v/>
      </c>
      <c r="I158" s="1">
        <f>I159+1</f>
        <v>2</v>
      </c>
    </row>
    <row r="159" spans="1:9" ht="21" customHeight="1" x14ac:dyDescent="0.15">
      <c r="A159" s="72" t="str">
        <f t="shared" si="20"/>
        <v>1001</v>
      </c>
      <c r="B159" s="3" t="s">
        <v>33</v>
      </c>
      <c r="C159" s="9" t="str">
        <f ca="1">IFERROR(VLOOKUP(VALUE(SUBSTITUTE(B159,"quest","")),OFFSET([2]quests!$A$1,0,0,COUNTA([2]quests!$A:$A),MATCH(C$1,[2]quests!$1:$1,0)-MATCH("quest_id",[2]quests!$1:$1,0)+1),MATCH(C$1,[2]quests!$1:$1,0)-MATCH("quest_id",[2]quests!$1:$1,0)+1,FALSE),"")</f>
        <v>チャレンジタワー(ソロ専用)</v>
      </c>
      <c r="D159" s="66" t="s">
        <v>266</v>
      </c>
      <c r="E159" s="19" t="str">
        <f>B159&amp;"_26.png"</f>
        <v>quest13001_26.png</v>
      </c>
      <c r="F159" s="3">
        <v>1</v>
      </c>
      <c r="G159" s="3" t="s">
        <v>67</v>
      </c>
      <c r="H159" s="6" t="str">
        <f ca="1">IF($G159="null","",VLOOKUP($G159,OFFSET([3]gacha_schedules!$A$2,0,0,COUNTA([3]gacha_schedules!$A:$A),MATCH(H$1,[3]gacha_schedules!$1:$1,0)-MATCH($G$1,[3]gacha_schedules!$1:$1,0)+1),MATCH(H$1,[3]gacha_schedules!$1:$1,0)-MATCH($G$1,[3]gacha_schedules!$1:$1,0)+1,FALSE))</f>
        <v/>
      </c>
      <c r="I159" s="1">
        <v>1</v>
      </c>
    </row>
  </sheetData>
  <autoFilter ref="A1:H1">
    <sortState ref="A2:M168">
      <sortCondition descending="1" ref="A1:A168"/>
    </sortState>
  </autoFilter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theme="9" tint="0.79998168889431442"/>
    <outlinePr summaryBelow="0" summaryRight="0"/>
  </sheetPr>
  <dimension ref="A1:O116"/>
  <sheetViews>
    <sheetView tabSelected="1" workbookViewId="0">
      <pane ySplit="1" topLeftCell="A2" activePane="bottomLeft" state="frozen"/>
      <selection pane="bottomLeft" activeCell="A7" sqref="A7"/>
    </sheetView>
  </sheetViews>
  <sheetFormatPr baseColWidth="12" defaultRowHeight="15" outlineLevelCol="1" x14ac:dyDescent="0.15"/>
  <cols>
    <col min="1" max="1" width="15" style="8" customWidth="1"/>
    <col min="2" max="2" width="19.1640625" style="8" bestFit="1" customWidth="1" collapsed="1"/>
    <col min="3" max="3" width="21.6640625" style="8" hidden="1" customWidth="1" outlineLevel="1"/>
    <col min="4" max="5" width="19" style="8" hidden="1" customWidth="1" outlineLevel="1"/>
    <col min="6" max="6" width="19.5" style="8" customWidth="1"/>
    <col min="7" max="7" width="36" style="8" customWidth="1" outlineLevel="1"/>
    <col min="8" max="8" width="14" style="8" customWidth="1" outlineLevel="1"/>
    <col min="9" max="9" width="21.83203125" style="8" customWidth="1"/>
    <col min="10" max="12" width="14.5" style="8" bestFit="1" customWidth="1"/>
    <col min="13" max="16384" width="12.83203125" style="8"/>
  </cols>
  <sheetData>
    <row r="1" spans="1:15" s="10" customFormat="1" x14ac:dyDescent="0.15">
      <c r="A1" s="12" t="s">
        <v>14</v>
      </c>
      <c r="B1" s="22" t="s">
        <v>486</v>
      </c>
      <c r="C1" s="21" t="s">
        <v>70</v>
      </c>
      <c r="D1" s="21" t="s">
        <v>0</v>
      </c>
      <c r="E1" s="21" t="s">
        <v>1</v>
      </c>
      <c r="F1" s="12" t="s">
        <v>25</v>
      </c>
      <c r="G1" s="11" t="s">
        <v>24</v>
      </c>
      <c r="H1" s="67" t="s">
        <v>265</v>
      </c>
      <c r="I1" s="12" t="s">
        <v>34</v>
      </c>
      <c r="J1" s="12" t="s">
        <v>48</v>
      </c>
      <c r="K1" s="12" t="s">
        <v>49</v>
      </c>
      <c r="L1" s="12" t="s">
        <v>50</v>
      </c>
    </row>
    <row r="2" spans="1:15" s="10" customFormat="1" x14ac:dyDescent="0.15">
      <c r="A2" s="33">
        <v>10005</v>
      </c>
      <c r="B2" s="36">
        <v>71</v>
      </c>
      <c r="C2" s="6" t="e">
        <f ca="1">IF($B2="null","",VLOOKUP($B2,OFFSET(#REF!,0,0,COUNTA(#REF!),MATCH(C$1,#REF!,0)-MATCH($B$1,#REF!,0)+1),MATCH(C$1,#REF!,0)-MATCH($B$1,#REF!,0)+1,FALSE))</f>
        <v>#REF!</v>
      </c>
      <c r="D2" s="6" t="e">
        <f ca="1">IF($B2="null","",VLOOKUP($B2,OFFSET(#REF!,0,0,COUNTA(#REF!),MATCH(D$1,#REF!,0)-MATCH($B$1,#REF!,0)+1),MATCH(D$1,#REF!,0)-MATCH($B$1,#REF!,0)+1,FALSE))</f>
        <v>#REF!</v>
      </c>
      <c r="E2" s="6" t="e">
        <f ca="1">IF($B2="null","",VLOOKUP($B2,OFFSET(#REF!,0,0,COUNTA(#REF!),MATCH(E$1,#REF!,0)-MATCH($B$1,#REF!,0)+1),MATCH(E$1,#REF!,0)-MATCH($B$1,#REF!,0)+1,FALSE))</f>
        <v>#REF!</v>
      </c>
      <c r="F2" s="39" t="s">
        <v>112</v>
      </c>
      <c r="G2" s="9" t="str">
        <f ca="1">VLOOKUP(VALUE(SUBSTITUTE(F2,"quest","")),OFFSET([2]quests!$A$1,0,0,COUNTA([2]quests!$A:$A),MATCH(G$1,[2]quests!$1:$1,0)-MATCH("quest_id",[2]quests!$1:$1,0)+1),MATCH(G$1,[2]quests!$1:$1,0)-MATCH("quest_id",[2]quests!$1:$1,0)+1,FALSE)</f>
        <v>5．ウォーターランド</v>
      </c>
      <c r="H2" s="66" t="s">
        <v>268</v>
      </c>
      <c r="I2" s="34" t="s">
        <v>502</v>
      </c>
      <c r="J2" s="20" t="s">
        <v>51</v>
      </c>
      <c r="K2" s="20">
        <v>9</v>
      </c>
      <c r="L2" s="33">
        <v>10005</v>
      </c>
    </row>
    <row r="3" spans="1:15" s="10" customFormat="1" x14ac:dyDescent="0.15">
      <c r="A3" s="33">
        <v>10004</v>
      </c>
      <c r="B3" s="42">
        <v>70</v>
      </c>
      <c r="C3" s="6" t="e">
        <f ca="1">IF($B3="null","",VLOOKUP($B3,OFFSET(#REF!,0,0,COUNTA(#REF!),MATCH(C$1,#REF!,0)-MATCH($B$1,#REF!,0)+1),MATCH(C$1,#REF!,0)-MATCH($B$1,#REF!,0)+1,FALSE))</f>
        <v>#REF!</v>
      </c>
      <c r="D3" s="6" t="e">
        <f ca="1">IF($B3="null","",VLOOKUP($B3,OFFSET(#REF!,0,0,COUNTA(#REF!),MATCH(D$1,#REF!,0)-MATCH($B$1,#REF!,0)+1),MATCH(D$1,#REF!,0)-MATCH($B$1,#REF!,0)+1,FALSE))</f>
        <v>#REF!</v>
      </c>
      <c r="E3" s="6" t="e">
        <f ca="1">IF($B3="null","",VLOOKUP($B3,OFFSET(#REF!,0,0,COUNTA(#REF!),MATCH(E$1,#REF!,0)-MATCH($B$1,#REF!,0)+1),MATCH(E$1,#REF!,0)-MATCH($B$1,#REF!,0)+1,FALSE))</f>
        <v>#REF!</v>
      </c>
      <c r="F3" s="39" t="s">
        <v>106</v>
      </c>
      <c r="G3" s="9" t="str">
        <f ca="1">VLOOKUP(VALUE(SUBSTITUTE(F3,"quest","")),OFFSET([2]quests!$A$1,0,0,COUNTA([2]quests!$A:$A),MATCH(G$1,[2]quests!$1:$1,0)-MATCH("quest_id",[2]quests!$1:$1,0)+1),MATCH(G$1,[2]quests!$1:$1,0)-MATCH("quest_id",[2]quests!$1:$1,0)+1,FALSE)</f>
        <v>4．イエロープラント</v>
      </c>
      <c r="H3" s="66" t="s">
        <v>268</v>
      </c>
      <c r="I3" s="34" t="s">
        <v>501</v>
      </c>
      <c r="J3" s="20" t="s">
        <v>51</v>
      </c>
      <c r="K3" s="20">
        <v>9</v>
      </c>
      <c r="L3" s="33">
        <v>10004</v>
      </c>
    </row>
    <row r="4" spans="1:15" s="10" customFormat="1" x14ac:dyDescent="0.15">
      <c r="A4" s="33">
        <v>10003</v>
      </c>
      <c r="B4" s="42">
        <v>69</v>
      </c>
      <c r="C4" s="6" t="e">
        <f ca="1">IF($B4="null","",VLOOKUP($B4,OFFSET(#REF!,0,0,COUNTA(#REF!),MATCH(C$1,#REF!,0)-MATCH($B$1,#REF!,0)+1),MATCH(C$1,#REF!,0)-MATCH($B$1,#REF!,0)+1,FALSE))</f>
        <v>#REF!</v>
      </c>
      <c r="D4" s="6" t="e">
        <f ca="1">IF($B4="null","",VLOOKUP($B4,OFFSET(#REF!,0,0,COUNTA(#REF!),MATCH(D$1,#REF!,0)-MATCH($B$1,#REF!,0)+1),MATCH(D$1,#REF!,0)-MATCH($B$1,#REF!,0)+1,FALSE))</f>
        <v>#REF!</v>
      </c>
      <c r="E4" s="6" t="e">
        <f ca="1">IF($B4="null","",VLOOKUP($B4,OFFSET(#REF!,0,0,COUNTA(#REF!),MATCH(E$1,#REF!,0)-MATCH($B$1,#REF!,0)+1),MATCH(E$1,#REF!,0)-MATCH($B$1,#REF!,0)+1,FALSE))</f>
        <v>#REF!</v>
      </c>
      <c r="F4" s="39" t="s">
        <v>105</v>
      </c>
      <c r="G4" s="9" t="str">
        <f ca="1">VLOOKUP(VALUE(SUBSTITUTE(F4,"quest","")),OFFSET([2]quests!$A$1,0,0,COUNTA([2]quests!$A:$A),MATCH(G$1,[2]quests!$1:$1,0)-MATCH("quest_id",[2]quests!$1:$1,0)+1),MATCH(G$1,[2]quests!$1:$1,0)-MATCH("quest_id",[2]quests!$1:$1,0)+1,FALSE)</f>
        <v>3．グリーンモール</v>
      </c>
      <c r="H4" s="66" t="s">
        <v>268</v>
      </c>
      <c r="I4" s="34" t="s">
        <v>501</v>
      </c>
      <c r="J4" s="20" t="s">
        <v>51</v>
      </c>
      <c r="K4" s="20">
        <v>9</v>
      </c>
      <c r="L4" s="33">
        <v>10003</v>
      </c>
    </row>
    <row r="5" spans="1:15" s="10" customFormat="1" x14ac:dyDescent="0.15">
      <c r="A5" s="33">
        <v>10002</v>
      </c>
      <c r="B5" s="42">
        <v>68</v>
      </c>
      <c r="C5" s="6" t="e">
        <f ca="1">IF($B5="null","",VLOOKUP($B5,OFFSET(#REF!,0,0,COUNTA(#REF!),MATCH(C$1,#REF!,0)-MATCH($B$1,#REF!,0)+1),MATCH(C$1,#REF!,0)-MATCH($B$1,#REF!,0)+1,FALSE))</f>
        <v>#REF!</v>
      </c>
      <c r="D5" s="6" t="e">
        <f ca="1">IF($B5="null","",VLOOKUP($B5,OFFSET(#REF!,0,0,COUNTA(#REF!),MATCH(D$1,#REF!,0)-MATCH($B$1,#REF!,0)+1),MATCH(D$1,#REF!,0)-MATCH($B$1,#REF!,0)+1,FALSE))</f>
        <v>#REF!</v>
      </c>
      <c r="E5" s="6" t="e">
        <f ca="1">IF($B5="null","",VLOOKUP($B5,OFFSET(#REF!,0,0,COUNTA(#REF!),MATCH(E$1,#REF!,0)-MATCH($B$1,#REF!,0)+1),MATCH(E$1,#REF!,0)-MATCH($B$1,#REF!,0)+1,FALSE))</f>
        <v>#REF!</v>
      </c>
      <c r="F5" s="39" t="s">
        <v>104</v>
      </c>
      <c r="G5" s="9" t="str">
        <f ca="1">VLOOKUP(VALUE(SUBSTITUTE(F5,"quest","")),OFFSET([2]quests!$A$1,0,0,COUNTA([2]quests!$A:$A),MATCH(G$1,[2]quests!$1:$1,0)-MATCH("quest_id",[2]quests!$1:$1,0)+1),MATCH(G$1,[2]quests!$1:$1,0)-MATCH("quest_id",[2]quests!$1:$1,0)+1,FALSE)</f>
        <v>2．火之柄神社</v>
      </c>
      <c r="H5" s="66" t="s">
        <v>268</v>
      </c>
      <c r="I5" s="34" t="s">
        <v>501</v>
      </c>
      <c r="J5" s="20" t="s">
        <v>51</v>
      </c>
      <c r="K5" s="20">
        <v>9</v>
      </c>
      <c r="L5" s="33">
        <v>10002</v>
      </c>
    </row>
    <row r="6" spans="1:15" s="35" customFormat="1" x14ac:dyDescent="0.15">
      <c r="A6" s="33">
        <v>10001</v>
      </c>
      <c r="B6" s="42">
        <v>67</v>
      </c>
      <c r="C6" s="6" t="e">
        <f ca="1">IF($B6="null","",VLOOKUP($B6,OFFSET(#REF!,0,0,COUNTA(#REF!),MATCH(C$1,#REF!,0)-MATCH($B$1,#REF!,0)+1),MATCH(C$1,#REF!,0)-MATCH($B$1,#REF!,0)+1,FALSE))</f>
        <v>#REF!</v>
      </c>
      <c r="D6" s="6" t="e">
        <f ca="1">IF($B6="null","",VLOOKUP($B6,OFFSET(#REF!,0,0,COUNTA(#REF!),MATCH(D$1,#REF!,0)-MATCH($B$1,#REF!,0)+1),MATCH(D$1,#REF!,0)-MATCH($B$1,#REF!,0)+1,FALSE))</f>
        <v>#REF!</v>
      </c>
      <c r="E6" s="6" t="e">
        <f ca="1">IF($B6="null","",VLOOKUP($B6,OFFSET(#REF!,0,0,COUNTA(#REF!),MATCH(E$1,#REF!,0)-MATCH($B$1,#REF!,0)+1),MATCH(E$1,#REF!,0)-MATCH($B$1,#REF!,0)+1,FALSE))</f>
        <v>#REF!</v>
      </c>
      <c r="F6" s="39" t="s">
        <v>103</v>
      </c>
      <c r="G6" s="9" t="str">
        <f ca="1">VLOOKUP(VALUE(SUBSTITUTE(F6,"quest","")),OFFSET([2]quests!$A$1,0,0,COUNTA([2]quests!$A:$A),MATCH(G$1,[2]quests!$1:$1,0)-MATCH("quest_id",[2]quests!$1:$1,0)+1),MATCH(G$1,[2]quests!$1:$1,0)-MATCH("quest_id",[2]quests!$1:$1,0)+1,FALSE)</f>
        <v>1．ALICEの入り口</v>
      </c>
      <c r="H6" s="66" t="s">
        <v>268</v>
      </c>
      <c r="I6" s="34" t="s">
        <v>501</v>
      </c>
      <c r="J6" s="20" t="s">
        <v>51</v>
      </c>
      <c r="K6" s="20">
        <v>9</v>
      </c>
      <c r="L6" s="33">
        <v>10001</v>
      </c>
    </row>
    <row r="7" spans="1:15" s="10" customFormat="1" x14ac:dyDescent="0.15">
      <c r="A7" s="33">
        <v>10008</v>
      </c>
      <c r="B7" s="43">
        <v>1</v>
      </c>
      <c r="C7" s="6" t="e">
        <f ca="1">IF($B7="null","",VLOOKUP($B7,OFFSET(#REF!,0,0,COUNTA(#REF!),MATCH(C$1,#REF!,0)-MATCH($B$1,#REF!,0)+1),MATCH(C$1,#REF!,0)-MATCH($B$1,#REF!,0)+1,FALSE))</f>
        <v>#REF!</v>
      </c>
      <c r="D7" s="6" t="e">
        <f ca="1">IF($B7="null","",VLOOKUP($B7,OFFSET(#REF!,0,0,COUNTA(#REF!),MATCH(D$1,#REF!,0)-MATCH($B$1,#REF!,0)+1),MATCH(D$1,#REF!,0)-MATCH($B$1,#REF!,0)+1,FALSE))</f>
        <v>#REF!</v>
      </c>
      <c r="E7" s="6" t="e">
        <f ca="1">IF($B7="null","",VLOOKUP($B7,OFFSET(#REF!,0,0,COUNTA(#REF!),MATCH(E$1,#REF!,0)-MATCH($B$1,#REF!,0)+1),MATCH(E$1,#REF!,0)-MATCH($B$1,#REF!,0)+1,FALSE))</f>
        <v>#REF!</v>
      </c>
      <c r="F7" s="39" t="s">
        <v>120</v>
      </c>
      <c r="G7" s="9" t="str">
        <f ca="1">VLOOKUP(VALUE(SUBSTITUTE(F7,"quest","")),OFFSET([2]quests!$A$1,0,0,COUNTA([2]quests!$A:$A),MATCH(G$1,[2]quests!$1:$1,0)-MATCH("quest_id",[2]quests!$1:$1,0)+1),MATCH(G$1,[2]quests!$1:$1,0)-MATCH("quest_id",[2]quests!$1:$1,0)+1,FALSE)</f>
        <v>【1回のみ】幸せのカタチ</v>
      </c>
      <c r="H7" s="66" t="s">
        <v>268</v>
      </c>
      <c r="I7" s="34" t="s">
        <v>121</v>
      </c>
      <c r="J7" s="33">
        <v>65535</v>
      </c>
      <c r="K7" s="33">
        <v>0</v>
      </c>
      <c r="L7" s="33">
        <v>1</v>
      </c>
    </row>
    <row r="8" spans="1:15" s="10" customFormat="1" x14ac:dyDescent="0.15">
      <c r="A8" s="33">
        <v>10010</v>
      </c>
      <c r="B8" s="43">
        <v>2</v>
      </c>
      <c r="C8" s="6" t="e">
        <f ca="1">IF($B8="null","",VLOOKUP($B8,OFFSET(#REF!,0,0,COUNTA(#REF!),MATCH(C$1,#REF!,0)-MATCH($B$1,#REF!,0)+1),MATCH(C$1,#REF!,0)-MATCH($B$1,#REF!,0)+1,FALSE))</f>
        <v>#REF!</v>
      </c>
      <c r="D8" s="6" t="e">
        <f ca="1">IF($B8="null","",VLOOKUP($B8,OFFSET(#REF!,0,0,COUNTA(#REF!),MATCH(D$1,#REF!,0)-MATCH($B$1,#REF!,0)+1),MATCH(D$1,#REF!,0)-MATCH($B$1,#REF!,0)+1,FALSE))</f>
        <v>#REF!</v>
      </c>
      <c r="E8" s="6" t="e">
        <f ca="1">IF($B8="null","",VLOOKUP($B8,OFFSET(#REF!,0,0,COUNTA(#REF!),MATCH(E$1,#REF!,0)-MATCH($B$1,#REF!,0)+1),MATCH(E$1,#REF!,0)-MATCH($B$1,#REF!,0)+1,FALSE))</f>
        <v>#REF!</v>
      </c>
      <c r="F8" s="39" t="s">
        <v>123</v>
      </c>
      <c r="G8" s="9" t="str">
        <f ca="1">VLOOKUP(VALUE(SUBSTITUTE(F8,"quest","")),OFFSET([2]quests!$A$1,0,0,COUNTA([2]quests!$A:$A),MATCH(G$1,[2]quests!$1:$1,0)-MATCH("quest_id",[2]quests!$1:$1,0)+1),MATCH(G$1,[2]quests!$1:$1,0)-MATCH("quest_id",[2]quests!$1:$1,0)+1,FALSE)</f>
        <v>【1回のみ】幼女増殖！！</v>
      </c>
      <c r="H8" s="66" t="s">
        <v>268</v>
      </c>
      <c r="I8" s="34" t="s">
        <v>122</v>
      </c>
      <c r="J8" s="33">
        <v>65535</v>
      </c>
      <c r="K8" s="33">
        <v>0</v>
      </c>
      <c r="L8" s="33">
        <v>1</v>
      </c>
    </row>
    <row r="9" spans="1:15" s="10" customFormat="1" x14ac:dyDescent="0.15">
      <c r="A9" s="33">
        <v>10015</v>
      </c>
      <c r="B9" s="43">
        <v>3</v>
      </c>
      <c r="C9" s="6" t="e">
        <f ca="1">IF($B9="null","",VLOOKUP($B9,OFFSET(#REF!,0,0,COUNTA(#REF!),MATCH(C$1,#REF!,0)-MATCH($B$1,#REF!,0)+1),MATCH(C$1,#REF!,0)-MATCH($B$1,#REF!,0)+1,FALSE))</f>
        <v>#REF!</v>
      </c>
      <c r="D9" s="6" t="e">
        <f ca="1">IF($B9="null","",VLOOKUP($B9,OFFSET(#REF!,0,0,COUNTA(#REF!),MATCH(D$1,#REF!,0)-MATCH($B$1,#REF!,0)+1),MATCH(D$1,#REF!,0)-MATCH($B$1,#REF!,0)+1,FALSE))</f>
        <v>#REF!</v>
      </c>
      <c r="E9" s="6" t="e">
        <f ca="1">IF($B9="null","",VLOOKUP($B9,OFFSET(#REF!,0,0,COUNTA(#REF!),MATCH(E$1,#REF!,0)-MATCH($B$1,#REF!,0)+1),MATCH(E$1,#REF!,0)-MATCH($B$1,#REF!,0)+1,FALSE))</f>
        <v>#REF!</v>
      </c>
      <c r="F9" s="39" t="s">
        <v>124</v>
      </c>
      <c r="G9" s="9" t="str">
        <f ca="1">VLOOKUP(VALUE(SUBSTITUTE(F9,"quest","")),OFFSET([2]quests!$A$1,0,0,COUNTA([2]quests!$A:$A),MATCH(G$1,[2]quests!$1:$1,0)-MATCH("quest_id",[2]quests!$1:$1,0)+1),MATCH(G$1,[2]quests!$1:$1,0)-MATCH("quest_id",[2]quests!$1:$1,0)+1,FALSE)</f>
        <v>【1回のみ】静かなる混乱</v>
      </c>
      <c r="H9" s="66" t="s">
        <v>268</v>
      </c>
      <c r="I9" s="34" t="s">
        <v>125</v>
      </c>
      <c r="J9" s="33">
        <v>65535</v>
      </c>
      <c r="K9" s="33">
        <v>0</v>
      </c>
      <c r="L9" s="33">
        <v>1</v>
      </c>
    </row>
    <row r="10" spans="1:15" s="10" customFormat="1" x14ac:dyDescent="0.15">
      <c r="A10" s="33">
        <v>10020</v>
      </c>
      <c r="B10" s="43">
        <v>4</v>
      </c>
      <c r="C10" s="6" t="e">
        <f ca="1">IF($B10="null","",VLOOKUP($B10,OFFSET(#REF!,0,0,COUNTA(#REF!),MATCH(C$1,#REF!,0)-MATCH($B$1,#REF!,0)+1),MATCH(C$1,#REF!,0)-MATCH($B$1,#REF!,0)+1,FALSE))</f>
        <v>#REF!</v>
      </c>
      <c r="D10" s="6" t="e">
        <f ca="1">IF($B10="null","",VLOOKUP($B10,OFFSET(#REF!,0,0,COUNTA(#REF!),MATCH(D$1,#REF!,0)-MATCH($B$1,#REF!,0)+1),MATCH(D$1,#REF!,0)-MATCH($B$1,#REF!,0)+1,FALSE))</f>
        <v>#REF!</v>
      </c>
      <c r="E10" s="6" t="e">
        <f ca="1">IF($B10="null","",VLOOKUP($B10,OFFSET(#REF!,0,0,COUNTA(#REF!),MATCH(E$1,#REF!,0)-MATCH($B$1,#REF!,0)+1),MATCH(E$1,#REF!,0)-MATCH($B$1,#REF!,0)+1,FALSE))</f>
        <v>#REF!</v>
      </c>
      <c r="F10" s="39" t="s">
        <v>126</v>
      </c>
      <c r="G10" s="9" t="str">
        <f ca="1">VLOOKUP(VALUE(SUBSTITUTE(F10,"quest","")),OFFSET([2]quests!$A$1,0,0,COUNTA([2]quests!$A:$A),MATCH(G$1,[2]quests!$1:$1,0)-MATCH("quest_id",[2]quests!$1:$1,0)+1),MATCH(G$1,[2]quests!$1:$1,0)-MATCH("quest_id",[2]quests!$1:$1,0)+1,FALSE)</f>
        <v>【1回のみ】紅き侵入者</v>
      </c>
      <c r="H10" s="66" t="s">
        <v>268</v>
      </c>
      <c r="I10" s="34" t="s">
        <v>127</v>
      </c>
      <c r="J10" s="33">
        <v>65535</v>
      </c>
      <c r="K10" s="33">
        <v>0</v>
      </c>
      <c r="L10" s="40">
        <v>1</v>
      </c>
    </row>
    <row r="11" spans="1:15" x14ac:dyDescent="0.15">
      <c r="A11" s="71" t="s">
        <v>378</v>
      </c>
      <c r="B11" s="3">
        <f>VLOOKUP(A11,mypage_banners!A:F,6,FALSE)</f>
        <v>1</v>
      </c>
      <c r="C11" s="6" t="e">
        <f ca="1">IF($B11="null","",VLOOKUP($B11,OFFSET(#REF!,0,0,COUNTA(#REF!),MATCH(C$1,#REF!,0)-MATCH($B$1,#REF!,0)+1),MATCH(C$1,#REF!,0)-MATCH($B$1,#REF!,0)+1,FALSE))</f>
        <v>#REF!</v>
      </c>
      <c r="D11" s="6" t="e">
        <f ca="1">IF($B11="null","",VLOOKUP($B11,OFFSET(#REF!,0,0,COUNTA(#REF!),MATCH(D$1,#REF!,0)-MATCH($B$1,#REF!,0)+1),MATCH(D$1,#REF!,0)-MATCH($B$1,#REF!,0)+1,FALSE))</f>
        <v>#REF!</v>
      </c>
      <c r="E11" s="6" t="e">
        <f ca="1">IF($B11="null","",VLOOKUP($B11,OFFSET(#REF!,0,0,COUNTA(#REF!),MATCH(E$1,#REF!,0)-MATCH($B$1,#REF!,0)+1),MATCH(E$1,#REF!,0)-MATCH($B$1,#REF!,0)+1,FALSE))</f>
        <v>#REF!</v>
      </c>
      <c r="F11" s="17" t="str">
        <f>VLOOKUP(A11,mypage_banners!A:B,2,FALSE)</f>
        <v>quest50003</v>
      </c>
      <c r="G11" s="9" t="str">
        <f ca="1">VLOOKUP(VALUE(SUBSTITUTE(F11,"quest","")),OFFSET([2]quests!$A$1,0,0,COUNTA([2]quests!$A:$A),MATCH(G$1,[2]quests!$1:$1,0)-MATCH("quest_id",[2]quests!$1:$1,0)+1),MATCH(G$1,[2]quests!$1:$1,0)-MATCH("quest_id",[2]quests!$1:$1,0)+1,FALSE)</f>
        <v>織田信長襲来！</v>
      </c>
      <c r="H11" s="66" t="s">
        <v>268</v>
      </c>
      <c r="I11" s="17" t="str">
        <f>VLOOKUP(A11,mypage_banners!A:E,5,FALSE)</f>
        <v>quest50003.png</v>
      </c>
      <c r="J11" s="20">
        <v>60</v>
      </c>
      <c r="K11" s="20" t="s">
        <v>51</v>
      </c>
      <c r="L11" s="44" t="str">
        <f t="shared" ref="L11:L73" si="0">A11</f>
        <v>5003</v>
      </c>
      <c r="N11" s="8" t="s">
        <v>480</v>
      </c>
      <c r="O11" s="8">
        <v>30</v>
      </c>
    </row>
    <row r="12" spans="1:15" x14ac:dyDescent="0.15">
      <c r="A12" s="71" t="s">
        <v>379</v>
      </c>
      <c r="B12" s="3">
        <f>VLOOKUP(A12,mypage_banners!A:F,6,FALSE)</f>
        <v>1</v>
      </c>
      <c r="C12" s="6" t="e">
        <f ca="1">IF($B12="null","",VLOOKUP($B12,OFFSET(#REF!,0,0,COUNTA(#REF!),MATCH(C$1,#REF!,0)-MATCH($B$1,#REF!,0)+1),MATCH(C$1,#REF!,0)-MATCH($B$1,#REF!,0)+1,FALSE))</f>
        <v>#REF!</v>
      </c>
      <c r="D12" s="6" t="e">
        <f ca="1">IF($B12="null","",VLOOKUP($B12,OFFSET(#REF!,0,0,COUNTA(#REF!),MATCH(D$1,#REF!,0)-MATCH($B$1,#REF!,0)+1),MATCH(D$1,#REF!,0)-MATCH($B$1,#REF!,0)+1,FALSE))</f>
        <v>#REF!</v>
      </c>
      <c r="E12" s="6" t="e">
        <f ca="1">IF($B12="null","",VLOOKUP($B12,OFFSET(#REF!,0,0,COUNTA(#REF!),MATCH(E$1,#REF!,0)-MATCH($B$1,#REF!,0)+1),MATCH(E$1,#REF!,0)-MATCH($B$1,#REF!,0)+1,FALSE))</f>
        <v>#REF!</v>
      </c>
      <c r="F12" s="17" t="str">
        <f>VLOOKUP(A12,mypage_banners!A:B,2,FALSE)</f>
        <v>quest51002</v>
      </c>
      <c r="G12" s="9" t="str">
        <f ca="1">VLOOKUP(VALUE(SUBSTITUTE(F12,"quest","")),OFFSET([2]quests!$A$1,0,0,COUNTA([2]quests!$A:$A),MATCH(G$1,[2]quests!$1:$1,0)-MATCH("quest_id",[2]quests!$1:$1,0)+1),MATCH(G$1,[2]quests!$1:$1,0)-MATCH("quest_id",[2]quests!$1:$1,0)+1,FALSE)</f>
        <v>オーディン襲来！</v>
      </c>
      <c r="H12" s="66" t="s">
        <v>268</v>
      </c>
      <c r="I12" s="17" t="str">
        <f>VLOOKUP(A12,mypage_banners!A:E,5,FALSE)</f>
        <v>quest51002.png</v>
      </c>
      <c r="J12" s="20">
        <v>60</v>
      </c>
      <c r="K12" s="20" t="s">
        <v>51</v>
      </c>
      <c r="L12" s="44" t="str">
        <f t="shared" si="0"/>
        <v>5002</v>
      </c>
      <c r="N12" s="8" t="s">
        <v>481</v>
      </c>
      <c r="O12" s="8">
        <v>35</v>
      </c>
    </row>
    <row r="13" spans="1:15" x14ac:dyDescent="0.15">
      <c r="A13" s="71" t="s">
        <v>380</v>
      </c>
      <c r="B13" s="3">
        <f>VLOOKUP(A13,mypage_banners!A:F,6,FALSE)</f>
        <v>1</v>
      </c>
      <c r="C13" s="6" t="e">
        <f ca="1">IF($B13="null","",VLOOKUP($B13,OFFSET(#REF!,0,0,COUNTA(#REF!),MATCH(C$1,#REF!,0)-MATCH($B$1,#REF!,0)+1),MATCH(C$1,#REF!,0)-MATCH($B$1,#REF!,0)+1,FALSE))</f>
        <v>#REF!</v>
      </c>
      <c r="D13" s="6" t="e">
        <f ca="1">IF($B13="null","",VLOOKUP($B13,OFFSET(#REF!,0,0,COUNTA(#REF!),MATCH(D$1,#REF!,0)-MATCH($B$1,#REF!,0)+1),MATCH(D$1,#REF!,0)-MATCH($B$1,#REF!,0)+1,FALSE))</f>
        <v>#REF!</v>
      </c>
      <c r="E13" s="6" t="e">
        <f ca="1">IF($B13="null","",VLOOKUP($B13,OFFSET(#REF!,0,0,COUNTA(#REF!),MATCH(E$1,#REF!,0)-MATCH($B$1,#REF!,0)+1),MATCH(E$1,#REF!,0)-MATCH($B$1,#REF!,0)+1,FALSE))</f>
        <v>#REF!</v>
      </c>
      <c r="F13" s="17" t="str">
        <f>VLOOKUP(A13,mypage_banners!A:B,2,FALSE)</f>
        <v>quest51001</v>
      </c>
      <c r="G13" s="9" t="str">
        <f ca="1">VLOOKUP(VALUE(SUBSTITUTE(F13,"quest","")),OFFSET([2]quests!$A$1,0,0,COUNTA([2]quests!$A:$A),MATCH(G$1,[2]quests!$1:$1,0)-MATCH("quest_id",[2]quests!$1:$1,0)+1),MATCH(G$1,[2]quests!$1:$1,0)-MATCH("quest_id",[2]quests!$1:$1,0)+1,FALSE)</f>
        <v>麒麟襲来！</v>
      </c>
      <c r="H13" s="66" t="s">
        <v>268</v>
      </c>
      <c r="I13" s="17" t="str">
        <f>VLOOKUP(A13,mypage_banners!A:E,5,FALSE)</f>
        <v>quest51001.png</v>
      </c>
      <c r="J13" s="20">
        <v>60</v>
      </c>
      <c r="K13" s="20" t="s">
        <v>51</v>
      </c>
      <c r="L13" s="44" t="str">
        <f t="shared" si="0"/>
        <v>5001</v>
      </c>
      <c r="N13" s="8" t="s">
        <v>482</v>
      </c>
      <c r="O13" s="8">
        <v>50</v>
      </c>
    </row>
    <row r="14" spans="1:15" x14ac:dyDescent="0.15">
      <c r="A14" s="74">
        <v>4923</v>
      </c>
      <c r="B14" s="3">
        <f>VLOOKUP(A14,mypage_banners!A:F,6,FALSE)</f>
        <v>1</v>
      </c>
      <c r="C14" s="6" t="e">
        <f ca="1">IF($B14="null","",VLOOKUP($B14,OFFSET(#REF!,0,0,COUNTA(#REF!),MATCH(C$1,#REF!,0)-MATCH($B$1,#REF!,0)+1),MATCH(C$1,#REF!,0)-MATCH($B$1,#REF!,0)+1,FALSE))</f>
        <v>#REF!</v>
      </c>
      <c r="D14" s="6" t="e">
        <f ca="1">IF($B14="null","",VLOOKUP($B14,OFFSET(#REF!,0,0,COUNTA(#REF!),MATCH(D$1,#REF!,0)-MATCH($B$1,#REF!,0)+1),MATCH(D$1,#REF!,0)-MATCH($B$1,#REF!,0)+1,FALSE))</f>
        <v>#REF!</v>
      </c>
      <c r="E14" s="6" t="e">
        <f ca="1">IF($B14="null","",VLOOKUP($B14,OFFSET(#REF!,0,0,COUNTA(#REF!),MATCH(E$1,#REF!,0)-MATCH($B$1,#REF!,0)+1),MATCH(E$1,#REF!,0)-MATCH($B$1,#REF!,0)+1,FALSE))</f>
        <v>#REF!</v>
      </c>
      <c r="F14" s="17" t="str">
        <f>VLOOKUP(A14,mypage_banners!A:B,2,FALSE)</f>
        <v>quest49004</v>
      </c>
      <c r="G14" s="9" t="str">
        <f ca="1">VLOOKUP(VALUE(SUBSTITUTE(F14,"quest","")),OFFSET([2]quests!$A$1,0,0,COUNTA([2]quests!$A:$A),MATCH(G$1,[2]quests!$1:$1,0)-MATCH("quest_id",[2]quests!$1:$1,0)+1),MATCH(G$1,[2]quests!$1:$1,0)-MATCH("quest_id",[2]quests!$1:$1,0)+1,FALSE)</f>
        <v>サンリオ好きなのだーれだ♪</v>
      </c>
      <c r="H14" s="66" t="s">
        <v>266</v>
      </c>
      <c r="I14" s="17" t="str">
        <f>VLOOKUP(A14,mypage_banners!A:E,5,FALSE)</f>
        <v>quest49004.png</v>
      </c>
      <c r="J14" s="20" t="s">
        <v>51</v>
      </c>
      <c r="K14" s="20" t="s">
        <v>51</v>
      </c>
      <c r="L14" s="75">
        <f>A14</f>
        <v>4923</v>
      </c>
    </row>
    <row r="15" spans="1:15" x14ac:dyDescent="0.15">
      <c r="A15" s="74">
        <v>4922</v>
      </c>
      <c r="B15" s="3">
        <f>VLOOKUP(A15,mypage_banners!A:F,6,FALSE)</f>
        <v>1</v>
      </c>
      <c r="C15" s="6" t="e">
        <f ca="1">IF($B15="null","",VLOOKUP($B15,OFFSET(#REF!,0,0,COUNTA(#REF!),MATCH(C$1,#REF!,0)-MATCH($B$1,#REF!,0)+1),MATCH(C$1,#REF!,0)-MATCH($B$1,#REF!,0)+1,FALSE))</f>
        <v>#REF!</v>
      </c>
      <c r="D15" s="6" t="e">
        <f ca="1">IF($B15="null","",VLOOKUP($B15,OFFSET(#REF!,0,0,COUNTA(#REF!),MATCH(D$1,#REF!,0)-MATCH($B$1,#REF!,0)+1),MATCH(D$1,#REF!,0)-MATCH($B$1,#REF!,0)+1,FALSE))</f>
        <v>#REF!</v>
      </c>
      <c r="E15" s="6" t="e">
        <f ca="1">IF($B15="null","",VLOOKUP($B15,OFFSET(#REF!,0,0,COUNTA(#REF!),MATCH(E$1,#REF!,0)-MATCH($B$1,#REF!,0)+1),MATCH(E$1,#REF!,0)-MATCH($B$1,#REF!,0)+1,FALSE))</f>
        <v>#REF!</v>
      </c>
      <c r="F15" s="17" t="str">
        <f>VLOOKUP(A15,mypage_banners!A:B,2,FALSE)</f>
        <v>quest39004</v>
      </c>
      <c r="G15" s="9" t="str">
        <f ca="1">VLOOKUP(VALUE(SUBSTITUTE(F15,"quest","")),OFFSET([2]quests!$A$1,0,0,COUNTA([2]quests!$A:$A),MATCH(G$1,[2]quests!$1:$1,0)-MATCH("quest_id",[2]quests!$1:$1,0)+1),MATCH(G$1,[2]quests!$1:$1,0)-MATCH("quest_id",[2]quests!$1:$1,0)+1,FALSE)</f>
        <v xml:space="preserve">ニムダのおきにいり♪ </v>
      </c>
      <c r="H15" s="66" t="s">
        <v>266</v>
      </c>
      <c r="I15" s="17" t="str">
        <f>VLOOKUP(A15,mypage_banners!A:E,5,FALSE)</f>
        <v>quest39004.png</v>
      </c>
      <c r="J15" s="20" t="s">
        <v>51</v>
      </c>
      <c r="K15" s="20" t="s">
        <v>51</v>
      </c>
      <c r="L15" s="75">
        <f>A15</f>
        <v>4922</v>
      </c>
    </row>
    <row r="16" spans="1:15" x14ac:dyDescent="0.15">
      <c r="A16" s="72" t="s">
        <v>381</v>
      </c>
      <c r="B16" s="3">
        <f>VLOOKUP(A16,mypage_banners!A:F,6,FALSE)</f>
        <v>1</v>
      </c>
      <c r="C16" s="6" t="e">
        <f ca="1">IF($B16="null","",VLOOKUP($B16,OFFSET(#REF!,0,0,COUNTA(#REF!),MATCH(C$1,#REF!,0)-MATCH($B$1,#REF!,0)+1),MATCH(C$1,#REF!,0)-MATCH($B$1,#REF!,0)+1,FALSE))</f>
        <v>#REF!</v>
      </c>
      <c r="D16" s="6" t="e">
        <f ca="1">IF($B16="null","",VLOOKUP($B16,OFFSET(#REF!,0,0,COUNTA(#REF!),MATCH(D$1,#REF!,0)-MATCH($B$1,#REF!,0)+1),MATCH(D$1,#REF!,0)-MATCH($B$1,#REF!,0)+1,FALSE))</f>
        <v>#REF!</v>
      </c>
      <c r="E16" s="6" t="e">
        <f ca="1">IF($B16="null","",VLOOKUP($B16,OFFSET(#REF!,0,0,COUNTA(#REF!),MATCH(E$1,#REF!,0)-MATCH($B$1,#REF!,0)+1),MATCH(E$1,#REF!,0)-MATCH($B$1,#REF!,0)+1,FALSE))</f>
        <v>#REF!</v>
      </c>
      <c r="F16" s="17" t="str">
        <f>VLOOKUP(A16,mypage_banners!A:B,2,FALSE)</f>
        <v>quest49003</v>
      </c>
      <c r="G16" s="9" t="str">
        <f ca="1">VLOOKUP(VALUE(SUBSTITUTE(F16,"quest","")),OFFSET([2]quests!$A$1,0,0,COUNTA([2]quests!$A:$A),MATCH(G$1,[2]quests!$1:$1,0)-MATCH("quest_id",[2]quests!$1:$1,0)+1),MATCH(G$1,[2]quests!$1:$1,0)-MATCH("quest_id",[2]quests!$1:$1,0)+1,FALSE)</f>
        <v>折原臨也襲来！</v>
      </c>
      <c r="H16" s="66" t="s">
        <v>268</v>
      </c>
      <c r="I16" s="17" t="str">
        <f>VLOOKUP(A16,mypage_banners!A:E,5,FALSE)</f>
        <v>quest49003.png</v>
      </c>
      <c r="J16" s="20" t="s">
        <v>51</v>
      </c>
      <c r="K16" s="20" t="s">
        <v>51</v>
      </c>
      <c r="L16" s="44" t="str">
        <f t="shared" si="0"/>
        <v>4921</v>
      </c>
      <c r="N16" s="8" t="s">
        <v>483</v>
      </c>
      <c r="O16" s="8">
        <v>60</v>
      </c>
    </row>
    <row r="17" spans="1:15" x14ac:dyDescent="0.15">
      <c r="A17" s="72" t="s">
        <v>382</v>
      </c>
      <c r="B17" s="3">
        <f>VLOOKUP(A17,mypage_banners!A:F,6,FALSE)</f>
        <v>1</v>
      </c>
      <c r="C17" s="6" t="e">
        <f ca="1">IF($B17="null","",VLOOKUP($B17,OFFSET(#REF!,0,0,COUNTA(#REF!),MATCH(C$1,#REF!,0)-MATCH($B$1,#REF!,0)+1),MATCH(C$1,#REF!,0)-MATCH($B$1,#REF!,0)+1,FALSE))</f>
        <v>#REF!</v>
      </c>
      <c r="D17" s="6" t="e">
        <f ca="1">IF($B17="null","",VLOOKUP($B17,OFFSET(#REF!,0,0,COUNTA(#REF!),MATCH(D$1,#REF!,0)-MATCH($B$1,#REF!,0)+1),MATCH(D$1,#REF!,0)-MATCH($B$1,#REF!,0)+1,FALSE))</f>
        <v>#REF!</v>
      </c>
      <c r="E17" s="6" t="e">
        <f ca="1">IF($B17="null","",VLOOKUP($B17,OFFSET(#REF!,0,0,COUNTA(#REF!),MATCH(E$1,#REF!,0)-MATCH($B$1,#REF!,0)+1),MATCH(E$1,#REF!,0)-MATCH($B$1,#REF!,0)+1,FALSE))</f>
        <v>#REF!</v>
      </c>
      <c r="F17" s="17" t="str">
        <f>VLOOKUP(A17,mypage_banners!A:B,2,FALSE)</f>
        <v>quest49002</v>
      </c>
      <c r="G17" s="9" t="str">
        <f ca="1">VLOOKUP(VALUE(SUBSTITUTE(F17,"quest","")),OFFSET([2]quests!$A$1,0,0,COUNTA([2]quests!$A:$A),MATCH(G$1,[2]quests!$1:$1,0)-MATCH("quest_id",[2]quests!$1:$1,0)+1),MATCH(G$1,[2]quests!$1:$1,0)-MATCH("quest_id",[2]quests!$1:$1,0)+1,FALSE)</f>
        <v>園原杏里襲来！</v>
      </c>
      <c r="H17" s="66" t="s">
        <v>268</v>
      </c>
      <c r="I17" s="17" t="str">
        <f>VLOOKUP(A17,mypage_banners!A:E,5,FALSE)</f>
        <v>quest49002.png</v>
      </c>
      <c r="J17" s="20" t="s">
        <v>51</v>
      </c>
      <c r="K17" s="20" t="s">
        <v>51</v>
      </c>
      <c r="L17" s="44" t="str">
        <f t="shared" si="0"/>
        <v>4920</v>
      </c>
      <c r="N17" s="8" t="s">
        <v>484</v>
      </c>
      <c r="O17" s="8">
        <v>30</v>
      </c>
    </row>
    <row r="18" spans="1:15" x14ac:dyDescent="0.15">
      <c r="A18" s="72" t="s">
        <v>383</v>
      </c>
      <c r="B18" s="3">
        <f>VLOOKUP(A18,mypage_banners!A:F,6,FALSE)</f>
        <v>1</v>
      </c>
      <c r="C18" s="6" t="e">
        <f ca="1">IF($B18="null","",VLOOKUP($B18,OFFSET(#REF!,0,0,COUNTA(#REF!),MATCH(C$1,#REF!,0)-MATCH($B$1,#REF!,0)+1),MATCH(C$1,#REF!,0)-MATCH($B$1,#REF!,0)+1,FALSE))</f>
        <v>#REF!</v>
      </c>
      <c r="D18" s="6" t="e">
        <f ca="1">IF($B18="null","",VLOOKUP($B18,OFFSET(#REF!,0,0,COUNTA(#REF!),MATCH(D$1,#REF!,0)-MATCH($B$1,#REF!,0)+1),MATCH(D$1,#REF!,0)-MATCH($B$1,#REF!,0)+1,FALSE))</f>
        <v>#REF!</v>
      </c>
      <c r="E18" s="6" t="e">
        <f ca="1">IF($B18="null","",VLOOKUP($B18,OFFSET(#REF!,0,0,COUNTA(#REF!),MATCH(E$1,#REF!,0)-MATCH($B$1,#REF!,0)+1),MATCH(E$1,#REF!,0)-MATCH($B$1,#REF!,0)+1,FALSE))</f>
        <v>#REF!</v>
      </c>
      <c r="F18" s="17" t="str">
        <f>VLOOKUP(A18,mypage_banners!A:B,2,FALSE)</f>
        <v>quest39003</v>
      </c>
      <c r="G18" s="9" t="str">
        <f ca="1">VLOOKUP(VALUE(SUBSTITUTE(F18,"quest","")),OFFSET([2]quests!$A$1,0,0,COUNTA([2]quests!$A:$A),MATCH(G$1,[2]quests!$1:$1,0)-MATCH("quest_id",[2]quests!$1:$1,0)+1),MATCH(G$1,[2]quests!$1:$1,0)-MATCH("quest_id",[2]quests!$1:$1,0)+1,FALSE)</f>
        <v>ブルースクウェアを追え！</v>
      </c>
      <c r="H18" s="66" t="s">
        <v>268</v>
      </c>
      <c r="I18" s="17" t="str">
        <f>VLOOKUP(A18,mypage_banners!A:E,5,FALSE)</f>
        <v>quest39003.png</v>
      </c>
      <c r="J18" s="20" t="s">
        <v>51</v>
      </c>
      <c r="K18" s="20" t="s">
        <v>51</v>
      </c>
      <c r="L18" s="44" t="str">
        <f t="shared" si="0"/>
        <v>4919</v>
      </c>
      <c r="O18" s="8" t="s">
        <v>485</v>
      </c>
    </row>
    <row r="19" spans="1:15" x14ac:dyDescent="0.15">
      <c r="A19" s="72" t="s">
        <v>384</v>
      </c>
      <c r="B19" s="3">
        <f>VLOOKUP(A19,mypage_banners!A:F,6,FALSE)</f>
        <v>1</v>
      </c>
      <c r="C19" s="6" t="e">
        <f ca="1">IF($B19="null","",VLOOKUP($B19,OFFSET(#REF!,0,0,COUNTA(#REF!),MATCH(C$1,#REF!,0)-MATCH($B$1,#REF!,0)+1),MATCH(C$1,#REF!,0)-MATCH($B$1,#REF!,0)+1,FALSE))</f>
        <v>#REF!</v>
      </c>
      <c r="D19" s="6" t="e">
        <f ca="1">IF($B19="null","",VLOOKUP($B19,OFFSET(#REF!,0,0,COUNTA(#REF!),MATCH(D$1,#REF!,0)-MATCH($B$1,#REF!,0)+1),MATCH(D$1,#REF!,0)-MATCH($B$1,#REF!,0)+1,FALSE))</f>
        <v>#REF!</v>
      </c>
      <c r="E19" s="6" t="e">
        <f ca="1">IF($B19="null","",VLOOKUP($B19,OFFSET(#REF!,0,0,COUNTA(#REF!),MATCH(E$1,#REF!,0)-MATCH($B$1,#REF!,0)+1),MATCH(E$1,#REF!,0)-MATCH($B$1,#REF!,0)+1,FALSE))</f>
        <v>#REF!</v>
      </c>
      <c r="F19" s="17" t="str">
        <f>VLOOKUP(A19,mypage_banners!A:B,2,FALSE)</f>
        <v>quest39002</v>
      </c>
      <c r="G19" s="9" t="str">
        <f ca="1">VLOOKUP(VALUE(SUBSTITUTE(F19,"quest","")),OFFSET([2]quests!$A$1,0,0,COUNTA([2]quests!$A:$A),MATCH(G$1,[2]quests!$1:$1,0)-MATCH("quest_id",[2]quests!$1:$1,0)+1),MATCH(G$1,[2]quests!$1:$1,0)-MATCH("quest_id",[2]quests!$1:$1,0)+1,FALSE)</f>
        <v>黄巾賊の暴走を止めろ！</v>
      </c>
      <c r="H19" s="66" t="s">
        <v>268</v>
      </c>
      <c r="I19" s="17" t="str">
        <f>VLOOKUP(A19,mypage_banners!A:E,5,FALSE)</f>
        <v>quest39002_2.png</v>
      </c>
      <c r="J19" s="20" t="s">
        <v>51</v>
      </c>
      <c r="K19" s="20" t="s">
        <v>51</v>
      </c>
      <c r="L19" s="44" t="str">
        <f t="shared" si="0"/>
        <v>4918</v>
      </c>
    </row>
    <row r="20" spans="1:15" x14ac:dyDescent="0.15">
      <c r="A20" s="72" t="s">
        <v>385</v>
      </c>
      <c r="B20" s="3">
        <f>VLOOKUP(A20,mypage_banners!A:F,6,FALSE)</f>
        <v>1</v>
      </c>
      <c r="C20" s="6" t="e">
        <f ca="1">IF($B20="null","",VLOOKUP($B20,OFFSET(#REF!,0,0,COUNTA(#REF!),MATCH(C$1,#REF!,0)-MATCH($B$1,#REF!,0)+1),MATCH(C$1,#REF!,0)-MATCH($B$1,#REF!,0)+1,FALSE))</f>
        <v>#REF!</v>
      </c>
      <c r="D20" s="6" t="e">
        <f ca="1">IF($B20="null","",VLOOKUP($B20,OFFSET(#REF!,0,0,COUNTA(#REF!),MATCH(D$1,#REF!,0)-MATCH($B$1,#REF!,0)+1),MATCH(D$1,#REF!,0)-MATCH($B$1,#REF!,0)+1,FALSE))</f>
        <v>#REF!</v>
      </c>
      <c r="E20" s="6" t="e">
        <f ca="1">IF($B20="null","",VLOOKUP($B20,OFFSET(#REF!,0,0,COUNTA(#REF!),MATCH(E$1,#REF!,0)-MATCH($B$1,#REF!,0)+1),MATCH(E$1,#REF!,0)-MATCH($B$1,#REF!,0)+1,FALSE))</f>
        <v>#REF!</v>
      </c>
      <c r="F20" s="17" t="str">
        <f>VLOOKUP(A20,mypage_banners!A:B,2,FALSE)</f>
        <v>quest49001</v>
      </c>
      <c r="G20" s="9" t="str">
        <f ca="1">VLOOKUP(VALUE(SUBSTITUTE(F20,"quest","")),OFFSET([2]quests!$A$1,0,0,COUNTA([2]quests!$A:$A),MATCH(G$1,[2]quests!$1:$1,0)-MATCH("quest_id",[2]quests!$1:$1,0)+1),MATCH(G$1,[2]quests!$1:$1,0)-MATCH("quest_id",[2]quests!$1:$1,0)+1,FALSE)</f>
        <v>熱唱！初音ミクV3</v>
      </c>
      <c r="H20" s="66" t="s">
        <v>268</v>
      </c>
      <c r="I20" s="17" t="str">
        <f>VLOOKUP(A20,mypage_banners!A:E,5,FALSE)</f>
        <v>quest49001.png</v>
      </c>
      <c r="J20" s="20" t="s">
        <v>51</v>
      </c>
      <c r="K20" s="20" t="s">
        <v>51</v>
      </c>
      <c r="L20" s="44" t="str">
        <f t="shared" si="0"/>
        <v>4917</v>
      </c>
    </row>
    <row r="21" spans="1:15" x14ac:dyDescent="0.15">
      <c r="A21" s="72" t="s">
        <v>386</v>
      </c>
      <c r="B21" s="3">
        <f>VLOOKUP(A21,mypage_banners!A:F,6,FALSE)</f>
        <v>1</v>
      </c>
      <c r="C21" s="6" t="e">
        <f ca="1">IF($B21="null","",VLOOKUP($B21,OFFSET(#REF!,0,0,COUNTA(#REF!),MATCH(C$1,#REF!,0)-MATCH($B$1,#REF!,0)+1),MATCH(C$1,#REF!,0)-MATCH($B$1,#REF!,0)+1,FALSE))</f>
        <v>#REF!</v>
      </c>
      <c r="D21" s="6" t="e">
        <f ca="1">IF($B21="null","",VLOOKUP($B21,OFFSET(#REF!,0,0,COUNTA(#REF!),MATCH(D$1,#REF!,0)-MATCH($B$1,#REF!,0)+1),MATCH(D$1,#REF!,0)-MATCH($B$1,#REF!,0)+1,FALSE))</f>
        <v>#REF!</v>
      </c>
      <c r="E21" s="6" t="e">
        <f ca="1">IF($B21="null","",VLOOKUP($B21,OFFSET(#REF!,0,0,COUNTA(#REF!),MATCH(E$1,#REF!,0)-MATCH($B$1,#REF!,0)+1),MATCH(E$1,#REF!,0)-MATCH($B$1,#REF!,0)+1,FALSE))</f>
        <v>#REF!</v>
      </c>
      <c r="F21" s="17" t="str">
        <f>VLOOKUP(A21,mypage_banners!A:B,2,FALSE)</f>
        <v>quest39001</v>
      </c>
      <c r="G21" s="9" t="str">
        <f ca="1">VLOOKUP(VALUE(SUBSTITUTE(F21,"quest","")),OFFSET([2]quests!$A$1,0,0,COUNTA([2]quests!$A:$A),MATCH(G$1,[2]quests!$1:$1,0)-MATCH("quest_id",[2]quests!$1:$1,0)+1),MATCH(G$1,[2]quests!$1:$1,0)-MATCH("quest_id",[2]quests!$1:$1,0)+1,FALSE)</f>
        <v>雪の歌姫</v>
      </c>
      <c r="H21" s="66" t="s">
        <v>268</v>
      </c>
      <c r="I21" s="17" t="str">
        <f>VLOOKUP(A21,mypage_banners!A:E,5,FALSE)</f>
        <v>quest39001.png</v>
      </c>
      <c r="J21" s="20" t="s">
        <v>51</v>
      </c>
      <c r="K21" s="20" t="s">
        <v>51</v>
      </c>
      <c r="L21" s="44" t="str">
        <f t="shared" si="0"/>
        <v>4916</v>
      </c>
    </row>
    <row r="22" spans="1:15" x14ac:dyDescent="0.15">
      <c r="A22" s="72" t="s">
        <v>387</v>
      </c>
      <c r="B22" s="3">
        <f>VLOOKUP(A22,mypage_banners!A:F,6,FALSE)</f>
        <v>100</v>
      </c>
      <c r="C22" s="6" t="e">
        <f ca="1">IF($B22="null","",VLOOKUP($B22,OFFSET(#REF!,0,0,COUNTA(#REF!),MATCH(C$1,#REF!,0)-MATCH($B$1,#REF!,0)+1),MATCH(C$1,#REF!,0)-MATCH($B$1,#REF!,0)+1,FALSE))</f>
        <v>#REF!</v>
      </c>
      <c r="D22" s="6" t="e">
        <f ca="1">IF($B22="null","",VLOOKUP($B22,OFFSET(#REF!,0,0,COUNTA(#REF!),MATCH(D$1,#REF!,0)-MATCH($B$1,#REF!,0)+1),MATCH(D$1,#REF!,0)-MATCH($B$1,#REF!,0)+1,FALSE))</f>
        <v>#REF!</v>
      </c>
      <c r="E22" s="6" t="e">
        <f ca="1">IF($B22="null","",VLOOKUP($B22,OFFSET(#REF!,0,0,COUNTA(#REF!),MATCH(E$1,#REF!,0)-MATCH($B$1,#REF!,0)+1),MATCH(E$1,#REF!,0)-MATCH($B$1,#REF!,0)+1,FALSE))</f>
        <v>#REF!</v>
      </c>
      <c r="F22" s="17" t="str">
        <f>VLOOKUP(A22,mypage_banners!A:B,2,FALSE)</f>
        <v>quest12003</v>
      </c>
      <c r="G22" s="9" t="str">
        <f ca="1">VLOOKUP(VALUE(SUBSTITUTE(F22,"quest","")),OFFSET([2]quests!$A$1,0,0,COUNTA([2]quests!$A:$A),MATCH(G$1,[2]quests!$1:$1,0)-MATCH("quest_id",[2]quests!$1:$1,0)+1),MATCH(G$1,[2]quests!$1:$1,0)-MATCH("quest_id",[2]quests!$1:$1,0)+1,FALSE)</f>
        <v>【超緊急！！】メタルジェントルを追え</v>
      </c>
      <c r="H22" s="66" t="s">
        <v>268</v>
      </c>
      <c r="I22" s="17" t="str">
        <f>VLOOKUP(A22,mypage_banners!A:E,5,FALSE)</f>
        <v>quest11210.png</v>
      </c>
      <c r="J22" s="20" t="s">
        <v>51</v>
      </c>
      <c r="K22" s="20" t="s">
        <v>51</v>
      </c>
      <c r="L22" s="44" t="str">
        <f t="shared" si="0"/>
        <v>4915</v>
      </c>
    </row>
    <row r="23" spans="1:15" x14ac:dyDescent="0.15">
      <c r="A23" s="72" t="s">
        <v>388</v>
      </c>
      <c r="B23" s="3">
        <f>VLOOKUP(A23,mypage_banners!A:F,6,FALSE)</f>
        <v>1</v>
      </c>
      <c r="C23" s="6" t="e">
        <f ca="1">IF($B23="null","",VLOOKUP($B23,OFFSET(#REF!,0,0,COUNTA(#REF!),MATCH(C$1,#REF!,0)-MATCH($B$1,#REF!,0)+1),MATCH(C$1,#REF!,0)-MATCH($B$1,#REF!,0)+1,FALSE))</f>
        <v>#REF!</v>
      </c>
      <c r="D23" s="6" t="e">
        <f ca="1">IF($B23="null","",VLOOKUP($B23,OFFSET(#REF!,0,0,COUNTA(#REF!),MATCH(D$1,#REF!,0)-MATCH($B$1,#REF!,0)+1),MATCH(D$1,#REF!,0)-MATCH($B$1,#REF!,0)+1,FALSE))</f>
        <v>#REF!</v>
      </c>
      <c r="E23" s="6" t="e">
        <f ca="1">IF($B23="null","",VLOOKUP($B23,OFFSET(#REF!,0,0,COUNTA(#REF!),MATCH(E$1,#REF!,0)-MATCH($B$1,#REF!,0)+1),MATCH(E$1,#REF!,0)-MATCH($B$1,#REF!,0)+1,FALSE))</f>
        <v>#REF!</v>
      </c>
      <c r="F23" s="17" t="str">
        <f>VLOOKUP(A23,mypage_banners!A:B,2,FALSE)</f>
        <v>quest11207</v>
      </c>
      <c r="G23" s="9" t="str">
        <f ca="1">VLOOKUP(VALUE(SUBSTITUTE(F23,"quest","")),OFFSET([2]quests!$A$1,0,0,COUNTA([2]quests!$A:$A),MATCH(G$1,[2]quests!$1:$1,0)-MATCH("quest_id",[2]quests!$1:$1,0)+1),MATCH(G$1,[2]quests!$1:$1,0)-MATCH("quest_id",[2]quests!$1:$1,0)+1,FALSE)</f>
        <v>果実達の大宴会</v>
      </c>
      <c r="H23" s="66" t="s">
        <v>268</v>
      </c>
      <c r="I23" s="17" t="str">
        <f>VLOOKUP(A23,mypage_banners!A:E,5,FALSE)</f>
        <v>quest11207_3.png</v>
      </c>
      <c r="J23" s="20" t="s">
        <v>51</v>
      </c>
      <c r="K23" s="20" t="s">
        <v>51</v>
      </c>
      <c r="L23" s="44" t="str">
        <f t="shared" si="0"/>
        <v>4914</v>
      </c>
    </row>
    <row r="24" spans="1:15" x14ac:dyDescent="0.15">
      <c r="A24" s="72" t="s">
        <v>389</v>
      </c>
      <c r="B24" s="3">
        <f>VLOOKUP(A24,mypage_banners!A:F,6,FALSE)</f>
        <v>1</v>
      </c>
      <c r="C24" s="6" t="e">
        <f ca="1">IF($B24="null","",VLOOKUP($B24,OFFSET(#REF!,0,0,COUNTA(#REF!),MATCH(C$1,#REF!,0)-MATCH($B$1,#REF!,0)+1),MATCH(C$1,#REF!,0)-MATCH($B$1,#REF!,0)+1,FALSE))</f>
        <v>#REF!</v>
      </c>
      <c r="D24" s="6" t="e">
        <f ca="1">IF($B24="null","",VLOOKUP($B24,OFFSET(#REF!,0,0,COUNTA(#REF!),MATCH(D$1,#REF!,0)-MATCH($B$1,#REF!,0)+1),MATCH(D$1,#REF!,0)-MATCH($B$1,#REF!,0)+1,FALSE))</f>
        <v>#REF!</v>
      </c>
      <c r="E24" s="6" t="e">
        <f ca="1">IF($B24="null","",VLOOKUP($B24,OFFSET(#REF!,0,0,COUNTA(#REF!),MATCH(E$1,#REF!,0)-MATCH($B$1,#REF!,0)+1),MATCH(E$1,#REF!,0)-MATCH($B$1,#REF!,0)+1,FALSE))</f>
        <v>#REF!</v>
      </c>
      <c r="F24" s="17" t="str">
        <f>VLOOKUP(A24,mypage_banners!A:B,2,FALSE)</f>
        <v>quest12004</v>
      </c>
      <c r="G24" s="9" t="str">
        <f ca="1">VLOOKUP(VALUE(SUBSTITUTE(F24,"quest","")),OFFSET([2]quests!$A$1,0,0,COUNTA([2]quests!$A:$A),MATCH(G$1,[2]quests!$1:$1,0)-MATCH("quest_id",[2]quests!$1:$1,0)+1),MATCH(G$1,[2]quests!$1:$1,0)-MATCH("quest_id",[2]quests!$1:$1,0)+1,FALSE)</f>
        <v>メタルフロッグをもとめて</v>
      </c>
      <c r="H24" s="66" t="s">
        <v>268</v>
      </c>
      <c r="I24" s="17" t="str">
        <f>VLOOKUP(A24,mypage_banners!A:E,5,FALSE)</f>
        <v>quest12004.png</v>
      </c>
      <c r="J24" s="20" t="s">
        <v>51</v>
      </c>
      <c r="K24" s="20" t="s">
        <v>51</v>
      </c>
      <c r="L24" s="44" t="str">
        <f t="shared" si="0"/>
        <v>4913</v>
      </c>
    </row>
    <row r="25" spans="1:15" x14ac:dyDescent="0.15">
      <c r="A25" s="72" t="s">
        <v>390</v>
      </c>
      <c r="B25" s="3">
        <f>VLOOKUP(A25,mypage_banners!A:F,6,FALSE)</f>
        <v>1</v>
      </c>
      <c r="C25" s="6" t="e">
        <f ca="1">IF($B25="null","",VLOOKUP($B25,OFFSET(#REF!,0,0,COUNTA(#REF!),MATCH(C$1,#REF!,0)-MATCH($B$1,#REF!,0)+1),MATCH(C$1,#REF!,0)-MATCH($B$1,#REF!,0)+1,FALSE))</f>
        <v>#REF!</v>
      </c>
      <c r="D25" s="6" t="e">
        <f ca="1">IF($B25="null","",VLOOKUP($B25,OFFSET(#REF!,0,0,COUNTA(#REF!),MATCH(D$1,#REF!,0)-MATCH($B$1,#REF!,0)+1),MATCH(D$1,#REF!,0)-MATCH($B$1,#REF!,0)+1,FALSE))</f>
        <v>#REF!</v>
      </c>
      <c r="E25" s="6" t="e">
        <f ca="1">IF($B25="null","",VLOOKUP($B25,OFFSET(#REF!,0,0,COUNTA(#REF!),MATCH(E$1,#REF!,0)-MATCH($B$1,#REF!,0)+1),MATCH(E$1,#REF!,0)-MATCH($B$1,#REF!,0)+1,FALSE))</f>
        <v>#REF!</v>
      </c>
      <c r="F25" s="17" t="str">
        <f>VLOOKUP(A25,mypage_banners!A:B,2,FALSE)</f>
        <v>quest11224</v>
      </c>
      <c r="G25" s="9" t="str">
        <f ca="1">VLOOKUP(VALUE(SUBSTITUTE(F25,"quest","")),OFFSET([2]quests!$A$1,0,0,COUNTA([2]quests!$A:$A),MATCH(G$1,[2]quests!$1:$1,0)-MATCH("quest_id",[2]quests!$1:$1,0)+1),MATCH(G$1,[2]quests!$1:$1,0)-MATCH("quest_id",[2]quests!$1:$1,0)+1,FALSE)</f>
        <v>TVCM放送記念★特別クエスト</v>
      </c>
      <c r="H25" s="66" t="s">
        <v>16</v>
      </c>
      <c r="I25" s="17" t="str">
        <f>VLOOKUP(A25,mypage_banners!A:E,5,FALSE)</f>
        <v>quest11224.png</v>
      </c>
      <c r="J25" s="20" t="s">
        <v>51</v>
      </c>
      <c r="K25" s="20" t="s">
        <v>51</v>
      </c>
      <c r="L25" s="44" t="str">
        <f t="shared" si="0"/>
        <v>4912</v>
      </c>
    </row>
    <row r="26" spans="1:15" x14ac:dyDescent="0.15">
      <c r="A26" s="72" t="s">
        <v>391</v>
      </c>
      <c r="B26" s="3">
        <f>VLOOKUP(A26,mypage_banners!A:F,6,FALSE)</f>
        <v>1</v>
      </c>
      <c r="C26" s="6" t="e">
        <f ca="1">IF($B26="null","",VLOOKUP($B26,OFFSET(#REF!,0,0,COUNTA(#REF!),MATCH(C$1,#REF!,0)-MATCH($B$1,#REF!,0)+1),MATCH(C$1,#REF!,0)-MATCH($B$1,#REF!,0)+1,FALSE))</f>
        <v>#REF!</v>
      </c>
      <c r="D26" s="6" t="e">
        <f ca="1">IF($B26="null","",VLOOKUP($B26,OFFSET(#REF!,0,0,COUNTA(#REF!),MATCH(D$1,#REF!,0)-MATCH($B$1,#REF!,0)+1),MATCH(D$1,#REF!,0)-MATCH($B$1,#REF!,0)+1,FALSE))</f>
        <v>#REF!</v>
      </c>
      <c r="E26" s="6" t="e">
        <f ca="1">IF($B26="null","",VLOOKUP($B26,OFFSET(#REF!,0,0,COUNTA(#REF!),MATCH(E$1,#REF!,0)-MATCH($B$1,#REF!,0)+1),MATCH(E$1,#REF!,0)-MATCH($B$1,#REF!,0)+1,FALSE))</f>
        <v>#REF!</v>
      </c>
      <c r="F26" s="17" t="str">
        <f>VLOOKUP(A26,mypage_banners!A:B,2,FALSE)</f>
        <v>quest11221</v>
      </c>
      <c r="G26" s="9" t="str">
        <f ca="1">VLOOKUP(VALUE(SUBSTITUTE(F26,"quest","")),OFFSET([2]quests!$A$1,0,0,COUNTA([2]quests!$A:$A),MATCH(G$1,[2]quests!$1:$1,0)-MATCH("quest_id",[2]quests!$1:$1,0)+1),MATCH(G$1,[2]quests!$1:$1,0)-MATCH("quest_id",[2]quests!$1:$1,0)+1,FALSE)</f>
        <v>新生活★応援クエスト</v>
      </c>
      <c r="H26" s="66" t="s">
        <v>16</v>
      </c>
      <c r="I26" s="17" t="str">
        <f>VLOOKUP(A26,mypage_banners!A:E,5,FALSE)</f>
        <v>quest11221.png</v>
      </c>
      <c r="J26" s="20" t="s">
        <v>51</v>
      </c>
      <c r="K26" s="20" t="s">
        <v>51</v>
      </c>
      <c r="L26" s="44" t="str">
        <f t="shared" si="0"/>
        <v>4911</v>
      </c>
    </row>
    <row r="27" spans="1:15" x14ac:dyDescent="0.15">
      <c r="A27" s="72" t="s">
        <v>392</v>
      </c>
      <c r="B27" s="3">
        <f>VLOOKUP(A27,mypage_banners!A:F,6,FALSE)</f>
        <v>1</v>
      </c>
      <c r="C27" s="6" t="e">
        <f ca="1">IF($B27="null","",VLOOKUP($B27,OFFSET(#REF!,0,0,COUNTA(#REF!),MATCH(C$1,#REF!,0)-MATCH($B$1,#REF!,0)+1),MATCH(C$1,#REF!,0)-MATCH($B$1,#REF!,0)+1,FALSE))</f>
        <v>#REF!</v>
      </c>
      <c r="D27" s="6" t="e">
        <f ca="1">IF($B27="null","",VLOOKUP($B27,OFFSET(#REF!,0,0,COUNTA(#REF!),MATCH(D$1,#REF!,0)-MATCH($B$1,#REF!,0)+1),MATCH(D$1,#REF!,0)-MATCH($B$1,#REF!,0)+1,FALSE))</f>
        <v>#REF!</v>
      </c>
      <c r="E27" s="6" t="e">
        <f ca="1">IF($B27="null","",VLOOKUP($B27,OFFSET(#REF!,0,0,COUNTA(#REF!),MATCH(E$1,#REF!,0)-MATCH($B$1,#REF!,0)+1),MATCH(E$1,#REF!,0)-MATCH($B$1,#REF!,0)+1,FALSE))</f>
        <v>#REF!</v>
      </c>
      <c r="F27" s="17" t="str">
        <f>VLOOKUP(A27,mypage_banners!A:B,2,FALSE)</f>
        <v>quest11220</v>
      </c>
      <c r="G27" s="9" t="str">
        <f ca="1">VLOOKUP(VALUE(SUBSTITUTE(F27,"quest","")),OFFSET([2]quests!$A$1,0,0,COUNTA([2]quests!$A:$A),MATCH(G$1,[2]quests!$1:$1,0)-MATCH("quest_id",[2]quests!$1:$1,0)+1),MATCH(G$1,[2]quests!$1:$1,0)-MATCH("quest_id",[2]quests!$1:$1,0)+1,FALSE)</f>
        <v>ホワイトデー★特別クエスト</v>
      </c>
      <c r="H27" s="66" t="s">
        <v>268</v>
      </c>
      <c r="I27" s="17" t="str">
        <f>VLOOKUP(A27,mypage_banners!A:E,5,FALSE)</f>
        <v>quest11220.png</v>
      </c>
      <c r="J27" s="20" t="s">
        <v>51</v>
      </c>
      <c r="K27" s="20" t="s">
        <v>51</v>
      </c>
      <c r="L27" s="44" t="str">
        <f t="shared" si="0"/>
        <v>4910</v>
      </c>
    </row>
    <row r="28" spans="1:15" x14ac:dyDescent="0.15">
      <c r="A28" s="72" t="s">
        <v>393</v>
      </c>
      <c r="B28" s="3">
        <f>VLOOKUP(A28,mypage_banners!A:F,6,FALSE)</f>
        <v>1</v>
      </c>
      <c r="C28" s="6" t="e">
        <f ca="1">IF($B28="null","",VLOOKUP($B28,OFFSET(#REF!,0,0,COUNTA(#REF!),MATCH(C$1,#REF!,0)-MATCH($B$1,#REF!,0)+1),MATCH(C$1,#REF!,0)-MATCH($B$1,#REF!,0)+1,FALSE))</f>
        <v>#REF!</v>
      </c>
      <c r="D28" s="6" t="e">
        <f ca="1">IF($B28="null","",VLOOKUP($B28,OFFSET(#REF!,0,0,COUNTA(#REF!),MATCH(D$1,#REF!,0)-MATCH($B$1,#REF!,0)+1),MATCH(D$1,#REF!,0)-MATCH($B$1,#REF!,0)+1,FALSE))</f>
        <v>#REF!</v>
      </c>
      <c r="E28" s="6" t="e">
        <f ca="1">IF($B28="null","",VLOOKUP($B28,OFFSET(#REF!,0,0,COUNTA(#REF!),MATCH(E$1,#REF!,0)-MATCH($B$1,#REF!,0)+1),MATCH(E$1,#REF!,0)-MATCH($B$1,#REF!,0)+1,FALSE))</f>
        <v>#REF!</v>
      </c>
      <c r="F28" s="17" t="str">
        <f>VLOOKUP(A28,mypage_banners!A:B,2,FALSE)</f>
        <v>quest11218</v>
      </c>
      <c r="G28" s="9" t="str">
        <f ca="1">VLOOKUP(VALUE(SUBSTITUTE(F28,"quest","")),OFFSET([2]quests!$A$1,0,0,COUNTA([2]quests!$A:$A),MATCH(G$1,[2]quests!$1:$1,0)-MATCH("quest_id",[2]quests!$1:$1,0)+1),MATCH(G$1,[2]quests!$1:$1,0)-MATCH("quest_id",[2]quests!$1:$1,0)+1,FALSE)</f>
        <v>バレンタイン★特別クエスト</v>
      </c>
      <c r="H28" s="66" t="s">
        <v>268</v>
      </c>
      <c r="I28" s="17" t="str">
        <f>VLOOKUP(A28,mypage_banners!A:E,5,FALSE)</f>
        <v>quest11218.png</v>
      </c>
      <c r="J28" s="20" t="s">
        <v>51</v>
      </c>
      <c r="K28" s="20" t="s">
        <v>51</v>
      </c>
      <c r="L28" s="44" t="str">
        <f t="shared" si="0"/>
        <v>4909</v>
      </c>
    </row>
    <row r="29" spans="1:15" x14ac:dyDescent="0.15">
      <c r="A29" s="72" t="s">
        <v>394</v>
      </c>
      <c r="B29" s="3">
        <f>VLOOKUP(A29,mypage_banners!A:F,6,FALSE)</f>
        <v>139</v>
      </c>
      <c r="C29" s="6" t="e">
        <f ca="1">IF($B29="null","",VLOOKUP($B29,OFFSET(#REF!,0,0,COUNTA(#REF!),MATCH(C$1,#REF!,0)-MATCH($B$1,#REF!,0)+1),MATCH(C$1,#REF!,0)-MATCH($B$1,#REF!,0)+1,FALSE))</f>
        <v>#REF!</v>
      </c>
      <c r="D29" s="6" t="e">
        <f ca="1">IF($B29="null","",VLOOKUP($B29,OFFSET(#REF!,0,0,COUNTA(#REF!),MATCH(D$1,#REF!,0)-MATCH($B$1,#REF!,0)+1),MATCH(D$1,#REF!,0)-MATCH($B$1,#REF!,0)+1,FALSE))</f>
        <v>#REF!</v>
      </c>
      <c r="E29" s="6" t="e">
        <f ca="1">IF($B29="null","",VLOOKUP($B29,OFFSET(#REF!,0,0,COUNTA(#REF!),MATCH(E$1,#REF!,0)-MATCH($B$1,#REF!,0)+1),MATCH(E$1,#REF!,0)-MATCH($B$1,#REF!,0)+1,FALSE))</f>
        <v>#REF!</v>
      </c>
      <c r="F29" s="17" t="str">
        <f>VLOOKUP(A29,mypage_banners!A:B,2,FALSE)</f>
        <v>quest11217</v>
      </c>
      <c r="G29" s="9" t="str">
        <f ca="1">VLOOKUP(VALUE(SUBSTITUTE(F29,"quest","")),OFFSET([2]quests!$A$1,0,0,COUNTA([2]quests!$A:$A),MATCH(G$1,[2]quests!$1:$1,0)-MATCH("quest_id",[2]quests!$1:$1,0)+1),MATCH(G$1,[2]quests!$1:$1,0)-MATCH("quest_id",[2]quests!$1:$1,0)+1,FALSE)</f>
        <v>年明け★特別クエスト</v>
      </c>
      <c r="H29" s="66" t="s">
        <v>268</v>
      </c>
      <c r="I29" s="17" t="str">
        <f>VLOOKUP(A29,mypage_banners!A:E,5,FALSE)</f>
        <v>quest11217.png</v>
      </c>
      <c r="J29" s="20" t="s">
        <v>51</v>
      </c>
      <c r="K29" s="20" t="s">
        <v>51</v>
      </c>
      <c r="L29" s="44" t="str">
        <f t="shared" si="0"/>
        <v>4908</v>
      </c>
    </row>
    <row r="30" spans="1:15" x14ac:dyDescent="0.15">
      <c r="A30" s="72" t="s">
        <v>395</v>
      </c>
      <c r="B30" s="3">
        <f>VLOOKUP(A30,mypage_banners!A:F,6,FALSE)</f>
        <v>138</v>
      </c>
      <c r="C30" s="6" t="e">
        <f ca="1">IF($B30="null","",VLOOKUP($B30,OFFSET(#REF!,0,0,COUNTA(#REF!),MATCH(C$1,#REF!,0)-MATCH($B$1,#REF!,0)+1),MATCH(C$1,#REF!,0)-MATCH($B$1,#REF!,0)+1,FALSE))</f>
        <v>#REF!</v>
      </c>
      <c r="D30" s="6" t="e">
        <f ca="1">IF($B30="null","",VLOOKUP($B30,OFFSET(#REF!,0,0,COUNTA(#REF!),MATCH(D$1,#REF!,0)-MATCH($B$1,#REF!,0)+1),MATCH(D$1,#REF!,0)-MATCH($B$1,#REF!,0)+1,FALSE))</f>
        <v>#REF!</v>
      </c>
      <c r="E30" s="6" t="e">
        <f ca="1">IF($B30="null","",VLOOKUP($B30,OFFSET(#REF!,0,0,COUNTA(#REF!),MATCH(E$1,#REF!,0)-MATCH($B$1,#REF!,0)+1),MATCH(E$1,#REF!,0)-MATCH($B$1,#REF!,0)+1,FALSE))</f>
        <v>#REF!</v>
      </c>
      <c r="F30" s="17" t="str">
        <f>VLOOKUP(A30,mypage_banners!A:B,2,FALSE)</f>
        <v>quest11216</v>
      </c>
      <c r="G30" s="9" t="str">
        <f ca="1">VLOOKUP(VALUE(SUBSTITUTE(F30,"quest","")),OFFSET([2]quests!$A$1,0,0,COUNTA([2]quests!$A:$A),MATCH(G$1,[2]quests!$1:$1,0)-MATCH("quest_id",[2]quests!$1:$1,0)+1),MATCH(G$1,[2]quests!$1:$1,0)-MATCH("quest_id",[2]quests!$1:$1,0)+1,FALSE)</f>
        <v>年越し★特別クエスト</v>
      </c>
      <c r="H30" s="66" t="s">
        <v>268</v>
      </c>
      <c r="I30" s="17" t="str">
        <f>VLOOKUP(A30,mypage_banners!A:E,5,FALSE)</f>
        <v>quest11216.png</v>
      </c>
      <c r="J30" s="20" t="s">
        <v>51</v>
      </c>
      <c r="K30" s="20" t="s">
        <v>51</v>
      </c>
      <c r="L30" s="44" t="str">
        <f t="shared" si="0"/>
        <v>4907</v>
      </c>
    </row>
    <row r="31" spans="1:15" x14ac:dyDescent="0.15">
      <c r="A31" s="72" t="s">
        <v>396</v>
      </c>
      <c r="B31" s="3">
        <f>VLOOKUP(A31,mypage_banners!A:F,6,FALSE)</f>
        <v>97</v>
      </c>
      <c r="C31" s="6" t="e">
        <f ca="1">IF($B31="null","",VLOOKUP($B31,OFFSET(#REF!,0,0,COUNTA(#REF!),MATCH(C$1,#REF!,0)-MATCH($B$1,#REF!,0)+1),MATCH(C$1,#REF!,0)-MATCH($B$1,#REF!,0)+1,FALSE))</f>
        <v>#REF!</v>
      </c>
      <c r="D31" s="6" t="e">
        <f ca="1">IF($B31="null","",VLOOKUP($B31,OFFSET(#REF!,0,0,COUNTA(#REF!),MATCH(D$1,#REF!,0)-MATCH($B$1,#REF!,0)+1),MATCH(D$1,#REF!,0)-MATCH($B$1,#REF!,0)+1,FALSE))</f>
        <v>#REF!</v>
      </c>
      <c r="E31" s="6" t="e">
        <f ca="1">IF($B31="null","",VLOOKUP($B31,OFFSET(#REF!,0,0,COUNTA(#REF!),MATCH(E$1,#REF!,0)-MATCH($B$1,#REF!,0)+1),MATCH(E$1,#REF!,0)-MATCH($B$1,#REF!,0)+1,FALSE))</f>
        <v>#REF!</v>
      </c>
      <c r="F31" s="17" t="str">
        <f>VLOOKUP(A31,mypage_banners!A:B,2,FALSE)</f>
        <v>quest11214</v>
      </c>
      <c r="G31" s="9" t="str">
        <f ca="1">VLOOKUP(VALUE(SUBSTITUTE(F31,"quest","")),OFFSET([2]quests!$A$1,0,0,COUNTA([2]quests!$A:$A),MATCH(G$1,[2]quests!$1:$1,0)-MATCH("quest_id",[2]quests!$1:$1,0)+1),MATCH(G$1,[2]quests!$1:$1,0)-MATCH("quest_id",[2]quests!$1:$1,0)+1,FALSE)</f>
        <v>プロメテウスの恋</v>
      </c>
      <c r="H31" s="66" t="s">
        <v>268</v>
      </c>
      <c r="I31" s="17" t="str">
        <f>VLOOKUP(A31,mypage_banners!A:E,5,FALSE)</f>
        <v>quest11214.png</v>
      </c>
      <c r="J31" s="20" t="s">
        <v>51</v>
      </c>
      <c r="K31" s="20" t="s">
        <v>51</v>
      </c>
      <c r="L31" s="44" t="str">
        <f t="shared" si="0"/>
        <v>4906</v>
      </c>
    </row>
    <row r="32" spans="1:15" x14ac:dyDescent="0.15">
      <c r="A32" s="72" t="s">
        <v>397</v>
      </c>
      <c r="B32" s="3">
        <f>VLOOKUP(A32,mypage_banners!A:F,6,FALSE)</f>
        <v>115</v>
      </c>
      <c r="C32" s="6" t="e">
        <f ca="1">IF($B32="null","",VLOOKUP($B32,OFFSET(#REF!,0,0,COUNTA(#REF!),MATCH(C$1,#REF!,0)-MATCH($B$1,#REF!,0)+1),MATCH(C$1,#REF!,0)-MATCH($B$1,#REF!,0)+1,FALSE))</f>
        <v>#REF!</v>
      </c>
      <c r="D32" s="6" t="e">
        <f ca="1">IF($B32="null","",VLOOKUP($B32,OFFSET(#REF!,0,0,COUNTA(#REF!),MATCH(D$1,#REF!,0)-MATCH($B$1,#REF!,0)+1),MATCH(D$1,#REF!,0)-MATCH($B$1,#REF!,0)+1,FALSE))</f>
        <v>#REF!</v>
      </c>
      <c r="E32" s="6" t="e">
        <f ca="1">IF($B32="null","",VLOOKUP($B32,OFFSET(#REF!,0,0,COUNTA(#REF!),MATCH(E$1,#REF!,0)-MATCH($B$1,#REF!,0)+1),MATCH(E$1,#REF!,0)-MATCH($B$1,#REF!,0)+1,FALSE))</f>
        <v>#REF!</v>
      </c>
      <c r="F32" s="17" t="str">
        <f>VLOOKUP(A32,mypage_banners!A:B,2,FALSE)</f>
        <v>quest11215</v>
      </c>
      <c r="G32" s="9" t="str">
        <f ca="1">VLOOKUP(VALUE(SUBSTITUTE(F32,"quest","")),OFFSET([2]quests!$A$1,0,0,COUNTA([2]quests!$A:$A),MATCH(G$1,[2]quests!$1:$1,0)-MATCH("quest_id",[2]quests!$1:$1,0)+1),MATCH(G$1,[2]quests!$1:$1,0)-MATCH("quest_id",[2]quests!$1:$1,0)+1,FALSE)</f>
        <v>【マルチ】サンタダックを捕獲せよ！</v>
      </c>
      <c r="H32" s="66" t="s">
        <v>268</v>
      </c>
      <c r="I32" s="17" t="str">
        <f>VLOOKUP(A32,mypage_banners!A:E,5,FALSE)</f>
        <v>quest11215.png</v>
      </c>
      <c r="J32" s="20" t="s">
        <v>51</v>
      </c>
      <c r="K32" s="20" t="s">
        <v>51</v>
      </c>
      <c r="L32" s="44" t="str">
        <f t="shared" si="0"/>
        <v>4905</v>
      </c>
    </row>
    <row r="33" spans="1:12" x14ac:dyDescent="0.15">
      <c r="A33" s="72" t="s">
        <v>398</v>
      </c>
      <c r="B33" s="3">
        <f>VLOOKUP(A33,mypage_banners!A:F,6,FALSE)</f>
        <v>1</v>
      </c>
      <c r="C33" s="6" t="e">
        <f ca="1">IF($B33="null","",VLOOKUP($B33,OFFSET(#REF!,0,0,COUNTA(#REF!),MATCH(C$1,#REF!,0)-MATCH($B$1,#REF!,0)+1),MATCH(C$1,#REF!,0)-MATCH($B$1,#REF!,0)+1,FALSE))</f>
        <v>#REF!</v>
      </c>
      <c r="D33" s="6" t="e">
        <f ca="1">IF($B33="null","",VLOOKUP($B33,OFFSET(#REF!,0,0,COUNTA(#REF!),MATCH(D$1,#REF!,0)-MATCH($B$1,#REF!,0)+1),MATCH(D$1,#REF!,0)-MATCH($B$1,#REF!,0)+1,FALSE))</f>
        <v>#REF!</v>
      </c>
      <c r="E33" s="6" t="e">
        <f ca="1">IF($B33="null","",VLOOKUP($B33,OFFSET(#REF!,0,0,COUNTA(#REF!),MATCH(E$1,#REF!,0)-MATCH($B$1,#REF!,0)+1),MATCH(E$1,#REF!,0)-MATCH($B$1,#REF!,0)+1,FALSE))</f>
        <v>#REF!</v>
      </c>
      <c r="F33" s="17" t="str">
        <f>VLOOKUP(A33,mypage_banners!A:B,2,FALSE)</f>
        <v>quest11016</v>
      </c>
      <c r="G33" s="9" t="str">
        <f ca="1">VLOOKUP(VALUE(SUBSTITUTE(F33,"quest","")),OFFSET([2]quests!$A$1,0,0,COUNTA([2]quests!$A:$A),MATCH(G$1,[2]quests!$1:$1,0)-MATCH("quest_id",[2]quests!$1:$1,0)+1),MATCH(G$1,[2]quests!$1:$1,0)-MATCH("quest_id",[2]quests!$1:$1,0)+1,FALSE)</f>
        <v>【マルチ専用1/2】 ゴールドカジノ</v>
      </c>
      <c r="H33" s="66" t="s">
        <v>268</v>
      </c>
      <c r="I33" s="17" t="str">
        <f>VLOOKUP(A33,mypage_banners!A:E,5,FALSE)</f>
        <v>quest11016.png</v>
      </c>
      <c r="J33" s="20" t="s">
        <v>51</v>
      </c>
      <c r="K33" s="20" t="s">
        <v>51</v>
      </c>
      <c r="L33" s="44" t="str">
        <f t="shared" si="0"/>
        <v>4904</v>
      </c>
    </row>
    <row r="34" spans="1:12" x14ac:dyDescent="0.15">
      <c r="A34" s="72" t="s">
        <v>399</v>
      </c>
      <c r="B34" s="3">
        <f>VLOOKUP(A34,mypage_banners!A:F,6,FALSE)</f>
        <v>55</v>
      </c>
      <c r="C34" s="6" t="e">
        <f ca="1">IF($B34="null","",VLOOKUP($B34,OFFSET(#REF!,0,0,COUNTA(#REF!),MATCH(C$1,#REF!,0)-MATCH($B$1,#REF!,0)+1),MATCH(C$1,#REF!,0)-MATCH($B$1,#REF!,0)+1,FALSE))</f>
        <v>#REF!</v>
      </c>
      <c r="D34" s="6" t="e">
        <f ca="1">IF($B34="null","",VLOOKUP($B34,OFFSET(#REF!,0,0,COUNTA(#REF!),MATCH(D$1,#REF!,0)-MATCH($B$1,#REF!,0)+1),MATCH(D$1,#REF!,0)-MATCH($B$1,#REF!,0)+1,FALSE))</f>
        <v>#REF!</v>
      </c>
      <c r="E34" s="6" t="e">
        <f ca="1">IF($B34="null","",VLOOKUP($B34,OFFSET(#REF!,0,0,COUNTA(#REF!),MATCH(E$1,#REF!,0)-MATCH($B$1,#REF!,0)+1),MATCH(E$1,#REF!,0)-MATCH($B$1,#REF!,0)+1,FALSE))</f>
        <v>#REF!</v>
      </c>
      <c r="F34" s="17" t="str">
        <f>VLOOKUP(A34,mypage_banners!A:B,2,FALSE)</f>
        <v>quest11209</v>
      </c>
      <c r="G34" s="9" t="str">
        <f ca="1">VLOOKUP(VALUE(SUBSTITUTE(F34,"quest","")),OFFSET([2]quests!$A$1,0,0,COUNTA([2]quests!$A:$A),MATCH(G$1,[2]quests!$1:$1,0)-MATCH("quest_id",[2]quests!$1:$1,0)+1),MATCH(G$1,[2]quests!$1:$1,0)-MATCH("quest_id",[2]quests!$1:$1,0)+1,FALSE)</f>
        <v>スタートダッシュキャンペーンクエスト</v>
      </c>
      <c r="H34" s="66" t="s">
        <v>268</v>
      </c>
      <c r="I34" s="17" t="str">
        <f>VLOOKUP(A34,mypage_banners!A:E,5,FALSE)</f>
        <v>quest11209.png</v>
      </c>
      <c r="J34" s="20" t="s">
        <v>51</v>
      </c>
      <c r="K34" s="20" t="s">
        <v>51</v>
      </c>
      <c r="L34" s="44" t="str">
        <f t="shared" si="0"/>
        <v>4903</v>
      </c>
    </row>
    <row r="35" spans="1:12" x14ac:dyDescent="0.15">
      <c r="A35" s="72" t="s">
        <v>400</v>
      </c>
      <c r="B35" s="3">
        <f>VLOOKUP(A35,mypage_banners!A:F,6,FALSE)</f>
        <v>86</v>
      </c>
      <c r="C35" s="6" t="e">
        <f ca="1">IF($B35="null","",VLOOKUP($B35,OFFSET(#REF!,0,0,COUNTA(#REF!),MATCH(C$1,#REF!,0)-MATCH($B$1,#REF!,0)+1),MATCH(C$1,#REF!,0)-MATCH($B$1,#REF!,0)+1,FALSE))</f>
        <v>#REF!</v>
      </c>
      <c r="D35" s="6" t="e">
        <f ca="1">IF($B35="null","",VLOOKUP($B35,OFFSET(#REF!,0,0,COUNTA(#REF!),MATCH(D$1,#REF!,0)-MATCH($B$1,#REF!,0)+1),MATCH(D$1,#REF!,0)-MATCH($B$1,#REF!,0)+1,FALSE))</f>
        <v>#REF!</v>
      </c>
      <c r="E35" s="6" t="e">
        <f ca="1">IF($B35="null","",VLOOKUP($B35,OFFSET(#REF!,0,0,COUNTA(#REF!),MATCH(E$1,#REF!,0)-MATCH($B$1,#REF!,0)+1),MATCH(E$1,#REF!,0)-MATCH($B$1,#REF!,0)+1,FALSE))</f>
        <v>#REF!</v>
      </c>
      <c r="F35" s="17" t="str">
        <f>VLOOKUP(A35,mypage_banners!A:B,2,FALSE)</f>
        <v>quest11212</v>
      </c>
      <c r="G35" s="9" t="str">
        <f ca="1">VLOOKUP(VALUE(SUBSTITUTE(F35,"quest","")),OFFSET([2]quests!$A$1,0,0,COUNTA([2]quests!$A:$A),MATCH(G$1,[2]quests!$1:$1,0)-MATCH("quest_id",[2]quests!$1:$1,0)+1),MATCH(G$1,[2]quests!$1:$1,0)-MATCH("quest_id",[2]quests!$1:$1,0)+1,FALSE)</f>
        <v>100万DL記念★特別クエスト</v>
      </c>
      <c r="H35" s="66" t="s">
        <v>268</v>
      </c>
      <c r="I35" s="17" t="str">
        <f>VLOOKUP(A35,mypage_banners!A:E,5,FALSE)</f>
        <v>quest11212.png</v>
      </c>
      <c r="J35" s="20" t="s">
        <v>51</v>
      </c>
      <c r="K35" s="20" t="s">
        <v>51</v>
      </c>
      <c r="L35" s="44" t="str">
        <f t="shared" si="0"/>
        <v>4902</v>
      </c>
    </row>
    <row r="36" spans="1:12" x14ac:dyDescent="0.15">
      <c r="A36" s="72" t="s">
        <v>401</v>
      </c>
      <c r="B36" s="3">
        <f>VLOOKUP(A36,mypage_banners!A:F,6,FALSE)</f>
        <v>51</v>
      </c>
      <c r="C36" s="6" t="e">
        <f ca="1">IF($B36="null","",VLOOKUP($B36,OFFSET(#REF!,0,0,COUNTA(#REF!),MATCH(C$1,#REF!,0)-MATCH($B$1,#REF!,0)+1),MATCH(C$1,#REF!,0)-MATCH($B$1,#REF!,0)+1,FALSE))</f>
        <v>#REF!</v>
      </c>
      <c r="D36" s="6" t="e">
        <f ca="1">IF($B36="null","",VLOOKUP($B36,OFFSET(#REF!,0,0,COUNTA(#REF!),MATCH(D$1,#REF!,0)-MATCH($B$1,#REF!,0)+1),MATCH(D$1,#REF!,0)-MATCH($B$1,#REF!,0)+1,FALSE))</f>
        <v>#REF!</v>
      </c>
      <c r="E36" s="6" t="e">
        <f ca="1">IF($B36="null","",VLOOKUP($B36,OFFSET(#REF!,0,0,COUNTA(#REF!),MATCH(E$1,#REF!,0)-MATCH($B$1,#REF!,0)+1),MATCH(E$1,#REF!,0)-MATCH($B$1,#REF!,0)+1,FALSE))</f>
        <v>#REF!</v>
      </c>
      <c r="F36" s="17" t="str">
        <f>VLOOKUP(A36,mypage_banners!A:B,2,FALSE)</f>
        <v>quest11106</v>
      </c>
      <c r="G36" s="9" t="str">
        <f ca="1">VLOOKUP(VALUE(SUBSTITUTE(F36,"quest","")),OFFSET([2]quests!$A$1,0,0,COUNTA([2]quests!$A:$A),MATCH(G$1,[2]quests!$1:$1,0)-MATCH("quest_id",[2]quests!$1:$1,0)+1),MATCH(G$1,[2]quests!$1:$1,0)-MATCH("quest_id",[2]quests!$1:$1,0)+1,FALSE)</f>
        <v>【キャンペーン限定】 ゴールドカジノ</v>
      </c>
      <c r="H36" s="66" t="s">
        <v>268</v>
      </c>
      <c r="I36" s="17" t="str">
        <f>VLOOKUP(A36,mypage_banners!A:E,5,FALSE)</f>
        <v>quest11006.png</v>
      </c>
      <c r="J36" s="20" t="s">
        <v>51</v>
      </c>
      <c r="K36" s="20" t="s">
        <v>51</v>
      </c>
      <c r="L36" s="44" t="str">
        <f t="shared" si="0"/>
        <v>4901</v>
      </c>
    </row>
    <row r="37" spans="1:12" x14ac:dyDescent="0.15">
      <c r="A37" s="71" t="s">
        <v>414</v>
      </c>
      <c r="B37" s="3">
        <f>VLOOKUP(A37,mypage_banners!A:F,6,FALSE)</f>
        <v>1</v>
      </c>
      <c r="C37" s="6" t="e">
        <f ca="1">IF($B37="null","",VLOOKUP($B37,OFFSET(#REF!,0,0,COUNTA(#REF!),MATCH(C$1,#REF!,0)-MATCH($B$1,#REF!,0)+1),MATCH(C$1,#REF!,0)-MATCH($B$1,#REF!,0)+1,FALSE))</f>
        <v>#REF!</v>
      </c>
      <c r="D37" s="6" t="e">
        <f ca="1">IF($B37="null","",VLOOKUP($B37,OFFSET(#REF!,0,0,COUNTA(#REF!),MATCH(D$1,#REF!,0)-MATCH($B$1,#REF!,0)+1),MATCH(D$1,#REF!,0)-MATCH($B$1,#REF!,0)+1,FALSE))</f>
        <v>#REF!</v>
      </c>
      <c r="E37" s="6" t="e">
        <f ca="1">IF($B37="null","",VLOOKUP($B37,OFFSET(#REF!,0,0,COUNTA(#REF!),MATCH(E$1,#REF!,0)-MATCH($B$1,#REF!,0)+1),MATCH(E$1,#REF!,0)-MATCH($B$1,#REF!,0)+1,FALSE))</f>
        <v>#REF!</v>
      </c>
      <c r="F37" s="17" t="str">
        <f>VLOOKUP(A37,mypage_banners!A:B,2,FALSE)</f>
        <v>quest41008</v>
      </c>
      <c r="G37" s="9" t="str">
        <f ca="1">VLOOKUP(VALUE(SUBSTITUTE(F37,"quest","")),OFFSET([2]quests!$A$1,0,0,COUNTA([2]quests!$A:$A),MATCH(G$1,[2]quests!$1:$1,0)-MATCH("quest_id",[2]quests!$1:$1,0)+1),MATCH(G$1,[2]quests!$1:$1,0)-MATCH("quest_id",[2]quests!$1:$1,0)+1,FALSE)</f>
        <v>Gスター襲来！</v>
      </c>
      <c r="H37" s="66" t="s">
        <v>268</v>
      </c>
      <c r="I37" s="17" t="str">
        <f>VLOOKUP(A37,mypage_banners!A:E,5,FALSE)</f>
        <v>quest41008.png</v>
      </c>
      <c r="J37" s="20">
        <v>50</v>
      </c>
      <c r="K37" s="20" t="s">
        <v>51</v>
      </c>
      <c r="L37" s="44" t="str">
        <f>A37</f>
        <v>4008</v>
      </c>
    </row>
    <row r="38" spans="1:12" x14ac:dyDescent="0.15">
      <c r="A38" s="71" t="s">
        <v>415</v>
      </c>
      <c r="B38" s="3">
        <f>VLOOKUP(A38,mypage_banners!A:F,6,FALSE)</f>
        <v>1</v>
      </c>
      <c r="C38" s="6" t="e">
        <f ca="1">IF($B38="null","",VLOOKUP($B38,OFFSET(#REF!,0,0,COUNTA(#REF!),MATCH(C$1,#REF!,0)-MATCH($B$1,#REF!,0)+1),MATCH(C$1,#REF!,0)-MATCH($B$1,#REF!,0)+1,FALSE))</f>
        <v>#REF!</v>
      </c>
      <c r="D38" s="6" t="e">
        <f ca="1">IF($B38="null","",VLOOKUP($B38,OFFSET(#REF!,0,0,COUNTA(#REF!),MATCH(D$1,#REF!,0)-MATCH($B$1,#REF!,0)+1),MATCH(D$1,#REF!,0)-MATCH($B$1,#REF!,0)+1,FALSE))</f>
        <v>#REF!</v>
      </c>
      <c r="E38" s="6" t="e">
        <f ca="1">IF($B38="null","",VLOOKUP($B38,OFFSET(#REF!,0,0,COUNTA(#REF!),MATCH(E$1,#REF!,0)-MATCH($B$1,#REF!,0)+1),MATCH(E$1,#REF!,0)-MATCH($B$1,#REF!,0)+1,FALSE))</f>
        <v>#REF!</v>
      </c>
      <c r="F38" s="17" t="str">
        <f>VLOOKUP(A38,mypage_banners!A:B,2,FALSE)</f>
        <v>quest41007</v>
      </c>
      <c r="G38" s="9" t="str">
        <f ca="1">VLOOKUP(VALUE(SUBSTITUTE(F38,"quest","")),OFFSET([2]quests!$A$1,0,0,COUNTA([2]quests!$A:$A),MATCH(G$1,[2]quests!$1:$1,0)-MATCH("quest_id",[2]quests!$1:$1,0)+1),MATCH(G$1,[2]quests!$1:$1,0)-MATCH("quest_id",[2]quests!$1:$1,0)+1,FALSE)</f>
        <v>グリム襲来！</v>
      </c>
      <c r="H38" s="66" t="s">
        <v>268</v>
      </c>
      <c r="I38" s="17" t="str">
        <f>VLOOKUP(A38,mypage_banners!A:E,5,FALSE)</f>
        <v>quest41007.png</v>
      </c>
      <c r="J38" s="20">
        <v>50</v>
      </c>
      <c r="K38" s="20" t="s">
        <v>51</v>
      </c>
      <c r="L38" s="44" t="str">
        <f>A38</f>
        <v>4007</v>
      </c>
    </row>
    <row r="39" spans="1:12" x14ac:dyDescent="0.15">
      <c r="A39" s="71" t="s">
        <v>416</v>
      </c>
      <c r="B39" s="3">
        <f>VLOOKUP(A39,mypage_banners!A:F,6,FALSE)</f>
        <v>1</v>
      </c>
      <c r="C39" s="6" t="e">
        <f ca="1">IF($B39="null","",VLOOKUP($B39,OFFSET(#REF!,0,0,COUNTA(#REF!),MATCH(C$1,#REF!,0)-MATCH($B$1,#REF!,0)+1),MATCH(C$1,#REF!,0)-MATCH($B$1,#REF!,0)+1,FALSE))</f>
        <v>#REF!</v>
      </c>
      <c r="D39" s="6" t="e">
        <f ca="1">IF($B39="null","",VLOOKUP($B39,OFFSET(#REF!,0,0,COUNTA(#REF!),MATCH(D$1,#REF!,0)-MATCH($B$1,#REF!,0)+1),MATCH(D$1,#REF!,0)-MATCH($B$1,#REF!,0)+1,FALSE))</f>
        <v>#REF!</v>
      </c>
      <c r="E39" s="6" t="e">
        <f ca="1">IF($B39="null","",VLOOKUP($B39,OFFSET(#REF!,0,0,COUNTA(#REF!),MATCH(E$1,#REF!,0)-MATCH($B$1,#REF!,0)+1),MATCH(E$1,#REF!,0)-MATCH($B$1,#REF!,0)+1,FALSE))</f>
        <v>#REF!</v>
      </c>
      <c r="F39" s="17" t="str">
        <f>VLOOKUP(A39,mypage_banners!A:B,2,FALSE)</f>
        <v>quest41006</v>
      </c>
      <c r="G39" s="9" t="str">
        <f ca="1">VLOOKUP(VALUE(SUBSTITUTE(F39,"quest","")),OFFSET([2]quests!$A$1,0,0,COUNTA([2]quests!$A:$A),MATCH(G$1,[2]quests!$1:$1,0)-MATCH("quest_id",[2]quests!$1:$1,0)+1),MATCH(G$1,[2]quests!$1:$1,0)-MATCH("quest_id",[2]quests!$1:$1,0)+1,FALSE)</f>
        <v>アーサー襲来！</v>
      </c>
      <c r="H39" s="66" t="s">
        <v>268</v>
      </c>
      <c r="I39" s="17" t="str">
        <f>VLOOKUP(A39,mypage_banners!A:E,5,FALSE)</f>
        <v>quest41006.png</v>
      </c>
      <c r="J39" s="20">
        <v>50</v>
      </c>
      <c r="K39" s="20" t="s">
        <v>51</v>
      </c>
      <c r="L39" s="44" t="str">
        <f>A39</f>
        <v>4006</v>
      </c>
    </row>
    <row r="40" spans="1:12" x14ac:dyDescent="0.15">
      <c r="A40" s="71" t="s">
        <v>417</v>
      </c>
      <c r="B40" s="3">
        <f>VLOOKUP(A40,mypage_banners!A:F,6,FALSE)</f>
        <v>1</v>
      </c>
      <c r="C40" s="6" t="e">
        <f ca="1">IF($B40="null","",VLOOKUP($B40,OFFSET(#REF!,0,0,COUNTA(#REF!),MATCH(C$1,#REF!,0)-MATCH($B$1,#REF!,0)+1),MATCH(C$1,#REF!,0)-MATCH($B$1,#REF!,0)+1,FALSE))</f>
        <v>#REF!</v>
      </c>
      <c r="D40" s="6" t="e">
        <f ca="1">IF($B40="null","",VLOOKUP($B40,OFFSET(#REF!,0,0,COUNTA(#REF!),MATCH(D$1,#REF!,0)-MATCH($B$1,#REF!,0)+1),MATCH(D$1,#REF!,0)-MATCH($B$1,#REF!,0)+1,FALSE))</f>
        <v>#REF!</v>
      </c>
      <c r="E40" s="6" t="e">
        <f ca="1">IF($B40="null","",VLOOKUP($B40,OFFSET(#REF!,0,0,COUNTA(#REF!),MATCH(E$1,#REF!,0)-MATCH($B$1,#REF!,0)+1),MATCH(E$1,#REF!,0)-MATCH($B$1,#REF!,0)+1,FALSE))</f>
        <v>#REF!</v>
      </c>
      <c r="F40" s="17" t="str">
        <f>VLOOKUP(A40,mypage_banners!A:B,2,FALSE)</f>
        <v>quest41005</v>
      </c>
      <c r="G40" s="9" t="str">
        <f ca="1">VLOOKUP(VALUE(SUBSTITUTE(F40,"quest","")),OFFSET([2]quests!$A$1,0,0,COUNTA([2]quests!$A:$A),MATCH(G$1,[2]quests!$1:$1,0)-MATCH("quest_id",[2]quests!$1:$1,0)+1),MATCH(G$1,[2]quests!$1:$1,0)-MATCH("quest_id",[2]quests!$1:$1,0)+1,FALSE)</f>
        <v>オズ襲来！</v>
      </c>
      <c r="H40" s="66" t="s">
        <v>268</v>
      </c>
      <c r="I40" s="17" t="str">
        <f>VLOOKUP(A40,mypage_banners!A:E,5,FALSE)</f>
        <v>quest41005.png</v>
      </c>
      <c r="J40" s="20">
        <v>50</v>
      </c>
      <c r="K40" s="20" t="s">
        <v>51</v>
      </c>
      <c r="L40" s="44" t="str">
        <f>A40</f>
        <v>4005</v>
      </c>
    </row>
    <row r="41" spans="1:12" x14ac:dyDescent="0.15">
      <c r="A41" s="71" t="s">
        <v>402</v>
      </c>
      <c r="B41" s="3">
        <f>VLOOKUP(A41,mypage_banners!A:F,6,FALSE)</f>
        <v>1</v>
      </c>
      <c r="C41" s="6" t="e">
        <f ca="1">IF($B41="null","",VLOOKUP($B41,OFFSET(#REF!,0,0,COUNTA(#REF!),MATCH(C$1,#REF!,0)-MATCH($B$1,#REF!,0)+1),MATCH(C$1,#REF!,0)-MATCH($B$1,#REF!,0)+1,FALSE))</f>
        <v>#REF!</v>
      </c>
      <c r="D41" s="6" t="e">
        <f ca="1">IF($B41="null","",VLOOKUP($B41,OFFSET(#REF!,0,0,COUNTA(#REF!),MATCH(D$1,#REF!,0)-MATCH($B$1,#REF!,0)+1),MATCH(D$1,#REF!,0)-MATCH($B$1,#REF!,0)+1,FALSE))</f>
        <v>#REF!</v>
      </c>
      <c r="E41" s="6" t="e">
        <f ca="1">IF($B41="null","",VLOOKUP($B41,OFFSET(#REF!,0,0,COUNTA(#REF!),MATCH(E$1,#REF!,0)-MATCH($B$1,#REF!,0)+1),MATCH(E$1,#REF!,0)-MATCH($B$1,#REF!,0)+1,FALSE))</f>
        <v>#REF!</v>
      </c>
      <c r="F41" s="17" t="str">
        <f>VLOOKUP(A41,mypage_banners!A:B,2,FALSE)</f>
        <v>quest41004</v>
      </c>
      <c r="G41" s="9" t="str">
        <f ca="1">VLOOKUP(VALUE(SUBSTITUTE(F41,"quest","")),OFFSET([2]quests!$A$1,0,0,COUNTA([2]quests!$A:$A),MATCH(G$1,[2]quests!$1:$1,0)-MATCH("quest_id",[2]quests!$1:$1,0)+1),MATCH(G$1,[2]quests!$1:$1,0)-MATCH("quest_id",[2]quests!$1:$1,0)+1,FALSE)</f>
        <v>宮本武蔵襲来！</v>
      </c>
      <c r="H41" s="66" t="s">
        <v>268</v>
      </c>
      <c r="I41" s="17" t="str">
        <f>VLOOKUP(A41,mypage_banners!A:E,5,FALSE)</f>
        <v>quest41004.png</v>
      </c>
      <c r="J41" s="20">
        <v>50</v>
      </c>
      <c r="K41" s="20" t="s">
        <v>51</v>
      </c>
      <c r="L41" s="44" t="str">
        <f t="shared" si="0"/>
        <v>4004</v>
      </c>
    </row>
    <row r="42" spans="1:12" x14ac:dyDescent="0.15">
      <c r="A42" s="71" t="s">
        <v>403</v>
      </c>
      <c r="B42" s="3">
        <f>VLOOKUP(A42,mypage_banners!A:F,6,FALSE)</f>
        <v>1</v>
      </c>
      <c r="C42" s="6" t="e">
        <f ca="1">IF($B42="null","",VLOOKUP($B42,OFFSET(#REF!,0,0,COUNTA(#REF!),MATCH(C$1,#REF!,0)-MATCH($B$1,#REF!,0)+1),MATCH(C$1,#REF!,0)-MATCH($B$1,#REF!,0)+1,FALSE))</f>
        <v>#REF!</v>
      </c>
      <c r="D42" s="6" t="e">
        <f ca="1">IF($B42="null","",VLOOKUP($B42,OFFSET(#REF!,0,0,COUNTA(#REF!),MATCH(D$1,#REF!,0)-MATCH($B$1,#REF!,0)+1),MATCH(D$1,#REF!,0)-MATCH($B$1,#REF!,0)+1,FALSE))</f>
        <v>#REF!</v>
      </c>
      <c r="E42" s="6" t="e">
        <f ca="1">IF($B42="null","",VLOOKUP($B42,OFFSET(#REF!,0,0,COUNTA(#REF!),MATCH(E$1,#REF!,0)-MATCH($B$1,#REF!,0)+1),MATCH(E$1,#REF!,0)-MATCH($B$1,#REF!,0)+1,FALSE))</f>
        <v>#REF!</v>
      </c>
      <c r="F42" s="17" t="str">
        <f>VLOOKUP(A42,mypage_banners!A:B,2,FALSE)</f>
        <v>quest41003</v>
      </c>
      <c r="G42" s="9" t="str">
        <f ca="1">VLOOKUP(VALUE(SUBSTITUTE(F42,"quest","")),OFFSET([2]quests!$A$1,0,0,COUNTA([2]quests!$A:$A),MATCH(G$1,[2]quests!$1:$1,0)-MATCH("quest_id",[2]quests!$1:$1,0)+1),MATCH(G$1,[2]quests!$1:$1,0)-MATCH("quest_id",[2]quests!$1:$1,0)+1,FALSE)</f>
        <v>ジャンヌ襲来！</v>
      </c>
      <c r="H42" s="66" t="s">
        <v>268</v>
      </c>
      <c r="I42" s="17" t="str">
        <f>VLOOKUP(A42,mypage_banners!A:E,5,FALSE)</f>
        <v>quest41003.png</v>
      </c>
      <c r="J42" s="20">
        <v>50</v>
      </c>
      <c r="K42" s="20" t="s">
        <v>51</v>
      </c>
      <c r="L42" s="44" t="str">
        <f t="shared" si="0"/>
        <v>4003</v>
      </c>
    </row>
    <row r="43" spans="1:12" x14ac:dyDescent="0.15">
      <c r="A43" s="71" t="s">
        <v>404</v>
      </c>
      <c r="B43" s="3">
        <f>VLOOKUP(A43,mypage_banners!A:F,6,FALSE)</f>
        <v>1</v>
      </c>
      <c r="C43" s="6" t="e">
        <f ca="1">IF($B43="null","",VLOOKUP($B43,OFFSET(#REF!,0,0,COUNTA(#REF!),MATCH(C$1,#REF!,0)-MATCH($B$1,#REF!,0)+1),MATCH(C$1,#REF!,0)-MATCH($B$1,#REF!,0)+1,FALSE))</f>
        <v>#REF!</v>
      </c>
      <c r="D43" s="6" t="e">
        <f ca="1">IF($B43="null","",VLOOKUP($B43,OFFSET(#REF!,0,0,COUNTA(#REF!),MATCH(D$1,#REF!,0)-MATCH($B$1,#REF!,0)+1),MATCH(D$1,#REF!,0)-MATCH($B$1,#REF!,0)+1,FALSE))</f>
        <v>#REF!</v>
      </c>
      <c r="E43" s="6" t="e">
        <f ca="1">IF($B43="null","",VLOOKUP($B43,OFFSET(#REF!,0,0,COUNTA(#REF!),MATCH(E$1,#REF!,0)-MATCH($B$1,#REF!,0)+1),MATCH(E$1,#REF!,0)-MATCH($B$1,#REF!,0)+1,FALSE))</f>
        <v>#REF!</v>
      </c>
      <c r="F43" s="17" t="str">
        <f>VLOOKUP(A43,mypage_banners!A:B,2,FALSE)</f>
        <v>quest41002</v>
      </c>
      <c r="G43" s="9" t="str">
        <f ca="1">VLOOKUP(VALUE(SUBSTITUTE(F43,"quest","")),OFFSET([2]quests!$A$1,0,0,COUNTA([2]quests!$A:$A),MATCH(G$1,[2]quests!$1:$1,0)-MATCH("quest_id",[2]quests!$1:$1,0)+1),MATCH(G$1,[2]quests!$1:$1,0)-MATCH("quest_id",[2]quests!$1:$1,0)+1,FALSE)</f>
        <v>アザゼル襲来！</v>
      </c>
      <c r="H43" s="66" t="s">
        <v>268</v>
      </c>
      <c r="I43" s="17" t="str">
        <f>VLOOKUP(A43,mypage_banners!A:E,5,FALSE)</f>
        <v>quest41002.png</v>
      </c>
      <c r="J43" s="20">
        <v>50</v>
      </c>
      <c r="K43" s="20" t="s">
        <v>51</v>
      </c>
      <c r="L43" s="44" t="str">
        <f t="shared" si="0"/>
        <v>4002</v>
      </c>
    </row>
    <row r="44" spans="1:12" x14ac:dyDescent="0.15">
      <c r="A44" s="71" t="s">
        <v>405</v>
      </c>
      <c r="B44" s="3">
        <f>VLOOKUP(A44,mypage_banners!A:F,6,FALSE)</f>
        <v>1</v>
      </c>
      <c r="C44" s="6" t="e">
        <f ca="1">IF($B44="null","",VLOOKUP($B44,OFFSET(#REF!,0,0,COUNTA(#REF!),MATCH(C$1,#REF!,0)-MATCH($B$1,#REF!,0)+1),MATCH(C$1,#REF!,0)-MATCH($B$1,#REF!,0)+1,FALSE))</f>
        <v>#REF!</v>
      </c>
      <c r="D44" s="6" t="e">
        <f ca="1">IF($B44="null","",VLOOKUP($B44,OFFSET(#REF!,0,0,COUNTA(#REF!),MATCH(D$1,#REF!,0)-MATCH($B$1,#REF!,0)+1),MATCH(D$1,#REF!,0)-MATCH($B$1,#REF!,0)+1,FALSE))</f>
        <v>#REF!</v>
      </c>
      <c r="E44" s="6" t="e">
        <f ca="1">IF($B44="null","",VLOOKUP($B44,OFFSET(#REF!,0,0,COUNTA(#REF!),MATCH(E$1,#REF!,0)-MATCH($B$1,#REF!,0)+1),MATCH(E$1,#REF!,0)-MATCH($B$1,#REF!,0)+1,FALSE))</f>
        <v>#REF!</v>
      </c>
      <c r="F44" s="17" t="str">
        <f>VLOOKUP(A44,mypage_banners!A:B,2,FALSE)</f>
        <v>quest41001</v>
      </c>
      <c r="G44" s="9" t="str">
        <f ca="1">VLOOKUP(VALUE(SUBSTITUTE(F44,"quest","")),OFFSET([2]quests!$A$1,0,0,COUNTA([2]quests!$A:$A),MATCH(G$1,[2]quests!$1:$1,0)-MATCH("quest_id",[2]quests!$1:$1,0)+1),MATCH(G$1,[2]quests!$1:$1,0)-MATCH("quest_id",[2]quests!$1:$1,0)+1,FALSE)</f>
        <v>アマテラス襲来！</v>
      </c>
      <c r="H44" s="66" t="s">
        <v>268</v>
      </c>
      <c r="I44" s="17" t="str">
        <f>VLOOKUP(A44,mypage_banners!A:E,5,FALSE)</f>
        <v>quest41001.png</v>
      </c>
      <c r="J44" s="20">
        <v>50</v>
      </c>
      <c r="K44" s="20" t="s">
        <v>51</v>
      </c>
      <c r="L44" s="44" t="str">
        <f t="shared" si="0"/>
        <v>4001</v>
      </c>
    </row>
    <row r="45" spans="1:12" x14ac:dyDescent="0.15">
      <c r="A45" s="71" t="s">
        <v>406</v>
      </c>
      <c r="B45" s="3">
        <f>VLOOKUP(A45,mypage_banners!A:F,6,FALSE)</f>
        <v>1</v>
      </c>
      <c r="C45" s="6" t="e">
        <f ca="1">IF($B45="null","",VLOOKUP($B45,OFFSET(#REF!,0,0,COUNTA(#REF!),MATCH(C$1,#REF!,0)-MATCH($B$1,#REF!,0)+1),MATCH(C$1,#REF!,0)-MATCH($B$1,#REF!,0)+1,FALSE))</f>
        <v>#REF!</v>
      </c>
      <c r="D45" s="6" t="e">
        <f ca="1">IF($B45="null","",VLOOKUP($B45,OFFSET(#REF!,0,0,COUNTA(#REF!),MATCH(D$1,#REF!,0)-MATCH($B$1,#REF!,0)+1),MATCH(D$1,#REF!,0)-MATCH($B$1,#REF!,0)+1,FALSE))</f>
        <v>#REF!</v>
      </c>
      <c r="E45" s="6" t="e">
        <f ca="1">IF($B45="null","",VLOOKUP($B45,OFFSET(#REF!,0,0,COUNTA(#REF!),MATCH(E$1,#REF!,0)-MATCH($B$1,#REF!,0)+1),MATCH(E$1,#REF!,0)-MATCH($B$1,#REF!,0)+1,FALSE))</f>
        <v>#REF!</v>
      </c>
      <c r="F45" s="17" t="str">
        <f>VLOOKUP(A45,mypage_banners!A:B,2,FALSE)</f>
        <v>quest40016</v>
      </c>
      <c r="G45" s="9" t="str">
        <f ca="1">VLOOKUP(VALUE(SUBSTITUTE(F45,"quest","")),OFFSET([2]quests!$A$1,0,0,COUNTA([2]quests!$A:$A),MATCH(G$1,[2]quests!$1:$1,0)-MATCH("quest_id",[2]quests!$1:$1,0)+1),MATCH(G$1,[2]quests!$1:$1,0)-MATCH("quest_id",[2]quests!$1:$1,0)+1,FALSE)</f>
        <v>武田信玄襲来！</v>
      </c>
      <c r="H45" s="66" t="s">
        <v>268</v>
      </c>
      <c r="I45" s="17" t="str">
        <f>VLOOKUP(A45,mypage_banners!A:E,5,FALSE)</f>
        <v>quest40016.png</v>
      </c>
      <c r="J45" s="20">
        <v>50</v>
      </c>
      <c r="K45" s="20" t="s">
        <v>51</v>
      </c>
      <c r="L45" s="44" t="str">
        <f t="shared" si="0"/>
        <v>4016</v>
      </c>
    </row>
    <row r="46" spans="1:12" x14ac:dyDescent="0.15">
      <c r="A46" s="71" t="s">
        <v>407</v>
      </c>
      <c r="B46" s="3">
        <f>VLOOKUP(A46,mypage_banners!A:F,6,FALSE)</f>
        <v>1</v>
      </c>
      <c r="C46" s="6" t="e">
        <f ca="1">IF($B46="null","",VLOOKUP($B46,OFFSET(#REF!,0,0,COUNTA(#REF!),MATCH(C$1,#REF!,0)-MATCH($B$1,#REF!,0)+1),MATCH(C$1,#REF!,0)-MATCH($B$1,#REF!,0)+1,FALSE))</f>
        <v>#REF!</v>
      </c>
      <c r="D46" s="6" t="e">
        <f ca="1">IF($B46="null","",VLOOKUP($B46,OFFSET(#REF!,0,0,COUNTA(#REF!),MATCH(D$1,#REF!,0)-MATCH($B$1,#REF!,0)+1),MATCH(D$1,#REF!,0)-MATCH($B$1,#REF!,0)+1,FALSE))</f>
        <v>#REF!</v>
      </c>
      <c r="E46" s="6" t="e">
        <f ca="1">IF($B46="null","",VLOOKUP($B46,OFFSET(#REF!,0,0,COUNTA(#REF!),MATCH(E$1,#REF!,0)-MATCH($B$1,#REF!,0)+1),MATCH(E$1,#REF!,0)-MATCH($B$1,#REF!,0)+1,FALSE))</f>
        <v>#REF!</v>
      </c>
      <c r="F46" s="17" t="str">
        <f>VLOOKUP(A46,mypage_banners!A:B,2,FALSE)</f>
        <v>quest40015</v>
      </c>
      <c r="G46" s="9" t="str">
        <f ca="1">VLOOKUP(VALUE(SUBSTITUTE(F46,"quest","")),OFFSET([2]quests!$A$1,0,0,COUNTA([2]quests!$A:$A),MATCH(G$1,[2]quests!$1:$1,0)-MATCH("quest_id",[2]quests!$1:$1,0)+1),MATCH(G$1,[2]quests!$1:$1,0)-MATCH("quest_id",[2]quests!$1:$1,0)+1,FALSE)</f>
        <v>ガレス襲来！</v>
      </c>
      <c r="H46" s="66" t="s">
        <v>268</v>
      </c>
      <c r="I46" s="17" t="str">
        <f>VLOOKUP(A46,mypage_banners!A:E,5,FALSE)</f>
        <v>quest40015.png</v>
      </c>
      <c r="J46" s="20">
        <v>50</v>
      </c>
      <c r="K46" s="20" t="s">
        <v>51</v>
      </c>
      <c r="L46" s="44" t="str">
        <f t="shared" si="0"/>
        <v>4015</v>
      </c>
    </row>
    <row r="47" spans="1:12" x14ac:dyDescent="0.15">
      <c r="A47" s="71" t="s">
        <v>408</v>
      </c>
      <c r="B47" s="3">
        <f>VLOOKUP(A47,mypage_banners!A:F,6,FALSE)</f>
        <v>1</v>
      </c>
      <c r="C47" s="6" t="e">
        <f ca="1">IF($B47="null","",VLOOKUP($B47,OFFSET(#REF!,0,0,COUNTA(#REF!),MATCH(C$1,#REF!,0)-MATCH($B$1,#REF!,0)+1),MATCH(C$1,#REF!,0)-MATCH($B$1,#REF!,0)+1,FALSE))</f>
        <v>#REF!</v>
      </c>
      <c r="D47" s="6" t="e">
        <f ca="1">IF($B47="null","",VLOOKUP($B47,OFFSET(#REF!,0,0,COUNTA(#REF!),MATCH(D$1,#REF!,0)-MATCH($B$1,#REF!,0)+1),MATCH(D$1,#REF!,0)-MATCH($B$1,#REF!,0)+1,FALSE))</f>
        <v>#REF!</v>
      </c>
      <c r="E47" s="6" t="e">
        <f ca="1">IF($B47="null","",VLOOKUP($B47,OFFSET(#REF!,0,0,COUNTA(#REF!),MATCH(E$1,#REF!,0)-MATCH($B$1,#REF!,0)+1),MATCH(E$1,#REF!,0)-MATCH($B$1,#REF!,0)+1,FALSE))</f>
        <v>#REF!</v>
      </c>
      <c r="F47" s="17" t="str">
        <f>VLOOKUP(A47,mypage_banners!A:B,2,FALSE)</f>
        <v>quest40014</v>
      </c>
      <c r="G47" s="9" t="str">
        <f ca="1">VLOOKUP(VALUE(SUBSTITUTE(F47,"quest","")),OFFSET([2]quests!$A$1,0,0,COUNTA([2]quests!$A:$A),MATCH(G$1,[2]quests!$1:$1,0)-MATCH("quest_id",[2]quests!$1:$1,0)+1),MATCH(G$1,[2]quests!$1:$1,0)-MATCH("quest_id",[2]quests!$1:$1,0)+1,FALSE)</f>
        <v>シヴァ襲来！</v>
      </c>
      <c r="H47" s="66" t="s">
        <v>268</v>
      </c>
      <c r="I47" s="17" t="str">
        <f>VLOOKUP(A47,mypage_banners!A:E,5,FALSE)</f>
        <v>quest40014.png</v>
      </c>
      <c r="J47" s="20">
        <v>50</v>
      </c>
      <c r="K47" s="20" t="s">
        <v>51</v>
      </c>
      <c r="L47" s="44" t="str">
        <f t="shared" si="0"/>
        <v>4014</v>
      </c>
    </row>
    <row r="48" spans="1:12" x14ac:dyDescent="0.15">
      <c r="A48" s="71" t="s">
        <v>409</v>
      </c>
      <c r="B48" s="3">
        <f>VLOOKUP(A48,mypage_banners!A:F,6,FALSE)</f>
        <v>1</v>
      </c>
      <c r="C48" s="6" t="e">
        <f ca="1">IF($B48="null","",VLOOKUP($B48,OFFSET(#REF!,0,0,COUNTA(#REF!),MATCH(C$1,#REF!,0)-MATCH($B$1,#REF!,0)+1),MATCH(C$1,#REF!,0)-MATCH($B$1,#REF!,0)+1,FALSE))</f>
        <v>#REF!</v>
      </c>
      <c r="D48" s="6" t="e">
        <f ca="1">IF($B48="null","",VLOOKUP($B48,OFFSET(#REF!,0,0,COUNTA(#REF!),MATCH(D$1,#REF!,0)-MATCH($B$1,#REF!,0)+1),MATCH(D$1,#REF!,0)-MATCH($B$1,#REF!,0)+1,FALSE))</f>
        <v>#REF!</v>
      </c>
      <c r="E48" s="6" t="e">
        <f ca="1">IF($B48="null","",VLOOKUP($B48,OFFSET(#REF!,0,0,COUNTA(#REF!),MATCH(E$1,#REF!,0)-MATCH($B$1,#REF!,0)+1),MATCH(E$1,#REF!,0)-MATCH($B$1,#REF!,0)+1,FALSE))</f>
        <v>#REF!</v>
      </c>
      <c r="F48" s="17" t="str">
        <f>VLOOKUP(A48,mypage_banners!A:B,2,FALSE)</f>
        <v>quest40013</v>
      </c>
      <c r="G48" s="9" t="str">
        <f ca="1">VLOOKUP(VALUE(SUBSTITUTE(F48,"quest","")),OFFSET([2]quests!$A$1,0,0,COUNTA([2]quests!$A:$A),MATCH(G$1,[2]quests!$1:$1,0)-MATCH("quest_id",[2]quests!$1:$1,0)+1),MATCH(G$1,[2]quests!$1:$1,0)-MATCH("quest_id",[2]quests!$1:$1,0)+1,FALSE)</f>
        <v>カーマ襲来！</v>
      </c>
      <c r="H48" s="66" t="s">
        <v>268</v>
      </c>
      <c r="I48" s="17" t="str">
        <f>VLOOKUP(A48,mypage_banners!A:E,5,FALSE)</f>
        <v>quest40013.png</v>
      </c>
      <c r="J48" s="20">
        <v>50</v>
      </c>
      <c r="K48" s="20" t="s">
        <v>51</v>
      </c>
      <c r="L48" s="44" t="str">
        <f t="shared" si="0"/>
        <v>4013</v>
      </c>
    </row>
    <row r="49" spans="1:12" x14ac:dyDescent="0.15">
      <c r="A49" s="71" t="s">
        <v>410</v>
      </c>
      <c r="B49" s="3">
        <f>VLOOKUP(A49,mypage_banners!A:F,6,FALSE)</f>
        <v>1</v>
      </c>
      <c r="C49" s="6" t="e">
        <f ca="1">IF($B49="null","",VLOOKUP($B49,OFFSET(#REF!,0,0,COUNTA(#REF!),MATCH(C$1,#REF!,0)-MATCH($B$1,#REF!,0)+1),MATCH(C$1,#REF!,0)-MATCH($B$1,#REF!,0)+1,FALSE))</f>
        <v>#REF!</v>
      </c>
      <c r="D49" s="6" t="e">
        <f ca="1">IF($B49="null","",VLOOKUP($B49,OFFSET(#REF!,0,0,COUNTA(#REF!),MATCH(D$1,#REF!,0)-MATCH($B$1,#REF!,0)+1),MATCH(D$1,#REF!,0)-MATCH($B$1,#REF!,0)+1,FALSE))</f>
        <v>#REF!</v>
      </c>
      <c r="E49" s="6" t="e">
        <f ca="1">IF($B49="null","",VLOOKUP($B49,OFFSET(#REF!,0,0,COUNTA(#REF!),MATCH(E$1,#REF!,0)-MATCH($B$1,#REF!,0)+1),MATCH(E$1,#REF!,0)-MATCH($B$1,#REF!,0)+1,FALSE))</f>
        <v>#REF!</v>
      </c>
      <c r="F49" s="17" t="str">
        <f>VLOOKUP(A49,mypage_banners!A:B,2,FALSE)</f>
        <v>quest40012</v>
      </c>
      <c r="G49" s="9" t="str">
        <f ca="1">VLOOKUP(VALUE(SUBSTITUTE(F49,"quest","")),OFFSET([2]quests!$A$1,0,0,COUNTA([2]quests!$A:$A),MATCH(G$1,[2]quests!$1:$1,0)-MATCH("quest_id",[2]quests!$1:$1,0)+1),MATCH(G$1,[2]quests!$1:$1,0)-MATCH("quest_id",[2]quests!$1:$1,0)+1,FALSE)</f>
        <v>ショウキ襲来！</v>
      </c>
      <c r="H49" s="66" t="s">
        <v>268</v>
      </c>
      <c r="I49" s="17" t="str">
        <f>VLOOKUP(A49,mypage_banners!A:E,5,FALSE)</f>
        <v>quest40012.png</v>
      </c>
      <c r="J49" s="20">
        <v>50</v>
      </c>
      <c r="K49" s="20" t="s">
        <v>51</v>
      </c>
      <c r="L49" s="44" t="str">
        <f t="shared" si="0"/>
        <v>4012</v>
      </c>
    </row>
    <row r="50" spans="1:12" x14ac:dyDescent="0.15">
      <c r="A50" s="71" t="s">
        <v>411</v>
      </c>
      <c r="B50" s="3">
        <f>VLOOKUP(A50,mypage_banners!A:F,6,FALSE)</f>
        <v>1</v>
      </c>
      <c r="C50" s="6" t="e">
        <f ca="1">IF($B50="null","",VLOOKUP($B50,OFFSET(#REF!,0,0,COUNTA(#REF!),MATCH(C$1,#REF!,0)-MATCH($B$1,#REF!,0)+1),MATCH(C$1,#REF!,0)-MATCH($B$1,#REF!,0)+1,FALSE))</f>
        <v>#REF!</v>
      </c>
      <c r="D50" s="6" t="e">
        <f ca="1">IF($B50="null","",VLOOKUP($B50,OFFSET(#REF!,0,0,COUNTA(#REF!),MATCH(D$1,#REF!,0)-MATCH($B$1,#REF!,0)+1),MATCH(D$1,#REF!,0)-MATCH($B$1,#REF!,0)+1,FALSE))</f>
        <v>#REF!</v>
      </c>
      <c r="E50" s="6" t="e">
        <f ca="1">IF($B50="null","",VLOOKUP($B50,OFFSET(#REF!,0,0,COUNTA(#REF!),MATCH(E$1,#REF!,0)-MATCH($B$1,#REF!,0)+1),MATCH(E$1,#REF!,0)-MATCH($B$1,#REF!,0)+1,FALSE))</f>
        <v>#REF!</v>
      </c>
      <c r="F50" s="17" t="str">
        <f>VLOOKUP(A50,mypage_banners!A:B,2,FALSE)</f>
        <v>quest40011</v>
      </c>
      <c r="G50" s="9" t="str">
        <f ca="1">VLOOKUP(VALUE(SUBSTITUTE(F50,"quest","")),OFFSET([2]quests!$A$1,0,0,COUNTA([2]quests!$A:$A),MATCH(G$1,[2]quests!$1:$1,0)-MATCH("quest_id",[2]quests!$1:$1,0)+1),MATCH(G$1,[2]quests!$1:$1,0)-MATCH("quest_id",[2]quests!$1:$1,0)+1,FALSE)</f>
        <v>ヨミ襲来！</v>
      </c>
      <c r="H50" s="66" t="s">
        <v>268</v>
      </c>
      <c r="I50" s="17" t="str">
        <f>VLOOKUP(A50,mypage_banners!A:E,5,FALSE)</f>
        <v>quest40011.png</v>
      </c>
      <c r="J50" s="20">
        <v>50</v>
      </c>
      <c r="K50" s="20" t="s">
        <v>51</v>
      </c>
      <c r="L50" s="44" t="str">
        <f t="shared" si="0"/>
        <v>4011</v>
      </c>
    </row>
    <row r="51" spans="1:12" x14ac:dyDescent="0.15">
      <c r="A51" s="71" t="s">
        <v>412</v>
      </c>
      <c r="B51" s="3">
        <f>VLOOKUP(A51,mypage_banners!A:F,6,FALSE)</f>
        <v>1</v>
      </c>
      <c r="C51" s="6" t="e">
        <f ca="1">IF($B51="null","",VLOOKUP($B51,OFFSET(#REF!,0,0,COUNTA(#REF!),MATCH(C$1,#REF!,0)-MATCH($B$1,#REF!,0)+1),MATCH(C$1,#REF!,0)-MATCH($B$1,#REF!,0)+1,FALSE))</f>
        <v>#REF!</v>
      </c>
      <c r="D51" s="6" t="e">
        <f ca="1">IF($B51="null","",VLOOKUP($B51,OFFSET(#REF!,0,0,COUNTA(#REF!),MATCH(D$1,#REF!,0)-MATCH($B$1,#REF!,0)+1),MATCH(D$1,#REF!,0)-MATCH($B$1,#REF!,0)+1,FALSE))</f>
        <v>#REF!</v>
      </c>
      <c r="E51" s="6" t="e">
        <f ca="1">IF($B51="null","",VLOOKUP($B51,OFFSET(#REF!,0,0,COUNTA(#REF!),MATCH(E$1,#REF!,0)-MATCH($B$1,#REF!,0)+1),MATCH(E$1,#REF!,0)-MATCH($B$1,#REF!,0)+1,FALSE))</f>
        <v>#REF!</v>
      </c>
      <c r="F51" s="17" t="str">
        <f>VLOOKUP(A51,mypage_banners!A:B,2,FALSE)</f>
        <v>quest40010</v>
      </c>
      <c r="G51" s="9" t="str">
        <f ca="1">VLOOKUP(VALUE(SUBSTITUTE(F51,"quest","")),OFFSET([2]quests!$A$1,0,0,COUNTA([2]quests!$A:$A),MATCH(G$1,[2]quests!$1:$1,0)-MATCH("quest_id",[2]quests!$1:$1,0)+1),MATCH(G$1,[2]quests!$1:$1,0)-MATCH("quest_id",[2]quests!$1:$1,0)+1,FALSE)</f>
        <v>フレイ襲来！</v>
      </c>
      <c r="H51" s="66" t="s">
        <v>268</v>
      </c>
      <c r="I51" s="17" t="str">
        <f>VLOOKUP(A51,mypage_banners!A:E,5,FALSE)</f>
        <v>quest40010.png</v>
      </c>
      <c r="J51" s="20">
        <v>50</v>
      </c>
      <c r="K51" s="20" t="s">
        <v>51</v>
      </c>
      <c r="L51" s="44" t="str">
        <f t="shared" si="0"/>
        <v>4010</v>
      </c>
    </row>
    <row r="52" spans="1:12" x14ac:dyDescent="0.15">
      <c r="A52" s="71" t="s">
        <v>413</v>
      </c>
      <c r="B52" s="3">
        <f>VLOOKUP(A52,mypage_banners!A:F,6,FALSE)</f>
        <v>1</v>
      </c>
      <c r="C52" s="6" t="e">
        <f ca="1">IF($B52="null","",VLOOKUP($B52,OFFSET(#REF!,0,0,COUNTA(#REF!),MATCH(C$1,#REF!,0)-MATCH($B$1,#REF!,0)+1),MATCH(C$1,#REF!,0)-MATCH($B$1,#REF!,0)+1,FALSE))</f>
        <v>#REF!</v>
      </c>
      <c r="D52" s="6" t="e">
        <f ca="1">IF($B52="null","",VLOOKUP($B52,OFFSET(#REF!,0,0,COUNTA(#REF!),MATCH(D$1,#REF!,0)-MATCH($B$1,#REF!,0)+1),MATCH(D$1,#REF!,0)-MATCH($B$1,#REF!,0)+1,FALSE))</f>
        <v>#REF!</v>
      </c>
      <c r="E52" s="6" t="e">
        <f ca="1">IF($B52="null","",VLOOKUP($B52,OFFSET(#REF!,0,0,COUNTA(#REF!),MATCH(E$1,#REF!,0)-MATCH($B$1,#REF!,0)+1),MATCH(E$1,#REF!,0)-MATCH($B$1,#REF!,0)+1,FALSE))</f>
        <v>#REF!</v>
      </c>
      <c r="F52" s="17" t="str">
        <f>VLOOKUP(A52,mypage_banners!A:B,2,FALSE)</f>
        <v>quest40009</v>
      </c>
      <c r="G52" s="9" t="str">
        <f ca="1">VLOOKUP(VALUE(SUBSTITUTE(F52,"quest","")),OFFSET([2]quests!$A$1,0,0,COUNTA([2]quests!$A:$A),MATCH(G$1,[2]quests!$1:$1,0)-MATCH("quest_id",[2]quests!$1:$1,0)+1),MATCH(G$1,[2]quests!$1:$1,0)-MATCH("quest_id",[2]quests!$1:$1,0)+1,FALSE)</f>
        <v>フギンとムニン襲来！</v>
      </c>
      <c r="H52" s="66" t="s">
        <v>268</v>
      </c>
      <c r="I52" s="17" t="str">
        <f>VLOOKUP(A52,mypage_banners!A:E,5,FALSE)</f>
        <v>quest40009.png</v>
      </c>
      <c r="J52" s="20">
        <v>50</v>
      </c>
      <c r="K52" s="20" t="s">
        <v>51</v>
      </c>
      <c r="L52" s="44" t="str">
        <f t="shared" si="0"/>
        <v>4009</v>
      </c>
    </row>
    <row r="53" spans="1:12" x14ac:dyDescent="0.15">
      <c r="A53" s="72" t="s">
        <v>418</v>
      </c>
      <c r="B53" s="3">
        <f>VLOOKUP(A53,mypage_banners!A:F,6,FALSE)</f>
        <v>1</v>
      </c>
      <c r="C53" s="6" t="e">
        <f ca="1">IF($B53="null","",VLOOKUP($B53,OFFSET(#REF!,0,0,COUNTA(#REF!),MATCH(C$1,#REF!,0)-MATCH($B$1,#REF!,0)+1),MATCH(C$1,#REF!,0)-MATCH($B$1,#REF!,0)+1,FALSE))</f>
        <v>#REF!</v>
      </c>
      <c r="D53" s="6" t="e">
        <f ca="1">IF($B53="null","",VLOOKUP($B53,OFFSET(#REF!,0,0,COUNTA(#REF!),MATCH(D$1,#REF!,0)-MATCH($B$1,#REF!,0)+1),MATCH(D$1,#REF!,0)-MATCH($B$1,#REF!,0)+1,FALSE))</f>
        <v>#REF!</v>
      </c>
      <c r="E53" s="6" t="e">
        <f ca="1">IF($B53="null","",VLOOKUP($B53,OFFSET(#REF!,0,0,COUNTA(#REF!),MATCH(E$1,#REF!,0)-MATCH($B$1,#REF!,0)+1),MATCH(E$1,#REF!,0)-MATCH($B$1,#REF!,0)+1,FALSE))</f>
        <v>#REF!</v>
      </c>
      <c r="F53" s="17" t="str">
        <f>VLOOKUP(A53,mypage_banners!A:B,2,FALSE)</f>
        <v>quest30034</v>
      </c>
      <c r="G53" s="9" t="str">
        <f ca="1">VLOOKUP(VALUE(SUBSTITUTE(F53,"quest","")),OFFSET([2]quests!$A$1,0,0,COUNTA([2]quests!$A:$A),MATCH(G$1,[2]quests!$1:$1,0)-MATCH("quest_id",[2]quests!$1:$1,0)+1),MATCH(G$1,[2]quests!$1:$1,0)-MATCH("quest_id",[2]quests!$1:$1,0)+1,FALSE)</f>
        <v>孤高の焔翼</v>
      </c>
      <c r="H53" s="66" t="s">
        <v>268</v>
      </c>
      <c r="I53" s="17" t="str">
        <f>VLOOKUP(A53,mypage_banners!A:E,5,FALSE)</f>
        <v>quest30034.png</v>
      </c>
      <c r="J53" s="20">
        <v>30</v>
      </c>
      <c r="K53" s="20" t="s">
        <v>51</v>
      </c>
      <c r="L53" s="44" t="str">
        <f t="shared" si="0"/>
        <v>3034</v>
      </c>
    </row>
    <row r="54" spans="1:12" x14ac:dyDescent="0.15">
      <c r="A54" s="72" t="s">
        <v>419</v>
      </c>
      <c r="B54" s="3">
        <f>VLOOKUP(A54,mypage_banners!A:F,6,FALSE)</f>
        <v>1</v>
      </c>
      <c r="C54" s="6"/>
      <c r="D54" s="6"/>
      <c r="E54" s="6"/>
      <c r="F54" s="17" t="str">
        <f>VLOOKUP(A54,mypage_banners!A:B,2,FALSE)</f>
        <v>quest30033</v>
      </c>
      <c r="G54" s="9" t="str">
        <f ca="1">VLOOKUP(VALUE(SUBSTITUTE(F54,"quest","")),OFFSET([2]quests!$A$1,0,0,COUNTA([2]quests!$A:$A),MATCH(G$1,[2]quests!$1:$1,0)-MATCH("quest_id",[2]quests!$1:$1,0)+1),MATCH(G$1,[2]quests!$1:$1,0)-MATCH("quest_id",[2]quests!$1:$1,0)+1,FALSE)</f>
        <v>御館様の懐刀</v>
      </c>
      <c r="H54" s="66" t="s">
        <v>268</v>
      </c>
      <c r="I54" s="17" t="str">
        <f>VLOOKUP(A54,mypage_banners!A:E,5,FALSE)</f>
        <v>quest30033.png</v>
      </c>
      <c r="J54" s="20">
        <v>30</v>
      </c>
      <c r="K54" s="20" t="s">
        <v>51</v>
      </c>
      <c r="L54" s="44" t="str">
        <f t="shared" si="0"/>
        <v>3033</v>
      </c>
    </row>
    <row r="55" spans="1:12" x14ac:dyDescent="0.15">
      <c r="A55" s="72" t="s">
        <v>420</v>
      </c>
      <c r="B55" s="3">
        <f>VLOOKUP(A55,mypage_banners!A:F,6,FALSE)</f>
        <v>1</v>
      </c>
      <c r="C55" s="6"/>
      <c r="D55" s="6"/>
      <c r="E55" s="6"/>
      <c r="F55" s="17" t="str">
        <f>VLOOKUP(A55,mypage_banners!A:B,2,FALSE)</f>
        <v>quest30032</v>
      </c>
      <c r="G55" s="9" t="str">
        <f ca="1">VLOOKUP(VALUE(SUBSTITUTE(F55,"quest","")),OFFSET([2]quests!$A$1,0,0,COUNTA([2]quests!$A:$A),MATCH(G$1,[2]quests!$1:$1,0)-MATCH("quest_id",[2]quests!$1:$1,0)+1),MATCH(G$1,[2]quests!$1:$1,0)-MATCH("quest_id",[2]quests!$1:$1,0)+1,FALSE)</f>
        <v>赤き竜の制裁</v>
      </c>
      <c r="H55" s="66" t="s">
        <v>268</v>
      </c>
      <c r="I55" s="17" t="str">
        <f>VLOOKUP(A55,mypage_banners!A:E,5,FALSE)</f>
        <v>quest30032.png</v>
      </c>
      <c r="J55" s="20">
        <v>30</v>
      </c>
      <c r="K55" s="20" t="s">
        <v>51</v>
      </c>
      <c r="L55" s="44" t="str">
        <f t="shared" si="0"/>
        <v>3032</v>
      </c>
    </row>
    <row r="56" spans="1:12" x14ac:dyDescent="0.15">
      <c r="A56" s="72" t="s">
        <v>421</v>
      </c>
      <c r="B56" s="3">
        <f>VLOOKUP(A56,mypage_banners!A:F,6,FALSE)</f>
        <v>1</v>
      </c>
      <c r="C56" s="6"/>
      <c r="D56" s="6"/>
      <c r="E56" s="6"/>
      <c r="F56" s="17" t="str">
        <f>VLOOKUP(A56,mypage_banners!A:B,2,FALSE)</f>
        <v>quest30031</v>
      </c>
      <c r="G56" s="9" t="str">
        <f ca="1">VLOOKUP(VALUE(SUBSTITUTE(F56,"quest","")),OFFSET([2]quests!$A$1,0,0,COUNTA([2]quests!$A:$A),MATCH(G$1,[2]quests!$1:$1,0)-MATCH("quest_id",[2]quests!$1:$1,0)+1),MATCH(G$1,[2]quests!$1:$1,0)-MATCH("quest_id",[2]quests!$1:$1,0)+1,FALSE)</f>
        <v>力への羨望</v>
      </c>
      <c r="H56" s="66" t="s">
        <v>268</v>
      </c>
      <c r="I56" s="17" t="str">
        <f>VLOOKUP(A56,mypage_banners!A:E,5,FALSE)</f>
        <v>quest30031.png</v>
      </c>
      <c r="J56" s="20">
        <v>30</v>
      </c>
      <c r="K56" s="20" t="s">
        <v>51</v>
      </c>
      <c r="L56" s="44" t="str">
        <f t="shared" si="0"/>
        <v>3031</v>
      </c>
    </row>
    <row r="57" spans="1:12" x14ac:dyDescent="0.15">
      <c r="A57" s="72" t="s">
        <v>422</v>
      </c>
      <c r="B57" s="3">
        <f>VLOOKUP(A57,mypage_banners!A:F,6,FALSE)</f>
        <v>1</v>
      </c>
      <c r="C57" s="6"/>
      <c r="D57" s="6"/>
      <c r="E57" s="6"/>
      <c r="F57" s="17" t="str">
        <f>VLOOKUP(A57,mypage_banners!A:B,2,FALSE)</f>
        <v>quest30030</v>
      </c>
      <c r="G57" s="9" t="str">
        <f ca="1">VLOOKUP(VALUE(SUBSTITUTE(F57,"quest","")),OFFSET([2]quests!$A$1,0,0,COUNTA([2]quests!$A:$A),MATCH(G$1,[2]quests!$1:$1,0)-MATCH("quest_id",[2]quests!$1:$1,0)+1),MATCH(G$1,[2]quests!$1:$1,0)-MATCH("quest_id",[2]quests!$1:$1,0)+1,FALSE)</f>
        <v>ここは誰の箱庭じゃ？</v>
      </c>
      <c r="H57" s="66" t="s">
        <v>268</v>
      </c>
      <c r="I57" s="17" t="str">
        <f>VLOOKUP(A57,mypage_banners!A:E,5,FALSE)</f>
        <v>quest30030.png</v>
      </c>
      <c r="J57" s="20">
        <v>30</v>
      </c>
      <c r="K57" s="20" t="s">
        <v>51</v>
      </c>
      <c r="L57" s="44" t="str">
        <f t="shared" si="0"/>
        <v>3030</v>
      </c>
    </row>
    <row r="58" spans="1:12" x14ac:dyDescent="0.15">
      <c r="A58" s="72" t="s">
        <v>423</v>
      </c>
      <c r="B58" s="3">
        <f>VLOOKUP(A58,mypage_banners!A:F,6,FALSE)</f>
        <v>1</v>
      </c>
      <c r="C58" s="6"/>
      <c r="D58" s="6"/>
      <c r="E58" s="6"/>
      <c r="F58" s="17" t="str">
        <f>VLOOKUP(A58,mypage_banners!A:B,2,FALSE)</f>
        <v>quest30029</v>
      </c>
      <c r="G58" s="9" t="str">
        <f ca="1">VLOOKUP(VALUE(SUBSTITUTE(F58,"quest","")),OFFSET([2]quests!$A$1,0,0,COUNTA([2]quests!$A:$A),MATCH(G$1,[2]quests!$1:$1,0)-MATCH("quest_id",[2]quests!$1:$1,0)+1),MATCH(G$1,[2]quests!$1:$1,0)-MATCH("quest_id",[2]quests!$1:$1,0)+1,FALSE)</f>
        <v>全ては主のために</v>
      </c>
      <c r="H58" s="66" t="s">
        <v>268</v>
      </c>
      <c r="I58" s="17" t="str">
        <f>VLOOKUP(A58,mypage_banners!A:E,5,FALSE)</f>
        <v>quest30029.png</v>
      </c>
      <c r="J58" s="20">
        <v>30</v>
      </c>
      <c r="K58" s="20" t="s">
        <v>51</v>
      </c>
      <c r="L58" s="44" t="str">
        <f t="shared" si="0"/>
        <v>3029</v>
      </c>
    </row>
    <row r="59" spans="1:12" x14ac:dyDescent="0.15">
      <c r="A59" s="72" t="s">
        <v>424</v>
      </c>
      <c r="B59" s="3">
        <f>VLOOKUP(A59,mypage_banners!A:F,6,FALSE)</f>
        <v>1</v>
      </c>
      <c r="C59" s="6"/>
      <c r="D59" s="6"/>
      <c r="E59" s="6"/>
      <c r="F59" s="17" t="str">
        <f>VLOOKUP(A59,mypage_banners!A:B,2,FALSE)</f>
        <v>quest30028</v>
      </c>
      <c r="G59" s="9" t="str">
        <f ca="1">VLOOKUP(VALUE(SUBSTITUTE(F59,"quest","")),OFFSET([2]quests!$A$1,0,0,COUNTA([2]quests!$A:$A),MATCH(G$1,[2]quests!$1:$1,0)-MATCH("quest_id",[2]quests!$1:$1,0)+1),MATCH(G$1,[2]quests!$1:$1,0)-MATCH("quest_id",[2]quests!$1:$1,0)+1,FALSE)</f>
        <v>最悪の刺客</v>
      </c>
      <c r="H59" s="66" t="s">
        <v>268</v>
      </c>
      <c r="I59" s="17" t="str">
        <f>VLOOKUP(A59,mypage_banners!A:E,5,FALSE)</f>
        <v>quest30028.png</v>
      </c>
      <c r="J59" s="20">
        <v>30</v>
      </c>
      <c r="K59" s="20" t="s">
        <v>51</v>
      </c>
      <c r="L59" s="44" t="str">
        <f t="shared" si="0"/>
        <v>3028</v>
      </c>
    </row>
    <row r="60" spans="1:12" x14ac:dyDescent="0.15">
      <c r="A60" s="72" t="s">
        <v>425</v>
      </c>
      <c r="B60" s="3">
        <f>VLOOKUP(A60,mypage_banners!A:F,6,FALSE)</f>
        <v>1</v>
      </c>
      <c r="C60" s="6" t="e">
        <f ca="1">IF($B60="null","",VLOOKUP($B60,OFFSET(#REF!,0,0,COUNTA(#REF!),MATCH(C$1,#REF!,0)-MATCH($B$1,#REF!,0)+1),MATCH(C$1,#REF!,0)-MATCH($B$1,#REF!,0)+1,FALSE))</f>
        <v>#REF!</v>
      </c>
      <c r="D60" s="6" t="e">
        <f ca="1">IF($B60="null","",VLOOKUP($B60,OFFSET(#REF!,0,0,COUNTA(#REF!),MATCH(D$1,#REF!,0)-MATCH($B$1,#REF!,0)+1),MATCH(D$1,#REF!,0)-MATCH($B$1,#REF!,0)+1,FALSE))</f>
        <v>#REF!</v>
      </c>
      <c r="E60" s="6" t="e">
        <f ca="1">IF($B60="null","",VLOOKUP($B60,OFFSET(#REF!,0,0,COUNTA(#REF!),MATCH(E$1,#REF!,0)-MATCH($B$1,#REF!,0)+1),MATCH(E$1,#REF!,0)-MATCH($B$1,#REF!,0)+1,FALSE))</f>
        <v>#REF!</v>
      </c>
      <c r="F60" s="17" t="str">
        <f>VLOOKUP(A60,mypage_banners!A:B,2,FALSE)</f>
        <v>quest30027</v>
      </c>
      <c r="G60" s="9" t="str">
        <f ca="1">VLOOKUP(VALUE(SUBSTITUTE(F60,"quest","")),OFFSET([2]quests!$A$1,0,0,COUNTA([2]quests!$A:$A),MATCH(G$1,[2]quests!$1:$1,0)-MATCH("quest_id",[2]quests!$1:$1,0)+1),MATCH(G$1,[2]quests!$1:$1,0)-MATCH("quest_id",[2]quests!$1:$1,0)+1,FALSE)</f>
        <v>凍りつくまで愛してあげる</v>
      </c>
      <c r="H60" s="66" t="s">
        <v>268</v>
      </c>
      <c r="I60" s="17" t="str">
        <f>VLOOKUP(A60,mypage_banners!A:E,5,FALSE)</f>
        <v>quest30027.png</v>
      </c>
      <c r="J60" s="20">
        <v>30</v>
      </c>
      <c r="K60" s="20" t="s">
        <v>51</v>
      </c>
      <c r="L60" s="44" t="str">
        <f t="shared" si="0"/>
        <v>3027</v>
      </c>
    </row>
    <row r="61" spans="1:12" x14ac:dyDescent="0.15">
      <c r="A61" s="72" t="s">
        <v>426</v>
      </c>
      <c r="B61" s="3">
        <f>VLOOKUP(A61,mypage_banners!A:F,6,FALSE)</f>
        <v>1</v>
      </c>
      <c r="C61" s="6" t="e">
        <f ca="1">IF($B61="null","",VLOOKUP($B61,OFFSET(#REF!,0,0,COUNTA(#REF!),MATCH(C$1,#REF!,0)-MATCH($B$1,#REF!,0)+1),MATCH(C$1,#REF!,0)-MATCH($B$1,#REF!,0)+1,FALSE))</f>
        <v>#REF!</v>
      </c>
      <c r="D61" s="6" t="e">
        <f ca="1">IF($B61="null","",VLOOKUP($B61,OFFSET(#REF!,0,0,COUNTA(#REF!),MATCH(D$1,#REF!,0)-MATCH($B$1,#REF!,0)+1),MATCH(D$1,#REF!,0)-MATCH($B$1,#REF!,0)+1,FALSE))</f>
        <v>#REF!</v>
      </c>
      <c r="E61" s="6" t="e">
        <f ca="1">IF($B61="null","",VLOOKUP($B61,OFFSET(#REF!,0,0,COUNTA(#REF!),MATCH(E$1,#REF!,0)-MATCH($B$1,#REF!,0)+1),MATCH(E$1,#REF!,0)-MATCH($B$1,#REF!,0)+1,FALSE))</f>
        <v>#REF!</v>
      </c>
      <c r="F61" s="17" t="str">
        <f>VLOOKUP(A61,mypage_banners!A:B,2,FALSE)</f>
        <v>quest30026</v>
      </c>
      <c r="G61" s="9" t="str">
        <f ca="1">VLOOKUP(VALUE(SUBSTITUTE(F61,"quest","")),OFFSET([2]quests!$A$1,0,0,COUNTA([2]quests!$A:$A),MATCH(G$1,[2]quests!$1:$1,0)-MATCH("quest_id",[2]quests!$1:$1,0)+1),MATCH(G$1,[2]quests!$1:$1,0)-MATCH("quest_id",[2]quests!$1:$1,0)+1,FALSE)</f>
        <v>道を阻む妖精夫婦</v>
      </c>
      <c r="H61" s="66" t="s">
        <v>268</v>
      </c>
      <c r="I61" s="17" t="str">
        <f>VLOOKUP(A61,mypage_banners!A:E,5,FALSE)</f>
        <v>quest30026.png</v>
      </c>
      <c r="J61" s="20">
        <v>30</v>
      </c>
      <c r="K61" s="20" t="s">
        <v>51</v>
      </c>
      <c r="L61" s="44" t="str">
        <f t="shared" si="0"/>
        <v>3026</v>
      </c>
    </row>
    <row r="62" spans="1:12" x14ac:dyDescent="0.15">
      <c r="A62" s="72" t="s">
        <v>427</v>
      </c>
      <c r="B62" s="3">
        <f>VLOOKUP(A62,mypage_banners!A:F,6,FALSE)</f>
        <v>1</v>
      </c>
      <c r="C62" s="6" t="e">
        <f ca="1">IF($B62="null","",VLOOKUP($B62,OFFSET(#REF!,0,0,COUNTA(#REF!),MATCH(C$1,#REF!,0)-MATCH($B$1,#REF!,0)+1),MATCH(C$1,#REF!,0)-MATCH($B$1,#REF!,0)+1,FALSE))</f>
        <v>#REF!</v>
      </c>
      <c r="D62" s="6" t="e">
        <f ca="1">IF($B62="null","",VLOOKUP($B62,OFFSET(#REF!,0,0,COUNTA(#REF!),MATCH(D$1,#REF!,0)-MATCH($B$1,#REF!,0)+1),MATCH(D$1,#REF!,0)-MATCH($B$1,#REF!,0)+1,FALSE))</f>
        <v>#REF!</v>
      </c>
      <c r="E62" s="6" t="e">
        <f ca="1">IF($B62="null","",VLOOKUP($B62,OFFSET(#REF!,0,0,COUNTA(#REF!),MATCH(E$1,#REF!,0)-MATCH($B$1,#REF!,0)+1),MATCH(E$1,#REF!,0)-MATCH($B$1,#REF!,0)+1,FALSE))</f>
        <v>#REF!</v>
      </c>
      <c r="F62" s="17" t="str">
        <f>VLOOKUP(A62,mypage_banners!A:B,2,FALSE)</f>
        <v>quest30025</v>
      </c>
      <c r="G62" s="9" t="str">
        <f ca="1">VLOOKUP(VALUE(SUBSTITUTE(F62,"quest","")),OFFSET([2]quests!$A$1,0,0,COUNTA([2]quests!$A:$A),MATCH(G$1,[2]quests!$1:$1,0)-MATCH("quest_id",[2]quests!$1:$1,0)+1),MATCH(G$1,[2]quests!$1:$1,0)-MATCH("quest_id",[2]quests!$1:$1,0)+1,FALSE)</f>
        <v>真実の探求者</v>
      </c>
      <c r="H62" s="66" t="s">
        <v>268</v>
      </c>
      <c r="I62" s="17" t="str">
        <f>VLOOKUP(A62,mypage_banners!A:E,5,FALSE)</f>
        <v>quest30025.png</v>
      </c>
      <c r="J62" s="20">
        <v>30</v>
      </c>
      <c r="K62" s="20" t="s">
        <v>51</v>
      </c>
      <c r="L62" s="44" t="str">
        <f t="shared" si="0"/>
        <v>3025</v>
      </c>
    </row>
    <row r="63" spans="1:12" x14ac:dyDescent="0.15">
      <c r="A63" s="72" t="s">
        <v>428</v>
      </c>
      <c r="B63" s="3">
        <f>VLOOKUP(A63,mypage_banners!A:F,6,FALSE)</f>
        <v>1</v>
      </c>
      <c r="C63" s="6" t="e">
        <f ca="1">IF($B63="null","",VLOOKUP($B63,OFFSET(#REF!,0,0,COUNTA(#REF!),MATCH(C$1,#REF!,0)-MATCH($B$1,#REF!,0)+1),MATCH(C$1,#REF!,0)-MATCH($B$1,#REF!,0)+1,FALSE))</f>
        <v>#REF!</v>
      </c>
      <c r="D63" s="6" t="e">
        <f ca="1">IF($B63="null","",VLOOKUP($B63,OFFSET(#REF!,0,0,COUNTA(#REF!),MATCH(D$1,#REF!,0)-MATCH($B$1,#REF!,0)+1),MATCH(D$1,#REF!,0)-MATCH($B$1,#REF!,0)+1,FALSE))</f>
        <v>#REF!</v>
      </c>
      <c r="E63" s="6" t="e">
        <f ca="1">IF($B63="null","",VLOOKUP($B63,OFFSET(#REF!,0,0,COUNTA(#REF!),MATCH(E$1,#REF!,0)-MATCH($B$1,#REF!,0)+1),MATCH(E$1,#REF!,0)-MATCH($B$1,#REF!,0)+1,FALSE))</f>
        <v>#REF!</v>
      </c>
      <c r="F63" s="17" t="str">
        <f>VLOOKUP(A63,mypage_banners!A:B,2,FALSE)</f>
        <v>quest30024</v>
      </c>
      <c r="G63" s="9" t="str">
        <f ca="1">VLOOKUP(VALUE(SUBSTITUTE(F63,"quest","")),OFFSET([2]quests!$A$1,0,0,COUNTA([2]quests!$A:$A),MATCH(G$1,[2]quests!$1:$1,0)-MATCH("quest_id",[2]quests!$1:$1,0)+1),MATCH(G$1,[2]quests!$1:$1,0)-MATCH("quest_id",[2]quests!$1:$1,0)+1,FALSE)</f>
        <v>雷鎚の選定</v>
      </c>
      <c r="H63" s="66" t="s">
        <v>268</v>
      </c>
      <c r="I63" s="17" t="str">
        <f>VLOOKUP(A63,mypage_banners!A:E,5,FALSE)</f>
        <v>quest30024.png</v>
      </c>
      <c r="J63" s="20">
        <v>30</v>
      </c>
      <c r="K63" s="20" t="s">
        <v>51</v>
      </c>
      <c r="L63" s="44" t="str">
        <f t="shared" si="0"/>
        <v>3024</v>
      </c>
    </row>
    <row r="64" spans="1:12" x14ac:dyDescent="0.15">
      <c r="A64" s="72" t="s">
        <v>429</v>
      </c>
      <c r="B64" s="3">
        <f>VLOOKUP(A64,mypage_banners!A:F,6,FALSE)</f>
        <v>1</v>
      </c>
      <c r="C64" s="6" t="e">
        <f ca="1">IF($B64="null","",VLOOKUP($B64,OFFSET(#REF!,0,0,COUNTA(#REF!),MATCH(C$1,#REF!,0)-MATCH($B$1,#REF!,0)+1),MATCH(C$1,#REF!,0)-MATCH($B$1,#REF!,0)+1,FALSE))</f>
        <v>#REF!</v>
      </c>
      <c r="D64" s="6" t="e">
        <f ca="1">IF($B64="null","",VLOOKUP($B64,OFFSET(#REF!,0,0,COUNTA(#REF!),MATCH(D$1,#REF!,0)-MATCH($B$1,#REF!,0)+1),MATCH(D$1,#REF!,0)-MATCH($B$1,#REF!,0)+1,FALSE))</f>
        <v>#REF!</v>
      </c>
      <c r="E64" s="6" t="e">
        <f ca="1">IF($B64="null","",VLOOKUP($B64,OFFSET(#REF!,0,0,COUNTA(#REF!),MATCH(E$1,#REF!,0)-MATCH($B$1,#REF!,0)+1),MATCH(E$1,#REF!,0)-MATCH($B$1,#REF!,0)+1,FALSE))</f>
        <v>#REF!</v>
      </c>
      <c r="F64" s="17" t="str">
        <f>VLOOKUP(A64,mypage_banners!A:B,2,FALSE)</f>
        <v>quest30023</v>
      </c>
      <c r="G64" s="9" t="str">
        <f ca="1">VLOOKUP(VALUE(SUBSTITUTE(F64,"quest","")),OFFSET([2]quests!$A$1,0,0,COUNTA([2]quests!$A:$A),MATCH(G$1,[2]quests!$1:$1,0)-MATCH("quest_id",[2]quests!$1:$1,0)+1),MATCH(G$1,[2]quests!$1:$1,0)-MATCH("quest_id",[2]quests!$1:$1,0)+1,FALSE)</f>
        <v>隔離からのエスケイプ</v>
      </c>
      <c r="H64" s="66" t="s">
        <v>268</v>
      </c>
      <c r="I64" s="17" t="str">
        <f>VLOOKUP(A64,mypage_banners!A:E,5,FALSE)</f>
        <v>quest30023.png</v>
      </c>
      <c r="J64" s="20">
        <v>30</v>
      </c>
      <c r="K64" s="20" t="s">
        <v>51</v>
      </c>
      <c r="L64" s="44" t="str">
        <f t="shared" si="0"/>
        <v>3023</v>
      </c>
    </row>
    <row r="65" spans="1:12" x14ac:dyDescent="0.15">
      <c r="A65" s="72" t="s">
        <v>430</v>
      </c>
      <c r="B65" s="3">
        <f>VLOOKUP(A65,mypage_banners!A:F,6,FALSE)</f>
        <v>1</v>
      </c>
      <c r="C65" s="6" t="e">
        <f ca="1">IF($B65="null","",VLOOKUP($B65,OFFSET(#REF!,0,0,COUNTA(#REF!),MATCH(C$1,#REF!,0)-MATCH($B$1,#REF!,0)+1),MATCH(C$1,#REF!,0)-MATCH($B$1,#REF!,0)+1,FALSE))</f>
        <v>#REF!</v>
      </c>
      <c r="D65" s="6" t="e">
        <f ca="1">IF($B65="null","",VLOOKUP($B65,OFFSET(#REF!,0,0,COUNTA(#REF!),MATCH(D$1,#REF!,0)-MATCH($B$1,#REF!,0)+1),MATCH(D$1,#REF!,0)-MATCH($B$1,#REF!,0)+1,FALSE))</f>
        <v>#REF!</v>
      </c>
      <c r="E65" s="6" t="e">
        <f ca="1">IF($B65="null","",VLOOKUP($B65,OFFSET(#REF!,0,0,COUNTA(#REF!),MATCH(E$1,#REF!,0)-MATCH($B$1,#REF!,0)+1),MATCH(E$1,#REF!,0)-MATCH($B$1,#REF!,0)+1,FALSE))</f>
        <v>#REF!</v>
      </c>
      <c r="F65" s="17" t="str">
        <f>VLOOKUP(A65,mypage_banners!A:B,2,FALSE)</f>
        <v>quest30022</v>
      </c>
      <c r="G65" s="9" t="str">
        <f ca="1">VLOOKUP(VALUE(SUBSTITUTE(F65,"quest","")),OFFSET([2]quests!$A$1,0,0,COUNTA([2]quests!$A:$A),MATCH(G$1,[2]quests!$1:$1,0)-MATCH("quest_id",[2]quests!$1:$1,0)+1),MATCH(G$1,[2]quests!$1:$1,0)-MATCH("quest_id",[2]quests!$1:$1,0)+1,FALSE)</f>
        <v>凶鼠ネコを咬む</v>
      </c>
      <c r="H65" s="66" t="s">
        <v>268</v>
      </c>
      <c r="I65" s="17" t="str">
        <f>VLOOKUP(A65,mypage_banners!A:E,5,FALSE)</f>
        <v>quest30022.png</v>
      </c>
      <c r="J65" s="20">
        <v>35</v>
      </c>
      <c r="K65" s="20" t="s">
        <v>51</v>
      </c>
      <c r="L65" s="44" t="str">
        <f t="shared" si="0"/>
        <v>3022</v>
      </c>
    </row>
    <row r="66" spans="1:12" x14ac:dyDescent="0.15">
      <c r="A66" s="72" t="s">
        <v>431</v>
      </c>
      <c r="B66" s="3">
        <f>VLOOKUP(A66,mypage_banners!A:F,6,FALSE)</f>
        <v>1</v>
      </c>
      <c r="C66" s="6" t="e">
        <f ca="1">IF($B66="null","",VLOOKUP($B66,OFFSET(#REF!,0,0,COUNTA(#REF!),MATCH(C$1,#REF!,0)-MATCH($B$1,#REF!,0)+1),MATCH(C$1,#REF!,0)-MATCH($B$1,#REF!,0)+1,FALSE))</f>
        <v>#REF!</v>
      </c>
      <c r="D66" s="6" t="e">
        <f ca="1">IF($B66="null","",VLOOKUP($B66,OFFSET(#REF!,0,0,COUNTA(#REF!),MATCH(D$1,#REF!,0)-MATCH($B$1,#REF!,0)+1),MATCH(D$1,#REF!,0)-MATCH($B$1,#REF!,0)+1,FALSE))</f>
        <v>#REF!</v>
      </c>
      <c r="E66" s="6" t="e">
        <f ca="1">IF($B66="null","",VLOOKUP($B66,OFFSET(#REF!,0,0,COUNTA(#REF!),MATCH(E$1,#REF!,0)-MATCH($B$1,#REF!,0)+1),MATCH(E$1,#REF!,0)-MATCH($B$1,#REF!,0)+1,FALSE))</f>
        <v>#REF!</v>
      </c>
      <c r="F66" s="17" t="str">
        <f>VLOOKUP(A66,mypage_banners!A:B,2,FALSE)</f>
        <v>quest30021</v>
      </c>
      <c r="G66" s="9" t="str">
        <f ca="1">VLOOKUP(VALUE(SUBSTITUTE(F66,"quest","")),OFFSET([2]quests!$A$1,0,0,COUNTA([2]quests!$A:$A),MATCH(G$1,[2]quests!$1:$1,0)-MATCH("quest_id",[2]quests!$1:$1,0)+1),MATCH(G$1,[2]quests!$1:$1,0)-MATCH("quest_id",[2]quests!$1:$1,0)+1,FALSE)</f>
        <v>野獣死すべしっ！</v>
      </c>
      <c r="H66" s="66" t="s">
        <v>268</v>
      </c>
      <c r="I66" s="17" t="str">
        <f>VLOOKUP(A66,mypage_banners!A:E,5,FALSE)</f>
        <v>quest30021.png</v>
      </c>
      <c r="J66" s="20">
        <v>35</v>
      </c>
      <c r="K66" s="20" t="s">
        <v>51</v>
      </c>
      <c r="L66" s="44" t="str">
        <f t="shared" si="0"/>
        <v>3021</v>
      </c>
    </row>
    <row r="67" spans="1:12" x14ac:dyDescent="0.15">
      <c r="A67" s="72" t="s">
        <v>432</v>
      </c>
      <c r="B67" s="3">
        <f>VLOOKUP(A67,mypage_banners!A:F,6,FALSE)</f>
        <v>1</v>
      </c>
      <c r="C67" s="6" t="e">
        <f ca="1">IF($B67="null","",VLOOKUP($B67,OFFSET(#REF!,0,0,COUNTA(#REF!),MATCH(C$1,#REF!,0)-MATCH($B$1,#REF!,0)+1),MATCH(C$1,#REF!,0)-MATCH($B$1,#REF!,0)+1,FALSE))</f>
        <v>#REF!</v>
      </c>
      <c r="D67" s="6" t="e">
        <f ca="1">IF($B67="null","",VLOOKUP($B67,OFFSET(#REF!,0,0,COUNTA(#REF!),MATCH(D$1,#REF!,0)-MATCH($B$1,#REF!,0)+1),MATCH(D$1,#REF!,0)-MATCH($B$1,#REF!,0)+1,FALSE))</f>
        <v>#REF!</v>
      </c>
      <c r="E67" s="6" t="e">
        <f ca="1">IF($B67="null","",VLOOKUP($B67,OFFSET(#REF!,0,0,COUNTA(#REF!),MATCH(E$1,#REF!,0)-MATCH($B$1,#REF!,0)+1),MATCH(E$1,#REF!,0)-MATCH($B$1,#REF!,0)+1,FALSE))</f>
        <v>#REF!</v>
      </c>
      <c r="F67" s="17" t="str">
        <f>VLOOKUP(A67,mypage_banners!A:B,2,FALSE)</f>
        <v>quest30020</v>
      </c>
      <c r="G67" s="9" t="str">
        <f ca="1">VLOOKUP(VALUE(SUBSTITUTE(F67,"quest","")),OFFSET([2]quests!$A$1,0,0,COUNTA([2]quests!$A:$A),MATCH(G$1,[2]quests!$1:$1,0)-MATCH("quest_id",[2]quests!$1:$1,0)+1),MATCH(G$1,[2]quests!$1:$1,0)-MATCH("quest_id",[2]quests!$1:$1,0)+1,FALSE)</f>
        <v>若造よ、身の程を知れ</v>
      </c>
      <c r="H67" s="66" t="s">
        <v>268</v>
      </c>
      <c r="I67" s="17" t="str">
        <f>VLOOKUP(A67,mypage_banners!A:E,5,FALSE)</f>
        <v>quest30020.png</v>
      </c>
      <c r="J67" s="20">
        <v>35</v>
      </c>
      <c r="K67" s="20" t="s">
        <v>51</v>
      </c>
      <c r="L67" s="44" t="str">
        <f t="shared" si="0"/>
        <v>3020</v>
      </c>
    </row>
    <row r="68" spans="1:12" x14ac:dyDescent="0.15">
      <c r="A68" s="72" t="s">
        <v>433</v>
      </c>
      <c r="B68" s="3">
        <f>VLOOKUP(A68,mypage_banners!A:F,6,FALSE)</f>
        <v>1</v>
      </c>
      <c r="C68" s="6" t="e">
        <f ca="1">IF($B68="null","",VLOOKUP($B68,OFFSET(#REF!,0,0,COUNTA(#REF!),MATCH(C$1,#REF!,0)-MATCH($B$1,#REF!,0)+1),MATCH(C$1,#REF!,0)-MATCH($B$1,#REF!,0)+1,FALSE))</f>
        <v>#REF!</v>
      </c>
      <c r="D68" s="6" t="e">
        <f ca="1">IF($B68="null","",VLOOKUP($B68,OFFSET(#REF!,0,0,COUNTA(#REF!),MATCH(D$1,#REF!,0)-MATCH($B$1,#REF!,0)+1),MATCH(D$1,#REF!,0)-MATCH($B$1,#REF!,0)+1,FALSE))</f>
        <v>#REF!</v>
      </c>
      <c r="E68" s="6" t="e">
        <f ca="1">IF($B68="null","",VLOOKUP($B68,OFFSET(#REF!,0,0,COUNTA(#REF!),MATCH(E$1,#REF!,0)-MATCH($B$1,#REF!,0)+1),MATCH(E$1,#REF!,0)-MATCH($B$1,#REF!,0)+1,FALSE))</f>
        <v>#REF!</v>
      </c>
      <c r="F68" s="17" t="str">
        <f>VLOOKUP(A68,mypage_banners!A:B,2,FALSE)</f>
        <v>quest30019</v>
      </c>
      <c r="G68" s="9" t="str">
        <f ca="1">VLOOKUP(VALUE(SUBSTITUTE(F68,"quest","")),OFFSET([2]quests!$A$1,0,0,COUNTA([2]quests!$A:$A),MATCH(G$1,[2]quests!$1:$1,0)-MATCH("quest_id",[2]quests!$1:$1,0)+1),MATCH(G$1,[2]quests!$1:$1,0)-MATCH("quest_id",[2]quests!$1:$1,0)+1,FALSE)</f>
        <v>狙撃は終わらない</v>
      </c>
      <c r="H68" s="66" t="s">
        <v>268</v>
      </c>
      <c r="I68" s="17" t="str">
        <f>VLOOKUP(A68,mypage_banners!A:E,5,FALSE)</f>
        <v>quest30019.png</v>
      </c>
      <c r="J68" s="20">
        <v>35</v>
      </c>
      <c r="K68" s="20" t="s">
        <v>51</v>
      </c>
      <c r="L68" s="44" t="str">
        <f t="shared" si="0"/>
        <v>3019</v>
      </c>
    </row>
    <row r="69" spans="1:12" x14ac:dyDescent="0.15">
      <c r="A69" s="72" t="s">
        <v>434</v>
      </c>
      <c r="B69" s="3">
        <f>VLOOKUP(A69,mypage_banners!A:F,6,FALSE)</f>
        <v>1</v>
      </c>
      <c r="C69" s="6" t="e">
        <f ca="1">IF($B69="null","",VLOOKUP($B69,OFFSET(#REF!,0,0,COUNTA(#REF!),MATCH(C$1,#REF!,0)-MATCH($B$1,#REF!,0)+1),MATCH(C$1,#REF!,0)-MATCH($B$1,#REF!,0)+1,FALSE))</f>
        <v>#REF!</v>
      </c>
      <c r="D69" s="6" t="e">
        <f ca="1">IF($B69="null","",VLOOKUP($B69,OFFSET(#REF!,0,0,COUNTA(#REF!),MATCH(D$1,#REF!,0)-MATCH($B$1,#REF!,0)+1),MATCH(D$1,#REF!,0)-MATCH($B$1,#REF!,0)+1,FALSE))</f>
        <v>#REF!</v>
      </c>
      <c r="E69" s="6" t="e">
        <f ca="1">IF($B69="null","",VLOOKUP($B69,OFFSET(#REF!,0,0,COUNTA(#REF!),MATCH(E$1,#REF!,0)-MATCH($B$1,#REF!,0)+1),MATCH(E$1,#REF!,0)-MATCH($B$1,#REF!,0)+1,FALSE))</f>
        <v>#REF!</v>
      </c>
      <c r="F69" s="17" t="str">
        <f>VLOOKUP(A69,mypage_banners!A:B,2,FALSE)</f>
        <v>quest30018</v>
      </c>
      <c r="G69" s="9" t="str">
        <f ca="1">VLOOKUP(VALUE(SUBSTITUTE(F69,"quest","")),OFFSET([2]quests!$A$1,0,0,COUNTA([2]quests!$A:$A),MATCH(G$1,[2]quests!$1:$1,0)-MATCH("quest_id",[2]quests!$1:$1,0)+1),MATCH(G$1,[2]quests!$1:$1,0)-MATCH("quest_id",[2]quests!$1:$1,0)+1,FALSE)</f>
        <v>バックストリートファイト</v>
      </c>
      <c r="H69" s="66" t="s">
        <v>268</v>
      </c>
      <c r="I69" s="17" t="str">
        <f>VLOOKUP(A69,mypage_banners!A:E,5,FALSE)</f>
        <v>quest30018.png</v>
      </c>
      <c r="J69" s="20">
        <v>35</v>
      </c>
      <c r="K69" s="20" t="s">
        <v>51</v>
      </c>
      <c r="L69" s="44" t="str">
        <f t="shared" si="0"/>
        <v>3018</v>
      </c>
    </row>
    <row r="70" spans="1:12" x14ac:dyDescent="0.15">
      <c r="A70" s="72" t="s">
        <v>435</v>
      </c>
      <c r="B70" s="3">
        <f>VLOOKUP(A70,mypage_banners!A:F,6,FALSE)</f>
        <v>1</v>
      </c>
      <c r="C70" s="6" t="e">
        <f ca="1">IF($B70="null","",VLOOKUP($B70,OFFSET(#REF!,0,0,COUNTA(#REF!),MATCH(C$1,#REF!,0)-MATCH($B$1,#REF!,0)+1),MATCH(C$1,#REF!,0)-MATCH($B$1,#REF!,0)+1,FALSE))</f>
        <v>#REF!</v>
      </c>
      <c r="D70" s="6" t="e">
        <f ca="1">IF($B70="null","",VLOOKUP($B70,OFFSET(#REF!,0,0,COUNTA(#REF!),MATCH(D$1,#REF!,0)-MATCH($B$1,#REF!,0)+1),MATCH(D$1,#REF!,0)-MATCH($B$1,#REF!,0)+1,FALSE))</f>
        <v>#REF!</v>
      </c>
      <c r="E70" s="6" t="e">
        <f ca="1">IF($B70="null","",VLOOKUP($B70,OFFSET(#REF!,0,0,COUNTA(#REF!),MATCH(E$1,#REF!,0)-MATCH($B$1,#REF!,0)+1),MATCH(E$1,#REF!,0)-MATCH($B$1,#REF!,0)+1,FALSE))</f>
        <v>#REF!</v>
      </c>
      <c r="F70" s="17" t="str">
        <f>VLOOKUP(A70,mypage_banners!A:B,2,FALSE)</f>
        <v>quest30017</v>
      </c>
      <c r="G70" s="9" t="str">
        <f ca="1">VLOOKUP(VALUE(SUBSTITUTE(F70,"quest","")),OFFSET([2]quests!$A$1,0,0,COUNTA([2]quests!$A:$A),MATCH(G$1,[2]quests!$1:$1,0)-MATCH("quest_id",[2]quests!$1:$1,0)+1),MATCH(G$1,[2]quests!$1:$1,0)-MATCH("quest_id",[2]quests!$1:$1,0)+1,FALSE)</f>
        <v>狩人の挽歌</v>
      </c>
      <c r="H70" s="66" t="s">
        <v>268</v>
      </c>
      <c r="I70" s="17" t="str">
        <f>VLOOKUP(A70,mypage_banners!A:E,5,FALSE)</f>
        <v>quest30017.png</v>
      </c>
      <c r="J70" s="20">
        <v>35</v>
      </c>
      <c r="K70" s="20" t="s">
        <v>51</v>
      </c>
      <c r="L70" s="44" t="str">
        <f t="shared" si="0"/>
        <v>3017</v>
      </c>
    </row>
    <row r="71" spans="1:12" x14ac:dyDescent="0.15">
      <c r="A71" s="72" t="s">
        <v>436</v>
      </c>
      <c r="B71" s="3">
        <f>VLOOKUP(A71,mypage_banners!A:F,6,FALSE)</f>
        <v>1</v>
      </c>
      <c r="C71" s="6" t="e">
        <f ca="1">IF($B71="null","",VLOOKUP($B71,OFFSET(#REF!,0,0,COUNTA(#REF!),MATCH(C$1,#REF!,0)-MATCH($B$1,#REF!,0)+1),MATCH(C$1,#REF!,0)-MATCH($B$1,#REF!,0)+1,FALSE))</f>
        <v>#REF!</v>
      </c>
      <c r="D71" s="6" t="e">
        <f ca="1">IF($B71="null","",VLOOKUP($B71,OFFSET(#REF!,0,0,COUNTA(#REF!),MATCH(D$1,#REF!,0)-MATCH($B$1,#REF!,0)+1),MATCH(D$1,#REF!,0)-MATCH($B$1,#REF!,0)+1,FALSE))</f>
        <v>#REF!</v>
      </c>
      <c r="E71" s="6" t="e">
        <f ca="1">IF($B71="null","",VLOOKUP($B71,OFFSET(#REF!,0,0,COUNTA(#REF!),MATCH(E$1,#REF!,0)-MATCH($B$1,#REF!,0)+1),MATCH(E$1,#REF!,0)-MATCH($B$1,#REF!,0)+1,FALSE))</f>
        <v>#REF!</v>
      </c>
      <c r="F71" s="17" t="str">
        <f>VLOOKUP(A71,mypage_banners!A:B,2,FALSE)</f>
        <v>quest30016</v>
      </c>
      <c r="G71" s="9" t="str">
        <f ca="1">VLOOKUP(VALUE(SUBSTITUTE(F71,"quest","")),OFFSET([2]quests!$A$1,0,0,COUNTA([2]quests!$A:$A),MATCH(G$1,[2]quests!$1:$1,0)-MATCH("quest_id",[2]quests!$1:$1,0)+1),MATCH(G$1,[2]quests!$1:$1,0)-MATCH("quest_id",[2]quests!$1:$1,0)+1,FALSE)</f>
        <v>私がワニの天敵よ？</v>
      </c>
      <c r="H71" s="66" t="s">
        <v>268</v>
      </c>
      <c r="I71" s="17" t="str">
        <f>VLOOKUP(A71,mypage_banners!A:E,5,FALSE)</f>
        <v>quest30016.png</v>
      </c>
      <c r="J71" s="20">
        <v>35</v>
      </c>
      <c r="K71" s="20" t="s">
        <v>51</v>
      </c>
      <c r="L71" s="44" t="str">
        <f t="shared" si="0"/>
        <v>3016</v>
      </c>
    </row>
    <row r="72" spans="1:12" x14ac:dyDescent="0.15">
      <c r="A72" s="72" t="s">
        <v>437</v>
      </c>
      <c r="B72" s="3">
        <f>VLOOKUP(A72,mypage_banners!A:F,6,FALSE)</f>
        <v>1</v>
      </c>
      <c r="C72" s="6" t="e">
        <f ca="1">IF($B72="null","",VLOOKUP($B72,OFFSET(#REF!,0,0,COUNTA(#REF!),MATCH(C$1,#REF!,0)-MATCH($B$1,#REF!,0)+1),MATCH(C$1,#REF!,0)-MATCH($B$1,#REF!,0)+1,FALSE))</f>
        <v>#REF!</v>
      </c>
      <c r="D72" s="6" t="e">
        <f ca="1">IF($B72="null","",VLOOKUP($B72,OFFSET(#REF!,0,0,COUNTA(#REF!),MATCH(D$1,#REF!,0)-MATCH($B$1,#REF!,0)+1),MATCH(D$1,#REF!,0)-MATCH($B$1,#REF!,0)+1,FALSE))</f>
        <v>#REF!</v>
      </c>
      <c r="E72" s="6" t="e">
        <f ca="1">IF($B72="null","",VLOOKUP($B72,OFFSET(#REF!,0,0,COUNTA(#REF!),MATCH(E$1,#REF!,0)-MATCH($B$1,#REF!,0)+1),MATCH(E$1,#REF!,0)-MATCH($B$1,#REF!,0)+1,FALSE))</f>
        <v>#REF!</v>
      </c>
      <c r="F72" s="17" t="str">
        <f>VLOOKUP(A72,mypage_banners!A:B,2,FALSE)</f>
        <v>quest30015</v>
      </c>
      <c r="G72" s="9" t="str">
        <f ca="1">VLOOKUP(VALUE(SUBSTITUTE(F72,"quest","")),OFFSET([2]quests!$A$1,0,0,COUNTA([2]quests!$A:$A),MATCH(G$1,[2]quests!$1:$1,0)-MATCH("quest_id",[2]quests!$1:$1,0)+1),MATCH(G$1,[2]quests!$1:$1,0)-MATCH("quest_id",[2]quests!$1:$1,0)+1,FALSE)</f>
        <v>兄妹の大冒険</v>
      </c>
      <c r="H72" s="66" t="s">
        <v>268</v>
      </c>
      <c r="I72" s="17" t="str">
        <f>VLOOKUP(A72,mypage_banners!A:E,5,FALSE)</f>
        <v>quest30015_2.png</v>
      </c>
      <c r="J72" s="20">
        <v>35</v>
      </c>
      <c r="K72" s="20" t="s">
        <v>51</v>
      </c>
      <c r="L72" s="44" t="str">
        <f t="shared" si="0"/>
        <v>3015</v>
      </c>
    </row>
    <row r="73" spans="1:12" x14ac:dyDescent="0.15">
      <c r="A73" s="72" t="s">
        <v>438</v>
      </c>
      <c r="B73" s="3">
        <f>VLOOKUP(A73,mypage_banners!A:F,6,FALSE)</f>
        <v>1</v>
      </c>
      <c r="C73" s="6" t="e">
        <f ca="1">IF($B73="null","",VLOOKUP($B73,OFFSET(#REF!,0,0,COUNTA(#REF!),MATCH(C$1,#REF!,0)-MATCH($B$1,#REF!,0)+1),MATCH(C$1,#REF!,0)-MATCH($B$1,#REF!,0)+1,FALSE))</f>
        <v>#REF!</v>
      </c>
      <c r="D73" s="6" t="e">
        <f ca="1">IF($B73="null","",VLOOKUP($B73,OFFSET(#REF!,0,0,COUNTA(#REF!),MATCH(D$1,#REF!,0)-MATCH($B$1,#REF!,0)+1),MATCH(D$1,#REF!,0)-MATCH($B$1,#REF!,0)+1,FALSE))</f>
        <v>#REF!</v>
      </c>
      <c r="E73" s="6" t="e">
        <f ca="1">IF($B73="null","",VLOOKUP($B73,OFFSET(#REF!,0,0,COUNTA(#REF!),MATCH(E$1,#REF!,0)-MATCH($B$1,#REF!,0)+1),MATCH(E$1,#REF!,0)-MATCH($B$1,#REF!,0)+1,FALSE))</f>
        <v>#REF!</v>
      </c>
      <c r="F73" s="17" t="str">
        <f>VLOOKUP(A73,mypage_banners!A:B,2,FALSE)</f>
        <v>quest30014</v>
      </c>
      <c r="G73" s="9" t="str">
        <f ca="1">VLOOKUP(VALUE(SUBSTITUTE(F73,"quest","")),OFFSET([2]quests!$A$1,0,0,COUNTA([2]quests!$A:$A),MATCH(G$1,[2]quests!$1:$1,0)-MATCH("quest_id",[2]quests!$1:$1,0)+1),MATCH(G$1,[2]quests!$1:$1,0)-MATCH("quest_id",[2]quests!$1:$1,0)+1,FALSE)</f>
        <v>親指を突き立てろ！</v>
      </c>
      <c r="H73" s="66" t="s">
        <v>268</v>
      </c>
      <c r="I73" s="17" t="str">
        <f>VLOOKUP(A73,mypage_banners!A:E,5,FALSE)</f>
        <v>quest30014.png</v>
      </c>
      <c r="J73" s="20">
        <v>35</v>
      </c>
      <c r="K73" s="20" t="s">
        <v>51</v>
      </c>
      <c r="L73" s="44" t="str">
        <f t="shared" si="0"/>
        <v>3014</v>
      </c>
    </row>
    <row r="74" spans="1:12" x14ac:dyDescent="0.15">
      <c r="A74" s="72" t="s">
        <v>439</v>
      </c>
      <c r="B74" s="3">
        <f>VLOOKUP(A74,mypage_banners!A:F,6,FALSE)</f>
        <v>1</v>
      </c>
      <c r="C74" s="6" t="e">
        <f ca="1">IF($B74="null","",VLOOKUP($B74,OFFSET(#REF!,0,0,COUNTA(#REF!),MATCH(C$1,#REF!,0)-MATCH($B$1,#REF!,0)+1),MATCH(C$1,#REF!,0)-MATCH($B$1,#REF!,0)+1,FALSE))</f>
        <v>#REF!</v>
      </c>
      <c r="D74" s="6" t="e">
        <f ca="1">IF($B74="null","",VLOOKUP($B74,OFFSET(#REF!,0,0,COUNTA(#REF!),MATCH(D$1,#REF!,0)-MATCH($B$1,#REF!,0)+1),MATCH(D$1,#REF!,0)-MATCH($B$1,#REF!,0)+1,FALSE))</f>
        <v>#REF!</v>
      </c>
      <c r="E74" s="6" t="e">
        <f ca="1">IF($B74="null","",VLOOKUP($B74,OFFSET(#REF!,0,0,COUNTA(#REF!),MATCH(E$1,#REF!,0)-MATCH($B$1,#REF!,0)+1),MATCH(E$1,#REF!,0)-MATCH($B$1,#REF!,0)+1,FALSE))</f>
        <v>#REF!</v>
      </c>
      <c r="F74" s="17" t="str">
        <f>VLOOKUP(A74,mypage_banners!A:B,2,FALSE)</f>
        <v>quest30013</v>
      </c>
      <c r="G74" s="9" t="str">
        <f ca="1">VLOOKUP(VALUE(SUBSTITUTE(F74,"quest","")),OFFSET([2]quests!$A$1,0,0,COUNTA([2]quests!$A:$A),MATCH(G$1,[2]quests!$1:$1,0)-MATCH("quest_id",[2]quests!$1:$1,0)+1),MATCH(G$1,[2]quests!$1:$1,0)-MATCH("quest_id",[2]quests!$1:$1,0)+1,FALSE)</f>
        <v>決戦・竜宮城</v>
      </c>
      <c r="H74" s="66" t="s">
        <v>268</v>
      </c>
      <c r="I74" s="17" t="str">
        <f>VLOOKUP(A74,mypage_banners!A:E,5,FALSE)</f>
        <v>quest30013_2.png</v>
      </c>
      <c r="J74" s="20">
        <v>35</v>
      </c>
      <c r="K74" s="20" t="s">
        <v>51</v>
      </c>
      <c r="L74" s="44" t="str">
        <f t="shared" ref="L74:L116" si="1">A74</f>
        <v>3013</v>
      </c>
    </row>
    <row r="75" spans="1:12" x14ac:dyDescent="0.15">
      <c r="A75" s="72" t="s">
        <v>440</v>
      </c>
      <c r="B75" s="3">
        <f>VLOOKUP(A75,mypage_banners!A:F,6,FALSE)</f>
        <v>1</v>
      </c>
      <c r="C75" s="6" t="e">
        <f ca="1">IF($B75="null","",VLOOKUP($B75,OFFSET(#REF!,0,0,COUNTA(#REF!),MATCH(C$1,#REF!,0)-MATCH($B$1,#REF!,0)+1),MATCH(C$1,#REF!,0)-MATCH($B$1,#REF!,0)+1,FALSE))</f>
        <v>#REF!</v>
      </c>
      <c r="D75" s="6" t="e">
        <f ca="1">IF($B75="null","",VLOOKUP($B75,OFFSET(#REF!,0,0,COUNTA(#REF!),MATCH(D$1,#REF!,0)-MATCH($B$1,#REF!,0)+1),MATCH(D$1,#REF!,0)-MATCH($B$1,#REF!,0)+1,FALSE))</f>
        <v>#REF!</v>
      </c>
      <c r="E75" s="6" t="e">
        <f ca="1">IF($B75="null","",VLOOKUP($B75,OFFSET(#REF!,0,0,COUNTA(#REF!),MATCH(E$1,#REF!,0)-MATCH($B$1,#REF!,0)+1),MATCH(E$1,#REF!,0)-MATCH($B$1,#REF!,0)+1,FALSE))</f>
        <v>#REF!</v>
      </c>
      <c r="F75" s="17" t="str">
        <f>VLOOKUP(A75,mypage_banners!A:B,2,FALSE)</f>
        <v>quest30012</v>
      </c>
      <c r="G75" s="9" t="str">
        <f ca="1">VLOOKUP(VALUE(SUBSTITUTE(F75,"quest","")),OFFSET([2]quests!$A$1,0,0,COUNTA([2]quests!$A:$A),MATCH(G$1,[2]quests!$1:$1,0)-MATCH("quest_id",[2]quests!$1:$1,0)+1),MATCH(G$1,[2]quests!$1:$1,0)-MATCH("quest_id",[2]quests!$1:$1,0)+1,FALSE)</f>
        <v>底なしの胃袋</v>
      </c>
      <c r="H75" s="66" t="s">
        <v>268</v>
      </c>
      <c r="I75" s="17" t="str">
        <f>VLOOKUP(A75,mypage_banners!A:E,5,FALSE)</f>
        <v>quest30012_1.png</v>
      </c>
      <c r="J75" s="20">
        <v>35</v>
      </c>
      <c r="K75" s="20" t="s">
        <v>51</v>
      </c>
      <c r="L75" s="44" t="str">
        <f t="shared" si="1"/>
        <v>3012</v>
      </c>
    </row>
    <row r="76" spans="1:12" x14ac:dyDescent="0.15">
      <c r="A76" s="72" t="s">
        <v>441</v>
      </c>
      <c r="B76" s="3">
        <f>VLOOKUP(A76,mypage_banners!A:F,6,FALSE)</f>
        <v>1</v>
      </c>
      <c r="C76" s="6" t="e">
        <f ca="1">IF($B76="null","",VLOOKUP($B76,OFFSET(#REF!,0,0,COUNTA(#REF!),MATCH(C$1,#REF!,0)-MATCH($B$1,#REF!,0)+1),MATCH(C$1,#REF!,0)-MATCH($B$1,#REF!,0)+1,FALSE))</f>
        <v>#REF!</v>
      </c>
      <c r="D76" s="6" t="e">
        <f ca="1">IF($B76="null","",VLOOKUP($B76,OFFSET(#REF!,0,0,COUNTA(#REF!),MATCH(D$1,#REF!,0)-MATCH($B$1,#REF!,0)+1),MATCH(D$1,#REF!,0)-MATCH($B$1,#REF!,0)+1,FALSE))</f>
        <v>#REF!</v>
      </c>
      <c r="E76" s="6" t="e">
        <f ca="1">IF($B76="null","",VLOOKUP($B76,OFFSET(#REF!,0,0,COUNTA(#REF!),MATCH(E$1,#REF!,0)-MATCH($B$1,#REF!,0)+1),MATCH(E$1,#REF!,0)-MATCH($B$1,#REF!,0)+1,FALSE))</f>
        <v>#REF!</v>
      </c>
      <c r="F76" s="17" t="str">
        <f>VLOOKUP(A76,mypage_banners!A:B,2,FALSE)</f>
        <v>quest30011</v>
      </c>
      <c r="G76" s="9" t="str">
        <f ca="1">VLOOKUP(VALUE(SUBSTITUTE(F76,"quest","")),OFFSET([2]quests!$A$1,0,0,COUNTA([2]quests!$A:$A),MATCH(G$1,[2]quests!$1:$1,0)-MATCH("quest_id",[2]quests!$1:$1,0)+1),MATCH(G$1,[2]quests!$1:$1,0)-MATCH("quest_id",[2]quests!$1:$1,0)+1,FALSE)</f>
        <v>気怠い巨読者</v>
      </c>
      <c r="H76" s="66" t="s">
        <v>268</v>
      </c>
      <c r="I76" s="17" t="str">
        <f>VLOOKUP(A76,mypage_banners!A:E,5,FALSE)</f>
        <v>quest30011_1.png</v>
      </c>
      <c r="J76" s="20">
        <v>35</v>
      </c>
      <c r="K76" s="20" t="s">
        <v>51</v>
      </c>
      <c r="L76" s="44" t="str">
        <f t="shared" si="1"/>
        <v>3011</v>
      </c>
    </row>
    <row r="77" spans="1:12" x14ac:dyDescent="0.15">
      <c r="A77" s="72" t="s">
        <v>442</v>
      </c>
      <c r="B77" s="3">
        <f>VLOOKUP(A77,mypage_banners!A:F,6,FALSE)</f>
        <v>1</v>
      </c>
      <c r="C77" s="6" t="e">
        <f ca="1">IF($B77="null","",VLOOKUP($B77,OFFSET(#REF!,0,0,COUNTA(#REF!),MATCH(C$1,#REF!,0)-MATCH($B$1,#REF!,0)+1),MATCH(C$1,#REF!,0)-MATCH($B$1,#REF!,0)+1,FALSE))</f>
        <v>#REF!</v>
      </c>
      <c r="D77" s="6" t="e">
        <f ca="1">IF($B77="null","",VLOOKUP($B77,OFFSET(#REF!,0,0,COUNTA(#REF!),MATCH(D$1,#REF!,0)-MATCH($B$1,#REF!,0)+1),MATCH(D$1,#REF!,0)-MATCH($B$1,#REF!,0)+1,FALSE))</f>
        <v>#REF!</v>
      </c>
      <c r="E77" s="6" t="e">
        <f ca="1">IF($B77="null","",VLOOKUP($B77,OFFSET(#REF!,0,0,COUNTA(#REF!),MATCH(E$1,#REF!,0)-MATCH($B$1,#REF!,0)+1),MATCH(E$1,#REF!,0)-MATCH($B$1,#REF!,0)+1,FALSE))</f>
        <v>#REF!</v>
      </c>
      <c r="F77" s="17" t="str">
        <f>VLOOKUP(A77,mypage_banners!A:B,2,FALSE)</f>
        <v>quest30010</v>
      </c>
      <c r="G77" s="9" t="str">
        <f ca="1">VLOOKUP(VALUE(SUBSTITUTE(F77,"quest","")),OFFSET([2]quests!$A$1,0,0,COUNTA([2]quests!$A:$A),MATCH(G$1,[2]quests!$1:$1,0)-MATCH("quest_id",[2]quests!$1:$1,0)+1),MATCH(G$1,[2]quests!$1:$1,0)-MATCH("quest_id",[2]quests!$1:$1,0)+1,FALSE)</f>
        <v>最大最凶</v>
      </c>
      <c r="H77" s="66" t="s">
        <v>16</v>
      </c>
      <c r="I77" s="17" t="str">
        <f>VLOOKUP(A77,mypage_banners!A:E,5,FALSE)</f>
        <v>quest30010_1.png</v>
      </c>
      <c r="J77" s="20">
        <v>35</v>
      </c>
      <c r="K77" s="20" t="s">
        <v>51</v>
      </c>
      <c r="L77" s="44" t="str">
        <f t="shared" si="1"/>
        <v>3010</v>
      </c>
    </row>
    <row r="78" spans="1:12" x14ac:dyDescent="0.15">
      <c r="A78" s="72" t="s">
        <v>443</v>
      </c>
      <c r="B78" s="3">
        <f>VLOOKUP(A78,mypage_banners!A:F,6,FALSE)</f>
        <v>1</v>
      </c>
      <c r="C78" s="6" t="e">
        <f ca="1">IF($B78="null","",VLOOKUP($B78,OFFSET(#REF!,0,0,COUNTA(#REF!),MATCH(C$1,#REF!,0)-MATCH($B$1,#REF!,0)+1),MATCH(C$1,#REF!,0)-MATCH($B$1,#REF!,0)+1,FALSE))</f>
        <v>#REF!</v>
      </c>
      <c r="D78" s="6" t="e">
        <f ca="1">IF($B78="null","",VLOOKUP($B78,OFFSET(#REF!,0,0,COUNTA(#REF!),MATCH(D$1,#REF!,0)-MATCH($B$1,#REF!,0)+1),MATCH(D$1,#REF!,0)-MATCH($B$1,#REF!,0)+1,FALSE))</f>
        <v>#REF!</v>
      </c>
      <c r="E78" s="6" t="e">
        <f ca="1">IF($B78="null","",VLOOKUP($B78,OFFSET(#REF!,0,0,COUNTA(#REF!),MATCH(E$1,#REF!,0)-MATCH($B$1,#REF!,0)+1),MATCH(E$1,#REF!,0)-MATCH($B$1,#REF!,0)+1,FALSE))</f>
        <v>#REF!</v>
      </c>
      <c r="F78" s="17" t="str">
        <f>VLOOKUP(A78,mypage_banners!A:B,2,FALSE)</f>
        <v>quest30009</v>
      </c>
      <c r="G78" s="9" t="str">
        <f ca="1">VLOOKUP(VALUE(SUBSTITUTE(F78,"quest","")),OFFSET([2]quests!$A$1,0,0,COUNTA([2]quests!$A:$A),MATCH(G$1,[2]quests!$1:$1,0)-MATCH("quest_id",[2]quests!$1:$1,0)+1),MATCH(G$1,[2]quests!$1:$1,0)-MATCH("quest_id",[2]quests!$1:$1,0)+1,FALSE)</f>
        <v>復活の捕食者</v>
      </c>
      <c r="H78" s="66" t="s">
        <v>16</v>
      </c>
      <c r="I78" s="17" t="str">
        <f>VLOOKUP(A78,mypage_banners!A:E,5,FALSE)</f>
        <v>quest30009_1.png</v>
      </c>
      <c r="J78" s="20">
        <v>35</v>
      </c>
      <c r="K78" s="20" t="s">
        <v>51</v>
      </c>
      <c r="L78" s="44" t="str">
        <f t="shared" si="1"/>
        <v>3009</v>
      </c>
    </row>
    <row r="79" spans="1:12" x14ac:dyDescent="0.15">
      <c r="A79" s="72" t="s">
        <v>444</v>
      </c>
      <c r="B79" s="3">
        <f>VLOOKUP(A79,mypage_banners!A:F,6,FALSE)</f>
        <v>1</v>
      </c>
      <c r="C79" s="6" t="e">
        <f ca="1">IF($B79="null","",VLOOKUP($B79,OFFSET(#REF!,0,0,COUNTA(#REF!),MATCH(C$1,#REF!,0)-MATCH($B$1,#REF!,0)+1),MATCH(C$1,#REF!,0)-MATCH($B$1,#REF!,0)+1,FALSE))</f>
        <v>#REF!</v>
      </c>
      <c r="D79" s="6" t="e">
        <f ca="1">IF($B79="null","",VLOOKUP($B79,OFFSET(#REF!,0,0,COUNTA(#REF!),MATCH(D$1,#REF!,0)-MATCH($B$1,#REF!,0)+1),MATCH(D$1,#REF!,0)-MATCH($B$1,#REF!,0)+1,FALSE))</f>
        <v>#REF!</v>
      </c>
      <c r="E79" s="6" t="e">
        <f ca="1">IF($B79="null","",VLOOKUP($B79,OFFSET(#REF!,0,0,COUNTA(#REF!),MATCH(E$1,#REF!,0)-MATCH($B$1,#REF!,0)+1),MATCH(E$1,#REF!,0)-MATCH($B$1,#REF!,0)+1,FALSE))</f>
        <v>#REF!</v>
      </c>
      <c r="F79" s="17" t="str">
        <f>VLOOKUP(A79,mypage_banners!A:B,2,FALSE)</f>
        <v>quest30008</v>
      </c>
      <c r="G79" s="9" t="str">
        <f ca="1">VLOOKUP(VALUE(SUBSTITUTE(F79,"quest","")),OFFSET([2]quests!$A$1,0,0,COUNTA([2]quests!$A:$A),MATCH(G$1,[2]quests!$1:$1,0)-MATCH("quest_id",[2]quests!$1:$1,0)+1),MATCH(G$1,[2]quests!$1:$1,0)-MATCH("quest_id",[2]quests!$1:$1,0)+1,FALSE)</f>
        <v>わたしの嫁を返してもらおう</v>
      </c>
      <c r="H79" s="66" t="s">
        <v>268</v>
      </c>
      <c r="I79" s="17" t="str">
        <f>VLOOKUP(A79,mypage_banners!A:E,5,FALSE)</f>
        <v>quest30008_2.png</v>
      </c>
      <c r="J79" s="20">
        <v>30</v>
      </c>
      <c r="K79" s="20" t="s">
        <v>51</v>
      </c>
      <c r="L79" s="44" t="str">
        <f t="shared" si="1"/>
        <v>3008</v>
      </c>
    </row>
    <row r="80" spans="1:12" x14ac:dyDescent="0.15">
      <c r="A80" s="72" t="s">
        <v>445</v>
      </c>
      <c r="B80" s="3">
        <f>VLOOKUP(A80,mypage_banners!A:F,6,FALSE)</f>
        <v>1</v>
      </c>
      <c r="C80" s="6" t="e">
        <f ca="1">IF($B80="null","",VLOOKUP($B80,OFFSET(#REF!,0,0,COUNTA(#REF!),MATCH(C$1,#REF!,0)-MATCH($B$1,#REF!,0)+1),MATCH(C$1,#REF!,0)-MATCH($B$1,#REF!,0)+1,FALSE))</f>
        <v>#REF!</v>
      </c>
      <c r="D80" s="6" t="e">
        <f ca="1">IF($B80="null","",VLOOKUP($B80,OFFSET(#REF!,0,0,COUNTA(#REF!),MATCH(D$1,#REF!,0)-MATCH($B$1,#REF!,0)+1),MATCH(D$1,#REF!,0)-MATCH($B$1,#REF!,0)+1,FALSE))</f>
        <v>#REF!</v>
      </c>
      <c r="E80" s="6" t="e">
        <f ca="1">IF($B80="null","",VLOOKUP($B80,OFFSET(#REF!,0,0,COUNTA(#REF!),MATCH(E$1,#REF!,0)-MATCH($B$1,#REF!,0)+1),MATCH(E$1,#REF!,0)-MATCH($B$1,#REF!,0)+1,FALSE))</f>
        <v>#REF!</v>
      </c>
      <c r="F80" s="17" t="str">
        <f>VLOOKUP(A80,mypage_banners!A:B,2,FALSE)</f>
        <v>quest30007</v>
      </c>
      <c r="G80" s="9" t="str">
        <f ca="1">VLOOKUP(VALUE(SUBSTITUTE(F80,"quest","")),OFFSET([2]quests!$A$1,0,0,COUNTA([2]quests!$A:$A),MATCH(G$1,[2]quests!$1:$1,0)-MATCH("quest_id",[2]quests!$1:$1,0)+1),MATCH(G$1,[2]quests!$1:$1,0)-MATCH("quest_id",[2]quests!$1:$1,0)+1,FALSE)</f>
        <v>ガラスの靴は私のもの</v>
      </c>
      <c r="H80" s="66" t="s">
        <v>16</v>
      </c>
      <c r="I80" s="17" t="str">
        <f>VLOOKUP(A80,mypage_banners!A:E,5,FALSE)</f>
        <v>quest30007_1.png</v>
      </c>
      <c r="J80" s="20">
        <v>30</v>
      </c>
      <c r="K80" s="20" t="s">
        <v>51</v>
      </c>
      <c r="L80" s="44" t="str">
        <f t="shared" si="1"/>
        <v>3007</v>
      </c>
    </row>
    <row r="81" spans="1:12" x14ac:dyDescent="0.15">
      <c r="A81" s="72" t="s">
        <v>446</v>
      </c>
      <c r="B81" s="3">
        <f>VLOOKUP(A81,mypage_banners!A:F,6,FALSE)</f>
        <v>1</v>
      </c>
      <c r="C81" s="6" t="e">
        <f ca="1">IF($B81="null","",VLOOKUP($B81,OFFSET(#REF!,0,0,COUNTA(#REF!),MATCH(C$1,#REF!,0)-MATCH($B$1,#REF!,0)+1),MATCH(C$1,#REF!,0)-MATCH($B$1,#REF!,0)+1,FALSE))</f>
        <v>#REF!</v>
      </c>
      <c r="D81" s="6" t="e">
        <f ca="1">IF($B81="null","",VLOOKUP($B81,OFFSET(#REF!,0,0,COUNTA(#REF!),MATCH(D$1,#REF!,0)-MATCH($B$1,#REF!,0)+1),MATCH(D$1,#REF!,0)-MATCH($B$1,#REF!,0)+1,FALSE))</f>
        <v>#REF!</v>
      </c>
      <c r="E81" s="6" t="e">
        <f ca="1">IF($B81="null","",VLOOKUP($B81,OFFSET(#REF!,0,0,COUNTA(#REF!),MATCH(E$1,#REF!,0)-MATCH($B$1,#REF!,0)+1),MATCH(E$1,#REF!,0)-MATCH($B$1,#REF!,0)+1,FALSE))</f>
        <v>#REF!</v>
      </c>
      <c r="F81" s="17" t="str">
        <f>VLOOKUP(A81,mypage_banners!A:B,2,FALSE)</f>
        <v>quest30006</v>
      </c>
      <c r="G81" s="9" t="str">
        <f ca="1">VLOOKUP(VALUE(SUBSTITUTE(F81,"quest","")),OFFSET([2]quests!$A$1,0,0,COUNTA([2]quests!$A:$A),MATCH(G$1,[2]quests!$1:$1,0)-MATCH("quest_id",[2]quests!$1:$1,0)+1),MATCH(G$1,[2]quests!$1:$1,0)-MATCH("quest_id",[2]quests!$1:$1,0)+1,FALSE)</f>
        <v>それはお前を食べるためさ</v>
      </c>
      <c r="H81" s="66" t="s">
        <v>268</v>
      </c>
      <c r="I81" s="17" t="str">
        <f>VLOOKUP(A81,mypage_banners!A:E,5,FALSE)</f>
        <v>quest30006_2.png</v>
      </c>
      <c r="J81" s="20">
        <v>30</v>
      </c>
      <c r="K81" s="20" t="s">
        <v>51</v>
      </c>
      <c r="L81" s="44" t="str">
        <f t="shared" si="1"/>
        <v>3006</v>
      </c>
    </row>
    <row r="82" spans="1:12" x14ac:dyDescent="0.15">
      <c r="A82" s="72" t="s">
        <v>447</v>
      </c>
      <c r="B82" s="3">
        <f>VLOOKUP(A82,mypage_banners!A:F,6,FALSE)</f>
        <v>1</v>
      </c>
      <c r="C82" s="6" t="e">
        <f ca="1">IF($B82="null","",VLOOKUP($B82,OFFSET(#REF!,0,0,COUNTA(#REF!),MATCH(C$1,#REF!,0)-MATCH($B$1,#REF!,0)+1),MATCH(C$1,#REF!,0)-MATCH($B$1,#REF!,0)+1,FALSE))</f>
        <v>#REF!</v>
      </c>
      <c r="D82" s="6" t="e">
        <f ca="1">IF($B82="null","",VLOOKUP($B82,OFFSET(#REF!,0,0,COUNTA(#REF!),MATCH(D$1,#REF!,0)-MATCH($B$1,#REF!,0)+1),MATCH(D$1,#REF!,0)-MATCH($B$1,#REF!,0)+1,FALSE))</f>
        <v>#REF!</v>
      </c>
      <c r="E82" s="6" t="e">
        <f ca="1">IF($B82="null","",VLOOKUP($B82,OFFSET(#REF!,0,0,COUNTA(#REF!),MATCH(E$1,#REF!,0)-MATCH($B$1,#REF!,0)+1),MATCH(E$1,#REF!,0)-MATCH($B$1,#REF!,0)+1,FALSE))</f>
        <v>#REF!</v>
      </c>
      <c r="F82" s="17" t="str">
        <f>VLOOKUP(A82,mypage_banners!A:B,2,FALSE)</f>
        <v>quest30005</v>
      </c>
      <c r="G82" s="9" t="str">
        <f ca="1">VLOOKUP(VALUE(SUBSTITUTE(F82,"quest","")),OFFSET([2]quests!$A$1,0,0,COUNTA([2]quests!$A:$A),MATCH(G$1,[2]quests!$1:$1,0)-MATCH("quest_id",[2]quests!$1:$1,0)+1),MATCH(G$1,[2]quests!$1:$1,0)-MATCH("quest_id",[2]quests!$1:$1,0)+1,FALSE)</f>
        <v>ニンゲンにしてあげる☆</v>
      </c>
      <c r="H82" s="66" t="s">
        <v>268</v>
      </c>
      <c r="I82" s="17" t="str">
        <f>VLOOKUP(A82,mypage_banners!A:E,5,FALSE)</f>
        <v>quest30005_1.png</v>
      </c>
      <c r="J82" s="20">
        <v>30</v>
      </c>
      <c r="K82" s="20" t="s">
        <v>260</v>
      </c>
      <c r="L82" s="44" t="str">
        <f t="shared" si="1"/>
        <v>3005</v>
      </c>
    </row>
    <row r="83" spans="1:12" x14ac:dyDescent="0.15">
      <c r="A83" s="72" t="s">
        <v>448</v>
      </c>
      <c r="B83" s="3">
        <f>VLOOKUP(A83,mypage_banners!A:F,6,FALSE)</f>
        <v>1</v>
      </c>
      <c r="C83" s="6" t="e">
        <f ca="1">IF($B83="null","",VLOOKUP($B83,OFFSET(#REF!,0,0,COUNTA(#REF!),MATCH(C$1,#REF!,0)-MATCH($B$1,#REF!,0)+1),MATCH(C$1,#REF!,0)-MATCH($B$1,#REF!,0)+1,FALSE))</f>
        <v>#REF!</v>
      </c>
      <c r="D83" s="6" t="e">
        <f ca="1">IF($B83="null","",VLOOKUP($B83,OFFSET(#REF!,0,0,COUNTA(#REF!),MATCH(D$1,#REF!,0)-MATCH($B$1,#REF!,0)+1),MATCH(D$1,#REF!,0)-MATCH($B$1,#REF!,0)+1,FALSE))</f>
        <v>#REF!</v>
      </c>
      <c r="E83" s="6" t="e">
        <f ca="1">IF($B83="null","",VLOOKUP($B83,OFFSET(#REF!,0,0,COUNTA(#REF!),MATCH(E$1,#REF!,0)-MATCH($B$1,#REF!,0)+1),MATCH(E$1,#REF!,0)-MATCH($B$1,#REF!,0)+1,FALSE))</f>
        <v>#REF!</v>
      </c>
      <c r="F83" s="17" t="str">
        <f>VLOOKUP(A83,mypage_banners!A:B,2,FALSE)</f>
        <v>quest30004</v>
      </c>
      <c r="G83" s="9" t="str">
        <f ca="1">VLOOKUP(VALUE(SUBSTITUTE(F83,"quest","")),OFFSET([2]quests!$A$1,0,0,COUNTA([2]quests!$A:$A),MATCH(G$1,[2]quests!$1:$1,0)-MATCH("quest_id",[2]quests!$1:$1,0)+1),MATCH(G$1,[2]quests!$1:$1,0)-MATCH("quest_id",[2]quests!$1:$1,0)+1,FALSE)</f>
        <v>危険な仲裁者</v>
      </c>
      <c r="H83" s="66" t="s">
        <v>268</v>
      </c>
      <c r="I83" s="17" t="str">
        <f>VLOOKUP(A83,mypage_banners!A:E,5,FALSE)</f>
        <v>quest30004_3.png</v>
      </c>
      <c r="J83" s="20">
        <v>30</v>
      </c>
      <c r="K83" s="20" t="s">
        <v>260</v>
      </c>
      <c r="L83" s="44" t="str">
        <f t="shared" si="1"/>
        <v>3004</v>
      </c>
    </row>
    <row r="84" spans="1:12" x14ac:dyDescent="0.15">
      <c r="A84" s="72" t="s">
        <v>449</v>
      </c>
      <c r="B84" s="3">
        <f>VLOOKUP(A84,mypage_banners!A:F,6,FALSE)</f>
        <v>1</v>
      </c>
      <c r="C84" s="6" t="e">
        <f ca="1">IF($B84="null","",VLOOKUP($B84,OFFSET(#REF!,0,0,COUNTA(#REF!),MATCH(C$1,#REF!,0)-MATCH($B$1,#REF!,0)+1),MATCH(C$1,#REF!,0)-MATCH($B$1,#REF!,0)+1,FALSE))</f>
        <v>#REF!</v>
      </c>
      <c r="D84" s="6" t="e">
        <f ca="1">IF($B84="null","",VLOOKUP($B84,OFFSET(#REF!,0,0,COUNTA(#REF!),MATCH(D$1,#REF!,0)-MATCH($B$1,#REF!,0)+1),MATCH(D$1,#REF!,0)-MATCH($B$1,#REF!,0)+1,FALSE))</f>
        <v>#REF!</v>
      </c>
      <c r="E84" s="6" t="e">
        <f ca="1">IF($B84="null","",VLOOKUP($B84,OFFSET(#REF!,0,0,COUNTA(#REF!),MATCH(E$1,#REF!,0)-MATCH($B$1,#REF!,0)+1),MATCH(E$1,#REF!,0)-MATCH($B$1,#REF!,0)+1,FALSE))</f>
        <v>#REF!</v>
      </c>
      <c r="F84" s="17" t="str">
        <f>VLOOKUP(A84,mypage_banners!A:B,2,FALSE)</f>
        <v>quest30003</v>
      </c>
      <c r="G84" s="9" t="str">
        <f ca="1">VLOOKUP(VALUE(SUBSTITUTE(F84,"quest","")),OFFSET([2]quests!$A$1,0,0,COUNTA([2]quests!$A:$A),MATCH(G$1,[2]quests!$1:$1,0)-MATCH("quest_id",[2]quests!$1:$1,0)+1),MATCH(G$1,[2]quests!$1:$1,0)-MATCH("quest_id",[2]quests!$1:$1,0)+1,FALSE)</f>
        <v>打ち下ろされる砕棒</v>
      </c>
      <c r="H84" s="66" t="s">
        <v>266</v>
      </c>
      <c r="I84" s="17" t="str">
        <f>VLOOKUP(A84,mypage_banners!A:E,5,FALSE)</f>
        <v>quest30003_3.png</v>
      </c>
      <c r="J84" s="20">
        <v>30</v>
      </c>
      <c r="K84" s="20" t="s">
        <v>73</v>
      </c>
      <c r="L84" s="44" t="str">
        <f t="shared" si="1"/>
        <v>3003</v>
      </c>
    </row>
    <row r="85" spans="1:12" x14ac:dyDescent="0.15">
      <c r="A85" s="72" t="s">
        <v>450</v>
      </c>
      <c r="B85" s="3">
        <f>VLOOKUP(A85,mypage_banners!A:F,6,FALSE)</f>
        <v>1</v>
      </c>
      <c r="C85" s="6" t="e">
        <f ca="1">IF($B85="null","",VLOOKUP($B85,OFFSET(#REF!,0,0,COUNTA(#REF!),MATCH(C$1,#REF!,0)-MATCH($B$1,#REF!,0)+1),MATCH(C$1,#REF!,0)-MATCH($B$1,#REF!,0)+1,FALSE))</f>
        <v>#REF!</v>
      </c>
      <c r="D85" s="6" t="e">
        <f ca="1">IF($B85="null","",VLOOKUP($B85,OFFSET(#REF!,0,0,COUNTA(#REF!),MATCH(D$1,#REF!,0)-MATCH($B$1,#REF!,0)+1),MATCH(D$1,#REF!,0)-MATCH($B$1,#REF!,0)+1,FALSE))</f>
        <v>#REF!</v>
      </c>
      <c r="E85" s="6" t="e">
        <f ca="1">IF($B85="null","",VLOOKUP($B85,OFFSET(#REF!,0,0,COUNTA(#REF!),MATCH(E$1,#REF!,0)-MATCH($B$1,#REF!,0)+1),MATCH(E$1,#REF!,0)-MATCH($B$1,#REF!,0)+1,FALSE))</f>
        <v>#REF!</v>
      </c>
      <c r="F85" s="17" t="str">
        <f>VLOOKUP(A85,mypage_banners!A:B,2,FALSE)</f>
        <v>quest30002</v>
      </c>
      <c r="G85" s="9" t="str">
        <f ca="1">VLOOKUP(VALUE(SUBSTITUTE(F85,"quest","")),OFFSET([2]quests!$A$1,0,0,COUNTA([2]quests!$A:$A),MATCH(G$1,[2]quests!$1:$1,0)-MATCH("quest_id",[2]quests!$1:$1,0)+1),MATCH(G$1,[2]quests!$1:$1,0)-MATCH("quest_id",[2]quests!$1:$1,0)+1,FALSE)</f>
        <v>トリックスター</v>
      </c>
      <c r="H85" s="66" t="s">
        <v>268</v>
      </c>
      <c r="I85" s="17" t="str">
        <f>VLOOKUP(A85,mypage_banners!A:E,5,FALSE)</f>
        <v>quest30002_3.png</v>
      </c>
      <c r="J85" s="20">
        <v>30</v>
      </c>
      <c r="K85" s="20" t="s">
        <v>51</v>
      </c>
      <c r="L85" s="44" t="str">
        <f t="shared" si="1"/>
        <v>3002</v>
      </c>
    </row>
    <row r="86" spans="1:12" x14ac:dyDescent="0.15">
      <c r="A86" s="72" t="s">
        <v>451</v>
      </c>
      <c r="B86" s="3">
        <f>VLOOKUP(A86,mypage_banners!A:F,6,FALSE)</f>
        <v>1</v>
      </c>
      <c r="C86" s="6" t="e">
        <f ca="1">IF($B86="null","",VLOOKUP($B86,OFFSET(#REF!,0,0,COUNTA(#REF!),MATCH(C$1,#REF!,0)-MATCH($B$1,#REF!,0)+1),MATCH(C$1,#REF!,0)-MATCH($B$1,#REF!,0)+1,FALSE))</f>
        <v>#REF!</v>
      </c>
      <c r="D86" s="6" t="e">
        <f ca="1">IF($B86="null","",VLOOKUP($B86,OFFSET(#REF!,0,0,COUNTA(#REF!),MATCH(D$1,#REF!,0)-MATCH($B$1,#REF!,0)+1),MATCH(D$1,#REF!,0)-MATCH($B$1,#REF!,0)+1,FALSE))</f>
        <v>#REF!</v>
      </c>
      <c r="E86" s="6" t="e">
        <f ca="1">IF($B86="null","",VLOOKUP($B86,OFFSET(#REF!,0,0,COUNTA(#REF!),MATCH(E$1,#REF!,0)-MATCH($B$1,#REF!,0)+1),MATCH(E$1,#REF!,0)-MATCH($B$1,#REF!,0)+1,FALSE))</f>
        <v>#REF!</v>
      </c>
      <c r="F86" s="17" t="str">
        <f>VLOOKUP(A86,mypage_banners!A:B,2,FALSE)</f>
        <v>quest30001</v>
      </c>
      <c r="G86" s="9" t="str">
        <f ca="1">VLOOKUP(VALUE(SUBSTITUTE(F86,"quest","")),OFFSET([2]quests!$A$1,0,0,COUNTA([2]quests!$A:$A),MATCH(G$1,[2]quests!$1:$1,0)-MATCH("quest_id",[2]quests!$1:$1,0)+1),MATCH(G$1,[2]quests!$1:$1,0)-MATCH("quest_id",[2]quests!$1:$1,0)+1,FALSE)</f>
        <v>ハンター・オブ・ハンター</v>
      </c>
      <c r="H86" s="66" t="s">
        <v>268</v>
      </c>
      <c r="I86" s="17" t="str">
        <f>VLOOKUP(A86,mypage_banners!A:E,5,FALSE)</f>
        <v>quest30001_4.png</v>
      </c>
      <c r="J86" s="20">
        <v>30</v>
      </c>
      <c r="K86" s="20" t="s">
        <v>51</v>
      </c>
      <c r="L86" s="44" t="str">
        <f t="shared" si="1"/>
        <v>3001</v>
      </c>
    </row>
    <row r="87" spans="1:12" x14ac:dyDescent="0.15">
      <c r="A87" s="71" t="s">
        <v>452</v>
      </c>
      <c r="B87" s="3">
        <f>VLOOKUP(A87,mypage_banners!A:F,6,FALSE)</f>
        <v>1</v>
      </c>
      <c r="C87" s="6" t="e">
        <f ca="1">IF($B87="null","",VLOOKUP($B87,OFFSET(#REF!,0,0,COUNTA(#REF!),MATCH(C$1,#REF!,0)-MATCH($B$1,#REF!,0)+1),MATCH(C$1,#REF!,0)-MATCH($B$1,#REF!,0)+1,FALSE))</f>
        <v>#REF!</v>
      </c>
      <c r="D87" s="6" t="e">
        <f ca="1">IF($B87="null","",VLOOKUP($B87,OFFSET(#REF!,0,0,COUNTA(#REF!),MATCH(D$1,#REF!,0)-MATCH($B$1,#REF!,0)+1),MATCH(D$1,#REF!,0)-MATCH($B$1,#REF!,0)+1,FALSE))</f>
        <v>#REF!</v>
      </c>
      <c r="E87" s="6" t="e">
        <f ca="1">IF($B87="null","",VLOOKUP($B87,OFFSET(#REF!,0,0,COUNTA(#REF!),MATCH(E$1,#REF!,0)-MATCH($B$1,#REF!,0)+1),MATCH(E$1,#REF!,0)-MATCH($B$1,#REF!,0)+1,FALSE))</f>
        <v>#REF!</v>
      </c>
      <c r="F87" s="17" t="str">
        <f>VLOOKUP(A87,mypage_banners!A:B,2,FALSE)</f>
        <v>quest20014</v>
      </c>
      <c r="G87" s="9" t="str">
        <f ca="1">VLOOKUP(VALUE(SUBSTITUTE(F87,"quest","")),OFFSET([2]quests!$A$1,0,0,COUNTA([2]quests!$A:$A),MATCH(G$1,[2]quests!$1:$1,0)-MATCH("quest_id",[2]quests!$1:$1,0)+1),MATCH(G$1,[2]quests!$1:$1,0)-MATCH("quest_id",[2]quests!$1:$1,0)+1,FALSE)</f>
        <v>魅了する歌声</v>
      </c>
      <c r="H87" s="66" t="s">
        <v>16</v>
      </c>
      <c r="I87" s="17" t="str">
        <f>VLOOKUP(A87,mypage_banners!A:E,5,FALSE)</f>
        <v>quest20014.png</v>
      </c>
      <c r="J87" s="20">
        <v>15</v>
      </c>
      <c r="K87" s="20" t="s">
        <v>51</v>
      </c>
      <c r="L87" s="44" t="str">
        <f t="shared" si="1"/>
        <v>2014</v>
      </c>
    </row>
    <row r="88" spans="1:12" x14ac:dyDescent="0.15">
      <c r="A88" s="71" t="s">
        <v>453</v>
      </c>
      <c r="B88" s="3">
        <f>VLOOKUP(A88,mypage_banners!A:F,6,FALSE)</f>
        <v>1</v>
      </c>
      <c r="C88" s="6" t="e">
        <f ca="1">IF($B88="null","",VLOOKUP($B88,OFFSET(#REF!,0,0,COUNTA(#REF!),MATCH(C$1,#REF!,0)-MATCH($B$1,#REF!,0)+1),MATCH(C$1,#REF!,0)-MATCH($B$1,#REF!,0)+1,FALSE))</f>
        <v>#REF!</v>
      </c>
      <c r="D88" s="6" t="e">
        <f ca="1">IF($B88="null","",VLOOKUP($B88,OFFSET(#REF!,0,0,COUNTA(#REF!),MATCH(D$1,#REF!,0)-MATCH($B$1,#REF!,0)+1),MATCH(D$1,#REF!,0)-MATCH($B$1,#REF!,0)+1,FALSE))</f>
        <v>#REF!</v>
      </c>
      <c r="E88" s="6" t="e">
        <f ca="1">IF($B88="null","",VLOOKUP($B88,OFFSET(#REF!,0,0,COUNTA(#REF!),MATCH(E$1,#REF!,0)-MATCH($B$1,#REF!,0)+1),MATCH(E$1,#REF!,0)-MATCH($B$1,#REF!,0)+1,FALSE))</f>
        <v>#REF!</v>
      </c>
      <c r="F88" s="17" t="str">
        <f>VLOOKUP(A88,mypage_banners!A:B,2,FALSE)</f>
        <v>quest20013</v>
      </c>
      <c r="G88" s="9" t="str">
        <f ca="1">VLOOKUP(VALUE(SUBSTITUTE(F88,"quest","")),OFFSET([2]quests!$A$1,0,0,COUNTA([2]quests!$A:$A),MATCH(G$1,[2]quests!$1:$1,0)-MATCH("quest_id",[2]quests!$1:$1,0)+1),MATCH(G$1,[2]quests!$1:$1,0)-MATCH("quest_id",[2]quests!$1:$1,0)+1,FALSE)</f>
        <v>天の時、地の利、人の和</v>
      </c>
      <c r="H88" s="66" t="s">
        <v>16</v>
      </c>
      <c r="I88" s="17" t="str">
        <f>VLOOKUP(A88,mypage_banners!A:E,5,FALSE)</f>
        <v>quest20013.png</v>
      </c>
      <c r="J88" s="20">
        <v>15</v>
      </c>
      <c r="K88" s="20" t="s">
        <v>51</v>
      </c>
      <c r="L88" s="44" t="str">
        <f t="shared" si="1"/>
        <v>2013</v>
      </c>
    </row>
    <row r="89" spans="1:12" x14ac:dyDescent="0.15">
      <c r="A89" s="71" t="s">
        <v>454</v>
      </c>
      <c r="B89" s="3">
        <f>VLOOKUP(A89,mypage_banners!A:F,6,FALSE)</f>
        <v>1</v>
      </c>
      <c r="C89" s="6" t="e">
        <f ca="1">IF($B89="null","",VLOOKUP($B89,OFFSET(#REF!,0,0,COUNTA(#REF!),MATCH(C$1,#REF!,0)-MATCH($B$1,#REF!,0)+1),MATCH(C$1,#REF!,0)-MATCH($B$1,#REF!,0)+1,FALSE))</f>
        <v>#REF!</v>
      </c>
      <c r="D89" s="6" t="e">
        <f ca="1">IF($B89="null","",VLOOKUP($B89,OFFSET(#REF!,0,0,COUNTA(#REF!),MATCH(D$1,#REF!,0)-MATCH($B$1,#REF!,0)+1),MATCH(D$1,#REF!,0)-MATCH($B$1,#REF!,0)+1,FALSE))</f>
        <v>#REF!</v>
      </c>
      <c r="E89" s="6" t="e">
        <f ca="1">IF($B89="null","",VLOOKUP($B89,OFFSET(#REF!,0,0,COUNTA(#REF!),MATCH(E$1,#REF!,0)-MATCH($B$1,#REF!,0)+1),MATCH(E$1,#REF!,0)-MATCH($B$1,#REF!,0)+1,FALSE))</f>
        <v>#REF!</v>
      </c>
      <c r="F89" s="17" t="str">
        <f>VLOOKUP(A89,mypage_banners!A:B,2,FALSE)</f>
        <v>quest20012</v>
      </c>
      <c r="G89" s="9" t="str">
        <f ca="1">VLOOKUP(VALUE(SUBSTITUTE(F89,"quest","")),OFFSET([2]quests!$A$1,0,0,COUNTA([2]quests!$A:$A),MATCH(G$1,[2]quests!$1:$1,0)-MATCH("quest_id",[2]quests!$1:$1,0)+1),MATCH(G$1,[2]quests!$1:$1,0)-MATCH("quest_id",[2]quests!$1:$1,0)+1,FALSE)</f>
        <v>罪と劇薬</v>
      </c>
      <c r="H89" s="66" t="s">
        <v>16</v>
      </c>
      <c r="I89" s="17" t="str">
        <f>VLOOKUP(A89,mypage_banners!A:E,5,FALSE)</f>
        <v>quest20012_2.png</v>
      </c>
      <c r="J89" s="20">
        <v>15</v>
      </c>
      <c r="K89" s="20" t="s">
        <v>51</v>
      </c>
      <c r="L89" s="44" t="str">
        <f t="shared" si="1"/>
        <v>2012</v>
      </c>
    </row>
    <row r="90" spans="1:12" x14ac:dyDescent="0.15">
      <c r="A90" s="71" t="s">
        <v>455</v>
      </c>
      <c r="B90" s="3">
        <f>VLOOKUP(A90,mypage_banners!A:F,6,FALSE)</f>
        <v>1</v>
      </c>
      <c r="C90" s="6" t="e">
        <f ca="1">IF($B90="null","",VLOOKUP($B90,OFFSET(#REF!,0,0,COUNTA(#REF!),MATCH(C$1,#REF!,0)-MATCH($B$1,#REF!,0)+1),MATCH(C$1,#REF!,0)-MATCH($B$1,#REF!,0)+1,FALSE))</f>
        <v>#REF!</v>
      </c>
      <c r="D90" s="6" t="e">
        <f ca="1">IF($B90="null","",VLOOKUP($B90,OFFSET(#REF!,0,0,COUNTA(#REF!),MATCH(D$1,#REF!,0)-MATCH($B$1,#REF!,0)+1),MATCH(D$1,#REF!,0)-MATCH($B$1,#REF!,0)+1,FALSE))</f>
        <v>#REF!</v>
      </c>
      <c r="E90" s="6" t="e">
        <f ca="1">IF($B90="null","",VLOOKUP($B90,OFFSET(#REF!,0,0,COUNTA(#REF!),MATCH(E$1,#REF!,0)-MATCH($B$1,#REF!,0)+1),MATCH(E$1,#REF!,0)-MATCH($B$1,#REF!,0)+1,FALSE))</f>
        <v>#REF!</v>
      </c>
      <c r="F90" s="17" t="str">
        <f>VLOOKUP(A90,mypage_banners!A:B,2,FALSE)</f>
        <v>quest20011</v>
      </c>
      <c r="G90" s="9" t="str">
        <f ca="1">VLOOKUP(VALUE(SUBSTITUTE(F90,"quest","")),OFFSET([2]quests!$A$1,0,0,COUNTA([2]quests!$A:$A),MATCH(G$1,[2]quests!$1:$1,0)-MATCH("quest_id",[2]quests!$1:$1,0)+1),MATCH(G$1,[2]quests!$1:$1,0)-MATCH("quest_id",[2]quests!$1:$1,0)+1,FALSE)</f>
        <v>すべてが灰になる</v>
      </c>
      <c r="H90" s="66" t="s">
        <v>16</v>
      </c>
      <c r="I90" s="17" t="str">
        <f>VLOOKUP(A90,mypage_banners!A:E,5,FALSE)</f>
        <v>quest20011_1.png</v>
      </c>
      <c r="J90" s="20">
        <v>15</v>
      </c>
      <c r="K90" s="20" t="s">
        <v>51</v>
      </c>
      <c r="L90" s="44" t="str">
        <f t="shared" si="1"/>
        <v>2011</v>
      </c>
    </row>
    <row r="91" spans="1:12" x14ac:dyDescent="0.15">
      <c r="A91" s="71" t="s">
        <v>456</v>
      </c>
      <c r="B91" s="3">
        <f>VLOOKUP(A91,mypage_banners!A:F,6,FALSE)</f>
        <v>1</v>
      </c>
      <c r="C91" s="6" t="e">
        <f ca="1">IF($B91="null","",VLOOKUP($B91,OFFSET(#REF!,0,0,COUNTA(#REF!),MATCH(C$1,#REF!,0)-MATCH($B$1,#REF!,0)+1),MATCH(C$1,#REF!,0)-MATCH($B$1,#REF!,0)+1,FALSE))</f>
        <v>#REF!</v>
      </c>
      <c r="D91" s="6" t="e">
        <f ca="1">IF($B91="null","",VLOOKUP($B91,OFFSET(#REF!,0,0,COUNTA(#REF!),MATCH(D$1,#REF!,0)-MATCH($B$1,#REF!,0)+1),MATCH(D$1,#REF!,0)-MATCH($B$1,#REF!,0)+1,FALSE))</f>
        <v>#REF!</v>
      </c>
      <c r="E91" s="6" t="e">
        <f ca="1">IF($B91="null","",VLOOKUP($B91,OFFSET(#REF!,0,0,COUNTA(#REF!),MATCH(E$1,#REF!,0)-MATCH($B$1,#REF!,0)+1),MATCH(E$1,#REF!,0)-MATCH($B$1,#REF!,0)+1,FALSE))</f>
        <v>#REF!</v>
      </c>
      <c r="F91" s="17" t="str">
        <f>VLOOKUP(A91,mypage_banners!A:B,2,FALSE)</f>
        <v>quest20010</v>
      </c>
      <c r="G91" s="9" t="str">
        <f ca="1">VLOOKUP(VALUE(SUBSTITUTE(F91,"quest","")),OFFSET([2]quests!$A$1,0,0,COUNTA([2]quests!$A:$A),MATCH(G$1,[2]quests!$1:$1,0)-MATCH("quest_id",[2]quests!$1:$1,0)+1),MATCH(G$1,[2]quests!$1:$1,0)-MATCH("quest_id",[2]quests!$1:$1,0)+1,FALSE)</f>
        <v>悪夢の一目惚れ</v>
      </c>
      <c r="H91" s="66" t="s">
        <v>268</v>
      </c>
      <c r="I91" s="17" t="str">
        <f>VLOOKUP(A91,mypage_banners!A:E,5,FALSE)</f>
        <v>quest20010_1.png</v>
      </c>
      <c r="J91" s="20">
        <v>15</v>
      </c>
      <c r="K91" s="20" t="s">
        <v>51</v>
      </c>
      <c r="L91" s="44" t="str">
        <f t="shared" si="1"/>
        <v>2010</v>
      </c>
    </row>
    <row r="92" spans="1:12" x14ac:dyDescent="0.15">
      <c r="A92" s="71" t="s">
        <v>457</v>
      </c>
      <c r="B92" s="3">
        <f>VLOOKUP(A92,mypage_banners!A:F,6,FALSE)</f>
        <v>1</v>
      </c>
      <c r="C92" s="6" t="e">
        <f ca="1">IF($B92="null","",VLOOKUP($B92,OFFSET(#REF!,0,0,COUNTA(#REF!),MATCH(C$1,#REF!,0)-MATCH($B$1,#REF!,0)+1),MATCH(C$1,#REF!,0)-MATCH($B$1,#REF!,0)+1,FALSE))</f>
        <v>#REF!</v>
      </c>
      <c r="D92" s="6" t="e">
        <f ca="1">IF($B92="null","",VLOOKUP($B92,OFFSET(#REF!,0,0,COUNTA(#REF!),MATCH(D$1,#REF!,0)-MATCH($B$1,#REF!,0)+1),MATCH(D$1,#REF!,0)-MATCH($B$1,#REF!,0)+1,FALSE))</f>
        <v>#REF!</v>
      </c>
      <c r="E92" s="6" t="e">
        <f ca="1">IF($B92="null","",VLOOKUP($B92,OFFSET(#REF!,0,0,COUNTA(#REF!),MATCH(E$1,#REF!,0)-MATCH($B$1,#REF!,0)+1),MATCH(E$1,#REF!,0)-MATCH($B$1,#REF!,0)+1,FALSE))</f>
        <v>#REF!</v>
      </c>
      <c r="F92" s="17" t="str">
        <f>VLOOKUP(A92,mypage_banners!A:B,2,FALSE)</f>
        <v>quest20009</v>
      </c>
      <c r="G92" s="9" t="str">
        <f ca="1">VLOOKUP(VALUE(SUBSTITUTE(F92,"quest","")),OFFSET([2]quests!$A$1,0,0,COUNTA([2]quests!$A:$A),MATCH(G$1,[2]quests!$1:$1,0)-MATCH("quest_id",[2]quests!$1:$1,0)+1),MATCH(G$1,[2]quests!$1:$1,0)-MATCH("quest_id",[2]quests!$1:$1,0)+1,FALSE)</f>
        <v>迫り来る窒息</v>
      </c>
      <c r="H92" s="66" t="s">
        <v>268</v>
      </c>
      <c r="I92" s="17" t="str">
        <f>VLOOKUP(A92,mypage_banners!A:E,5,FALSE)</f>
        <v>quest20009_2.png</v>
      </c>
      <c r="J92" s="20">
        <v>15</v>
      </c>
      <c r="K92" s="20" t="s">
        <v>51</v>
      </c>
      <c r="L92" s="44" t="str">
        <f t="shared" si="1"/>
        <v>2009</v>
      </c>
    </row>
    <row r="93" spans="1:12" x14ac:dyDescent="0.15">
      <c r="A93" s="71" t="s">
        <v>458</v>
      </c>
      <c r="B93" s="3">
        <f>VLOOKUP(A93,mypage_banners!A:F,6,FALSE)</f>
        <v>1</v>
      </c>
      <c r="C93" s="6" t="e">
        <f ca="1">IF($B93="null","",VLOOKUP($B93,OFFSET(#REF!,0,0,COUNTA(#REF!),MATCH(C$1,#REF!,0)-MATCH($B$1,#REF!,0)+1),MATCH(C$1,#REF!,0)-MATCH($B$1,#REF!,0)+1,FALSE))</f>
        <v>#REF!</v>
      </c>
      <c r="D93" s="6" t="e">
        <f ca="1">IF($B93="null","",VLOOKUP($B93,OFFSET(#REF!,0,0,COUNTA(#REF!),MATCH(D$1,#REF!,0)-MATCH($B$1,#REF!,0)+1),MATCH(D$1,#REF!,0)-MATCH($B$1,#REF!,0)+1,FALSE))</f>
        <v>#REF!</v>
      </c>
      <c r="E93" s="6" t="e">
        <f ca="1">IF($B93="null","",VLOOKUP($B93,OFFSET(#REF!,0,0,COUNTA(#REF!),MATCH(E$1,#REF!,0)-MATCH($B$1,#REF!,0)+1),MATCH(E$1,#REF!,0)-MATCH($B$1,#REF!,0)+1,FALSE))</f>
        <v>#REF!</v>
      </c>
      <c r="F93" s="17" t="str">
        <f>VLOOKUP(A93,mypage_banners!A:B,2,FALSE)</f>
        <v>quest20008</v>
      </c>
      <c r="G93" s="9" t="str">
        <f ca="1">VLOOKUP(VALUE(SUBSTITUTE(F93,"quest","")),OFFSET([2]quests!$A$1,0,0,COUNTA([2]quests!$A:$A),MATCH(G$1,[2]quests!$1:$1,0)-MATCH("quest_id",[2]quests!$1:$1,0)+1),MATCH(G$1,[2]quests!$1:$1,0)-MATCH("quest_id",[2]quests!$1:$1,0)+1,FALSE)</f>
        <v>天翔ける金轟機龍</v>
      </c>
      <c r="H93" s="66" t="s">
        <v>16</v>
      </c>
      <c r="I93" s="17" t="str">
        <f>VLOOKUP(A93,mypage_banners!A:E,5,FALSE)</f>
        <v>quest20008_1.png</v>
      </c>
      <c r="J93" s="20">
        <v>15</v>
      </c>
      <c r="K93" s="20" t="s">
        <v>51</v>
      </c>
      <c r="L93" s="44" t="str">
        <f t="shared" si="1"/>
        <v>2008</v>
      </c>
    </row>
    <row r="94" spans="1:12" x14ac:dyDescent="0.15">
      <c r="A94" s="71" t="s">
        <v>459</v>
      </c>
      <c r="B94" s="3">
        <f>VLOOKUP(A94,mypage_banners!A:F,6,FALSE)</f>
        <v>1</v>
      </c>
      <c r="C94" s="6"/>
      <c r="D94" s="6"/>
      <c r="E94" s="6"/>
      <c r="F94" s="17" t="str">
        <f>VLOOKUP(A94,mypage_banners!A:B,2,FALSE)</f>
        <v>quest20007</v>
      </c>
      <c r="G94" s="9" t="str">
        <f ca="1">VLOOKUP(VALUE(SUBSTITUTE(F94,"quest","")),OFFSET([2]quests!$A$1,0,0,COUNTA([2]quests!$A:$A),MATCH(G$1,[2]quests!$1:$1,0)-MATCH("quest_id",[2]quests!$1:$1,0)+1),MATCH(G$1,[2]quests!$1:$1,0)-MATCH("quest_id",[2]quests!$1:$1,0)+1,FALSE)</f>
        <v>女王陛下の処刑龍</v>
      </c>
      <c r="H94" s="66" t="s">
        <v>16</v>
      </c>
      <c r="I94" s="17" t="str">
        <f>VLOOKUP(A94,mypage_banners!A:E,5,FALSE)</f>
        <v>quest20007_1.png</v>
      </c>
      <c r="J94" s="20">
        <v>15</v>
      </c>
      <c r="K94" s="20" t="s">
        <v>51</v>
      </c>
      <c r="L94" s="44" t="str">
        <f t="shared" si="1"/>
        <v>2007</v>
      </c>
    </row>
    <row r="95" spans="1:12" x14ac:dyDescent="0.15">
      <c r="A95" s="71" t="s">
        <v>460</v>
      </c>
      <c r="B95" s="3">
        <f>VLOOKUP(A95,mypage_banners!A:F,6,FALSE)</f>
        <v>1</v>
      </c>
      <c r="C95" s="6" t="e">
        <f ca="1">IF($B95="null","",VLOOKUP($B95,OFFSET(#REF!,0,0,COUNTA(#REF!),MATCH(C$1,#REF!,0)-MATCH($B$1,#REF!,0)+1),MATCH(C$1,#REF!,0)-MATCH($B$1,#REF!,0)+1,FALSE))</f>
        <v>#REF!</v>
      </c>
      <c r="D95" s="6" t="e">
        <f ca="1">IF($B95="null","",VLOOKUP($B95,OFFSET(#REF!,0,0,COUNTA(#REF!),MATCH(D$1,#REF!,0)-MATCH($B$1,#REF!,0)+1),MATCH(D$1,#REF!,0)-MATCH($B$1,#REF!,0)+1,FALSE))</f>
        <v>#REF!</v>
      </c>
      <c r="E95" s="6" t="e">
        <f ca="1">IF($B95="null","",VLOOKUP($B95,OFFSET(#REF!,0,0,COUNTA(#REF!),MATCH(E$1,#REF!,0)-MATCH($B$1,#REF!,0)+1),MATCH(E$1,#REF!,0)-MATCH($B$1,#REF!,0)+1,FALSE))</f>
        <v>#REF!</v>
      </c>
      <c r="F95" s="17" t="str">
        <f>VLOOKUP(A95,mypage_banners!A:B,2,FALSE)</f>
        <v>quest20006</v>
      </c>
      <c r="G95" s="9" t="str">
        <f ca="1">VLOOKUP(VALUE(SUBSTITUTE(F95,"quest","")),OFFSET([2]quests!$A$1,0,0,COUNTA([2]quests!$A:$A),MATCH(G$1,[2]quests!$1:$1,0)-MATCH("quest_id",[2]quests!$1:$1,0)+1),MATCH(G$1,[2]quests!$1:$1,0)-MATCH("quest_id",[2]quests!$1:$1,0)+1,FALSE)</f>
        <v>スチール・プレデター</v>
      </c>
      <c r="H95" s="66" t="s">
        <v>268</v>
      </c>
      <c r="I95" s="17" t="str">
        <f>VLOOKUP(A95,mypage_banners!A:E,5,FALSE)</f>
        <v>quest20006_1.png</v>
      </c>
      <c r="J95" s="20">
        <v>15</v>
      </c>
      <c r="K95" s="20" t="s">
        <v>51</v>
      </c>
      <c r="L95" s="44" t="str">
        <f t="shared" si="1"/>
        <v>2006</v>
      </c>
    </row>
    <row r="96" spans="1:12" x14ac:dyDescent="0.15">
      <c r="A96" s="71" t="s">
        <v>461</v>
      </c>
      <c r="B96" s="3">
        <f>VLOOKUP(A96,mypage_banners!A:F,6,FALSE)</f>
        <v>1</v>
      </c>
      <c r="C96" s="6" t="e">
        <f ca="1">IF($B96="null","",VLOOKUP($B96,OFFSET(#REF!,0,0,COUNTA(#REF!),MATCH(C$1,#REF!,0)-MATCH($B$1,#REF!,0)+1),MATCH(C$1,#REF!,0)-MATCH($B$1,#REF!,0)+1,FALSE))</f>
        <v>#REF!</v>
      </c>
      <c r="D96" s="6" t="e">
        <f ca="1">IF($B96="null","",VLOOKUP($B96,OFFSET(#REF!,0,0,COUNTA(#REF!),MATCH(D$1,#REF!,0)-MATCH($B$1,#REF!,0)+1),MATCH(D$1,#REF!,0)-MATCH($B$1,#REF!,0)+1,FALSE))</f>
        <v>#REF!</v>
      </c>
      <c r="E96" s="6" t="e">
        <f ca="1">IF($B96="null","",VLOOKUP($B96,OFFSET(#REF!,0,0,COUNTA(#REF!),MATCH(E$1,#REF!,0)-MATCH($B$1,#REF!,0)+1),MATCH(E$1,#REF!,0)-MATCH($B$1,#REF!,0)+1,FALSE))</f>
        <v>#REF!</v>
      </c>
      <c r="F96" s="17" t="str">
        <f>VLOOKUP(A96,mypage_banners!A:B,2,FALSE)</f>
        <v>quest20005</v>
      </c>
      <c r="G96" s="9" t="str">
        <f ca="1">VLOOKUP(VALUE(SUBSTITUTE(F96,"quest","")),OFFSET([2]quests!$A$1,0,0,COUNTA([2]quests!$A:$A),MATCH(G$1,[2]quests!$1:$1,0)-MATCH("quest_id",[2]quests!$1:$1,0)+1),MATCH(G$1,[2]quests!$1:$1,0)-MATCH("quest_id",[2]quests!$1:$1,0)+1,FALSE)</f>
        <v>ザ・キャノン</v>
      </c>
      <c r="H96" s="66" t="s">
        <v>16</v>
      </c>
      <c r="I96" s="17" t="str">
        <f>VLOOKUP(A96,mypage_banners!A:E,5,FALSE)</f>
        <v>quest20005_1.png</v>
      </c>
      <c r="J96" s="20">
        <v>15</v>
      </c>
      <c r="K96" s="20" t="s">
        <v>51</v>
      </c>
      <c r="L96" s="44" t="str">
        <f t="shared" si="1"/>
        <v>2005</v>
      </c>
    </row>
    <row r="97" spans="1:12" x14ac:dyDescent="0.15">
      <c r="A97" s="71" t="s">
        <v>462</v>
      </c>
      <c r="B97" s="3">
        <f>VLOOKUP(A97,mypage_banners!A:F,6,FALSE)</f>
        <v>1</v>
      </c>
      <c r="C97" s="6" t="e">
        <f ca="1">IF($B97="null","",VLOOKUP($B97,OFFSET(#REF!,0,0,COUNTA(#REF!),MATCH(C$1,#REF!,0)-MATCH($B$1,#REF!,0)+1),MATCH(C$1,#REF!,0)-MATCH($B$1,#REF!,0)+1,FALSE))</f>
        <v>#REF!</v>
      </c>
      <c r="D97" s="6" t="e">
        <f ca="1">IF($B97="null","",VLOOKUP($B97,OFFSET(#REF!,0,0,COUNTA(#REF!),MATCH(D$1,#REF!,0)-MATCH($B$1,#REF!,0)+1),MATCH(D$1,#REF!,0)-MATCH($B$1,#REF!,0)+1,FALSE))</f>
        <v>#REF!</v>
      </c>
      <c r="E97" s="6" t="e">
        <f ca="1">IF($B97="null","",VLOOKUP($B97,OFFSET(#REF!,0,0,COUNTA(#REF!),MATCH(E$1,#REF!,0)-MATCH($B$1,#REF!,0)+1),MATCH(E$1,#REF!,0)-MATCH($B$1,#REF!,0)+1,FALSE))</f>
        <v>#REF!</v>
      </c>
      <c r="F97" s="17" t="str">
        <f>VLOOKUP(A97,mypage_banners!A:B,2,FALSE)</f>
        <v>quest20004</v>
      </c>
      <c r="G97" s="9" t="str">
        <f ca="1">VLOOKUP(VALUE(SUBSTITUTE(F97,"quest","")),OFFSET([2]quests!$A$1,0,0,COUNTA([2]quests!$A:$A),MATCH(G$1,[2]quests!$1:$1,0)-MATCH("quest_id",[2]quests!$1:$1,0)+1),MATCH(G$1,[2]quests!$1:$1,0)-MATCH("quest_id",[2]quests!$1:$1,0)+1,FALSE)</f>
        <v>雷雲からの刺客</v>
      </c>
      <c r="H97" s="66" t="s">
        <v>16</v>
      </c>
      <c r="I97" s="17" t="str">
        <f>VLOOKUP(A97,mypage_banners!A:E,5,FALSE)</f>
        <v>quest20004_3.png</v>
      </c>
      <c r="J97" s="20">
        <v>15</v>
      </c>
      <c r="K97" s="20" t="s">
        <v>51</v>
      </c>
      <c r="L97" s="44" t="str">
        <f t="shared" si="1"/>
        <v>2004</v>
      </c>
    </row>
    <row r="98" spans="1:12" x14ac:dyDescent="0.15">
      <c r="A98" s="71" t="s">
        <v>463</v>
      </c>
      <c r="B98" s="3">
        <f>VLOOKUP(A98,mypage_banners!A:F,6,FALSE)</f>
        <v>1</v>
      </c>
      <c r="C98" s="6" t="e">
        <f ca="1">IF($B98="null","",VLOOKUP($B98,OFFSET(#REF!,0,0,COUNTA(#REF!),MATCH(C$1,#REF!,0)-MATCH($B$1,#REF!,0)+1),MATCH(C$1,#REF!,0)-MATCH($B$1,#REF!,0)+1,FALSE))</f>
        <v>#REF!</v>
      </c>
      <c r="D98" s="6" t="e">
        <f ca="1">IF($B98="null","",VLOOKUP($B98,OFFSET(#REF!,0,0,COUNTA(#REF!),MATCH(D$1,#REF!,0)-MATCH($B$1,#REF!,0)+1),MATCH(D$1,#REF!,0)-MATCH($B$1,#REF!,0)+1,FALSE))</f>
        <v>#REF!</v>
      </c>
      <c r="E98" s="6" t="e">
        <f ca="1">IF($B98="null","",VLOOKUP($B98,OFFSET(#REF!,0,0,COUNTA(#REF!),MATCH(E$1,#REF!,0)-MATCH($B$1,#REF!,0)+1),MATCH(E$1,#REF!,0)-MATCH($B$1,#REF!,0)+1,FALSE))</f>
        <v>#REF!</v>
      </c>
      <c r="F98" s="17" t="str">
        <f>VLOOKUP(A98,mypage_banners!A:B,2,FALSE)</f>
        <v>quest20003</v>
      </c>
      <c r="G98" s="9" t="str">
        <f ca="1">VLOOKUP(VALUE(SUBSTITUTE(F98,"quest","")),OFFSET([2]quests!$A$1,0,0,COUNTA([2]quests!$A:$A),MATCH(G$1,[2]quests!$1:$1,0)-MATCH("quest_id",[2]quests!$1:$1,0)+1),MATCH(G$1,[2]quests!$1:$1,0)-MATCH("quest_id",[2]quests!$1:$1,0)+1,FALSE)</f>
        <v>忍び寄る短剣</v>
      </c>
      <c r="H98" s="66" t="s">
        <v>16</v>
      </c>
      <c r="I98" s="17" t="str">
        <f>VLOOKUP(A98,mypage_banners!A:E,5,FALSE)</f>
        <v>quest20003_3.png</v>
      </c>
      <c r="J98" s="20">
        <v>15</v>
      </c>
      <c r="K98" s="20" t="s">
        <v>51</v>
      </c>
      <c r="L98" s="44" t="str">
        <f t="shared" si="1"/>
        <v>2003</v>
      </c>
    </row>
    <row r="99" spans="1:12" x14ac:dyDescent="0.15">
      <c r="A99" s="71" t="s">
        <v>464</v>
      </c>
      <c r="B99" s="3">
        <f>VLOOKUP(A99,mypage_banners!A:F,6,FALSE)</f>
        <v>1</v>
      </c>
      <c r="C99" s="6" t="e">
        <f ca="1">IF($B99="null","",VLOOKUP($B99,OFFSET(#REF!,0,0,COUNTA(#REF!),MATCH(C$1,#REF!,0)-MATCH($B$1,#REF!,0)+1),MATCH(C$1,#REF!,0)-MATCH($B$1,#REF!,0)+1,FALSE))</f>
        <v>#REF!</v>
      </c>
      <c r="D99" s="6" t="e">
        <f ca="1">IF($B99="null","",VLOOKUP($B99,OFFSET(#REF!,0,0,COUNTA(#REF!),MATCH(D$1,#REF!,0)-MATCH($B$1,#REF!,0)+1),MATCH(D$1,#REF!,0)-MATCH($B$1,#REF!,0)+1,FALSE))</f>
        <v>#REF!</v>
      </c>
      <c r="E99" s="6" t="e">
        <f ca="1">IF($B99="null","",VLOOKUP($B99,OFFSET(#REF!,0,0,COUNTA(#REF!),MATCH(E$1,#REF!,0)-MATCH($B$1,#REF!,0)+1),MATCH(E$1,#REF!,0)-MATCH($B$1,#REF!,0)+1,FALSE))</f>
        <v>#REF!</v>
      </c>
      <c r="F99" s="17" t="str">
        <f>VLOOKUP(A99,mypage_banners!A:B,2,FALSE)</f>
        <v>quest20002</v>
      </c>
      <c r="G99" s="9" t="str">
        <f ca="1">VLOOKUP(VALUE(SUBSTITUTE(F99,"quest","")),OFFSET([2]quests!$A$1,0,0,COUNTA([2]quests!$A:$A),MATCH(G$1,[2]quests!$1:$1,0)-MATCH("quest_id",[2]quests!$1:$1,0)+1),MATCH(G$1,[2]quests!$1:$1,0)-MATCH("quest_id",[2]quests!$1:$1,0)+1,FALSE)</f>
        <v>孤高の一角獣</v>
      </c>
      <c r="H99" s="66" t="s">
        <v>16</v>
      </c>
      <c r="I99" s="17" t="str">
        <f>VLOOKUP(A99,mypage_banners!A:E,5,FALSE)</f>
        <v>quest20002_4.png</v>
      </c>
      <c r="J99" s="20">
        <v>15</v>
      </c>
      <c r="K99" s="20" t="s">
        <v>51</v>
      </c>
      <c r="L99" s="44" t="str">
        <f t="shared" si="1"/>
        <v>2002</v>
      </c>
    </row>
    <row r="100" spans="1:12" x14ac:dyDescent="0.15">
      <c r="A100" s="71" t="s">
        <v>465</v>
      </c>
      <c r="B100" s="3">
        <f>VLOOKUP(A100,mypage_banners!A:F,6,FALSE)</f>
        <v>1</v>
      </c>
      <c r="C100" s="6" t="e">
        <f ca="1">IF($B100="null","",VLOOKUP($B100,OFFSET(#REF!,0,0,COUNTA(#REF!),MATCH(C$1,#REF!,0)-MATCH($B$1,#REF!,0)+1),MATCH(C$1,#REF!,0)-MATCH($B$1,#REF!,0)+1,FALSE))</f>
        <v>#REF!</v>
      </c>
      <c r="D100" s="6" t="e">
        <f ca="1">IF($B100="null","",VLOOKUP($B100,OFFSET(#REF!,0,0,COUNTA(#REF!),MATCH(D$1,#REF!,0)-MATCH($B$1,#REF!,0)+1),MATCH(D$1,#REF!,0)-MATCH($B$1,#REF!,0)+1,FALSE))</f>
        <v>#REF!</v>
      </c>
      <c r="E100" s="6" t="e">
        <f ca="1">IF($B100="null","",VLOOKUP($B100,OFFSET(#REF!,0,0,COUNTA(#REF!),MATCH(E$1,#REF!,0)-MATCH($B$1,#REF!,0)+1),MATCH(E$1,#REF!,0)-MATCH($B$1,#REF!,0)+1,FALSE))</f>
        <v>#REF!</v>
      </c>
      <c r="F100" s="17" t="str">
        <f>VLOOKUP(A100,mypage_banners!A:B,2,FALSE)</f>
        <v>quest20001</v>
      </c>
      <c r="G100" s="9" t="str">
        <f ca="1">VLOOKUP(VALUE(SUBSTITUTE(F100,"quest","")),OFFSET([2]quests!$A$1,0,0,COUNTA([2]quests!$A:$A),MATCH(G$1,[2]quests!$1:$1,0)-MATCH("quest_id",[2]quests!$1:$1,0)+1),MATCH(G$1,[2]quests!$1:$1,0)-MATCH("quest_id",[2]quests!$1:$1,0)+1,FALSE)</f>
        <v>紅き執行者</v>
      </c>
      <c r="H100" s="66" t="s">
        <v>16</v>
      </c>
      <c r="I100" s="17" t="str">
        <f>VLOOKUP(A100,mypage_banners!A:E,5,FALSE)</f>
        <v>quest20001_1.png</v>
      </c>
      <c r="J100" s="20">
        <v>15</v>
      </c>
      <c r="K100" s="20" t="s">
        <v>51</v>
      </c>
      <c r="L100" s="44" t="str">
        <f t="shared" si="1"/>
        <v>2001</v>
      </c>
    </row>
    <row r="101" spans="1:12" x14ac:dyDescent="0.15">
      <c r="A101" s="76" t="s">
        <v>500</v>
      </c>
      <c r="B101" s="3">
        <f>VLOOKUP(A101,mypage_banners!A:F,6,FALSE)</f>
        <v>1</v>
      </c>
      <c r="C101" s="6"/>
      <c r="D101" s="6"/>
      <c r="E101" s="6"/>
      <c r="F101" s="17" t="str">
        <f>VLOOKUP(A101,mypage_banners!A:B,2,FALSE)</f>
        <v>quest11008</v>
      </c>
      <c r="G101" s="9" t="str">
        <f ca="1">VLOOKUP(VALUE(SUBSTITUTE(F101,"quest","")),OFFSET([2]quests!$A$1,0,0,COUNTA([2]quests!$A:$A),MATCH(G$1,[2]quests!$1:$1,0)-MATCH("quest_id",[2]quests!$1:$1,0)+1),MATCH(G$1,[2]quests!$1:$1,0)-MATCH("quest_id",[2]quests!$1:$1,0)+1,FALSE)</f>
        <v>【日曜限定】 青と黄の素材</v>
      </c>
      <c r="H101" s="66" t="s">
        <v>16</v>
      </c>
      <c r="I101" s="17" t="str">
        <f>VLOOKUP(A101,mypage_banners!A:E,5,FALSE)</f>
        <v>quest11008.png</v>
      </c>
      <c r="J101" s="20" t="s">
        <v>51</v>
      </c>
      <c r="K101" s="20" t="s">
        <v>51</v>
      </c>
      <c r="L101" s="44" t="str">
        <f t="shared" si="1"/>
        <v>1016</v>
      </c>
    </row>
    <row r="102" spans="1:12" x14ac:dyDescent="0.15">
      <c r="A102" s="76" t="s">
        <v>499</v>
      </c>
      <c r="B102" s="3">
        <f>VLOOKUP(A102,mypage_banners!A:F,6,FALSE)</f>
        <v>1</v>
      </c>
      <c r="C102" s="6"/>
      <c r="D102" s="6"/>
      <c r="E102" s="6"/>
      <c r="F102" s="17" t="str">
        <f>VLOOKUP(A102,mypage_banners!A:B,2,FALSE)</f>
        <v>quest11007</v>
      </c>
      <c r="G102" s="9" t="str">
        <f ca="1">VLOOKUP(VALUE(SUBSTITUTE(F102,"quest","")),OFFSET([2]quests!$A$1,0,0,COUNTA([2]quests!$A:$A),MATCH(G$1,[2]quests!$1:$1,0)-MATCH("quest_id",[2]quests!$1:$1,0)+1),MATCH(G$1,[2]quests!$1:$1,0)-MATCH("quest_id",[2]quests!$1:$1,0)+1,FALSE)</f>
        <v>【土曜限定】 赤と緑の素材</v>
      </c>
      <c r="H102" s="66" t="s">
        <v>16</v>
      </c>
      <c r="I102" s="17" t="str">
        <f>VLOOKUP(A102,mypage_banners!A:E,5,FALSE)</f>
        <v>quest11007.png</v>
      </c>
      <c r="J102" s="20" t="s">
        <v>51</v>
      </c>
      <c r="K102" s="20" t="s">
        <v>51</v>
      </c>
      <c r="L102" s="44" t="str">
        <f t="shared" si="1"/>
        <v>1015</v>
      </c>
    </row>
    <row r="103" spans="1:12" x14ac:dyDescent="0.15">
      <c r="A103" s="72" t="s">
        <v>466</v>
      </c>
      <c r="B103" s="3">
        <f>VLOOKUP(A103,mypage_banners!A:F,6,FALSE)</f>
        <v>1</v>
      </c>
      <c r="C103" s="6" t="e">
        <f ca="1">IF($B103="null","",VLOOKUP($B103,OFFSET(#REF!,0,0,COUNTA(#REF!),MATCH(C$1,#REF!,0)-MATCH($B$1,#REF!,0)+1),MATCH(C$1,#REF!,0)-MATCH($B$1,#REF!,0)+1,FALSE))</f>
        <v>#REF!</v>
      </c>
      <c r="D103" s="6" t="e">
        <f ca="1">IF($B103="null","",VLOOKUP($B103,OFFSET(#REF!,0,0,COUNTA(#REF!),MATCH(D$1,#REF!,0)-MATCH($B$1,#REF!,0)+1),MATCH(D$1,#REF!,0)-MATCH($B$1,#REF!,0)+1,FALSE))</f>
        <v>#REF!</v>
      </c>
      <c r="E103" s="6" t="e">
        <f ca="1">IF($B103="null","",VLOOKUP($B103,OFFSET(#REF!,0,0,COUNTA(#REF!),MATCH(E$1,#REF!,0)-MATCH($B$1,#REF!,0)+1),MATCH(E$1,#REF!,0)-MATCH($B$1,#REF!,0)+1,FALSE))</f>
        <v>#REF!</v>
      </c>
      <c r="F103" s="17" t="str">
        <f>VLOOKUP(A103,mypage_banners!A:B,2,FALSE)</f>
        <v>quest11101</v>
      </c>
      <c r="G103" s="9" t="str">
        <f ca="1">VLOOKUP(VALUE(SUBSTITUTE(F103,"quest","")),OFFSET([2]quests!$A$1,0,0,COUNTA([2]quests!$A:$A),MATCH(G$1,[2]quests!$1:$1,0)-MATCH("quest_id",[2]quests!$1:$1,0)+1),MATCH(G$1,[2]quests!$1:$1,0)-MATCH("quest_id",[2]quests!$1:$1,0)+1,FALSE)</f>
        <v>【期間限定】 黄の素材</v>
      </c>
      <c r="H103" s="66" t="s">
        <v>16</v>
      </c>
      <c r="I103" s="17" t="str">
        <f>VLOOKUP(A103,mypage_banners!A:E,5,FALSE)</f>
        <v>quest11101_3.png</v>
      </c>
      <c r="J103" s="20" t="s">
        <v>51</v>
      </c>
      <c r="K103" s="20" t="s">
        <v>51</v>
      </c>
      <c r="L103" s="44" t="str">
        <f t="shared" si="1"/>
        <v>1014</v>
      </c>
    </row>
    <row r="104" spans="1:12" x14ac:dyDescent="0.15">
      <c r="A104" s="72" t="s">
        <v>467</v>
      </c>
      <c r="B104" s="3">
        <f>VLOOKUP(A104,mypage_banners!A:F,6,FALSE)</f>
        <v>1</v>
      </c>
      <c r="C104" s="6" t="e">
        <f ca="1">IF($B104="null","",VLOOKUP($B104,OFFSET(#REF!,0,0,COUNTA(#REF!),MATCH(C$1,#REF!,0)-MATCH($B$1,#REF!,0)+1),MATCH(C$1,#REF!,0)-MATCH($B$1,#REF!,0)+1,FALSE))</f>
        <v>#REF!</v>
      </c>
      <c r="D104" s="6" t="e">
        <f ca="1">IF($B104="null","",VLOOKUP($B104,OFFSET(#REF!,0,0,COUNTA(#REF!),MATCH(D$1,#REF!,0)-MATCH($B$1,#REF!,0)+1),MATCH(D$1,#REF!,0)-MATCH($B$1,#REF!,0)+1,FALSE))</f>
        <v>#REF!</v>
      </c>
      <c r="E104" s="6" t="e">
        <f ca="1">IF($B104="null","",VLOOKUP($B104,OFFSET(#REF!,0,0,COUNTA(#REF!),MATCH(E$1,#REF!,0)-MATCH($B$1,#REF!,0)+1),MATCH(E$1,#REF!,0)-MATCH($B$1,#REF!,0)+1,FALSE))</f>
        <v>#REF!</v>
      </c>
      <c r="F104" s="17" t="str">
        <f>VLOOKUP(A104,mypage_banners!A:B,2,FALSE)</f>
        <v>quest11102</v>
      </c>
      <c r="G104" s="9" t="str">
        <f ca="1">VLOOKUP(VALUE(SUBSTITUTE(F104,"quest","")),OFFSET([2]quests!$A$1,0,0,COUNTA([2]quests!$A:$A),MATCH(G$1,[2]quests!$1:$1,0)-MATCH("quest_id",[2]quests!$1:$1,0)+1),MATCH(G$1,[2]quests!$1:$1,0)-MATCH("quest_id",[2]quests!$1:$1,0)+1,FALSE)</f>
        <v>【期間限定】 赤の素材</v>
      </c>
      <c r="H104" s="66" t="s">
        <v>16</v>
      </c>
      <c r="I104" s="17" t="str">
        <f>VLOOKUP(A104,mypage_banners!A:E,5,FALSE)</f>
        <v>quest11102_3.png</v>
      </c>
      <c r="J104" s="20" t="s">
        <v>51</v>
      </c>
      <c r="K104" s="20" t="s">
        <v>51</v>
      </c>
      <c r="L104" s="44" t="str">
        <f t="shared" si="1"/>
        <v>1013</v>
      </c>
    </row>
    <row r="105" spans="1:12" x14ac:dyDescent="0.15">
      <c r="A105" s="72" t="s">
        <v>468</v>
      </c>
      <c r="B105" s="3">
        <f>VLOOKUP(A105,mypage_banners!A:F,6,FALSE)</f>
        <v>1</v>
      </c>
      <c r="C105" s="6" t="e">
        <f ca="1">IF($B105="null","",VLOOKUP($B105,OFFSET(#REF!,0,0,COUNTA(#REF!),MATCH(C$1,#REF!,0)-MATCH($B$1,#REF!,0)+1),MATCH(C$1,#REF!,0)-MATCH($B$1,#REF!,0)+1,FALSE))</f>
        <v>#REF!</v>
      </c>
      <c r="D105" s="6" t="e">
        <f ca="1">IF($B105="null","",VLOOKUP($B105,OFFSET(#REF!,0,0,COUNTA(#REF!),MATCH(D$1,#REF!,0)-MATCH($B$1,#REF!,0)+1),MATCH(D$1,#REF!,0)-MATCH($B$1,#REF!,0)+1,FALSE))</f>
        <v>#REF!</v>
      </c>
      <c r="E105" s="6" t="e">
        <f ca="1">IF($B105="null","",VLOOKUP($B105,OFFSET(#REF!,0,0,COUNTA(#REF!),MATCH(E$1,#REF!,0)-MATCH($B$1,#REF!,0)+1),MATCH(E$1,#REF!,0)-MATCH($B$1,#REF!,0)+1,FALSE))</f>
        <v>#REF!</v>
      </c>
      <c r="F105" s="17" t="str">
        <f>VLOOKUP(A105,mypage_banners!A:B,2,FALSE)</f>
        <v>quest11103</v>
      </c>
      <c r="G105" s="9" t="str">
        <f ca="1">VLOOKUP(VALUE(SUBSTITUTE(F105,"quest","")),OFFSET([2]quests!$A$1,0,0,COUNTA([2]quests!$A:$A),MATCH(G$1,[2]quests!$1:$1,0)-MATCH("quest_id",[2]quests!$1:$1,0)+1),MATCH(G$1,[2]quests!$1:$1,0)-MATCH("quest_id",[2]quests!$1:$1,0)+1,FALSE)</f>
        <v>【期間限定】 青の素材</v>
      </c>
      <c r="H105" s="66" t="s">
        <v>16</v>
      </c>
      <c r="I105" s="17" t="str">
        <f>VLOOKUP(A105,mypage_banners!A:E,5,FALSE)</f>
        <v>quest11103_3.png</v>
      </c>
      <c r="J105" s="20" t="s">
        <v>51</v>
      </c>
      <c r="K105" s="20" t="s">
        <v>51</v>
      </c>
      <c r="L105" s="44" t="str">
        <f t="shared" si="1"/>
        <v>1012</v>
      </c>
    </row>
    <row r="106" spans="1:12" x14ac:dyDescent="0.15">
      <c r="A106" s="72" t="s">
        <v>469</v>
      </c>
      <c r="B106" s="3">
        <f>VLOOKUP(A106,mypage_banners!A:F,6,FALSE)</f>
        <v>1</v>
      </c>
      <c r="C106" s="6" t="e">
        <f ca="1">IF($B106="null","",VLOOKUP($B106,OFFSET(#REF!,0,0,COUNTA(#REF!),MATCH(C$1,#REF!,0)-MATCH($B$1,#REF!,0)+1),MATCH(C$1,#REF!,0)-MATCH($B$1,#REF!,0)+1,FALSE))</f>
        <v>#REF!</v>
      </c>
      <c r="D106" s="6" t="e">
        <f ca="1">IF($B106="null","",VLOOKUP($B106,OFFSET(#REF!,0,0,COUNTA(#REF!),MATCH(D$1,#REF!,0)-MATCH($B$1,#REF!,0)+1),MATCH(D$1,#REF!,0)-MATCH($B$1,#REF!,0)+1,FALSE))</f>
        <v>#REF!</v>
      </c>
      <c r="E106" s="6" t="e">
        <f ca="1">IF($B106="null","",VLOOKUP($B106,OFFSET(#REF!,0,0,COUNTA(#REF!),MATCH(E$1,#REF!,0)-MATCH($B$1,#REF!,0)+1),MATCH(E$1,#REF!,0)-MATCH($B$1,#REF!,0)+1,FALSE))</f>
        <v>#REF!</v>
      </c>
      <c r="F106" s="17" t="str">
        <f>VLOOKUP(A106,mypage_banners!A:B,2,FALSE)</f>
        <v>quest11104</v>
      </c>
      <c r="G106" s="9" t="str">
        <f ca="1">VLOOKUP(VALUE(SUBSTITUTE(F106,"quest","")),OFFSET([2]quests!$A$1,0,0,COUNTA([2]quests!$A:$A),MATCH(G$1,[2]quests!$1:$1,0)-MATCH("quest_id",[2]quests!$1:$1,0)+1),MATCH(G$1,[2]quests!$1:$1,0)-MATCH("quest_id",[2]quests!$1:$1,0)+1,FALSE)</f>
        <v>【期間限定】 緑の素材</v>
      </c>
      <c r="H106" s="66" t="s">
        <v>16</v>
      </c>
      <c r="I106" s="17" t="str">
        <f>VLOOKUP(A106,mypage_banners!A:E,5,FALSE)</f>
        <v>quest11104_3.png</v>
      </c>
      <c r="J106" s="20" t="s">
        <v>51</v>
      </c>
      <c r="K106" s="20" t="s">
        <v>51</v>
      </c>
      <c r="L106" s="44" t="str">
        <f t="shared" si="1"/>
        <v>1011</v>
      </c>
    </row>
    <row r="107" spans="1:12" x14ac:dyDescent="0.15">
      <c r="A107" s="72" t="s">
        <v>470</v>
      </c>
      <c r="B107" s="3">
        <f>VLOOKUP(A107,mypage_banners!A:F,6,FALSE)</f>
        <v>1</v>
      </c>
      <c r="C107" s="6" t="e">
        <f ca="1">IF($B107="null","",VLOOKUP($B107,OFFSET(#REF!,0,0,COUNTA(#REF!),MATCH(C$1,#REF!,0)-MATCH($B$1,#REF!,0)+1),MATCH(C$1,#REF!,0)-MATCH($B$1,#REF!,0)+1,FALSE))</f>
        <v>#REF!</v>
      </c>
      <c r="D107" s="6" t="e">
        <f ca="1">IF($B107="null","",VLOOKUP($B107,OFFSET(#REF!,0,0,COUNTA(#REF!),MATCH(D$1,#REF!,0)-MATCH($B$1,#REF!,0)+1),MATCH(D$1,#REF!,0)-MATCH($B$1,#REF!,0)+1,FALSE))</f>
        <v>#REF!</v>
      </c>
      <c r="E107" s="6" t="e">
        <f ca="1">IF($B107="null","",VLOOKUP($B107,OFFSET(#REF!,0,0,COUNTA(#REF!),MATCH(E$1,#REF!,0)-MATCH($B$1,#REF!,0)+1),MATCH(E$1,#REF!,0)-MATCH($B$1,#REF!,0)+1,FALSE))</f>
        <v>#REF!</v>
      </c>
      <c r="F107" s="17" t="str">
        <f>VLOOKUP(A107,mypage_banners!A:B,2,FALSE)</f>
        <v>quest11105</v>
      </c>
      <c r="G107" s="9" t="str">
        <f ca="1">VLOOKUP(VALUE(SUBSTITUTE(F107,"quest","")),OFFSET([2]quests!$A$1,0,0,COUNTA([2]quests!$A:$A),MATCH(G$1,[2]quests!$1:$1,0)-MATCH("quest_id",[2]quests!$1:$1,0)+1),MATCH(G$1,[2]quests!$1:$1,0)-MATCH("quest_id",[2]quests!$1:$1,0)+1,FALSE)</f>
        <v>【期間限定】 帽子屋を追え！</v>
      </c>
      <c r="H107" s="66" t="s">
        <v>16</v>
      </c>
      <c r="I107" s="17" t="str">
        <f>VLOOKUP(A107,mypage_banners!A:E,5,FALSE)</f>
        <v>quest11105_2.png</v>
      </c>
      <c r="J107" s="20" t="s">
        <v>51</v>
      </c>
      <c r="K107" s="20" t="s">
        <v>51</v>
      </c>
      <c r="L107" s="44" t="str">
        <f t="shared" si="1"/>
        <v>1010</v>
      </c>
    </row>
    <row r="108" spans="1:12" x14ac:dyDescent="0.15">
      <c r="A108" s="72" t="s">
        <v>471</v>
      </c>
      <c r="B108" s="3">
        <f>VLOOKUP(A108,mypage_banners!A:F,6,FALSE)</f>
        <v>100</v>
      </c>
      <c r="C108" s="6" t="e">
        <f ca="1">IF($B108="null","",VLOOKUP($B108,OFFSET(#REF!,0,0,COUNTA(#REF!),MATCH(C$1,#REF!,0)-MATCH($B$1,#REF!,0)+1),MATCH(C$1,#REF!,0)-MATCH($B$1,#REF!,0)+1,FALSE))</f>
        <v>#REF!</v>
      </c>
      <c r="D108" s="6" t="e">
        <f ca="1">IF($B108="null","",VLOOKUP($B108,OFFSET(#REF!,0,0,COUNTA(#REF!),MATCH(D$1,#REF!,0)-MATCH($B$1,#REF!,0)+1),MATCH(D$1,#REF!,0)-MATCH($B$1,#REF!,0)+1,FALSE))</f>
        <v>#REF!</v>
      </c>
      <c r="E108" s="6" t="e">
        <f ca="1">IF($B108="null","",VLOOKUP($B108,OFFSET(#REF!,0,0,COUNTA(#REF!),MATCH(E$1,#REF!,0)-MATCH($B$1,#REF!,0)+1),MATCH(E$1,#REF!,0)-MATCH($B$1,#REF!,0)+1,FALSE))</f>
        <v>#REF!</v>
      </c>
      <c r="F108" s="17" t="str">
        <f>VLOOKUP(A108,mypage_banners!A:B,2,FALSE)</f>
        <v>quest12002</v>
      </c>
      <c r="G108" s="9" t="str">
        <f ca="1">VLOOKUP(VALUE(SUBSTITUTE(F108,"quest","")),OFFSET([2]quests!$A$1,0,0,COUNTA([2]quests!$A:$A),MATCH(G$1,[2]quests!$1:$1,0)-MATCH("quest_id",[2]quests!$1:$1,0)+1),MATCH(G$1,[2]quests!$1:$1,0)-MATCH("quest_id",[2]quests!$1:$1,0)+1,FALSE)</f>
        <v>【マルチ専用1/2】 アヒル捕獲作戦</v>
      </c>
      <c r="H108" s="66" t="s">
        <v>16</v>
      </c>
      <c r="I108" s="17" t="str">
        <f>VLOOKUP(A108,mypage_banners!A:E,5,FALSE)</f>
        <v>quest12002_1.png</v>
      </c>
      <c r="J108" s="20" t="s">
        <v>51</v>
      </c>
      <c r="K108" s="20" t="s">
        <v>51</v>
      </c>
      <c r="L108" s="44" t="str">
        <f t="shared" si="1"/>
        <v>1009</v>
      </c>
    </row>
    <row r="109" spans="1:12" x14ac:dyDescent="0.15">
      <c r="A109" s="72" t="s">
        <v>472</v>
      </c>
      <c r="B109" s="3">
        <f>VLOOKUP(A109,mypage_banners!A:F,6,FALSE)</f>
        <v>1</v>
      </c>
      <c r="C109" s="6" t="e">
        <f ca="1">IF($B109="null","",VLOOKUP($B109,OFFSET(#REF!,0,0,COUNTA(#REF!),MATCH(C$1,#REF!,0)-MATCH($B$1,#REF!,0)+1),MATCH(C$1,#REF!,0)-MATCH($B$1,#REF!,0)+1,FALSE))</f>
        <v>#REF!</v>
      </c>
      <c r="D109" s="6" t="e">
        <f ca="1">IF($B109="null","",VLOOKUP($B109,OFFSET(#REF!,0,0,COUNTA(#REF!),MATCH(D$1,#REF!,0)-MATCH($B$1,#REF!,0)+1),MATCH(D$1,#REF!,0)-MATCH($B$1,#REF!,0)+1,FALSE))</f>
        <v>#REF!</v>
      </c>
      <c r="E109" s="6" t="e">
        <f ca="1">IF($B109="null","",VLOOKUP($B109,OFFSET(#REF!,0,0,COUNTA(#REF!),MATCH(E$1,#REF!,0)-MATCH($B$1,#REF!,0)+1),MATCH(E$1,#REF!,0)-MATCH($B$1,#REF!,0)+1,FALSE))</f>
        <v>#REF!</v>
      </c>
      <c r="F109" s="17" t="str">
        <f>VLOOKUP(A109,mypage_banners!A:B,2,FALSE)</f>
        <v>quest12001</v>
      </c>
      <c r="G109" s="9" t="str">
        <f ca="1">VLOOKUP(VALUE(SUBSTITUTE(F109,"quest","")),OFFSET([2]quests!$A$1,0,0,COUNTA([2]quests!$A:$A),MATCH(G$1,[2]quests!$1:$1,0)-MATCH("quest_id",[2]quests!$1:$1,0)+1),MATCH(G$1,[2]quests!$1:$1,0)-MATCH("quest_id",[2]quests!$1:$1,0)+1,FALSE)</f>
        <v>【緊急！！】 アヒル捕獲作戦</v>
      </c>
      <c r="H109" s="66" t="s">
        <v>16</v>
      </c>
      <c r="I109" s="17" t="str">
        <f>VLOOKUP(A109,mypage_banners!A:E,5,FALSE)</f>
        <v>quest12001.png</v>
      </c>
      <c r="J109" s="20" t="s">
        <v>51</v>
      </c>
      <c r="K109" s="20" t="s">
        <v>51</v>
      </c>
      <c r="L109" s="44" t="str">
        <f t="shared" si="1"/>
        <v>1008</v>
      </c>
    </row>
    <row r="110" spans="1:12" x14ac:dyDescent="0.15">
      <c r="A110" s="72" t="s">
        <v>473</v>
      </c>
      <c r="B110" s="3">
        <f>VLOOKUP(A110,mypage_banners!A:F,6,FALSE)</f>
        <v>1</v>
      </c>
      <c r="C110" s="6" t="e">
        <f ca="1">IF($B110="null","",VLOOKUP($B110,OFFSET(#REF!,0,0,COUNTA(#REF!),MATCH(C$1,#REF!,0)-MATCH($B$1,#REF!,0)+1),MATCH(C$1,#REF!,0)-MATCH($B$1,#REF!,0)+1,FALSE))</f>
        <v>#REF!</v>
      </c>
      <c r="D110" s="6" t="e">
        <f ca="1">IF($B110="null","",VLOOKUP($B110,OFFSET(#REF!,0,0,COUNTA(#REF!),MATCH(D$1,#REF!,0)-MATCH($B$1,#REF!,0)+1),MATCH(D$1,#REF!,0)-MATCH($B$1,#REF!,0)+1,FALSE))</f>
        <v>#REF!</v>
      </c>
      <c r="E110" s="6" t="e">
        <f ca="1">IF($B110="null","",VLOOKUP($B110,OFFSET(#REF!,0,0,COUNTA(#REF!),MATCH(E$1,#REF!,0)-MATCH($B$1,#REF!,0)+1),MATCH(E$1,#REF!,0)-MATCH($B$1,#REF!,0)+1,FALSE))</f>
        <v>#REF!</v>
      </c>
      <c r="F110" s="17" t="str">
        <f>VLOOKUP(A110,mypage_banners!A:B,2,FALSE)</f>
        <v>quest11006</v>
      </c>
      <c r="G110" s="9" t="str">
        <f ca="1">VLOOKUP(VALUE(SUBSTITUTE(F110,"quest","")),OFFSET([2]quests!$A$1,0,0,COUNTA([2]quests!$A:$A),MATCH(G$1,[2]quests!$1:$1,0)-MATCH("quest_id",[2]quests!$1:$1,0)+1),MATCH(G$1,[2]quests!$1:$1,0)-MATCH("quest_id",[2]quests!$1:$1,0)+1,FALSE)</f>
        <v>【土日限定】 ゴールドカジノ</v>
      </c>
      <c r="H110" s="66" t="s">
        <v>16</v>
      </c>
      <c r="I110" s="17" t="s">
        <v>509</v>
      </c>
      <c r="J110" s="20" t="s">
        <v>51</v>
      </c>
      <c r="K110" s="20" t="s">
        <v>51</v>
      </c>
      <c r="L110" s="44" t="str">
        <f t="shared" si="1"/>
        <v>1007</v>
      </c>
    </row>
    <row r="111" spans="1:12" x14ac:dyDescent="0.15">
      <c r="A111" s="72" t="s">
        <v>474</v>
      </c>
      <c r="B111" s="3">
        <f>VLOOKUP(A111,mypage_banners!A:F,6,FALSE)</f>
        <v>1</v>
      </c>
      <c r="C111" s="6" t="e">
        <f ca="1">IF($B111="null","",VLOOKUP($B111,OFFSET(#REF!,0,0,COUNTA(#REF!),MATCH(C$1,#REF!,0)-MATCH($B$1,#REF!,0)+1),MATCH(C$1,#REF!,0)-MATCH($B$1,#REF!,0)+1,FALSE))</f>
        <v>#REF!</v>
      </c>
      <c r="D111" s="6" t="e">
        <f ca="1">IF($B111="null","",VLOOKUP($B111,OFFSET(#REF!,0,0,COUNTA(#REF!),MATCH(D$1,#REF!,0)-MATCH($B$1,#REF!,0)+1),MATCH(D$1,#REF!,0)-MATCH($B$1,#REF!,0)+1,FALSE))</f>
        <v>#REF!</v>
      </c>
      <c r="E111" s="6" t="e">
        <f ca="1">IF($B111="null","",VLOOKUP($B111,OFFSET(#REF!,0,0,COUNTA(#REF!),MATCH(E$1,#REF!,0)-MATCH($B$1,#REF!,0)+1),MATCH(E$1,#REF!,0)-MATCH($B$1,#REF!,0)+1,FALSE))</f>
        <v>#REF!</v>
      </c>
      <c r="F111" s="17" t="str">
        <f>VLOOKUP(A111,mypage_banners!A:B,2,FALSE)</f>
        <v>quest11005</v>
      </c>
      <c r="G111" s="9" t="str">
        <f ca="1">VLOOKUP(VALUE(SUBSTITUTE(F111,"quest","")),OFFSET([2]quests!$A$1,0,0,COUNTA([2]quests!$A:$A),MATCH(G$1,[2]quests!$1:$1,0)-MATCH("quest_id",[2]quests!$1:$1,0)+1),MATCH(G$1,[2]quests!$1:$1,0)-MATCH("quest_id",[2]quests!$1:$1,0)+1,FALSE)</f>
        <v>【金曜限定】 帽子屋を追え！</v>
      </c>
      <c r="H111" s="66" t="s">
        <v>16</v>
      </c>
      <c r="I111" s="17" t="str">
        <f>VLOOKUP(A111,mypage_banners!A:E,5,FALSE)</f>
        <v>quest11005.png</v>
      </c>
      <c r="J111" s="20" t="s">
        <v>51</v>
      </c>
      <c r="K111" s="20" t="s">
        <v>51</v>
      </c>
      <c r="L111" s="44" t="str">
        <f t="shared" si="1"/>
        <v>1006</v>
      </c>
    </row>
    <row r="112" spans="1:12" x14ac:dyDescent="0.15">
      <c r="A112" s="72" t="s">
        <v>475</v>
      </c>
      <c r="B112" s="3">
        <f>VLOOKUP(A112,mypage_banners!A:F,6,FALSE)</f>
        <v>1</v>
      </c>
      <c r="C112" s="6" t="e">
        <f ca="1">IF($B112="null","",VLOOKUP($B112,OFFSET(#REF!,0,0,COUNTA(#REF!),MATCH(C$1,#REF!,0)-MATCH($B$1,#REF!,0)+1),MATCH(C$1,#REF!,0)-MATCH($B$1,#REF!,0)+1,FALSE))</f>
        <v>#REF!</v>
      </c>
      <c r="D112" s="6" t="e">
        <f ca="1">IF($B112="null","",VLOOKUP($B112,OFFSET(#REF!,0,0,COUNTA(#REF!),MATCH(D$1,#REF!,0)-MATCH($B$1,#REF!,0)+1),MATCH(D$1,#REF!,0)-MATCH($B$1,#REF!,0)+1,FALSE))</f>
        <v>#REF!</v>
      </c>
      <c r="E112" s="6" t="e">
        <f ca="1">IF($B112="null","",VLOOKUP($B112,OFFSET(#REF!,0,0,COUNTA(#REF!),MATCH(E$1,#REF!,0)-MATCH($B$1,#REF!,0)+1),MATCH(E$1,#REF!,0)-MATCH($B$1,#REF!,0)+1,FALSE))</f>
        <v>#REF!</v>
      </c>
      <c r="F112" s="17" t="str">
        <f>VLOOKUP(A112,mypage_banners!A:B,2,FALSE)</f>
        <v>quest11004</v>
      </c>
      <c r="G112" s="9" t="str">
        <f ca="1">VLOOKUP(VALUE(SUBSTITUTE(F112,"quest","")),OFFSET([2]quests!$A$1,0,0,COUNTA([2]quests!$A:$A),MATCH(G$1,[2]quests!$1:$1,0)-MATCH("quest_id",[2]quests!$1:$1,0)+1),MATCH(G$1,[2]quests!$1:$1,0)-MATCH("quest_id",[2]quests!$1:$1,0)+1,FALSE)</f>
        <v>【木曜限定】 緑の素材</v>
      </c>
      <c r="H112" s="66" t="s">
        <v>16</v>
      </c>
      <c r="I112" s="17" t="str">
        <f>VLOOKUP(A112,mypage_banners!A:E,5,FALSE)</f>
        <v>quest11004_2.png</v>
      </c>
      <c r="J112" s="20" t="s">
        <v>51</v>
      </c>
      <c r="K112" s="20" t="s">
        <v>51</v>
      </c>
      <c r="L112" s="44" t="str">
        <f t="shared" si="1"/>
        <v>1005</v>
      </c>
    </row>
    <row r="113" spans="1:12" x14ac:dyDescent="0.15">
      <c r="A113" s="72" t="s">
        <v>476</v>
      </c>
      <c r="B113" s="3">
        <f>VLOOKUP(A113,mypage_banners!A:F,6,FALSE)</f>
        <v>1</v>
      </c>
      <c r="C113" s="6" t="e">
        <f ca="1">IF($B113="null","",VLOOKUP($B113,OFFSET(#REF!,0,0,COUNTA(#REF!),MATCH(C$1,#REF!,0)-MATCH($B$1,#REF!,0)+1),MATCH(C$1,#REF!,0)-MATCH($B$1,#REF!,0)+1,FALSE))</f>
        <v>#REF!</v>
      </c>
      <c r="D113" s="6" t="e">
        <f ca="1">IF($B113="null","",VLOOKUP($B113,OFFSET(#REF!,0,0,COUNTA(#REF!),MATCH(D$1,#REF!,0)-MATCH($B$1,#REF!,0)+1),MATCH(D$1,#REF!,0)-MATCH($B$1,#REF!,0)+1,FALSE))</f>
        <v>#REF!</v>
      </c>
      <c r="E113" s="6" t="e">
        <f ca="1">IF($B113="null","",VLOOKUP($B113,OFFSET(#REF!,0,0,COUNTA(#REF!),MATCH(E$1,#REF!,0)-MATCH($B$1,#REF!,0)+1),MATCH(E$1,#REF!,0)-MATCH($B$1,#REF!,0)+1,FALSE))</f>
        <v>#REF!</v>
      </c>
      <c r="F113" s="17" t="str">
        <f>VLOOKUP(A113,mypage_banners!A:B,2,FALSE)</f>
        <v>quest11003</v>
      </c>
      <c r="G113" s="9" t="str">
        <f ca="1">VLOOKUP(VALUE(SUBSTITUTE(F113,"quest","")),OFFSET([2]quests!$A$1,0,0,COUNTA([2]quests!$A:$A),MATCH(G$1,[2]quests!$1:$1,0)-MATCH("quest_id",[2]quests!$1:$1,0)+1),MATCH(G$1,[2]quests!$1:$1,0)-MATCH("quest_id",[2]quests!$1:$1,0)+1,FALSE)</f>
        <v>【水曜限定】 青の素材</v>
      </c>
      <c r="H113" s="66" t="s">
        <v>16</v>
      </c>
      <c r="I113" s="17" t="str">
        <f>VLOOKUP(A113,mypage_banners!A:E,5,FALSE)</f>
        <v>quest11003_2.png</v>
      </c>
      <c r="J113" s="20" t="s">
        <v>51</v>
      </c>
      <c r="K113" s="20" t="s">
        <v>51</v>
      </c>
      <c r="L113" s="44" t="str">
        <f t="shared" si="1"/>
        <v>1004</v>
      </c>
    </row>
    <row r="114" spans="1:12" x14ac:dyDescent="0.15">
      <c r="A114" s="72" t="s">
        <v>477</v>
      </c>
      <c r="B114" s="3">
        <f>VLOOKUP(A114,mypage_banners!A:F,6,FALSE)</f>
        <v>1</v>
      </c>
      <c r="C114" s="6" t="e">
        <f ca="1">IF($B114="null","",VLOOKUP($B114,OFFSET(#REF!,0,0,COUNTA(#REF!),MATCH(C$1,#REF!,0)-MATCH($B$1,#REF!,0)+1),MATCH(C$1,#REF!,0)-MATCH($B$1,#REF!,0)+1,FALSE))</f>
        <v>#REF!</v>
      </c>
      <c r="D114" s="6" t="e">
        <f ca="1">IF($B114="null","",VLOOKUP($B114,OFFSET(#REF!,0,0,COUNTA(#REF!),MATCH(D$1,#REF!,0)-MATCH($B$1,#REF!,0)+1),MATCH(D$1,#REF!,0)-MATCH($B$1,#REF!,0)+1,FALSE))</f>
        <v>#REF!</v>
      </c>
      <c r="E114" s="6" t="e">
        <f ca="1">IF($B114="null","",VLOOKUP($B114,OFFSET(#REF!,0,0,COUNTA(#REF!),MATCH(E$1,#REF!,0)-MATCH($B$1,#REF!,0)+1),MATCH(E$1,#REF!,0)-MATCH($B$1,#REF!,0)+1,FALSE))</f>
        <v>#REF!</v>
      </c>
      <c r="F114" s="17" t="str">
        <f>VLOOKUP(A114,mypage_banners!A:B,2,FALSE)</f>
        <v>quest11002</v>
      </c>
      <c r="G114" s="9" t="str">
        <f ca="1">VLOOKUP(VALUE(SUBSTITUTE(F114,"quest","")),OFFSET([2]quests!$A$1,0,0,COUNTA([2]quests!$A:$A),MATCH(G$1,[2]quests!$1:$1,0)-MATCH("quest_id",[2]quests!$1:$1,0)+1),MATCH(G$1,[2]quests!$1:$1,0)-MATCH("quest_id",[2]quests!$1:$1,0)+1,FALSE)</f>
        <v>【火曜限定】 赤の素材</v>
      </c>
      <c r="H114" s="66" t="s">
        <v>16</v>
      </c>
      <c r="I114" s="17" t="str">
        <f>VLOOKUP(A114,mypage_banners!A:E,5,FALSE)</f>
        <v>quest11002_2.png</v>
      </c>
      <c r="J114" s="20" t="s">
        <v>51</v>
      </c>
      <c r="K114" s="20" t="s">
        <v>51</v>
      </c>
      <c r="L114" s="44" t="str">
        <f t="shared" si="1"/>
        <v>1003</v>
      </c>
    </row>
    <row r="115" spans="1:12" x14ac:dyDescent="0.15">
      <c r="A115" s="72" t="s">
        <v>478</v>
      </c>
      <c r="B115" s="3">
        <f>VLOOKUP(A115,mypage_banners!A:F,6,FALSE)</f>
        <v>1</v>
      </c>
      <c r="C115" s="6" t="e">
        <f ca="1">IF($B115="null","",VLOOKUP($B115,OFFSET(#REF!,0,0,COUNTA(#REF!),MATCH(C$1,#REF!,0)-MATCH($B$1,#REF!,0)+1),MATCH(C$1,#REF!,0)-MATCH($B$1,#REF!,0)+1,FALSE))</f>
        <v>#REF!</v>
      </c>
      <c r="D115" s="6" t="e">
        <f ca="1">IF($B115="null","",VLOOKUP($B115,OFFSET(#REF!,0,0,COUNTA(#REF!),MATCH(D$1,#REF!,0)-MATCH($B$1,#REF!,0)+1),MATCH(D$1,#REF!,0)-MATCH($B$1,#REF!,0)+1,FALSE))</f>
        <v>#REF!</v>
      </c>
      <c r="E115" s="6" t="e">
        <f ca="1">IF($B115="null","",VLOOKUP($B115,OFFSET(#REF!,0,0,COUNTA(#REF!),MATCH(E$1,#REF!,0)-MATCH($B$1,#REF!,0)+1),MATCH(E$1,#REF!,0)-MATCH($B$1,#REF!,0)+1,FALSE))</f>
        <v>#REF!</v>
      </c>
      <c r="F115" s="17" t="str">
        <f>VLOOKUP(A115,mypage_banners!A:B,2,FALSE)</f>
        <v>quest11001</v>
      </c>
      <c r="G115" s="9" t="str">
        <f ca="1">VLOOKUP(VALUE(SUBSTITUTE(F115,"quest","")),OFFSET([2]quests!$A$1,0,0,COUNTA([2]quests!$A:$A),MATCH(G$1,[2]quests!$1:$1,0)-MATCH("quest_id",[2]quests!$1:$1,0)+1),MATCH(G$1,[2]quests!$1:$1,0)-MATCH("quest_id",[2]quests!$1:$1,0)+1,FALSE)</f>
        <v>【月曜限定】 黄の素材</v>
      </c>
      <c r="H115" s="66" t="s">
        <v>16</v>
      </c>
      <c r="I115" s="17" t="str">
        <f>VLOOKUP(A115,mypage_banners!A:E,5,FALSE)</f>
        <v>quest11001_2.png</v>
      </c>
      <c r="J115" s="20" t="s">
        <v>51</v>
      </c>
      <c r="K115" s="20" t="s">
        <v>51</v>
      </c>
      <c r="L115" s="44" t="str">
        <f t="shared" si="1"/>
        <v>1002</v>
      </c>
    </row>
    <row r="116" spans="1:12" x14ac:dyDescent="0.15">
      <c r="A116" s="72" t="s">
        <v>479</v>
      </c>
      <c r="B116" s="3">
        <f>VLOOKUP(A116,mypage_banners!A:F,6,FALSE)</f>
        <v>1</v>
      </c>
      <c r="C116" s="6" t="e">
        <f ca="1">IF($B116="null","",VLOOKUP($B116,OFFSET(#REF!,0,0,COUNTA(#REF!),MATCH(C$1,#REF!,0)-MATCH($B$1,#REF!,0)+1),MATCH(C$1,#REF!,0)-MATCH($B$1,#REF!,0)+1,FALSE))</f>
        <v>#REF!</v>
      </c>
      <c r="D116" s="6" t="e">
        <f ca="1">IF($B116="null","",VLOOKUP($B116,OFFSET(#REF!,0,0,COUNTA(#REF!),MATCH(D$1,#REF!,0)-MATCH($B$1,#REF!,0)+1),MATCH(D$1,#REF!,0)-MATCH($B$1,#REF!,0)+1,FALSE))</f>
        <v>#REF!</v>
      </c>
      <c r="E116" s="6" t="e">
        <f ca="1">IF($B116="null","",VLOOKUP($B116,OFFSET(#REF!,0,0,COUNTA(#REF!),MATCH(E$1,#REF!,0)-MATCH($B$1,#REF!,0)+1),MATCH(E$1,#REF!,0)-MATCH($B$1,#REF!,0)+1,FALSE))</f>
        <v>#REF!</v>
      </c>
      <c r="F116" s="17" t="str">
        <f>VLOOKUP(A116,mypage_banners!A:B,2,FALSE)</f>
        <v>quest13001</v>
      </c>
      <c r="G116" s="9" t="str">
        <f ca="1">VLOOKUP(VALUE(SUBSTITUTE(F116,"quest","")),OFFSET([2]quests!$A$1,0,0,COUNTA([2]quests!$A:$A),MATCH(G$1,[2]quests!$1:$1,0)-MATCH("quest_id",[2]quests!$1:$1,0)+1),MATCH(G$1,[2]quests!$1:$1,0)-MATCH("quest_id",[2]quests!$1:$1,0)+1,FALSE)</f>
        <v>チャレンジタワー(ソロ専用)</v>
      </c>
      <c r="H116" s="66" t="s">
        <v>16</v>
      </c>
      <c r="I116" s="17" t="str">
        <f>VLOOKUP(A116,mypage_banners!A:E,5,FALSE)</f>
        <v>quest13001_26.png</v>
      </c>
      <c r="J116" s="20" t="s">
        <v>51</v>
      </c>
      <c r="K116" s="20" t="s">
        <v>51</v>
      </c>
      <c r="L116" s="44" t="str">
        <f t="shared" si="1"/>
        <v>1001</v>
      </c>
    </row>
  </sheetData>
  <autoFilter ref="A1:L1">
    <sortState ref="A2:L56">
      <sortCondition ref="I1:I56"/>
    </sortState>
  </autoFilter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theme="9" tint="0.79998168889431442"/>
    <outlinePr summaryBelow="0" summaryRight="0"/>
  </sheetPr>
  <dimension ref="A1:Q13"/>
  <sheetViews>
    <sheetView showGridLines="0" workbookViewId="0">
      <pane ySplit="1" topLeftCell="A2" activePane="bottomLeft" state="frozen"/>
      <selection pane="bottomLeft" activeCell="K16" sqref="K16"/>
    </sheetView>
  </sheetViews>
  <sheetFormatPr baseColWidth="12" defaultColWidth="8.83203125" defaultRowHeight="21" customHeight="1" outlineLevelRow="1" outlineLevelCol="1" x14ac:dyDescent="0.15"/>
  <cols>
    <col min="1" max="1" width="11.33203125" style="1" customWidth="1"/>
    <col min="2" max="2" width="11.33203125" style="1" customWidth="1" collapsed="1"/>
    <col min="3" max="4" width="19" style="1" hidden="1" customWidth="1" outlineLevel="1"/>
    <col min="5" max="5" width="26.1640625" style="1" hidden="1" customWidth="1" outlineLevel="1"/>
    <col min="6" max="6" width="16.1640625" style="1" bestFit="1" customWidth="1"/>
    <col min="7" max="7" width="16.1640625" style="1" customWidth="1"/>
    <col min="8" max="9" width="19" style="1" customWidth="1" outlineLevel="1"/>
    <col min="10" max="10" width="16.33203125" style="1" bestFit="1" customWidth="1"/>
    <col min="11" max="11" width="50.1640625" style="1" customWidth="1"/>
    <col min="12" max="13" width="19" style="1" bestFit="1" customWidth="1" outlineLevel="1"/>
    <col min="14" max="14" width="11.1640625" style="1" bestFit="1" customWidth="1"/>
    <col min="15" max="15" width="41.1640625" style="8" bestFit="1" customWidth="1" outlineLevel="1"/>
    <col min="16" max="16" width="8.6640625" style="8" bestFit="1" customWidth="1"/>
    <col min="17" max="17" width="122.1640625" style="1" bestFit="1" customWidth="1"/>
    <col min="18" max="16384" width="8.83203125" style="1"/>
  </cols>
  <sheetData>
    <row r="1" spans="1:17" ht="21" customHeight="1" x14ac:dyDescent="0.15">
      <c r="A1" s="7" t="s">
        <v>6</v>
      </c>
      <c r="B1" s="4" t="s">
        <v>10</v>
      </c>
      <c r="C1" s="4" t="s">
        <v>0</v>
      </c>
      <c r="D1" s="4" t="s">
        <v>1</v>
      </c>
      <c r="E1" s="4" t="s">
        <v>9</v>
      </c>
      <c r="F1" s="7" t="s">
        <v>64</v>
      </c>
      <c r="G1" s="4" t="s">
        <v>70</v>
      </c>
      <c r="H1" s="4" t="s">
        <v>0</v>
      </c>
      <c r="I1" s="4" t="s">
        <v>1</v>
      </c>
      <c r="J1" s="7" t="s">
        <v>65</v>
      </c>
      <c r="K1" s="4" t="s">
        <v>9</v>
      </c>
      <c r="L1" s="4" t="s">
        <v>0</v>
      </c>
      <c r="M1" s="4" t="s">
        <v>1</v>
      </c>
      <c r="N1" s="18" t="s">
        <v>4</v>
      </c>
      <c r="O1" s="11" t="s">
        <v>24</v>
      </c>
      <c r="P1" s="27" t="s">
        <v>89</v>
      </c>
      <c r="Q1" s="5" t="s">
        <v>13</v>
      </c>
    </row>
    <row r="2" spans="1:17" ht="21" customHeight="1" x14ac:dyDescent="0.15">
      <c r="A2" s="3">
        <v>5162</v>
      </c>
      <c r="B2" s="3">
        <v>0</v>
      </c>
      <c r="C2" s="6" t="str">
        <f ca="1">VLOOKUP($B2,OFFSET([4]periods!$A$2,0,0,COUNTA([4]periods!$A:$A),MATCH(C$1,[4]periods!$1:$1,0)-MATCH($B$1,[4]periods!$1:$1,0)+1),MATCH(C$1,[4]periods!$1:$1,0)-MATCH($B$1,[4]periods!$1:$1,0)+1,FALSE)</f>
        <v>2015-03-27 00:00:00</v>
      </c>
      <c r="D2" s="6" t="str">
        <f ca="1">VLOOKUP($B2,OFFSET([4]periods!$A$2,0,0,COUNTA([4]periods!$A:$A),MATCH(D$1,[4]periods!$1:$1,0)-MATCH($B$1,[4]periods!$1:$1,0)+1),MATCH(D$1,[4]periods!$1:$1,0)-MATCH($B$1,[4]periods!$1:$1,0)+1,FALSE)</f>
        <v>2970-01-01 09:00:00</v>
      </c>
      <c r="E2" s="6" t="str">
        <f ca="1">VLOOKUP($B2,OFFSET([4]periods!$A$2,0,0,COUNTA([4]periods!$A:$A),MATCH(E$1,[4]periods!$1:$1,0)-MATCH($B$1,[4]periods!$1:$1,0)+1),MATCH(E$1,[4]periods!$1:$1,0)-MATCH($B$1,[4]periods!$1:$1,0)+1,FALSE)</f>
        <v>無期限</v>
      </c>
      <c r="F2" s="3" t="s">
        <v>51</v>
      </c>
      <c r="G2" s="6"/>
      <c r="H2" s="6"/>
      <c r="I2" s="6"/>
      <c r="J2" s="3">
        <v>349</v>
      </c>
      <c r="K2" s="6" t="str">
        <f ca="1">IF($J2="null","",VLOOKUP($J2,OFFSET([3]gacha_schedules!$B$2,0,0,COUNTA([3]gacha_schedules!$B:$B),MATCH(K$1,[3]gacha_schedules!$1:$1,0)-MATCH($J$1,[3]gacha_schedules!$1:$1,0)+1),MATCH(K$1,[3]gacha_schedules!$1:$1,0)-MATCH($J$1,[3]gacha_schedules!$1:$1,0)+1,FALSE))</f>
        <v>ステップアップ&lt;ブール&gt;</v>
      </c>
      <c r="L2" s="6" t="str">
        <f ca="1">IF($J2="null","",VLOOKUP($J2,OFFSET([3]gacha_schedules!$B$2,0,0,COUNTA([3]gacha_schedules!$B:$B),MATCH(L$1,[3]gacha_schedules!$1:$1,0)-MATCH($J$1,[3]gacha_schedules!$1:$1,0)+1),MATCH(L$1,[3]gacha_schedules!$1:$1,0)-MATCH($J$1,[3]gacha_schedules!$1:$1,0)+1,FALSE))</f>
        <v>2016-05-31 00:00:00</v>
      </c>
      <c r="M2" s="6" t="str">
        <f ca="1">IF($J2="null","",VLOOKUP($J2,OFFSET([3]gacha_schedules!$B$2,0,0,COUNTA([3]gacha_schedules!$B:$B),MATCH(M$1,[3]gacha_schedules!$1:$1,0)-MATCH($J$1,[3]gacha_schedules!$1:$1,0)+1),MATCH(M$1,[3]gacha_schedules!$1:$1,0)-MATCH($J$1,[3]gacha_schedules!$1:$1,0)+1,FALSE))</f>
        <v>2016-06-02 23:59:59</v>
      </c>
      <c r="N2" s="3" t="s">
        <v>368</v>
      </c>
      <c r="O2" s="9" t="str">
        <f ca="1">IF(COUNTIF(N2,"*gacha*"),"レアガチャ",VLOOKUP(VALUE(SUBSTITUTE(N2,"quest","")),OFFSET([2]quests!$A$1,0,0,COUNTA([2]quests!$A:$A),MATCH(O$1,[2]quests!$1:$1,0)-MATCH("quest_id",[2]quests!$1:$1,0)+1),MATCH(O$1,[2]quests!$1:$1,0)-MATCH("quest_id",[2]quests!$1:$1,0)+1,FALSE))</f>
        <v>レアガチャ</v>
      </c>
      <c r="P2" s="26" t="s">
        <v>16</v>
      </c>
      <c r="Q2" s="3" t="s">
        <v>487</v>
      </c>
    </row>
    <row r="3" spans="1:17" ht="21" customHeight="1" x14ac:dyDescent="0.15">
      <c r="A3" s="3">
        <v>5161</v>
      </c>
      <c r="B3" s="3">
        <v>0</v>
      </c>
      <c r="C3" s="6" t="str">
        <f ca="1">VLOOKUP($B3,OFFSET([4]periods!$A$2,0,0,COUNTA([4]periods!$A:$A),MATCH(C$1,[4]periods!$1:$1,0)-MATCH($B$1,[4]periods!$1:$1,0)+1),MATCH(C$1,[4]periods!$1:$1,0)-MATCH($B$1,[4]periods!$1:$1,0)+1,FALSE)</f>
        <v>2015-03-27 00:00:00</v>
      </c>
      <c r="D3" s="6" t="str">
        <f ca="1">VLOOKUP($B3,OFFSET([4]periods!$A$2,0,0,COUNTA([4]periods!$A:$A),MATCH(D$1,[4]periods!$1:$1,0)-MATCH($B$1,[4]periods!$1:$1,0)+1),MATCH(D$1,[4]periods!$1:$1,0)-MATCH($B$1,[4]periods!$1:$1,0)+1,FALSE)</f>
        <v>2970-01-01 09:00:00</v>
      </c>
      <c r="E3" s="6" t="str">
        <f ca="1">VLOOKUP($B3,OFFSET([4]periods!$A$2,0,0,COUNTA([4]periods!$A:$A),MATCH(E$1,[4]periods!$1:$1,0)-MATCH($B$1,[4]periods!$1:$1,0)+1),MATCH(E$1,[4]periods!$1:$1,0)-MATCH($B$1,[4]periods!$1:$1,0)+1,FALSE)</f>
        <v>無期限</v>
      </c>
      <c r="F3" s="3" t="s">
        <v>51</v>
      </c>
      <c r="G3" s="6"/>
      <c r="H3" s="6"/>
      <c r="I3" s="6"/>
      <c r="J3" s="3">
        <v>348</v>
      </c>
      <c r="K3" s="6" t="str">
        <f ca="1">IF($J3="null","",VLOOKUP($J3,OFFSET([3]gacha_schedules!$B$2,0,0,COUNTA([3]gacha_schedules!$B:$B),MATCH(K$1,[3]gacha_schedules!$1:$1,0)-MATCH($J$1,[3]gacha_schedules!$1:$1,0)+1),MATCH(K$1,[3]gacha_schedules!$1:$1,0)-MATCH($J$1,[3]gacha_schedules!$1:$1,0)+1,FALSE))</f>
        <v>ピックアップ&lt;モルド、D.R.T.H&gt;</v>
      </c>
      <c r="L3" s="6" t="str">
        <f ca="1">IF($J3="null","",VLOOKUP($J3,OFFSET([3]gacha_schedules!$B$2,0,0,COUNTA([3]gacha_schedules!$B:$B),MATCH(L$1,[3]gacha_schedules!$1:$1,0)-MATCH($J$1,[3]gacha_schedules!$1:$1,0)+1),MATCH(L$1,[3]gacha_schedules!$1:$1,0)-MATCH($J$1,[3]gacha_schedules!$1:$1,0)+1,FALSE))</f>
        <v>2016-05-28 15:00:00</v>
      </c>
      <c r="M3" s="6" t="str">
        <f ca="1">IF($J3="null","",VLOOKUP($J3,OFFSET([3]gacha_schedules!$B$2,0,0,COUNTA([3]gacha_schedules!$B:$B),MATCH(M$1,[3]gacha_schedules!$1:$1,0)-MATCH($J$1,[3]gacha_schedules!$1:$1,0)+1),MATCH(M$1,[3]gacha_schedules!$1:$1,0)-MATCH($J$1,[3]gacha_schedules!$1:$1,0)+1,FALSE))</f>
        <v>2016-06-08 14:59:59</v>
      </c>
      <c r="N3" s="3" t="s">
        <v>369</v>
      </c>
      <c r="O3" s="9" t="str">
        <f ca="1">IF(COUNTIF(N3,"*gacha*"),"レアガチャ",VLOOKUP(VALUE(SUBSTITUTE(N3,"quest","")),OFFSET([2]quests!$A$1,0,0,COUNTA([2]quests!$A:$A),MATCH(O$1,[2]quests!$1:$1,0)-MATCH("quest_id",[2]quests!$1:$1,0)+1),MATCH(O$1,[2]quests!$1:$1,0)-MATCH("quest_id",[2]quests!$1:$1,0)+1,FALSE))</f>
        <v>レアガチャ</v>
      </c>
      <c r="P3" s="26" t="s">
        <v>16</v>
      </c>
      <c r="Q3" s="3" t="s">
        <v>318</v>
      </c>
    </row>
    <row r="4" spans="1:17" ht="21" customHeight="1" outlineLevel="1" x14ac:dyDescent="0.15">
      <c r="A4" s="3">
        <v>5160</v>
      </c>
      <c r="B4" s="3">
        <v>0</v>
      </c>
      <c r="C4" s="6" t="str">
        <f ca="1">VLOOKUP($B4,OFFSET([4]periods!$A$2,0,0,COUNTA([4]periods!$A:$A),MATCH(C$1,[4]periods!$1:$1,0)-MATCH($B$1,[4]periods!$1:$1,0)+1),MATCH(C$1,[4]periods!$1:$1,0)-MATCH($B$1,[4]periods!$1:$1,0)+1,FALSE)</f>
        <v>2015-03-27 00:00:00</v>
      </c>
      <c r="D4" s="6" t="str">
        <f ca="1">VLOOKUP($B4,OFFSET([4]periods!$A$2,0,0,COUNTA([4]periods!$A:$A),MATCH(D$1,[4]periods!$1:$1,0)-MATCH($B$1,[4]periods!$1:$1,0)+1),MATCH(D$1,[4]periods!$1:$1,0)-MATCH($B$1,[4]periods!$1:$1,0)+1,FALSE)</f>
        <v>2970-01-01 09:00:00</v>
      </c>
      <c r="E4" s="6" t="str">
        <f ca="1">VLOOKUP($B4,OFFSET([4]periods!$A$2,0,0,COUNTA([4]periods!$A:$A),MATCH(E$1,[4]periods!$1:$1,0)-MATCH($B$1,[4]periods!$1:$1,0)+1),MATCH(E$1,[4]periods!$1:$1,0)-MATCH($B$1,[4]periods!$1:$1,0)+1,FALSE)</f>
        <v>無期限</v>
      </c>
      <c r="F4" s="3" t="s">
        <v>51</v>
      </c>
      <c r="G4" s="6"/>
      <c r="H4" s="6"/>
      <c r="I4" s="6"/>
      <c r="J4" s="3">
        <v>346</v>
      </c>
      <c r="K4" s="6" t="str">
        <f ca="1">IF($J4="null","",VLOOKUP($J4,OFFSET([3]gacha_schedules!$B$2,0,0,COUNTA([3]gacha_schedules!$B:$B),MATCH(K$1,[3]gacha_schedules!$1:$1,0)-MATCH($J$1,[3]gacha_schedules!$1:$1,0)+1),MATCH(K$1,[3]gacha_schedules!$1:$1,0)-MATCH($J$1,[3]gacha_schedules!$1:$1,0)+1,FALSE))</f>
        <v>新キャラ追加&lt;グリム&gt;</v>
      </c>
      <c r="L4" s="6" t="str">
        <f ca="1">IF($J4="null","",VLOOKUP($J4,OFFSET([3]gacha_schedules!$B$2,0,0,COUNTA([3]gacha_schedules!$B:$B),MATCH(L$1,[3]gacha_schedules!$1:$1,0)-MATCH($J$1,[3]gacha_schedules!$1:$1,0)+1),MATCH(L$1,[3]gacha_schedules!$1:$1,0)-MATCH($J$1,[3]gacha_schedules!$1:$1,0)+1,FALSE))</f>
        <v>2016-05-25 00:00:00</v>
      </c>
      <c r="M4" s="6" t="str">
        <f ca="1">IF($J4="null","",VLOOKUP($J4,OFFSET([3]gacha_schedules!$B$2,0,0,COUNTA([3]gacha_schedules!$B:$B),MATCH(M$1,[3]gacha_schedules!$1:$1,0)-MATCH($J$1,[3]gacha_schedules!$1:$1,0)+1),MATCH(M$1,[3]gacha_schedules!$1:$1,0)-MATCH($J$1,[3]gacha_schedules!$1:$1,0)+1,FALSE))</f>
        <v>2016-05-31 14:59:59</v>
      </c>
      <c r="N4" s="3" t="s">
        <v>361</v>
      </c>
      <c r="O4" s="9" t="str">
        <f ca="1">IF(COUNTIF(N4,"*gacha*"),"レアガチャ",VLOOKUP(VALUE(SUBSTITUTE(N4,"quest","")),OFFSET([2]quests!$A$1,0,0,COUNTA([2]quests!$A:$A),MATCH(O$1,[2]quests!$1:$1,0)-MATCH("quest_id",[2]quests!$1:$1,0)+1),MATCH(O$1,[2]quests!$1:$1,0)-MATCH("quest_id",[2]quests!$1:$1,0)+1,FALSE))</f>
        <v>レアガチャ</v>
      </c>
      <c r="P4" s="26" t="s">
        <v>16</v>
      </c>
      <c r="Q4" s="3" t="s">
        <v>243</v>
      </c>
    </row>
    <row r="5" spans="1:17" ht="21" customHeight="1" outlineLevel="1" x14ac:dyDescent="0.15">
      <c r="A5" s="3">
        <v>5159</v>
      </c>
      <c r="B5" s="3">
        <v>0</v>
      </c>
      <c r="C5" s="6" t="str">
        <f ca="1">VLOOKUP($B5,OFFSET([4]periods!$A$2,0,0,COUNTA([4]periods!$A:$A),MATCH(C$1,[4]periods!$1:$1,0)-MATCH($B$1,[4]periods!$1:$1,0)+1),MATCH(C$1,[4]periods!$1:$1,0)-MATCH($B$1,[4]periods!$1:$1,0)+1,FALSE)</f>
        <v>2015-03-27 00:00:00</v>
      </c>
      <c r="D5" s="6" t="str">
        <f ca="1">VLOOKUP($B5,OFFSET([4]periods!$A$2,0,0,COUNTA([4]periods!$A:$A),MATCH(D$1,[4]periods!$1:$1,0)-MATCH($B$1,[4]periods!$1:$1,0)+1),MATCH(D$1,[4]periods!$1:$1,0)-MATCH($B$1,[4]periods!$1:$1,0)+1,FALSE)</f>
        <v>2970-01-01 09:00:00</v>
      </c>
      <c r="E5" s="6" t="str">
        <f ca="1">VLOOKUP($B5,OFFSET([4]periods!$A$2,0,0,COUNTA([4]periods!$A:$A),MATCH(E$1,[4]periods!$1:$1,0)-MATCH($B$1,[4]periods!$1:$1,0)+1),MATCH(E$1,[4]periods!$1:$1,0)-MATCH($B$1,[4]periods!$1:$1,0)+1,FALSE)</f>
        <v>無期限</v>
      </c>
      <c r="F5" s="3" t="s">
        <v>51</v>
      </c>
      <c r="G5" s="6"/>
      <c r="H5" s="6"/>
      <c r="I5" s="6"/>
      <c r="J5" s="3">
        <v>342</v>
      </c>
      <c r="K5" s="6" t="str">
        <f ca="1">IF($J5="null","",VLOOKUP($J5,OFFSET([3]gacha_schedules!$B$2,0,0,COUNTA([3]gacha_schedules!$B:$B),MATCH(K$1,[3]gacha_schedules!$1:$1,0)-MATCH($J$1,[3]gacha_schedules!$1:$1,0)+1),MATCH(K$1,[3]gacha_schedules!$1:$1,0)-MATCH($J$1,[3]gacha_schedules!$1:$1,0)+1,FALSE))</f>
        <v>超フィーバーフェス（オイラーUP）</v>
      </c>
      <c r="L5" s="6" t="str">
        <f ca="1">IF($J5="null","",VLOOKUP($J5,OFFSET([3]gacha_schedules!$B$2,0,0,COUNTA([3]gacha_schedules!$B:$B),MATCH(L$1,[3]gacha_schedules!$1:$1,0)-MATCH($J$1,[3]gacha_schedules!$1:$1,0)+1),MATCH(L$1,[3]gacha_schedules!$1:$1,0)-MATCH($J$1,[3]gacha_schedules!$1:$1,0)+1,FALSE))</f>
        <v>2016-05-22 00:00:00</v>
      </c>
      <c r="M5" s="6" t="str">
        <f ca="1">IF($J5="null","",VLOOKUP($J5,OFFSET([3]gacha_schedules!$B$2,0,0,COUNTA([3]gacha_schedules!$B:$B),MATCH(M$1,[3]gacha_schedules!$1:$1,0)-MATCH($J$1,[3]gacha_schedules!$1:$1,0)+1),MATCH(M$1,[3]gacha_schedules!$1:$1,0)-MATCH($J$1,[3]gacha_schedules!$1:$1,0)+1,FALSE))</f>
        <v>2016-05-24 23:59:59</v>
      </c>
      <c r="N5" s="3" t="s">
        <v>356</v>
      </c>
      <c r="O5" s="9" t="str">
        <f ca="1">IF(COUNTIF(N5,"*gacha*"),"レアガチャ",VLOOKUP(VALUE(SUBSTITUTE(N5,"quest","")),OFFSET([2]quests!$A$1,0,0,COUNTA([2]quests!$A:$A),MATCH(O$1,[2]quests!$1:$1,0)-MATCH("quest_id",[2]quests!$1:$1,0)+1),MATCH(O$1,[2]quests!$1:$1,0)-MATCH("quest_id",[2]quests!$1:$1,0)+1,FALSE))</f>
        <v>レアガチャ</v>
      </c>
      <c r="P5" s="26" t="s">
        <v>16</v>
      </c>
      <c r="Q5" s="3" t="s">
        <v>363</v>
      </c>
    </row>
    <row r="6" spans="1:17" ht="21" customHeight="1" outlineLevel="1" x14ac:dyDescent="0.15">
      <c r="A6" s="3">
        <v>5158</v>
      </c>
      <c r="B6" s="3">
        <v>0</v>
      </c>
      <c r="C6" s="6" t="str">
        <f ca="1">VLOOKUP($B6,OFFSET([4]periods!$A$2,0,0,COUNTA([4]periods!$A:$A),MATCH(C$1,[4]periods!$1:$1,0)-MATCH($B$1,[4]periods!$1:$1,0)+1),MATCH(C$1,[4]periods!$1:$1,0)-MATCH($B$1,[4]periods!$1:$1,0)+1,FALSE)</f>
        <v>2015-03-27 00:00:00</v>
      </c>
      <c r="D6" s="6" t="str">
        <f ca="1">VLOOKUP($B6,OFFSET([4]periods!$A$2,0,0,COUNTA([4]periods!$A:$A),MATCH(D$1,[4]periods!$1:$1,0)-MATCH($B$1,[4]periods!$1:$1,0)+1),MATCH(D$1,[4]periods!$1:$1,0)-MATCH($B$1,[4]periods!$1:$1,0)+1,FALSE)</f>
        <v>2970-01-01 09:00:00</v>
      </c>
      <c r="E6" s="6" t="str">
        <f ca="1">VLOOKUP($B6,OFFSET([4]periods!$A$2,0,0,COUNTA([4]periods!$A:$A),MATCH(E$1,[4]periods!$1:$1,0)-MATCH($B$1,[4]periods!$1:$1,0)+1),MATCH(E$1,[4]periods!$1:$1,0)-MATCH($B$1,[4]periods!$1:$1,0)+1,FALSE)</f>
        <v>無期限</v>
      </c>
      <c r="F6" s="3" t="s">
        <v>51</v>
      </c>
      <c r="G6" s="6"/>
      <c r="H6" s="6"/>
      <c r="I6" s="6"/>
      <c r="J6" s="3">
        <v>340</v>
      </c>
      <c r="K6" s="6" t="str">
        <f ca="1">IF($J6="null","",VLOOKUP($J6,OFFSET([3]gacha_schedules!$B$2,0,0,COUNTA([3]gacha_schedules!$B:$B),MATCH(K$1,[3]gacha_schedules!$1:$1,0)-MATCH($J$1,[3]gacha_schedules!$1:$1,0)+1),MATCH(K$1,[3]gacha_schedules!$1:$1,0)-MATCH($J$1,[3]gacha_schedules!$1:$1,0)+1,FALSE))</f>
        <v>TVCM放送記念フェス&lt;ファラ、ハーシェル&gt;</v>
      </c>
      <c r="L6" s="6" t="str">
        <f ca="1">IF($J6="null","",VLOOKUP($J6,OFFSET([3]gacha_schedules!$B$2,0,0,COUNTA([3]gacha_schedules!$B:$B),MATCH(L$1,[3]gacha_schedules!$1:$1,0)-MATCH($J$1,[3]gacha_schedules!$1:$1,0)+1),MATCH(L$1,[3]gacha_schedules!$1:$1,0)-MATCH($J$1,[3]gacha_schedules!$1:$1,0)+1,FALSE))</f>
        <v>2016-05-20 00:00:00</v>
      </c>
      <c r="M6" s="6" t="str">
        <f ca="1">IF($J6="null","",VLOOKUP($J6,OFFSET([3]gacha_schedules!$B$2,0,0,COUNTA([3]gacha_schedules!$B:$B),MATCH(M$1,[3]gacha_schedules!$1:$1,0)-MATCH($J$1,[3]gacha_schedules!$1:$1,0)+1),MATCH(M$1,[3]gacha_schedules!$1:$1,0)-MATCH($J$1,[3]gacha_schedules!$1:$1,0)+1,FALSE))</f>
        <v>2016-05-22 23:59:59</v>
      </c>
      <c r="N6" s="3" t="s">
        <v>360</v>
      </c>
      <c r="O6" s="9" t="str">
        <f ca="1">IF(COUNTIF(N6,"*gacha*"),"レアガチャ",VLOOKUP(VALUE(SUBSTITUTE(N6,"quest","")),OFFSET([2]quests!$A$1,0,0,COUNTA([2]quests!$A:$A),MATCH(O$1,[2]quests!$1:$1,0)-MATCH("quest_id",[2]quests!$1:$1,0)+1),MATCH(O$1,[2]quests!$1:$1,0)-MATCH("quest_id",[2]quests!$1:$1,0)+1,FALSE))</f>
        <v>レアガチャ</v>
      </c>
      <c r="P6" s="26" t="s">
        <v>16</v>
      </c>
      <c r="Q6" s="3" t="s">
        <v>362</v>
      </c>
    </row>
    <row r="7" spans="1:17" ht="21" customHeight="1" outlineLevel="1" x14ac:dyDescent="0.15">
      <c r="A7" s="3">
        <v>5157</v>
      </c>
      <c r="B7" s="3">
        <v>0</v>
      </c>
      <c r="C7" s="6" t="str">
        <f ca="1">VLOOKUP($B7,OFFSET([4]periods!$A$2,0,0,COUNTA([4]periods!$A:$A),MATCH(C$1,[4]periods!$1:$1,0)-MATCH($B$1,[4]periods!$1:$1,0)+1),MATCH(C$1,[4]periods!$1:$1,0)-MATCH($B$1,[4]periods!$1:$1,0)+1,FALSE)</f>
        <v>2015-03-27 00:00:00</v>
      </c>
      <c r="D7" s="6" t="str">
        <f ca="1">VLOOKUP($B7,OFFSET([4]periods!$A$2,0,0,COUNTA([4]periods!$A:$A),MATCH(D$1,[4]periods!$1:$1,0)-MATCH($B$1,[4]periods!$1:$1,0)+1),MATCH(D$1,[4]periods!$1:$1,0)-MATCH($B$1,[4]periods!$1:$1,0)+1,FALSE)</f>
        <v>2970-01-01 09:00:00</v>
      </c>
      <c r="E7" s="6" t="str">
        <f ca="1">VLOOKUP($B7,OFFSET([4]periods!$A$2,0,0,COUNTA([4]periods!$A:$A),MATCH(E$1,[4]periods!$1:$1,0)-MATCH($B$1,[4]periods!$1:$1,0)+1),MATCH(E$1,[4]periods!$1:$1,0)-MATCH($B$1,[4]periods!$1:$1,0)+1,FALSE)</f>
        <v>無期限</v>
      </c>
      <c r="F7" s="3" t="s">
        <v>51</v>
      </c>
      <c r="G7" s="6"/>
      <c r="H7" s="6"/>
      <c r="I7" s="6"/>
      <c r="J7" s="3">
        <v>339</v>
      </c>
      <c r="K7" s="6" t="str">
        <f ca="1">IF($J7="null","",VLOOKUP($J7,OFFSET([3]gacha_schedules!$B$2,0,0,COUNTA([3]gacha_schedules!$B:$B),MATCH(K$1,[3]gacha_schedules!$1:$1,0)-MATCH($J$1,[3]gacha_schedules!$1:$1,0)+1),MATCH(K$1,[3]gacha_schedules!$1:$1,0)-MATCH($J$1,[3]gacha_schedules!$1:$1,0)+1,FALSE))</f>
        <v>ピックアップフィーバー&lt;八咫烏、ヘングレ&gt;</v>
      </c>
      <c r="L7" s="6" t="str">
        <f ca="1">IF($J7="null","",VLOOKUP($J7,OFFSET([3]gacha_schedules!$B$2,0,0,COUNTA([3]gacha_schedules!$B:$B),MATCH(L$1,[3]gacha_schedules!$1:$1,0)-MATCH($J$1,[3]gacha_schedules!$1:$1,0)+1),MATCH(L$1,[3]gacha_schedules!$1:$1,0)-MATCH($J$1,[3]gacha_schedules!$1:$1,0)+1,FALSE))</f>
        <v>2016-05-17 15:00:00</v>
      </c>
      <c r="M7" s="6" t="str">
        <f ca="1">IF($J7="null","",VLOOKUP($J7,OFFSET([3]gacha_schedules!$B$2,0,0,COUNTA([3]gacha_schedules!$B:$B),MATCH(M$1,[3]gacha_schedules!$1:$1,0)-MATCH($J$1,[3]gacha_schedules!$1:$1,0)+1),MATCH(M$1,[3]gacha_schedules!$1:$1,0)-MATCH($J$1,[3]gacha_schedules!$1:$1,0)+1,FALSE))</f>
        <v>2016-05-23 14:59:59</v>
      </c>
      <c r="N7" s="3" t="s">
        <v>350</v>
      </c>
      <c r="O7" s="9" t="str">
        <f ca="1">IF(COUNTIF(N7,"*gacha*"),"レアガチャ",VLOOKUP(VALUE(SUBSTITUTE(N7,"quest","")),OFFSET([2]quests!$A$1,0,0,COUNTA([2]quests!$A:$A),MATCH(O$1,[2]quests!$1:$1,0)-MATCH("quest_id",[2]quests!$1:$1,0)+1),MATCH(O$1,[2]quests!$1:$1,0)-MATCH("quest_id",[2]quests!$1:$1,0)+1,FALSE))</f>
        <v>レアガチャ</v>
      </c>
      <c r="P7" s="26" t="s">
        <v>16</v>
      </c>
      <c r="Q7" s="3" t="s">
        <v>318</v>
      </c>
    </row>
    <row r="8" spans="1:17" ht="21" customHeight="1" outlineLevel="1" x14ac:dyDescent="0.15">
      <c r="A8" s="3">
        <v>5156</v>
      </c>
      <c r="B8" s="3">
        <v>0</v>
      </c>
      <c r="C8" s="6" t="str">
        <f ca="1">VLOOKUP($B8,OFFSET([4]periods!$A$2,0,0,COUNTA([4]periods!$A:$A),MATCH(C$1,[4]periods!$1:$1,0)-MATCH($B$1,[4]periods!$1:$1,0)+1),MATCH(C$1,[4]periods!$1:$1,0)-MATCH($B$1,[4]periods!$1:$1,0)+1,FALSE)</f>
        <v>2015-03-27 00:00:00</v>
      </c>
      <c r="D8" s="6" t="str">
        <f ca="1">VLOOKUP($B8,OFFSET([4]periods!$A$2,0,0,COUNTA([4]periods!$A:$A),MATCH(D$1,[4]periods!$1:$1,0)-MATCH($B$1,[4]periods!$1:$1,0)+1),MATCH(D$1,[4]periods!$1:$1,0)-MATCH($B$1,[4]periods!$1:$1,0)+1,FALSE)</f>
        <v>2970-01-01 09:00:00</v>
      </c>
      <c r="E8" s="6" t="str">
        <f ca="1">VLOOKUP($B8,OFFSET([4]periods!$A$2,0,0,COUNTA([4]periods!$A:$A),MATCH(E$1,[4]periods!$1:$1,0)-MATCH($B$1,[4]periods!$1:$1,0)+1),MATCH(E$1,[4]periods!$1:$1,0)-MATCH($B$1,[4]periods!$1:$1,0)+1,FALSE)</f>
        <v>無期限</v>
      </c>
      <c r="F8" s="3" t="s">
        <v>51</v>
      </c>
      <c r="G8" s="6"/>
      <c r="H8" s="6"/>
      <c r="I8" s="6"/>
      <c r="J8" s="3">
        <v>338</v>
      </c>
      <c r="K8" s="6" t="str">
        <f ca="1">IF($J8="null","",VLOOKUP($J8,OFFSET([3]gacha_schedules!$B$2,0,0,COUNTA([3]gacha_schedules!$B:$B),MATCH(K$1,[3]gacha_schedules!$1:$1,0)-MATCH($J$1,[3]gacha_schedules!$1:$1,0)+1),MATCH(K$1,[3]gacha_schedules!$1:$1,0)-MATCH($J$1,[3]gacha_schedules!$1:$1,0)+1,FALSE))</f>
        <v>TVCM放送記念10連限定ガチャ</v>
      </c>
      <c r="L8" s="6" t="str">
        <f ca="1">IF($J8="null","",VLOOKUP($J8,OFFSET([3]gacha_schedules!$B$2,0,0,COUNTA([3]gacha_schedules!$B:$B),MATCH(L$1,[3]gacha_schedules!$1:$1,0)-MATCH($J$1,[3]gacha_schedules!$1:$1,0)+1),MATCH(L$1,[3]gacha_schedules!$1:$1,0)-MATCH($J$1,[3]gacha_schedules!$1:$1,0)+1,FALSE))</f>
        <v>2016-05-14 00:00:00</v>
      </c>
      <c r="M8" s="6" t="str">
        <f ca="1">IF($J8="null","",VLOOKUP($J8,OFFSET([3]gacha_schedules!$B$2,0,0,COUNTA([3]gacha_schedules!$B:$B),MATCH(M$1,[3]gacha_schedules!$1:$1,0)-MATCH($J$1,[3]gacha_schedules!$1:$1,0)+1),MATCH(M$1,[3]gacha_schedules!$1:$1,0)-MATCH($J$1,[3]gacha_schedules!$1:$1,0)+1,FALSE))</f>
        <v>2016-05-29 23:59:59</v>
      </c>
      <c r="N8" s="3" t="s">
        <v>349</v>
      </c>
      <c r="O8" s="9" t="str">
        <f ca="1">IF(COUNTIF(N8,"*gacha*"),"レアガチャ",VLOOKUP(VALUE(SUBSTITUTE(N8,"quest","")),OFFSET([2]quests!$A$1,0,0,COUNTA([2]quests!$A:$A),MATCH(O$1,[2]quests!$1:$1,0)-MATCH("quest_id",[2]quests!$1:$1,0)+1),MATCH(O$1,[2]quests!$1:$1,0)-MATCH("quest_id",[2]quests!$1:$1,0)+1,FALSE))</f>
        <v>レアガチャ</v>
      </c>
      <c r="P8" s="26" t="s">
        <v>16</v>
      </c>
      <c r="Q8" s="3" t="s">
        <v>351</v>
      </c>
    </row>
    <row r="9" spans="1:17" ht="21" customHeight="1" outlineLevel="1" x14ac:dyDescent="0.15">
      <c r="A9" s="3">
        <v>5155</v>
      </c>
      <c r="B9" s="3">
        <v>0</v>
      </c>
      <c r="C9" s="6" t="str">
        <f ca="1">VLOOKUP($B9,OFFSET([4]periods!$A$2,0,0,COUNTA([4]periods!$A:$A),MATCH(C$1,[4]periods!$1:$1,0)-MATCH($B$1,[4]periods!$1:$1,0)+1),MATCH(C$1,[4]periods!$1:$1,0)-MATCH($B$1,[4]periods!$1:$1,0)+1,FALSE)</f>
        <v>2015-03-27 00:00:00</v>
      </c>
      <c r="D9" s="6" t="str">
        <f ca="1">VLOOKUP($B9,OFFSET([4]periods!$A$2,0,0,COUNTA([4]periods!$A:$A),MATCH(D$1,[4]periods!$1:$1,0)-MATCH($B$1,[4]periods!$1:$1,0)+1),MATCH(D$1,[4]periods!$1:$1,0)-MATCH($B$1,[4]periods!$1:$1,0)+1,FALSE)</f>
        <v>2970-01-01 09:00:00</v>
      </c>
      <c r="E9" s="6" t="str">
        <f ca="1">VLOOKUP($B9,OFFSET([4]periods!$A$2,0,0,COUNTA([4]periods!$A:$A),MATCH(E$1,[4]periods!$1:$1,0)-MATCH($B$1,[4]periods!$1:$1,0)+1),MATCH(E$1,[4]periods!$1:$1,0)-MATCH($B$1,[4]periods!$1:$1,0)+1,FALSE)</f>
        <v>無期限</v>
      </c>
      <c r="F9" s="3" t="s">
        <v>51</v>
      </c>
      <c r="G9" s="6"/>
      <c r="H9" s="6"/>
      <c r="I9" s="6"/>
      <c r="J9" s="3">
        <v>336</v>
      </c>
      <c r="K9" s="6" t="str">
        <f ca="1">IF($J9="null","",VLOOKUP($J9,OFFSET([3]gacha_schedules!$B$2,0,0,COUNTA([3]gacha_schedules!$B:$B),MATCH(K$1,[3]gacha_schedules!$1:$1,0)-MATCH($J$1,[3]gacha_schedules!$1:$1,0)+1),MATCH(K$1,[3]gacha_schedules!$1:$1,0)-MATCH($J$1,[3]gacha_schedules!$1:$1,0)+1,FALSE))</f>
        <v>新キャラ追加&lt;天使悪魔&gt;</v>
      </c>
      <c r="L9" s="6" t="str">
        <f ca="1">IF($J9="null","",VLOOKUP($J9,OFFSET([3]gacha_schedules!$B$2,0,0,COUNTA([3]gacha_schedules!$B:$B),MATCH(L$1,[3]gacha_schedules!$1:$1,0)-MATCH($J$1,[3]gacha_schedules!$1:$1,0)+1),MATCH(L$1,[3]gacha_schedules!$1:$1,0)-MATCH($J$1,[3]gacha_schedules!$1:$1,0)+1,FALSE))</f>
        <v>2016-05-10 15:00:00</v>
      </c>
      <c r="M9" s="6" t="str">
        <f ca="1">IF($J9="null","",VLOOKUP($J9,OFFSET([3]gacha_schedules!$B$2,0,0,COUNTA([3]gacha_schedules!$B:$B),MATCH(M$1,[3]gacha_schedules!$1:$1,0)-MATCH($J$1,[3]gacha_schedules!$1:$1,0)+1),MATCH(M$1,[3]gacha_schedules!$1:$1,0)-MATCH($J$1,[3]gacha_schedules!$1:$1,0)+1,FALSE))</f>
        <v>2016-05-19 14:59:59</v>
      </c>
      <c r="N9" s="3" t="s">
        <v>339</v>
      </c>
      <c r="O9" s="9" t="str">
        <f ca="1">IF(COUNTIF(N9,"*gacha*"),"レアガチャ",VLOOKUP(VALUE(SUBSTITUTE(N9,"quest","")),OFFSET([2]quests!$A$1,0,0,COUNTA([2]quests!$A:$A),MATCH(O$1,[2]quests!$1:$1,0)-MATCH("quest_id",[2]quests!$1:$1,0)+1),MATCH(O$1,[2]quests!$1:$1,0)-MATCH("quest_id",[2]quests!$1:$1,0)+1,FALSE))</f>
        <v>レアガチャ</v>
      </c>
      <c r="P9" s="26" t="s">
        <v>16</v>
      </c>
      <c r="Q9" s="3" t="s">
        <v>243</v>
      </c>
    </row>
    <row r="10" spans="1:17" ht="21" customHeight="1" outlineLevel="1" x14ac:dyDescent="0.15">
      <c r="A10" s="3">
        <v>5154</v>
      </c>
      <c r="B10" s="3">
        <v>0</v>
      </c>
      <c r="C10" s="6" t="str">
        <f ca="1">VLOOKUP($B10,OFFSET([4]periods!$A$2,0,0,COUNTA([4]periods!$A:$A),MATCH(C$1,[4]periods!$1:$1,0)-MATCH($B$1,[4]periods!$1:$1,0)+1),MATCH(C$1,[4]periods!$1:$1,0)-MATCH($B$1,[4]periods!$1:$1,0)+1,FALSE)</f>
        <v>2015-03-27 00:00:00</v>
      </c>
      <c r="D10" s="6" t="str">
        <f ca="1">VLOOKUP($B10,OFFSET([4]periods!$A$2,0,0,COUNTA([4]periods!$A:$A),MATCH(D$1,[4]periods!$1:$1,0)-MATCH($B$1,[4]periods!$1:$1,0)+1),MATCH(D$1,[4]periods!$1:$1,0)-MATCH($B$1,[4]periods!$1:$1,0)+1,FALSE)</f>
        <v>2970-01-01 09:00:00</v>
      </c>
      <c r="E10" s="6" t="str">
        <f ca="1">VLOOKUP($B10,OFFSET([4]periods!$A$2,0,0,COUNTA([4]periods!$A:$A),MATCH(E$1,[4]periods!$1:$1,0)-MATCH($B$1,[4]periods!$1:$1,0)+1),MATCH(E$1,[4]periods!$1:$1,0)-MATCH($B$1,[4]periods!$1:$1,0)+1,FALSE)</f>
        <v>無期限</v>
      </c>
      <c r="F10" s="3" t="s">
        <v>51</v>
      </c>
      <c r="G10" s="6"/>
      <c r="H10" s="6"/>
      <c r="I10" s="6"/>
      <c r="J10" s="3">
        <v>335</v>
      </c>
      <c r="K10" s="6" t="str">
        <f ca="1">IF($J10="null","",VLOOKUP($J10,OFFSET([3]gacha_schedules!$B$2,0,0,COUNTA([3]gacha_schedules!$B:$B),MATCH(K$1,[3]gacha_schedules!$1:$1,0)-MATCH($J$1,[3]gacha_schedules!$1:$1,0)+1),MATCH(K$1,[3]gacha_schedules!$1:$1,0)-MATCH($J$1,[3]gacha_schedules!$1:$1,0)+1,FALSE))</f>
        <v>４月ステップアップフィーバー</v>
      </c>
      <c r="L10" s="6" t="str">
        <f ca="1">IF($J10="null","",VLOOKUP($J10,OFFSET([3]gacha_schedules!$B$2,0,0,COUNTA([3]gacha_schedules!$B:$B),MATCH(L$1,[3]gacha_schedules!$1:$1,0)-MATCH($J$1,[3]gacha_schedules!$1:$1,0)+1),MATCH(L$1,[3]gacha_schedules!$1:$1,0)-MATCH($J$1,[3]gacha_schedules!$1:$1,0)+1,FALSE))</f>
        <v>2016-05-08 15:00:00</v>
      </c>
      <c r="M10" s="6" t="str">
        <f ca="1">IF($J10="null","",VLOOKUP($J10,OFFSET([3]gacha_schedules!$B$2,0,0,COUNTA([3]gacha_schedules!$B:$B),MATCH(M$1,[3]gacha_schedules!$1:$1,0)-MATCH($J$1,[3]gacha_schedules!$1:$1,0)+1),MATCH(M$1,[3]gacha_schedules!$1:$1,0)-MATCH($J$1,[3]gacha_schedules!$1:$1,0)+1,FALSE))</f>
        <v>2016-05-15 14:59:59</v>
      </c>
      <c r="N10" s="3" t="s">
        <v>341</v>
      </c>
      <c r="O10" s="9" t="str">
        <f ca="1">IF(COUNTIF(N10,"*gacha*"),"レアガチャ",VLOOKUP(VALUE(SUBSTITUTE(N10,"quest","")),OFFSET([2]quests!$A$1,0,0,COUNTA([2]quests!$A:$A),MATCH(O$1,[2]quests!$1:$1,0)-MATCH("quest_id",[2]quests!$1:$1,0)+1),MATCH(O$1,[2]quests!$1:$1,0)-MATCH("quest_id",[2]quests!$1:$1,0)+1,FALSE))</f>
        <v>レアガチャ</v>
      </c>
      <c r="P10" s="26" t="s">
        <v>16</v>
      </c>
      <c r="Q10" s="3" t="s">
        <v>343</v>
      </c>
    </row>
    <row r="11" spans="1:17" ht="21" customHeight="1" outlineLevel="1" x14ac:dyDescent="0.15">
      <c r="A11" s="3">
        <v>5153</v>
      </c>
      <c r="B11" s="3">
        <v>0</v>
      </c>
      <c r="C11" s="6" t="str">
        <f ca="1">VLOOKUP($B11,OFFSET([4]periods!$A$2,0,0,COUNTA([4]periods!$A:$A),MATCH(C$1,[4]periods!$1:$1,0)-MATCH($B$1,[4]periods!$1:$1,0)+1),MATCH(C$1,[4]periods!$1:$1,0)-MATCH($B$1,[4]periods!$1:$1,0)+1,FALSE)</f>
        <v>2015-03-27 00:00:00</v>
      </c>
      <c r="D11" s="6" t="str">
        <f ca="1">VLOOKUP($B11,OFFSET([4]periods!$A$2,0,0,COUNTA([4]periods!$A:$A),MATCH(D$1,[4]periods!$1:$1,0)-MATCH($B$1,[4]periods!$1:$1,0)+1),MATCH(D$1,[4]periods!$1:$1,0)-MATCH($B$1,[4]periods!$1:$1,0)+1,FALSE)</f>
        <v>2970-01-01 09:00:00</v>
      </c>
      <c r="E11" s="6" t="str">
        <f ca="1">VLOOKUP($B11,OFFSET([4]periods!$A$2,0,0,COUNTA([4]periods!$A:$A),MATCH(E$1,[4]periods!$1:$1,0)-MATCH($B$1,[4]periods!$1:$1,0)+1),MATCH(E$1,[4]periods!$1:$1,0)-MATCH($B$1,[4]periods!$1:$1,0)+1,FALSE)</f>
        <v>無期限</v>
      </c>
      <c r="F11" s="3" t="s">
        <v>51</v>
      </c>
      <c r="G11" s="6"/>
      <c r="H11" s="6"/>
      <c r="I11" s="6"/>
      <c r="J11" s="3">
        <v>334</v>
      </c>
      <c r="K11" s="6" t="str">
        <f ca="1">IF($J11="null","",VLOOKUP($J11,OFFSET([3]gacha_schedules!$B$2,0,0,COUNTA([3]gacha_schedules!$B:$B),MATCH(K$1,[3]gacha_schedules!$1:$1,0)-MATCH($J$1,[3]gacha_schedules!$1:$1,0)+1),MATCH(K$1,[3]gacha_schedules!$1:$1,0)-MATCH($J$1,[3]gacha_schedules!$1:$1,0)+1,FALSE))</f>
        <v>ハンプティ&lt;初回限定&gt;</v>
      </c>
      <c r="L11" s="6" t="str">
        <f ca="1">IF($J11="null","",VLOOKUP($J11,OFFSET([3]gacha_schedules!$B$2,0,0,COUNTA([3]gacha_schedules!$B:$B),MATCH(L$1,[3]gacha_schedules!$1:$1,0)-MATCH($J$1,[3]gacha_schedules!$1:$1,0)+1),MATCH(L$1,[3]gacha_schedules!$1:$1,0)-MATCH($J$1,[3]gacha_schedules!$1:$1,0)+1,FALSE))</f>
        <v>2016-05-06 15:00:00</v>
      </c>
      <c r="M11" s="6" t="str">
        <f ca="1">IF($J11="null","",VLOOKUP($J11,OFFSET([3]gacha_schedules!$B$2,0,0,COUNTA([3]gacha_schedules!$B:$B),MATCH(M$1,[3]gacha_schedules!$1:$1,0)-MATCH($J$1,[3]gacha_schedules!$1:$1,0)+1),MATCH(M$1,[3]gacha_schedules!$1:$1,0)-MATCH($J$1,[3]gacha_schedules!$1:$1,0)+1,FALSE))</f>
        <v>2016-05-12 14:59:59</v>
      </c>
      <c r="N11" s="3" t="s">
        <v>337</v>
      </c>
      <c r="O11" s="9" t="str">
        <f ca="1">IF(COUNTIF(N11,"*gacha*"),"レアガチャ",VLOOKUP(VALUE(SUBSTITUTE(N11,"quest","")),OFFSET([2]quests!$A$1,0,0,COUNTA([2]quests!$A:$A),MATCH(O$1,[2]quests!$1:$1,0)-MATCH("quest_id",[2]quests!$1:$1,0)+1),MATCH(O$1,[2]quests!$1:$1,0)-MATCH("quest_id",[2]quests!$1:$1,0)+1,FALSE))</f>
        <v>レアガチャ</v>
      </c>
      <c r="P11" s="26" t="s">
        <v>16</v>
      </c>
      <c r="Q11" s="3" t="s">
        <v>344</v>
      </c>
    </row>
    <row r="12" spans="1:17" ht="21" customHeight="1" x14ac:dyDescent="0.15">
      <c r="A12" s="3">
        <v>2</v>
      </c>
      <c r="B12" s="3">
        <v>0</v>
      </c>
      <c r="C12" s="6" t="str">
        <f ca="1">VLOOKUP($B12,OFFSET([4]periods!$A$2,0,0,COUNTA([4]periods!$A:$A),MATCH(C$1,[4]periods!$1:$1,0)-MATCH($B$1,[4]periods!$1:$1,0)+1),MATCH(C$1,[4]periods!$1:$1,0)-MATCH($B$1,[4]periods!$1:$1,0)+1,FALSE)</f>
        <v>2015-03-27 00:00:00</v>
      </c>
      <c r="D12" s="6" t="str">
        <f ca="1">VLOOKUP($B12,OFFSET([4]periods!$A$2,0,0,COUNTA([4]periods!$A:$A),MATCH(D$1,[4]periods!$1:$1,0)-MATCH($B$1,[4]periods!$1:$1,0)+1),MATCH(D$1,[4]periods!$1:$1,0)-MATCH($B$1,[4]periods!$1:$1,0)+1,FALSE)</f>
        <v>2970-01-01 09:00:00</v>
      </c>
      <c r="E12" s="6" t="str">
        <f ca="1">VLOOKUP($B12,OFFSET([4]periods!$A$2,0,0,COUNTA([4]periods!$A:$A),MATCH(E$1,[4]periods!$1:$1,0)-MATCH($B$1,[4]periods!$1:$1,0)+1),MATCH(E$1,[4]periods!$1:$1,0)-MATCH($B$1,[4]periods!$1:$1,0)+1,FALSE)</f>
        <v>無期限</v>
      </c>
      <c r="F12" s="3">
        <v>1</v>
      </c>
      <c r="G12" s="6" t="e">
        <f ca="1">IF($F12="null","",VLOOKUP($F12,OFFSET(#REF!,0,0,COUNTA(#REF!),MATCH(G$1,#REF!,0)-MATCH($F$1,#REF!,0)+1),MATCH(G$1,#REF!,0)-MATCH($F$1,#REF!,0)+1,FALSE))</f>
        <v>#REF!</v>
      </c>
      <c r="H12" s="6" t="e">
        <f ca="1">IF($F12="null","",VLOOKUP($F12,OFFSET(#REF!,0,0,COUNTA(#REF!),MATCH(H$1,#REF!,0)-MATCH($F$1,#REF!,0)+1),MATCH(H$1,#REF!,0)-MATCH($F$1,#REF!,0)+1,FALSE))</f>
        <v>#REF!</v>
      </c>
      <c r="I12" s="6" t="e">
        <f ca="1">IF($F12="null","",VLOOKUP($F12,OFFSET(#REF!,0,0,COUNTA(#REF!),MATCH(I$1,#REF!,0)-MATCH($F$1,#REF!,0)+1),MATCH(I$1,#REF!,0)-MATCH($F$1,#REF!,0)+1,FALSE))</f>
        <v>#REF!</v>
      </c>
      <c r="J12" s="3" t="s">
        <v>66</v>
      </c>
      <c r="K12" s="6" t="str">
        <f ca="1">IF($J12="null","",VLOOKUP($J12,OFFSET([3]gacha_schedules!$B$2,0,0,COUNTA([3]gacha_schedules!$B:$B),MATCH(K$1,[3]gacha_schedules!$1:$1,0)-MATCH($J$1,[3]gacha_schedules!$1:$1,0)+1),MATCH(K$1,[3]gacha_schedules!$1:$1,0)-MATCH($J$1,[3]gacha_schedules!$1:$1,0)+1,FALSE))</f>
        <v/>
      </c>
      <c r="L12" s="6" t="str">
        <f ca="1">IF($J12="null","",VLOOKUP($J12,OFFSET([3]gacha_schedules!$B$2,0,0,COUNTA([3]gacha_schedules!$B:$B),MATCH(L$1,[3]gacha_schedules!$1:$1,0)-MATCH($J$1,[3]gacha_schedules!$1:$1,0)+1),MATCH(L$1,[3]gacha_schedules!$1:$1,0)-MATCH($J$1,[3]gacha_schedules!$1:$1,0)+1,FALSE))</f>
        <v/>
      </c>
      <c r="M12" s="6" t="str">
        <f ca="1">IF($J12="null","",VLOOKUP($J12,OFFSET([3]gacha_schedules!$B$2,0,0,COUNTA([3]gacha_schedules!$B:$B),MATCH(M$1,[3]gacha_schedules!$1:$1,0)-MATCH($J$1,[3]gacha_schedules!$1:$1,0)+1),MATCH(M$1,[3]gacha_schedules!$1:$1,0)-MATCH($J$1,[3]gacha_schedules!$1:$1,0)+1,FALSE))</f>
        <v/>
      </c>
      <c r="N12" s="3" t="s">
        <v>23</v>
      </c>
      <c r="O12" s="9" t="str">
        <f ca="1">IF(COUNTIF(N12,"*gacha*"),"レアガチャ",VLOOKUP(VALUE(SUBSTITUTE(N12,"quest","")),OFFSET([2]quests!$A$1,0,0,COUNTA([2]quests!$A:$A),MATCH(O$1,[2]quests!$1:$1,0)-MATCH("quest_id",[2]quests!$1:$1,0)+1),MATCH(O$1,[2]quests!$1:$1,0)-MATCH("quest_id",[2]quests!$1:$1,0)+1,FALSE))</f>
        <v>【緊急！！】 アヒル捕獲作戦</v>
      </c>
      <c r="P12" s="26" t="s">
        <v>16</v>
      </c>
      <c r="Q12" s="3" t="s">
        <v>99</v>
      </c>
    </row>
    <row r="13" spans="1:17" ht="21" customHeight="1" x14ac:dyDescent="0.15">
      <c r="A13" s="3">
        <v>1</v>
      </c>
      <c r="B13" s="3">
        <v>0</v>
      </c>
      <c r="C13" s="6" t="str">
        <f ca="1">VLOOKUP($B13,OFFSET([4]periods!$A$2,0,0,COUNTA([4]periods!$A:$A),MATCH(C$1,[4]periods!$1:$1,0)-MATCH($B$1,[4]periods!$1:$1,0)+1),MATCH(C$1,[4]periods!$1:$1,0)-MATCH($B$1,[4]periods!$1:$1,0)+1,FALSE)</f>
        <v>2015-03-27 00:00:00</v>
      </c>
      <c r="D13" s="6" t="str">
        <f ca="1">VLOOKUP($B13,OFFSET([4]periods!$A$2,0,0,COUNTA([4]periods!$A:$A),MATCH(D$1,[4]periods!$1:$1,0)-MATCH($B$1,[4]periods!$1:$1,0)+1),MATCH(D$1,[4]periods!$1:$1,0)-MATCH($B$1,[4]periods!$1:$1,0)+1,FALSE)</f>
        <v>2970-01-01 09:00:00</v>
      </c>
      <c r="E13" s="6" t="str">
        <f ca="1">VLOOKUP($B13,OFFSET([4]periods!$A$2,0,0,COUNTA([4]periods!$A:$A),MATCH(E$1,[4]periods!$1:$1,0)-MATCH($B$1,[4]periods!$1:$1,0)+1),MATCH(E$1,[4]periods!$1:$1,0)-MATCH($B$1,[4]periods!$1:$1,0)+1,FALSE)</f>
        <v>無期限</v>
      </c>
      <c r="F13" s="3">
        <v>1</v>
      </c>
      <c r="G13" s="6" t="e">
        <f ca="1">IF($F13="null","",VLOOKUP($F13,OFFSET(#REF!,0,0,COUNTA(#REF!),MATCH(G$1,#REF!,0)-MATCH($F$1,#REF!,0)+1),MATCH(G$1,#REF!,0)-MATCH($F$1,#REF!,0)+1,FALSE))</f>
        <v>#REF!</v>
      </c>
      <c r="H13" s="6" t="e">
        <f ca="1">IF($F13="null","",VLOOKUP($F13,OFFSET(#REF!,0,0,COUNTA(#REF!),MATCH(H$1,#REF!,0)-MATCH($F$1,#REF!,0)+1),MATCH(H$1,#REF!,0)-MATCH($F$1,#REF!,0)+1,FALSE))</f>
        <v>#REF!</v>
      </c>
      <c r="I13" s="6" t="e">
        <f ca="1">IF($F13="null","",VLOOKUP($F13,OFFSET(#REF!,0,0,COUNTA(#REF!),MATCH(I$1,#REF!,0)-MATCH($F$1,#REF!,0)+1),MATCH(I$1,#REF!,0)-MATCH($F$1,#REF!,0)+1,FALSE))</f>
        <v>#REF!</v>
      </c>
      <c r="J13" s="3" t="s">
        <v>73</v>
      </c>
      <c r="K13" s="6" t="str">
        <f ca="1">IF($J13="null","",VLOOKUP($J13,OFFSET([3]gacha_schedules!$B$2,0,0,COUNTA([3]gacha_schedules!$B:$B),MATCH(K$1,[3]gacha_schedules!$1:$1,0)-MATCH($J$1,[3]gacha_schedules!$1:$1,0)+1),MATCH(K$1,[3]gacha_schedules!$1:$1,0)-MATCH($J$1,[3]gacha_schedules!$1:$1,0)+1,FALSE))</f>
        <v/>
      </c>
      <c r="L13" s="6" t="str">
        <f ca="1">IF($J13="null","",VLOOKUP($J13,OFFSET([3]gacha_schedules!$B$2,0,0,COUNTA([3]gacha_schedules!$B:$B),MATCH(L$1,[3]gacha_schedules!$1:$1,0)-MATCH($J$1,[3]gacha_schedules!$1:$1,0)+1),MATCH(L$1,[3]gacha_schedules!$1:$1,0)-MATCH($J$1,[3]gacha_schedules!$1:$1,0)+1,FALSE))</f>
        <v/>
      </c>
      <c r="M13" s="6" t="str">
        <f ca="1">IF($J13="null","",VLOOKUP($J13,OFFSET([3]gacha_schedules!$B$2,0,0,COUNTA([3]gacha_schedules!$B:$B),MATCH(M$1,[3]gacha_schedules!$1:$1,0)-MATCH($J$1,[3]gacha_schedules!$1:$1,0)+1),MATCH(M$1,[3]gacha_schedules!$1:$1,0)-MATCH($J$1,[3]gacha_schedules!$1:$1,0)+1,FALSE))</f>
        <v/>
      </c>
      <c r="N13" s="3" t="s">
        <v>33</v>
      </c>
      <c r="O13" s="9" t="str">
        <f ca="1">IF(COUNTIF(N13,"*gacha*"),"レアガチャ",VLOOKUP(VALUE(SUBSTITUTE(N13,"quest","")),OFFSET([2]quests!$A$1,0,0,COUNTA([2]quests!$A:$A),MATCH(O$1,[2]quests!$1:$1,0)-MATCH("quest_id",[2]quests!$1:$1,0)+1),MATCH(O$1,[2]quests!$1:$1,0)-MATCH("quest_id",[2]quests!$1:$1,0)+1,FALSE))</f>
        <v>チャレンジタワー(ソロ専用)</v>
      </c>
      <c r="P13" s="26" t="s">
        <v>16</v>
      </c>
      <c r="Q13" s="3" t="s">
        <v>35</v>
      </c>
    </row>
  </sheetData>
  <autoFilter ref="A1:Q1">
    <sortState ref="A2:Q173">
      <sortCondition descending="1" ref="A1:A173"/>
    </sortState>
  </autoFilter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0" tint="-0.499984740745262"/>
    <outlinePr summaryBelow="0" summaryRight="0"/>
  </sheetPr>
  <dimension ref="A1:G10"/>
  <sheetViews>
    <sheetView showGridLines="0" workbookViewId="0">
      <pane ySplit="1" topLeftCell="A2" activePane="bottomLeft" state="frozen"/>
      <selection pane="bottomLeft" activeCell="E30" sqref="E30"/>
    </sheetView>
  </sheetViews>
  <sheetFormatPr baseColWidth="12" defaultColWidth="8.83203125" defaultRowHeight="21" customHeight="1" outlineLevelCol="1" x14ac:dyDescent="0.15"/>
  <cols>
    <col min="1" max="1" width="8.83203125" style="1"/>
    <col min="2" max="4" width="23.6640625" style="1" customWidth="1" outlineLevel="1"/>
    <col min="5" max="6" width="18.83203125" style="1" customWidth="1"/>
    <col min="7" max="16384" width="8.83203125" style="1"/>
  </cols>
  <sheetData>
    <row r="1" spans="1:7" ht="21" customHeight="1" x14ac:dyDescent="0.15">
      <c r="A1" s="7" t="s">
        <v>8</v>
      </c>
      <c r="B1" s="7" t="s">
        <v>41</v>
      </c>
      <c r="C1" s="7" t="s">
        <v>1</v>
      </c>
      <c r="D1" s="4" t="s">
        <v>9</v>
      </c>
      <c r="E1" s="7" t="s">
        <v>2</v>
      </c>
      <c r="F1" s="7" t="s">
        <v>3</v>
      </c>
      <c r="G1"/>
    </row>
    <row r="2" spans="1:7" ht="21" customHeight="1" x14ac:dyDescent="0.15">
      <c r="A2" s="2">
        <v>0</v>
      </c>
      <c r="B2" s="6" t="str">
        <f ca="1">VLOOKUP($A2,OFFSET([4]periods!$A$2,0,0,COUNTA([4]periods!$A:$A),MATCH(B$1,[4]periods!$1:$1,0)-MATCH($A$1,[4]periods!$1:$1,0)+1),MATCH(B$1,[4]periods!$1:$1,0)-MATCH($A$1,[4]periods!$1:$1,0)+1,FALSE)</f>
        <v>2015-03-27 00:00:00</v>
      </c>
      <c r="C2" s="6" t="str">
        <f ca="1">VLOOKUP($A2,OFFSET([4]periods!$A$2,0,0,COUNTA([4]periods!$A:$A),MATCH(C$1,[4]periods!$1:$1,0)-MATCH($A$1,[4]periods!$1:$1,0)+1),MATCH(C$1,[4]periods!$1:$1,0)-MATCH($A$1,[4]periods!$1:$1,0)+1,FALSE)</f>
        <v>2970-01-01 09:00:00</v>
      </c>
      <c r="D2" s="6" t="str">
        <f ca="1">VLOOKUP($A2,OFFSET([4]periods!$A$2,0,0,COUNTA([4]periods!$A:$A),MATCH(D$1,[4]periods!$1:$1,0)-MATCH($A$1,[4]periods!$1:$1,0)+1),MATCH(D$1,[4]periods!$1:$1,0)-MATCH($A$1,[4]periods!$1:$1,0)+1,FALSE)</f>
        <v>無期限</v>
      </c>
      <c r="E2" s="3">
        <v>0.25</v>
      </c>
      <c r="F2" s="3">
        <v>0.05</v>
      </c>
    </row>
    <row r="3" spans="1:7" ht="21" customHeight="1" x14ac:dyDescent="0.15">
      <c r="A3" s="2">
        <v>1001</v>
      </c>
      <c r="B3" s="6" t="str">
        <f ca="1">VLOOKUP($A3,OFFSET([4]periods!$A$2,0,0,COUNTA([4]periods!$A:$A),MATCH(B$1,[4]periods!$1:$1,0)-MATCH($A$1,[4]periods!$1:$1,0)+1),MATCH(B$1,[4]periods!$1:$1,0)-MATCH($A$1,[4]periods!$1:$1,0)+1,FALSE)</f>
        <v>2015-11-21 15:00:00</v>
      </c>
      <c r="C3" s="6" t="str">
        <f ca="1">VLOOKUP($A3,OFFSET([4]periods!$A$2,0,0,COUNTA([4]periods!$A:$A),MATCH(C$1,[4]periods!$1:$1,0)-MATCH($A$1,[4]periods!$1:$1,0)+1),MATCH(C$1,[4]periods!$1:$1,0)-MATCH($A$1,[4]periods!$1:$1,0)+1,FALSE)</f>
        <v>2015-11-23 14:59:59</v>
      </c>
      <c r="D3" s="6" t="str">
        <f ca="1">VLOOKUP($A3,OFFSET([4]periods!$A$2,0,0,COUNTA([4]periods!$A:$A),MATCH(D$1,[4]periods!$1:$1,0)-MATCH($A$1,[4]periods!$1:$1,0)+1),MATCH(D$1,[4]periods!$1:$1,0)-MATCH($A$1,[4]periods!$1:$1,0)+1,FALSE)</f>
        <v>100万DL/大成功UP1</v>
      </c>
      <c r="E3" s="3">
        <v>0.75</v>
      </c>
      <c r="F3" s="3">
        <v>0.1</v>
      </c>
    </row>
    <row r="4" spans="1:7" ht="21" customHeight="1" x14ac:dyDescent="0.15">
      <c r="A4" s="2">
        <v>1002</v>
      </c>
      <c r="B4" s="6" t="str">
        <f ca="1">VLOOKUP($A4,OFFSET([4]periods!$A$2,0,0,COUNTA([4]periods!$A:$A),MATCH(B$1,[4]periods!$1:$1,0)-MATCH($A$1,[4]periods!$1:$1,0)+1),MATCH(B$1,[4]periods!$1:$1,0)-MATCH($A$1,[4]periods!$1:$1,0)+1,FALSE)</f>
        <v>2015-11-28 15:00:00</v>
      </c>
      <c r="C4" s="6" t="str">
        <f ca="1">VLOOKUP($A4,OFFSET([4]periods!$A$2,0,0,COUNTA([4]periods!$A:$A),MATCH(C$1,[4]periods!$1:$1,0)-MATCH($A$1,[4]periods!$1:$1,0)+1),MATCH(C$1,[4]periods!$1:$1,0)-MATCH($A$1,[4]periods!$1:$1,0)+1,FALSE)</f>
        <v>2015-11-29 14:59:59</v>
      </c>
      <c r="D4" s="6" t="str">
        <f ca="1">VLOOKUP($A4,OFFSET([4]periods!$A$2,0,0,COUNTA([4]periods!$A:$A),MATCH(D$1,[4]periods!$1:$1,0)-MATCH($A$1,[4]periods!$1:$1,0)+1),MATCH(D$1,[4]periods!$1:$1,0)-MATCH($A$1,[4]periods!$1:$1,0)+1,FALSE)</f>
        <v>100万DL/大成功UP2</v>
      </c>
      <c r="E4" s="3">
        <v>0.75</v>
      </c>
      <c r="F4" s="3">
        <v>0.1</v>
      </c>
    </row>
    <row r="5" spans="1:7" ht="21" customHeight="1" x14ac:dyDescent="0.15">
      <c r="A5" s="2">
        <v>1008</v>
      </c>
      <c r="B5" s="6" t="str">
        <f ca="1">VLOOKUP($A5,OFFSET([4]periods!$A$2,0,0,COUNTA([4]periods!$A:$A),MATCH(B$1,[4]periods!$1:$1,0)-MATCH($A$1,[4]periods!$1:$1,0)+1),MATCH(B$1,[4]periods!$1:$1,0)-MATCH($A$1,[4]periods!$1:$1,0)+1,FALSE)</f>
        <v>2015-12-03 15:00:00</v>
      </c>
      <c r="C5" s="6" t="str">
        <f ca="1">VLOOKUP($A5,OFFSET([4]periods!$A$2,0,0,COUNTA([4]periods!$A:$A),MATCH(C$1,[4]periods!$1:$1,0)-MATCH($A$1,[4]periods!$1:$1,0)+1),MATCH(C$1,[4]periods!$1:$1,0)-MATCH($A$1,[4]periods!$1:$1,0)+1,FALSE)</f>
        <v>2015-12-11 14:59:59</v>
      </c>
      <c r="D5" s="6" t="str">
        <f ca="1">VLOOKUP($A5,OFFSET([4]periods!$A$2,0,0,COUNTA([4]periods!$A:$A),MATCH(D$1,[4]periods!$1:$1,0)-MATCH($A$1,[4]periods!$1:$1,0)+1),MATCH(D$1,[4]periods!$1:$1,0)-MATCH($A$1,[4]periods!$1:$1,0)+1,FALSE)</f>
        <v>12月CPその１</v>
      </c>
      <c r="E5" s="3">
        <v>0.75</v>
      </c>
      <c r="F5" s="3">
        <v>0.1</v>
      </c>
    </row>
    <row r="6" spans="1:7" ht="21" customHeight="1" x14ac:dyDescent="0.15">
      <c r="A6" s="41">
        <v>1013</v>
      </c>
      <c r="B6" s="6" t="str">
        <f ca="1">VLOOKUP($A6,OFFSET([4]periods!$A$2,0,0,COUNTA([4]periods!$A:$A),MATCH(B$1,[4]periods!$1:$1,0)-MATCH($A$1,[4]periods!$1:$1,0)+1),MATCH(B$1,[4]periods!$1:$1,0)-MATCH($A$1,[4]periods!$1:$1,0)+1,FALSE)</f>
        <v>2015-12-26 15:00:00</v>
      </c>
      <c r="C6" s="6" t="str">
        <f ca="1">VLOOKUP($A6,OFFSET([4]periods!$A$2,0,0,COUNTA([4]periods!$A:$A),MATCH(C$1,[4]periods!$1:$1,0)-MATCH($A$1,[4]periods!$1:$1,0)+1),MATCH(C$1,[4]periods!$1:$1,0)-MATCH($A$1,[4]periods!$1:$1,0)+1,FALSE)</f>
        <v>2015-12-31 14:59:59</v>
      </c>
      <c r="D6" s="6" t="str">
        <f ca="1">VLOOKUP($A6,OFFSET([4]periods!$A$2,0,0,COUNTA([4]periods!$A:$A),MATCH(D$1,[4]periods!$1:$1,0)-MATCH($A$1,[4]periods!$1:$1,0)+1),MATCH(D$1,[4]periods!$1:$1,0)-MATCH($A$1,[4]periods!$1:$1,0)+1,FALSE)</f>
        <v>年末合成大成功アップ</v>
      </c>
      <c r="E6" s="3">
        <v>0.75</v>
      </c>
      <c r="F6" s="3">
        <v>0.1</v>
      </c>
    </row>
    <row r="7" spans="1:7" ht="21" customHeight="1" x14ac:dyDescent="0.15">
      <c r="A7" s="41">
        <v>1014</v>
      </c>
      <c r="B7" s="6" t="str">
        <f ca="1">VLOOKUP($A7,OFFSET([4]periods!$A$2,0,0,COUNTA([4]periods!$A:$A),MATCH(B$1,[4]periods!$1:$1,0)-MATCH($A$1,[4]periods!$1:$1,0)+1),MATCH(B$1,[4]periods!$1:$1,0)-MATCH($A$1,[4]periods!$1:$1,0)+1,FALSE)</f>
        <v>2016-01-20 15:00:00</v>
      </c>
      <c r="C7" s="6" t="str">
        <f ca="1">VLOOKUP($A7,OFFSET([4]periods!$A$2,0,0,COUNTA([4]periods!$A:$A),MATCH(C$1,[4]periods!$1:$1,0)-MATCH($A$1,[4]periods!$1:$1,0)+1),MATCH(C$1,[4]periods!$1:$1,0)-MATCH($A$1,[4]periods!$1:$1,0)+1,FALSE)</f>
        <v>2016-01-25 14:59:59</v>
      </c>
      <c r="D7" s="6" t="str">
        <f ca="1">VLOOKUP($A7,OFFSET([4]periods!$A$2,0,0,COUNTA([4]periods!$A:$A),MATCH(D$1,[4]periods!$1:$1,0)-MATCH($A$1,[4]periods!$1:$1,0)+1),MATCH(D$1,[4]periods!$1:$1,0)-MATCH($A$1,[4]periods!$1:$1,0)+1,FALSE)</f>
        <v>１月大成功アップ</v>
      </c>
      <c r="E7" s="3">
        <v>0.75</v>
      </c>
      <c r="F7" s="3">
        <v>0.1</v>
      </c>
    </row>
    <row r="8" spans="1:7" ht="21" customHeight="1" x14ac:dyDescent="0.15">
      <c r="A8" s="41">
        <v>1016</v>
      </c>
      <c r="B8" s="6" t="str">
        <f ca="1">VLOOKUP($A8,OFFSET([4]periods!$A$2,0,0,COUNTA([4]periods!$A:$A),MATCH(B$1,[4]periods!$1:$1,0)-MATCH($A$1,[4]periods!$1:$1,0)+1),MATCH(B$1,[4]periods!$1:$1,0)-MATCH($A$1,[4]periods!$1:$1,0)+1,FALSE)</f>
        <v>2016-02-04 15:00:00</v>
      </c>
      <c r="C8" s="6" t="str">
        <f ca="1">VLOOKUP($A8,OFFSET([4]periods!$A$2,0,0,COUNTA([4]periods!$A:$A),MATCH(C$1,[4]periods!$1:$1,0)-MATCH($A$1,[4]periods!$1:$1,0)+1),MATCH(C$1,[4]periods!$1:$1,0)-MATCH($A$1,[4]periods!$1:$1,0)+1,FALSE)</f>
        <v>2016-02-10 14:59:59</v>
      </c>
      <c r="D8" s="6" t="str">
        <f ca="1">VLOOKUP($A8,OFFSET([4]periods!$A$2,0,0,COUNTA([4]periods!$A:$A),MATCH(D$1,[4]periods!$1:$1,0)-MATCH($A$1,[4]periods!$1:$1,0)+1),MATCH(D$1,[4]periods!$1:$1,0)-MATCH($A$1,[4]periods!$1:$1,0)+1,FALSE)</f>
        <v>ミク大成功アップ</v>
      </c>
      <c r="E8" s="3">
        <v>0.75</v>
      </c>
      <c r="F8" s="3">
        <v>0.1</v>
      </c>
    </row>
    <row r="9" spans="1:7" ht="21" customHeight="1" x14ac:dyDescent="0.15">
      <c r="A9" s="41">
        <v>1020</v>
      </c>
      <c r="B9" s="6" t="str">
        <f ca="1">VLOOKUP($A9,OFFSET([4]periods!$A$2,0,0,COUNTA([4]periods!$A:$A),MATCH(B$1,[4]periods!$1:$1,0)-MATCH($A$1,[4]periods!$1:$1,0)+1),MATCH(B$1,[4]periods!$1:$1,0)-MATCH($A$1,[4]periods!$1:$1,0)+1,FALSE)</f>
        <v>2016-03-02 00:00:00</v>
      </c>
      <c r="C9" s="6" t="str">
        <f ca="1">VLOOKUP($A9,OFFSET([4]periods!$A$2,0,0,COUNTA([4]periods!$A:$A),MATCH(C$1,[4]periods!$1:$1,0)-MATCH($A$1,[4]periods!$1:$1,0)+1),MATCH(C$1,[4]periods!$1:$1,0)-MATCH($A$1,[4]periods!$1:$1,0)+1,FALSE)</f>
        <v>2016-03-06 23:59:59</v>
      </c>
      <c r="D9" s="6" t="str">
        <f ca="1">VLOOKUP($A9,OFFSET([4]periods!$A$2,0,0,COUNTA([4]periods!$A:$A),MATCH(D$1,[4]periods!$1:$1,0)-MATCH($A$1,[4]periods!$1:$1,0)+1),MATCH(D$1,[4]periods!$1:$1,0)-MATCH($A$1,[4]periods!$1:$1,0)+1,FALSE)</f>
        <v>２月始めの大成功アップ</v>
      </c>
      <c r="E9" s="3">
        <v>0.75</v>
      </c>
      <c r="F9" s="3">
        <v>0.1</v>
      </c>
    </row>
    <row r="10" spans="1:7" ht="21" customHeight="1" x14ac:dyDescent="0.15">
      <c r="A10" s="41">
        <v>1021</v>
      </c>
      <c r="B10" s="6" t="str">
        <f ca="1">VLOOKUP($A10,OFFSET([4]periods!$A$2,0,0,COUNTA([4]periods!$A:$A),MATCH(B$1,[4]periods!$1:$1,0)-MATCH($A$1,[4]periods!$1:$1,0)+1),MATCH(B$1,[4]periods!$1:$1,0)-MATCH($A$1,[4]periods!$1:$1,0)+1,FALSE)</f>
        <v>2016-03-30 15:00:00</v>
      </c>
      <c r="C10" s="6" t="str">
        <f ca="1">VLOOKUP($A10,OFFSET([4]periods!$A$2,0,0,COUNTA([4]periods!$A:$A),MATCH(C$1,[4]periods!$1:$1,0)-MATCH($A$1,[4]periods!$1:$1,0)+1),MATCH(C$1,[4]periods!$1:$1,0)-MATCH($A$1,[4]periods!$1:$1,0)+1,FALSE)</f>
        <v>2016-04-03 14:59:59</v>
      </c>
      <c r="D10" s="6" t="str">
        <f ca="1">VLOOKUP($A10,OFFSET([4]periods!$A$2,0,0,COUNTA([4]periods!$A:$A),MATCH(D$1,[4]periods!$1:$1,0)-MATCH($A$1,[4]periods!$1:$1,0)+1),MATCH(D$1,[4]periods!$1:$1,0)-MATCH($A$1,[4]periods!$1:$1,0)+1,FALSE)</f>
        <v>卒業の取得リンク2倍</v>
      </c>
      <c r="E10" s="3">
        <v>0.75</v>
      </c>
      <c r="F10" s="3">
        <v>0.1</v>
      </c>
    </row>
  </sheetData>
  <phoneticPr fontId="5"/>
  <pageMargins left="0.7" right="0.7" top="0.75" bottom="0.75" header="0.3" footer="0.3"/>
  <pageSetup paperSize="9" orientation="portrait" horizontalDpi="4294967292" verticalDpi="429496729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0" tint="-0.499984740745262"/>
    <outlinePr summaryBelow="0" summaryRight="0"/>
  </sheetPr>
  <dimension ref="A1:G8"/>
  <sheetViews>
    <sheetView workbookViewId="0">
      <pane ySplit="1" topLeftCell="A2" activePane="bottomLeft" state="frozen"/>
      <selection pane="bottomLeft" activeCell="E44" sqref="E44"/>
    </sheetView>
  </sheetViews>
  <sheetFormatPr baseColWidth="12" defaultRowHeight="15" outlineLevelCol="1" x14ac:dyDescent="0.15"/>
  <cols>
    <col min="1" max="1" width="15.1640625" customWidth="1"/>
    <col min="2" max="2" width="8.6640625" bestFit="1" customWidth="1"/>
    <col min="3" max="4" width="19" bestFit="1" customWidth="1" outlineLevel="1"/>
    <col min="5" max="5" width="19.1640625" customWidth="1" outlineLevel="1"/>
    <col min="6" max="7" width="15.1640625" customWidth="1"/>
  </cols>
  <sheetData>
    <row r="1" spans="1:7" s="14" customFormat="1" x14ac:dyDescent="0.15">
      <c r="A1" s="15" t="s">
        <v>31</v>
      </c>
      <c r="B1" s="15" t="s">
        <v>7</v>
      </c>
      <c r="C1" s="23" t="s">
        <v>28</v>
      </c>
      <c r="D1" s="23" t="s">
        <v>27</v>
      </c>
      <c r="E1" s="13" t="s">
        <v>26</v>
      </c>
      <c r="F1" s="15" t="s">
        <v>30</v>
      </c>
      <c r="G1" s="15" t="s">
        <v>29</v>
      </c>
    </row>
    <row r="2" spans="1:7" x14ac:dyDescent="0.15">
      <c r="A2" s="16">
        <v>10</v>
      </c>
      <c r="B2" s="16">
        <v>0</v>
      </c>
      <c r="C2" s="6" t="str">
        <f ca="1">VLOOKUP($B2,OFFSET([4]periods!$A$2,0,0,COUNTA([4]periods!$B:$B),MATCH(C$1,[4]periods!$1:$1,0)-MATCH($B$1,[4]periods!$1:$1,0)+1),MATCH(C$1,[4]periods!$1:$1,0)-MATCH($B$1,[4]periods!$1:$1,0)+1,FALSE)</f>
        <v>2015-03-27 00:00:00</v>
      </c>
      <c r="D2" s="6" t="str">
        <f ca="1">VLOOKUP($B2,OFFSET([4]periods!$A$2,0,0,COUNTA([4]periods!$B:$B),MATCH(D$1,[4]periods!$1:$1,0)-MATCH($B$1,[4]periods!$1:$1,0)+1),MATCH(D$1,[4]periods!$1:$1,0)-MATCH($B$1,[4]periods!$1:$1,0)+1,FALSE)</f>
        <v>2970-01-01 09:00:00</v>
      </c>
      <c r="E2" s="6" t="str">
        <f ca="1">VLOOKUP($B2,OFFSET([4]periods!$A$2,0,0,COUNTA([4]periods!$B:$B),MATCH(E$1,[4]periods!$1:$1,0)-MATCH($B$1,[4]periods!$1:$1,0)+1),MATCH(E$1,[4]periods!$1:$1,0)-MATCH($B$1,[4]periods!$1:$1,0)+1,FALSE)</f>
        <v>無期限</v>
      </c>
      <c r="F2" s="16">
        <v>20</v>
      </c>
      <c r="G2" s="16">
        <v>0</v>
      </c>
    </row>
    <row r="3" spans="1:7" x14ac:dyDescent="0.15">
      <c r="A3" s="16">
        <v>20</v>
      </c>
      <c r="B3" s="16">
        <v>1003</v>
      </c>
      <c r="C3" s="6" t="str">
        <f ca="1">VLOOKUP($B3,OFFSET([4]periods!$A$2,0,0,COUNTA([4]periods!$B:$B),MATCH(C$1,[4]periods!$1:$1,0)-MATCH($B$1,[4]periods!$1:$1,0)+1),MATCH(C$1,[4]periods!$1:$1,0)-MATCH($B$1,[4]periods!$1:$1,0)+1,FALSE)</f>
        <v>2016-02-29 15:00:00</v>
      </c>
      <c r="D3" s="6" t="str">
        <f ca="1">VLOOKUP($B3,OFFSET([4]periods!$A$2,0,0,COUNTA([4]periods!$B:$B),MATCH(D$1,[4]periods!$1:$1,0)-MATCH($B$1,[4]periods!$1:$1,0)+1),MATCH(D$1,[4]periods!$1:$1,0)-MATCH($B$1,[4]periods!$1:$1,0)+1,FALSE)</f>
        <v>2016-03-06 14:59:59</v>
      </c>
      <c r="E3" s="6" t="str">
        <f ca="1">VLOOKUP($B3,OFFSET([4]periods!$A$2,0,0,COUNTA([4]periods!$B:$B),MATCH(E$1,[4]periods!$1:$1,0)-MATCH($B$1,[4]periods!$1:$1,0)+1),MATCH(E$1,[4]periods!$1:$1,0)-MATCH($B$1,[4]periods!$1:$1,0)+1,FALSE)</f>
        <v>200万DL/リンク２倍期間</v>
      </c>
      <c r="F3" s="16">
        <v>40</v>
      </c>
      <c r="G3" s="16">
        <v>1</v>
      </c>
    </row>
    <row r="4" spans="1:7" x14ac:dyDescent="0.15">
      <c r="A4" s="16">
        <v>20</v>
      </c>
      <c r="B4" s="16">
        <v>1008</v>
      </c>
      <c r="C4" s="6" t="str">
        <f ca="1">VLOOKUP($B4,OFFSET([4]periods!$A$2,0,0,COUNTA([4]periods!$B:$B),MATCH(C$1,[4]periods!$1:$1,0)-MATCH($B$1,[4]periods!$1:$1,0)+1),MATCH(C$1,[4]periods!$1:$1,0)-MATCH($B$1,[4]periods!$1:$1,0)+1,FALSE)</f>
        <v>2015-12-03 15:00:00</v>
      </c>
      <c r="D4" s="6" t="str">
        <f ca="1">VLOOKUP($B4,OFFSET([4]periods!$A$2,0,0,COUNTA([4]periods!$B:$B),MATCH(D$1,[4]periods!$1:$1,0)-MATCH($B$1,[4]periods!$1:$1,0)+1),MATCH(D$1,[4]periods!$1:$1,0)-MATCH($B$1,[4]periods!$1:$1,0)+1,FALSE)</f>
        <v>2015-12-11 14:59:59</v>
      </c>
      <c r="E4" s="6" t="str">
        <f ca="1">VLOOKUP($B4,OFFSET([4]periods!$A$2,0,0,COUNTA([4]periods!$B:$B),MATCH(E$1,[4]periods!$1:$1,0)-MATCH($B$1,[4]periods!$1:$1,0)+1),MATCH(E$1,[4]periods!$1:$1,0)-MATCH($B$1,[4]periods!$1:$1,0)+1,FALSE)</f>
        <v>12月CPその１</v>
      </c>
      <c r="F4" s="16">
        <v>40</v>
      </c>
      <c r="G4" s="16">
        <v>1</v>
      </c>
    </row>
    <row r="5" spans="1:7" x14ac:dyDescent="0.15">
      <c r="A5" s="16">
        <v>20</v>
      </c>
      <c r="B5" s="16">
        <v>1010</v>
      </c>
      <c r="C5" s="6" t="str">
        <f ca="1">VLOOKUP($B5,OFFSET([4]periods!$A$2,0,0,COUNTA([4]periods!$B:$B),MATCH(C$1,[4]periods!$1:$1,0)-MATCH($B$1,[4]periods!$1:$1,0)+1),MATCH(C$1,[4]periods!$1:$1,0)-MATCH($B$1,[4]periods!$1:$1,0)+1,FALSE)</f>
        <v>2015-12-21 15:00:00</v>
      </c>
      <c r="D5" s="6" t="str">
        <f ca="1">VLOOKUP($B5,OFFSET([4]periods!$A$2,0,0,COUNTA([4]periods!$B:$B),MATCH(D$1,[4]periods!$1:$1,0)-MATCH($B$1,[4]periods!$1:$1,0)+1),MATCH(D$1,[4]periods!$1:$1,0)-MATCH($B$1,[4]periods!$1:$1,0)+1,FALSE)</f>
        <v>2015-12-25 14:59:59</v>
      </c>
      <c r="E5" s="6" t="str">
        <f ca="1">VLOOKUP($B5,OFFSET([4]periods!$A$2,0,0,COUNTA([4]periods!$B:$B),MATCH(E$1,[4]periods!$1:$1,0)-MATCH($B$1,[4]periods!$1:$1,0)+1),MATCH(E$1,[4]periods!$1:$1,0)-MATCH($B$1,[4]periods!$1:$1,0)+1,FALSE)</f>
        <v>クリスマス15時スタート</v>
      </c>
      <c r="F5" s="16">
        <v>40</v>
      </c>
      <c r="G5" s="16">
        <v>1</v>
      </c>
    </row>
    <row r="6" spans="1:7" x14ac:dyDescent="0.15">
      <c r="A6" s="16">
        <v>20</v>
      </c>
      <c r="B6" s="16">
        <v>1015</v>
      </c>
      <c r="C6" s="6" t="str">
        <f ca="1">VLOOKUP($B6,OFFSET([4]periods!$A$2,0,0,COUNTA([4]periods!$B:$B),MATCH(C$1,[4]periods!$1:$1,0)-MATCH($B$1,[4]periods!$1:$1,0)+1),MATCH(C$1,[4]periods!$1:$1,0)-MATCH($B$1,[4]periods!$1:$1,0)+1,FALSE)</f>
        <v>2016-01-29 15:00:00</v>
      </c>
      <c r="D6" s="6" t="str">
        <f ca="1">VLOOKUP($B6,OFFSET([4]periods!$A$2,0,0,COUNTA([4]periods!$B:$B),MATCH(D$1,[4]periods!$1:$1,0)-MATCH($B$1,[4]periods!$1:$1,0)+1),MATCH(D$1,[4]periods!$1:$1,0)-MATCH($B$1,[4]periods!$1:$1,0)+1,FALSE)</f>
        <v>2016-02-10 14:59:59</v>
      </c>
      <c r="E6" s="6" t="str">
        <f ca="1">VLOOKUP($B6,OFFSET([4]periods!$A$2,0,0,COUNTA([4]periods!$B:$B),MATCH(E$1,[4]periods!$1:$1,0)-MATCH($B$1,[4]periods!$1:$1,0)+1),MATCH(E$1,[4]periods!$1:$1,0)-MATCH($B$1,[4]periods!$1:$1,0)+1,FALSE)</f>
        <v>1/2月取得リンク2倍CP</v>
      </c>
      <c r="F6" s="45">
        <v>40</v>
      </c>
      <c r="G6" s="45">
        <v>1</v>
      </c>
    </row>
    <row r="7" spans="1:7" x14ac:dyDescent="0.15">
      <c r="A7" s="16">
        <v>20</v>
      </c>
      <c r="B7" s="16">
        <v>1021</v>
      </c>
      <c r="C7" s="6" t="str">
        <f ca="1">VLOOKUP($B7,OFFSET([4]periods!$A$2,0,0,COUNTA([4]periods!$B:$B),MATCH(C$1,[4]periods!$1:$1,0)-MATCH($B$1,[4]periods!$1:$1,0)+1),MATCH(C$1,[4]periods!$1:$1,0)-MATCH($B$1,[4]periods!$1:$1,0)+1,FALSE)</f>
        <v>2016-03-30 15:00:00</v>
      </c>
      <c r="D7" s="6" t="str">
        <f ca="1">VLOOKUP($B7,OFFSET([4]periods!$A$2,0,0,COUNTA([4]periods!$B:$B),MATCH(D$1,[4]periods!$1:$1,0)-MATCH($B$1,[4]periods!$1:$1,0)+1),MATCH(D$1,[4]periods!$1:$1,0)-MATCH($B$1,[4]periods!$1:$1,0)+1,FALSE)</f>
        <v>2016-04-03 14:59:59</v>
      </c>
      <c r="E7" s="6" t="str">
        <f ca="1">VLOOKUP($B7,OFFSET([4]periods!$A$2,0,0,COUNTA([4]periods!$B:$B),MATCH(E$1,[4]periods!$1:$1,0)-MATCH($B$1,[4]periods!$1:$1,0)+1),MATCH(E$1,[4]periods!$1:$1,0)-MATCH($B$1,[4]periods!$1:$1,0)+1,FALSE)</f>
        <v>卒業の取得リンク2倍</v>
      </c>
      <c r="F7" s="45">
        <v>40</v>
      </c>
      <c r="G7" s="45">
        <v>1</v>
      </c>
    </row>
    <row r="8" spans="1:7" x14ac:dyDescent="0.15">
      <c r="A8" s="16">
        <v>20</v>
      </c>
      <c r="B8" s="16">
        <v>1022</v>
      </c>
      <c r="C8" s="6" t="s">
        <v>311</v>
      </c>
      <c r="D8" s="6" t="s">
        <v>312</v>
      </c>
      <c r="E8" s="6" t="e">
        <f ca="1">VLOOKUP($B8,OFFSET([4]periods!$A$2,0,0,COUNTA([4]periods!$B:$B),MATCH(E$1,[4]periods!$1:$1,0)-MATCH($B$1,[4]periods!$1:$1,0)+1),MATCH(E$1,[4]periods!$1:$1,0)-MATCH($B$1,[4]periods!$1:$1,0)+1,FALSE)</f>
        <v>#N/A</v>
      </c>
      <c r="F8" s="45">
        <v>40</v>
      </c>
      <c r="G8" s="45">
        <v>1</v>
      </c>
    </row>
  </sheetData>
  <phoneticPr fontId="5"/>
  <pageMargins left="0.7" right="0.7" top="0.75" bottom="0.75" header="0.3" footer="0.3"/>
  <pageSetup paperSize="9" orientation="portrait" horizontalDpi="4294967292" verticalDpi="429496729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theme="0" tint="-0.499984740745262"/>
  </sheetPr>
  <dimension ref="A1:J125"/>
  <sheetViews>
    <sheetView showGridLines="0" workbookViewId="0">
      <pane ySplit="1" topLeftCell="A2" activePane="bottomLeft" state="frozen"/>
      <selection pane="bottomLeft" activeCell="F20" sqref="F20"/>
    </sheetView>
  </sheetViews>
  <sheetFormatPr baseColWidth="12" defaultColWidth="13" defaultRowHeight="21" customHeight="1" x14ac:dyDescent="0.15"/>
  <cols>
    <col min="1" max="1" width="8" style="53" bestFit="1" customWidth="1"/>
    <col min="2" max="2" width="7.1640625" style="60" bestFit="1" customWidth="1"/>
    <col min="3" max="3" width="27.5" style="60" bestFit="1" customWidth="1"/>
    <col min="4" max="4" width="7.5" style="60" bestFit="1" customWidth="1"/>
    <col min="5" max="5" width="27.83203125" style="60" bestFit="1" customWidth="1"/>
    <col min="6" max="7" width="16.1640625" style="60" bestFit="1" customWidth="1"/>
    <col min="8" max="8" width="9.33203125" style="60" bestFit="1" customWidth="1"/>
    <col min="9" max="9" width="9.83203125" style="60" bestFit="1" customWidth="1"/>
    <col min="10" max="10" width="6.5" style="60" bestFit="1" customWidth="1"/>
    <col min="11" max="16384" width="13" style="60"/>
  </cols>
  <sheetData>
    <row r="1" spans="1:10" s="52" customFormat="1" ht="21" customHeight="1" x14ac:dyDescent="0.15">
      <c r="A1" s="47" t="s">
        <v>150</v>
      </c>
      <c r="B1" s="48" t="s">
        <v>151</v>
      </c>
      <c r="C1" s="49" t="s">
        <v>152</v>
      </c>
      <c r="D1" s="50" t="s">
        <v>153</v>
      </c>
      <c r="E1" s="51" t="s">
        <v>154</v>
      </c>
      <c r="F1" s="50" t="s">
        <v>155</v>
      </c>
      <c r="G1" s="50" t="s">
        <v>156</v>
      </c>
      <c r="H1" s="50" t="s">
        <v>157</v>
      </c>
      <c r="I1" s="50" t="s">
        <v>158</v>
      </c>
      <c r="J1" s="50" t="s">
        <v>159</v>
      </c>
    </row>
    <row r="2" spans="1:10" ht="21" customHeight="1" x14ac:dyDescent="0.15">
      <c r="A2" s="53" t="str">
        <f>B2&amp;"_"&amp;D2</f>
        <v>1_0</v>
      </c>
      <c r="B2" s="54">
        <v>1</v>
      </c>
      <c r="C2" s="55" t="str">
        <f ca="1">VLOOKUP($B2,OFFSET([2]quests!$A$1,0,0,COUNTA([2]quests!$A:$A),MATCH(C$1,[2]quests!$1:$1,0)-MATCH($B$1,[2]quests!$1:$1,0)+1),MATCH(C$1,[2]quests!$1:$1,0)-MATCH($B$1,[2]quests!$1:$1,0)+1,FALSE)</f>
        <v>1．ALICEの入り口</v>
      </c>
      <c r="D2" s="56">
        <v>0</v>
      </c>
      <c r="E2" s="57" t="str">
        <f ca="1">VLOOKUP($D2,OFFSET([4]periods!$A$1,0,0,COUNTA([4]periods!$A:$A),MATCH(E$1,[4]periods!$1:$1,0)-MATCH($D$1,[4]periods!$1:$1,0)+1),MATCH(E$1,[4]periods!$1:$1,0)-MATCH($D$1,[4]periods!$1:$1,0)+1,FALSE)</f>
        <v>無期限</v>
      </c>
      <c r="F2" s="57" t="str">
        <f ca="1">VLOOKUP($D2,OFFSET([4]periods!$A$1,0,0,COUNTA([4]periods!$A:$A),MATCH(F$1,[4]periods!$1:$1,0)-MATCH($D$1,[4]periods!$1:$1,0)+1),MATCH(F$1,[4]periods!$1:$1,0)-MATCH($D$1,[4]periods!$1:$1,0)+1,FALSE)</f>
        <v>2015-03-27 00:00:00</v>
      </c>
      <c r="G2" s="57" t="str">
        <f ca="1">VLOOKUP($D2,OFFSET([4]periods!$A$1,0,0,COUNTA([4]periods!$A:$A),MATCH(G$1,[4]periods!$1:$1,0)-MATCH($D$1,[4]periods!$1:$1,0)+1),MATCH(G$1,[4]periods!$1:$1,0)-MATCH($D$1,[4]periods!$1:$1,0)+1,FALSE)</f>
        <v>2970-01-01 09:00:00</v>
      </c>
      <c r="H2" s="58" t="s">
        <v>160</v>
      </c>
      <c r="I2" s="59">
        <v>2</v>
      </c>
      <c r="J2" s="59">
        <v>0</v>
      </c>
    </row>
    <row r="3" spans="1:10" ht="21" customHeight="1" x14ac:dyDescent="0.15">
      <c r="A3" s="53" t="str">
        <f t="shared" ref="A3:A66" si="0">B3&amp;"_"&amp;D3</f>
        <v>20001_20</v>
      </c>
      <c r="B3" s="54">
        <v>20001</v>
      </c>
      <c r="C3" s="55" t="str">
        <f ca="1">VLOOKUP($B3,OFFSET([2]quests!$A$1,0,0,COUNTA([2]quests!$A:$A),MATCH(C$1,[2]quests!$1:$1,0)-MATCH($B$1,[2]quests!$1:$1,0)+1),MATCH(C$1,[2]quests!$1:$1,0)-MATCH($B$1,[2]quests!$1:$1,0)+1,FALSE)</f>
        <v>紅き執行者</v>
      </c>
      <c r="D3" s="56">
        <v>20</v>
      </c>
      <c r="E3" s="57" t="str">
        <f ca="1">VLOOKUP($D3,OFFSET([4]periods!$A$1,0,0,COUNTA([4]periods!$A:$A),MATCH(E$1,[4]periods!$1:$1,0)-MATCH($D$1,[4]periods!$1:$1,0)+1),MATCH(E$1,[4]periods!$1:$1,0)-MATCH($D$1,[4]periods!$1:$1,0)+1,FALSE)</f>
        <v>紅き執行者(三日目泥up)</v>
      </c>
      <c r="F3" s="57" t="str">
        <f ca="1">VLOOKUP($D3,OFFSET([4]periods!$A$1,0,0,COUNTA([4]periods!$A:$A),MATCH(F$1,[4]periods!$1:$1,0)-MATCH($D$1,[4]periods!$1:$1,0)+1),MATCH(F$1,[4]periods!$1:$1,0)-MATCH($D$1,[4]periods!$1:$1,0)+1,FALSE)</f>
        <v>2015-07-31 15:00:00</v>
      </c>
      <c r="G3" s="57" t="str">
        <f ca="1">VLOOKUP($D3,OFFSET([4]periods!$A$1,0,0,COUNTA([4]periods!$A:$A),MATCH(G$1,[4]periods!$1:$1,0)-MATCH($D$1,[4]periods!$1:$1,0)+1),MATCH(G$1,[4]periods!$1:$1,0)-MATCH($D$1,[4]periods!$1:$1,0)+1,FALSE)</f>
        <v>2015-08-01 00:00:00</v>
      </c>
      <c r="H3" s="58" t="s">
        <v>161</v>
      </c>
      <c r="I3" s="59">
        <v>1.5</v>
      </c>
      <c r="J3" s="59">
        <v>0</v>
      </c>
    </row>
    <row r="4" spans="1:10" ht="21" customHeight="1" x14ac:dyDescent="0.15">
      <c r="A4" s="53" t="str">
        <f t="shared" si="0"/>
        <v>20001_21</v>
      </c>
      <c r="B4" s="54">
        <v>20001</v>
      </c>
      <c r="C4" s="55" t="str">
        <f ca="1">VLOOKUP($B4,OFFSET([2]quests!$A$1,0,0,COUNTA([2]quests!$A:$A),MATCH(C$1,[2]quests!$1:$1,0)-MATCH($B$1,[2]quests!$1:$1,0)+1),MATCH(C$1,[2]quests!$1:$1,0)-MATCH($B$1,[2]quests!$1:$1,0)+1,FALSE)</f>
        <v>紅き執行者</v>
      </c>
      <c r="D4" s="56">
        <v>21</v>
      </c>
      <c r="E4" s="57" t="str">
        <f ca="1">VLOOKUP($D4,OFFSET([4]periods!$A$1,0,0,COUNTA([4]periods!$A:$A),MATCH(E$1,[4]periods!$1:$1,0)-MATCH($D$1,[4]periods!$1:$1,0)+1),MATCH(E$1,[4]periods!$1:$1,0)-MATCH($D$1,[4]periods!$1:$1,0)+1,FALSE)</f>
        <v>紅き執行者(最終日泥up)</v>
      </c>
      <c r="F4" s="57" t="str">
        <f ca="1">VLOOKUP($D4,OFFSET([4]periods!$A$1,0,0,COUNTA([4]periods!$A:$A),MATCH(F$1,[4]periods!$1:$1,0)-MATCH($D$1,[4]periods!$1:$1,0)+1),MATCH(F$1,[4]periods!$1:$1,0)-MATCH($D$1,[4]periods!$1:$1,0)+1,FALSE)</f>
        <v>2015-08-02 06:00:00</v>
      </c>
      <c r="G4" s="57" t="str">
        <f ca="1">VLOOKUP($D4,OFFSET([4]periods!$A$1,0,0,COUNTA([4]periods!$A:$A),MATCH(G$1,[4]periods!$1:$1,0)-MATCH($D$1,[4]periods!$1:$1,0)+1),MATCH(G$1,[4]periods!$1:$1,0)-MATCH($D$1,[4]periods!$1:$1,0)+1,FALSE)</f>
        <v>2015-08-02 15:00:00</v>
      </c>
      <c r="H4" s="58" t="s">
        <v>162</v>
      </c>
      <c r="I4" s="59">
        <v>1.5</v>
      </c>
      <c r="J4" s="59">
        <v>0</v>
      </c>
    </row>
    <row r="5" spans="1:10" ht="21" customHeight="1" x14ac:dyDescent="0.15">
      <c r="A5" s="53" t="str">
        <f t="shared" si="0"/>
        <v>20002_22</v>
      </c>
      <c r="B5" s="54">
        <v>20002</v>
      </c>
      <c r="C5" s="55" t="str">
        <f ca="1">VLOOKUP($B5,OFFSET([2]quests!$A$1,0,0,COUNTA([2]quests!$A:$A),MATCH(C$1,[2]quests!$1:$1,0)-MATCH($B$1,[2]quests!$1:$1,0)+1),MATCH(C$1,[2]quests!$1:$1,0)-MATCH($B$1,[2]quests!$1:$1,0)+1,FALSE)</f>
        <v>孤高の一角獣</v>
      </c>
      <c r="D5" s="56">
        <v>22</v>
      </c>
      <c r="E5" s="57" t="str">
        <f ca="1">VLOOKUP($D5,OFFSET([4]periods!$A$1,0,0,COUNTA([4]periods!$A:$A),MATCH(E$1,[4]periods!$1:$1,0)-MATCH($D$1,[4]periods!$1:$1,0)+1),MATCH(E$1,[4]periods!$1:$1,0)-MATCH($D$1,[4]periods!$1:$1,0)+1,FALSE)</f>
        <v>孤高の一角獣(三日目泥up)</v>
      </c>
      <c r="F5" s="57" t="str">
        <f ca="1">VLOOKUP($D5,OFFSET([4]periods!$A$1,0,0,COUNTA([4]periods!$A:$A),MATCH(F$1,[4]periods!$1:$1,0)-MATCH($D$1,[4]periods!$1:$1,0)+1),MATCH(F$1,[4]periods!$1:$1,0)-MATCH($D$1,[4]periods!$1:$1,0)+1,FALSE)</f>
        <v>2015-08-07 15:00:00</v>
      </c>
      <c r="G5" s="57" t="str">
        <f ca="1">VLOOKUP($D5,OFFSET([4]periods!$A$1,0,0,COUNTA([4]periods!$A:$A),MATCH(G$1,[4]periods!$1:$1,0)-MATCH($D$1,[4]periods!$1:$1,0)+1),MATCH(G$1,[4]periods!$1:$1,0)-MATCH($D$1,[4]periods!$1:$1,0)+1,FALSE)</f>
        <v>2015-08-08 00:00:00</v>
      </c>
      <c r="H5" s="58" t="s">
        <v>163</v>
      </c>
      <c r="I5" s="59">
        <v>1.5</v>
      </c>
      <c r="J5" s="59">
        <v>0</v>
      </c>
    </row>
    <row r="6" spans="1:10" ht="21" customHeight="1" x14ac:dyDescent="0.15">
      <c r="A6" s="53" t="str">
        <f t="shared" si="0"/>
        <v>20002_23</v>
      </c>
      <c r="B6" s="54">
        <v>20002</v>
      </c>
      <c r="C6" s="55" t="str">
        <f ca="1">VLOOKUP($B6,OFFSET([2]quests!$A$1,0,0,COUNTA([2]quests!$A:$A),MATCH(C$1,[2]quests!$1:$1,0)-MATCH($B$1,[2]quests!$1:$1,0)+1),MATCH(C$1,[2]quests!$1:$1,0)-MATCH($B$1,[2]quests!$1:$1,0)+1,FALSE)</f>
        <v>孤高の一角獣</v>
      </c>
      <c r="D6" s="56">
        <v>23</v>
      </c>
      <c r="E6" s="57" t="str">
        <f ca="1">VLOOKUP($D6,OFFSET([4]periods!$A$1,0,0,COUNTA([4]periods!$A:$A),MATCH(E$1,[4]periods!$1:$1,0)-MATCH($D$1,[4]periods!$1:$1,0)+1),MATCH(E$1,[4]periods!$1:$1,0)-MATCH($D$1,[4]periods!$1:$1,0)+1,FALSE)</f>
        <v>孤高の一角獣(最終日泥up)</v>
      </c>
      <c r="F6" s="57" t="str">
        <f ca="1">VLOOKUP($D6,OFFSET([4]periods!$A$1,0,0,COUNTA([4]periods!$A:$A),MATCH(F$1,[4]periods!$1:$1,0)-MATCH($D$1,[4]periods!$1:$1,0)+1),MATCH(F$1,[4]periods!$1:$1,0)-MATCH($D$1,[4]periods!$1:$1,0)+1,FALSE)</f>
        <v>2015-08-09 06:00:00</v>
      </c>
      <c r="G6" s="57" t="str">
        <f ca="1">VLOOKUP($D6,OFFSET([4]periods!$A$1,0,0,COUNTA([4]periods!$A:$A),MATCH(G$1,[4]periods!$1:$1,0)-MATCH($D$1,[4]periods!$1:$1,0)+1),MATCH(G$1,[4]periods!$1:$1,0)-MATCH($D$1,[4]periods!$1:$1,0)+1,FALSE)</f>
        <v>2015-08-09 15:00:00</v>
      </c>
      <c r="H6" s="58" t="s">
        <v>164</v>
      </c>
      <c r="I6" s="59">
        <v>1.5</v>
      </c>
      <c r="J6" s="59">
        <v>0</v>
      </c>
    </row>
    <row r="7" spans="1:10" ht="21" customHeight="1" x14ac:dyDescent="0.15">
      <c r="A7" s="53" t="str">
        <f t="shared" si="0"/>
        <v>20003_24</v>
      </c>
      <c r="B7" s="54">
        <v>20003</v>
      </c>
      <c r="C7" s="55" t="str">
        <f ca="1">VLOOKUP($B7,OFFSET([2]quests!$A$1,0,0,COUNTA([2]quests!$A:$A),MATCH(C$1,[2]quests!$1:$1,0)-MATCH($B$1,[2]quests!$1:$1,0)+1),MATCH(C$1,[2]quests!$1:$1,0)-MATCH($B$1,[2]quests!$1:$1,0)+1,FALSE)</f>
        <v>忍び寄る短剣</v>
      </c>
      <c r="D7" s="56">
        <v>24</v>
      </c>
      <c r="E7" s="57" t="str">
        <f ca="1">VLOOKUP($D7,OFFSET([4]periods!$A$1,0,0,COUNTA([4]periods!$A:$A),MATCH(E$1,[4]periods!$1:$1,0)-MATCH($D$1,[4]periods!$1:$1,0)+1),MATCH(E$1,[4]periods!$1:$1,0)-MATCH($D$1,[4]periods!$1:$1,0)+1,FALSE)</f>
        <v>忍び寄る短剣(三日目泥up)</v>
      </c>
      <c r="F7" s="57" t="str">
        <f ca="1">VLOOKUP($D7,OFFSET([4]periods!$A$1,0,0,COUNTA([4]periods!$A:$A),MATCH(F$1,[4]periods!$1:$1,0)-MATCH($D$1,[4]periods!$1:$1,0)+1),MATCH(F$1,[4]periods!$1:$1,0)-MATCH($D$1,[4]periods!$1:$1,0)+1,FALSE)</f>
        <v>2015-08-15 15:00:00</v>
      </c>
      <c r="G7" s="57" t="str">
        <f ca="1">VLOOKUP($D7,OFFSET([4]periods!$A$1,0,0,COUNTA([4]periods!$A:$A),MATCH(G$1,[4]periods!$1:$1,0)-MATCH($D$1,[4]periods!$1:$1,0)+1),MATCH(G$1,[4]periods!$1:$1,0)-MATCH($D$1,[4]periods!$1:$1,0)+1,FALSE)</f>
        <v>2015-08-16 00:00:00</v>
      </c>
      <c r="H7" s="58" t="s">
        <v>160</v>
      </c>
      <c r="I7" s="59">
        <v>1.5</v>
      </c>
      <c r="J7" s="59">
        <v>0</v>
      </c>
    </row>
    <row r="8" spans="1:10" ht="21" customHeight="1" x14ac:dyDescent="0.15">
      <c r="A8" s="53" t="str">
        <f t="shared" si="0"/>
        <v>20003_25</v>
      </c>
      <c r="B8" s="54">
        <v>20003</v>
      </c>
      <c r="C8" s="55" t="str">
        <f ca="1">VLOOKUP($B8,OFFSET([2]quests!$A$1,0,0,COUNTA([2]quests!$A:$A),MATCH(C$1,[2]quests!$1:$1,0)-MATCH($B$1,[2]quests!$1:$1,0)+1),MATCH(C$1,[2]quests!$1:$1,0)-MATCH($B$1,[2]quests!$1:$1,0)+1,FALSE)</f>
        <v>忍び寄る短剣</v>
      </c>
      <c r="D8" s="56">
        <v>25</v>
      </c>
      <c r="E8" s="57" t="str">
        <f ca="1">VLOOKUP($D8,OFFSET([4]periods!$A$1,0,0,COUNTA([4]periods!$A:$A),MATCH(E$1,[4]periods!$1:$1,0)-MATCH($D$1,[4]periods!$1:$1,0)+1),MATCH(E$1,[4]periods!$1:$1,0)-MATCH($D$1,[4]periods!$1:$1,0)+1,FALSE)</f>
        <v>忍び寄る短剣(最終日泥up)</v>
      </c>
      <c r="F8" s="57" t="str">
        <f ca="1">VLOOKUP($D8,OFFSET([4]periods!$A$1,0,0,COUNTA([4]periods!$A:$A),MATCH(F$1,[4]periods!$1:$1,0)-MATCH($D$1,[4]periods!$1:$1,0)+1),MATCH(F$1,[4]periods!$1:$1,0)-MATCH($D$1,[4]periods!$1:$1,0)+1,FALSE)</f>
        <v>2015-08-17 06:00:00</v>
      </c>
      <c r="G8" s="57" t="str">
        <f ca="1">VLOOKUP($D8,OFFSET([4]periods!$A$1,0,0,COUNTA([4]periods!$A:$A),MATCH(G$1,[4]periods!$1:$1,0)-MATCH($D$1,[4]periods!$1:$1,0)+1),MATCH(G$1,[4]periods!$1:$1,0)-MATCH($D$1,[4]periods!$1:$1,0)+1,FALSE)</f>
        <v>2015-08-17 15:00:00</v>
      </c>
      <c r="H8" s="58" t="s">
        <v>163</v>
      </c>
      <c r="I8" s="59">
        <v>1.5</v>
      </c>
      <c r="J8" s="59">
        <v>0</v>
      </c>
    </row>
    <row r="9" spans="1:10" ht="21" customHeight="1" x14ac:dyDescent="0.15">
      <c r="A9" s="53" t="str">
        <f t="shared" si="0"/>
        <v>20004_26</v>
      </c>
      <c r="B9" s="54">
        <v>20004</v>
      </c>
      <c r="C9" s="55" t="str">
        <f ca="1">VLOOKUP($B9,OFFSET([2]quests!$A$1,0,0,COUNTA([2]quests!$A:$A),MATCH(C$1,[2]quests!$1:$1,0)-MATCH($B$1,[2]quests!$1:$1,0)+1),MATCH(C$1,[2]quests!$1:$1,0)-MATCH($B$1,[2]quests!$1:$1,0)+1,FALSE)</f>
        <v>雷雲からの刺客</v>
      </c>
      <c r="D9" s="56">
        <v>26</v>
      </c>
      <c r="E9" s="57" t="str">
        <f ca="1">VLOOKUP($D9,OFFSET([4]periods!$A$1,0,0,COUNTA([4]periods!$A:$A),MATCH(E$1,[4]periods!$1:$1,0)-MATCH($D$1,[4]periods!$1:$1,0)+1),MATCH(E$1,[4]periods!$1:$1,0)-MATCH($D$1,[4]periods!$1:$1,0)+1,FALSE)</f>
        <v>雷雲からの刺客(三日目泥up)</v>
      </c>
      <c r="F9" s="57" t="str">
        <f ca="1">VLOOKUP($D9,OFFSET([4]periods!$A$1,0,0,COUNTA([4]periods!$A:$A),MATCH(F$1,[4]periods!$1:$1,0)-MATCH($D$1,[4]periods!$1:$1,0)+1),MATCH(F$1,[4]periods!$1:$1,0)-MATCH($D$1,[4]periods!$1:$1,0)+1,FALSE)</f>
        <v>2015-08-22 15:00:00</v>
      </c>
      <c r="G9" s="57" t="str">
        <f ca="1">VLOOKUP($D9,OFFSET([4]periods!$A$1,0,0,COUNTA([4]periods!$A:$A),MATCH(G$1,[4]periods!$1:$1,0)-MATCH($D$1,[4]periods!$1:$1,0)+1),MATCH(G$1,[4]periods!$1:$1,0)-MATCH($D$1,[4]periods!$1:$1,0)+1,FALSE)</f>
        <v>2015-08-23 00:00:00</v>
      </c>
      <c r="H9" s="58" t="s">
        <v>163</v>
      </c>
      <c r="I9" s="59">
        <v>1.5</v>
      </c>
      <c r="J9" s="59">
        <v>0</v>
      </c>
    </row>
    <row r="10" spans="1:10" ht="21" customHeight="1" x14ac:dyDescent="0.15">
      <c r="A10" s="53" t="str">
        <f t="shared" si="0"/>
        <v>20004_27</v>
      </c>
      <c r="B10" s="54">
        <v>20004</v>
      </c>
      <c r="C10" s="55" t="str">
        <f ca="1">VLOOKUP($B10,OFFSET([2]quests!$A$1,0,0,COUNTA([2]quests!$A:$A),MATCH(C$1,[2]quests!$1:$1,0)-MATCH($B$1,[2]quests!$1:$1,0)+1),MATCH(C$1,[2]quests!$1:$1,0)-MATCH($B$1,[2]quests!$1:$1,0)+1,FALSE)</f>
        <v>雷雲からの刺客</v>
      </c>
      <c r="D10" s="56">
        <v>27</v>
      </c>
      <c r="E10" s="57" t="str">
        <f ca="1">VLOOKUP($D10,OFFSET([4]periods!$A$1,0,0,COUNTA([4]periods!$A:$A),MATCH(E$1,[4]periods!$1:$1,0)-MATCH($D$1,[4]periods!$1:$1,0)+1),MATCH(E$1,[4]periods!$1:$1,0)-MATCH($D$1,[4]periods!$1:$1,0)+1,FALSE)</f>
        <v>雷雲からの刺客(最終日泥up)</v>
      </c>
      <c r="F10" s="57" t="str">
        <f ca="1">VLOOKUP($D10,OFFSET([4]periods!$A$1,0,0,COUNTA([4]periods!$A:$A),MATCH(F$1,[4]periods!$1:$1,0)-MATCH($D$1,[4]periods!$1:$1,0)+1),MATCH(F$1,[4]periods!$1:$1,0)-MATCH($D$1,[4]periods!$1:$1,0)+1,FALSE)</f>
        <v>2015-08-24 06:00:00</v>
      </c>
      <c r="G10" s="57" t="str">
        <f ca="1">VLOOKUP($D10,OFFSET([4]periods!$A$1,0,0,COUNTA([4]periods!$A:$A),MATCH(G$1,[4]periods!$1:$1,0)-MATCH($D$1,[4]periods!$1:$1,0)+1),MATCH(G$1,[4]periods!$1:$1,0)-MATCH($D$1,[4]periods!$1:$1,0)+1,FALSE)</f>
        <v>2015-08-24 15:00:00</v>
      </c>
      <c r="H10" s="58" t="s">
        <v>163</v>
      </c>
      <c r="I10" s="59">
        <v>1.5</v>
      </c>
      <c r="J10" s="59">
        <v>0</v>
      </c>
    </row>
    <row r="11" spans="1:10" ht="21" customHeight="1" x14ac:dyDescent="0.15">
      <c r="A11" s="53" t="str">
        <f t="shared" si="0"/>
        <v>20005_111</v>
      </c>
      <c r="B11" s="54">
        <v>20005</v>
      </c>
      <c r="C11" s="55" t="str">
        <f ca="1">VLOOKUP($B11,OFFSET([2]quests!$A$1,0,0,COUNTA([2]quests!$A:$A),MATCH(C$1,[2]quests!$1:$1,0)-MATCH($B$1,[2]quests!$1:$1,0)+1),MATCH(C$1,[2]quests!$1:$1,0)-MATCH($B$1,[2]quests!$1:$1,0)+1,FALSE)</f>
        <v>ザ・キャノン</v>
      </c>
      <c r="D11" s="56">
        <v>111</v>
      </c>
      <c r="E11" s="57" t="str">
        <f ca="1">VLOOKUP($D11,OFFSET([4]periods!$A$1,0,0,COUNTA([4]periods!$A:$A),MATCH(E$1,[4]periods!$1:$1,0)-MATCH($D$1,[4]periods!$1:$1,0)+1),MATCH(E$1,[4]periods!$1:$1,0)-MATCH($D$1,[4]periods!$1:$1,0)+1,FALSE)</f>
        <v>ザ・キャノン 3日目泥UP</v>
      </c>
      <c r="F11" s="57" t="str">
        <f ca="1">VLOOKUP($D11,OFFSET([4]periods!$A$1,0,0,COUNTA([4]periods!$A:$A),MATCH(F$1,[4]periods!$1:$1,0)-MATCH($D$1,[4]periods!$1:$1,0)+1),MATCH(F$1,[4]periods!$1:$1,0)-MATCH($D$1,[4]periods!$1:$1,0)+1,FALSE)</f>
        <v>2015-09-12 15:00:00</v>
      </c>
      <c r="G11" s="57" t="str">
        <f ca="1">VLOOKUP($D11,OFFSET([4]periods!$A$1,0,0,COUNTA([4]periods!$A:$A),MATCH(G$1,[4]periods!$1:$1,0)-MATCH($D$1,[4]periods!$1:$1,0)+1),MATCH(G$1,[4]periods!$1:$1,0)-MATCH($D$1,[4]periods!$1:$1,0)+1,FALSE)</f>
        <v>2015-09-13 00:00:00</v>
      </c>
      <c r="H11" s="58" t="s">
        <v>161</v>
      </c>
      <c r="I11" s="59">
        <v>1.5</v>
      </c>
      <c r="J11" s="59">
        <v>0</v>
      </c>
    </row>
    <row r="12" spans="1:10" ht="21" customHeight="1" x14ac:dyDescent="0.15">
      <c r="A12" s="53" t="str">
        <f t="shared" si="0"/>
        <v>20005_112</v>
      </c>
      <c r="B12" s="54">
        <v>20005</v>
      </c>
      <c r="C12" s="55" t="str">
        <f ca="1">VLOOKUP($B12,OFFSET([2]quests!$A$1,0,0,COUNTA([2]quests!$A:$A),MATCH(C$1,[2]quests!$1:$1,0)-MATCH($B$1,[2]quests!$1:$1,0)+1),MATCH(C$1,[2]quests!$1:$1,0)-MATCH($B$1,[2]quests!$1:$1,0)+1,FALSE)</f>
        <v>ザ・キャノン</v>
      </c>
      <c r="D12" s="56">
        <v>112</v>
      </c>
      <c r="E12" s="57" t="str">
        <f ca="1">VLOOKUP($D12,OFFSET([4]periods!$A$1,0,0,COUNTA([4]periods!$A:$A),MATCH(E$1,[4]periods!$1:$1,0)-MATCH($D$1,[4]periods!$1:$1,0)+1),MATCH(E$1,[4]periods!$1:$1,0)-MATCH($D$1,[4]periods!$1:$1,0)+1,FALSE)</f>
        <v>ザ・キャノン 最終日泥UP</v>
      </c>
      <c r="F12" s="57" t="str">
        <f ca="1">VLOOKUP($D12,OFFSET([4]periods!$A$1,0,0,COUNTA([4]periods!$A:$A),MATCH(F$1,[4]periods!$1:$1,0)-MATCH($D$1,[4]periods!$1:$1,0)+1),MATCH(F$1,[4]periods!$1:$1,0)-MATCH($D$1,[4]periods!$1:$1,0)+1,FALSE)</f>
        <v>2015-09-15 06:00:00</v>
      </c>
      <c r="G12" s="57" t="str">
        <f ca="1">VLOOKUP($D12,OFFSET([4]periods!$A$1,0,0,COUNTA([4]periods!$A:$A),MATCH(G$1,[4]periods!$1:$1,0)-MATCH($D$1,[4]periods!$1:$1,0)+1),MATCH(G$1,[4]periods!$1:$1,0)-MATCH($D$1,[4]periods!$1:$1,0)+1,FALSE)</f>
        <v>2015-09-15 15:00:00</v>
      </c>
      <c r="H12" s="58" t="s">
        <v>163</v>
      </c>
      <c r="I12" s="59">
        <v>1.5</v>
      </c>
      <c r="J12" s="59">
        <v>0</v>
      </c>
    </row>
    <row r="13" spans="1:10" ht="21" customHeight="1" x14ac:dyDescent="0.15">
      <c r="A13" s="53" t="str">
        <f t="shared" si="0"/>
        <v>20006_121</v>
      </c>
      <c r="B13" s="54">
        <v>20006</v>
      </c>
      <c r="C13" s="55" t="str">
        <f ca="1">VLOOKUP($B13,OFFSET([2]quests!$A$1,0,0,COUNTA([2]quests!$A:$A),MATCH(C$1,[2]quests!$1:$1,0)-MATCH($B$1,[2]quests!$1:$1,0)+1),MATCH(C$1,[2]quests!$1:$1,0)-MATCH($B$1,[2]quests!$1:$1,0)+1,FALSE)</f>
        <v>スチール・プレデター</v>
      </c>
      <c r="D13" s="56">
        <v>121</v>
      </c>
      <c r="E13" s="57" t="str">
        <f ca="1">VLOOKUP($D13,OFFSET([4]periods!$A$1,0,0,COUNTA([4]periods!$A:$A),MATCH(E$1,[4]periods!$1:$1,0)-MATCH($D$1,[4]periods!$1:$1,0)+1),MATCH(E$1,[4]periods!$1:$1,0)-MATCH($D$1,[4]periods!$1:$1,0)+1,FALSE)</f>
        <v>スチールプレデター 3日目泥UP</v>
      </c>
      <c r="F13" s="57" t="str">
        <f ca="1">VLOOKUP($D13,OFFSET([4]periods!$A$1,0,0,COUNTA([4]periods!$A:$A),MATCH(F$1,[4]periods!$1:$1,0)-MATCH($D$1,[4]periods!$1:$1,0)+1),MATCH(F$1,[4]periods!$1:$1,0)-MATCH($D$1,[4]periods!$1:$1,0)+1,FALSE)</f>
        <v>2015-09-26 15:00:00</v>
      </c>
      <c r="G13" s="57" t="str">
        <f ca="1">VLOOKUP($D13,OFFSET([4]periods!$A$1,0,0,COUNTA([4]periods!$A:$A),MATCH(G$1,[4]periods!$1:$1,0)-MATCH($D$1,[4]periods!$1:$1,0)+1),MATCH(G$1,[4]periods!$1:$1,0)-MATCH($D$1,[4]periods!$1:$1,0)+1,FALSE)</f>
        <v>2015-09-27 00:00:00</v>
      </c>
      <c r="H13" s="58" t="s">
        <v>163</v>
      </c>
      <c r="I13" s="59">
        <v>1.5</v>
      </c>
      <c r="J13" s="59">
        <v>0</v>
      </c>
    </row>
    <row r="14" spans="1:10" ht="21" customHeight="1" x14ac:dyDescent="0.15">
      <c r="A14" s="53" t="str">
        <f t="shared" si="0"/>
        <v>20006_122</v>
      </c>
      <c r="B14" s="54">
        <v>20006</v>
      </c>
      <c r="C14" s="55" t="str">
        <f ca="1">VLOOKUP($B14,OFFSET([2]quests!$A$1,0,0,COUNTA([2]quests!$A:$A),MATCH(C$1,[2]quests!$1:$1,0)-MATCH($B$1,[2]quests!$1:$1,0)+1),MATCH(C$1,[2]quests!$1:$1,0)-MATCH($B$1,[2]quests!$1:$1,0)+1,FALSE)</f>
        <v>スチール・プレデター</v>
      </c>
      <c r="D14" s="56">
        <v>122</v>
      </c>
      <c r="E14" s="57" t="str">
        <f ca="1">VLOOKUP($D14,OFFSET([4]periods!$A$1,0,0,COUNTA([4]periods!$A:$A),MATCH(E$1,[4]periods!$1:$1,0)-MATCH($D$1,[4]periods!$1:$1,0)+1),MATCH(E$1,[4]periods!$1:$1,0)-MATCH($D$1,[4]periods!$1:$1,0)+1,FALSE)</f>
        <v>スチールプレデター 最終日泥UP</v>
      </c>
      <c r="F14" s="57" t="str">
        <f ca="1">VLOOKUP($D14,OFFSET([4]periods!$A$1,0,0,COUNTA([4]periods!$A:$A),MATCH(F$1,[4]periods!$1:$1,0)-MATCH($D$1,[4]periods!$1:$1,0)+1),MATCH(F$1,[4]periods!$1:$1,0)-MATCH($D$1,[4]periods!$1:$1,0)+1,FALSE)</f>
        <v>2015-09-29 06:00:00</v>
      </c>
      <c r="G14" s="57" t="str">
        <f ca="1">VLOOKUP($D14,OFFSET([4]periods!$A$1,0,0,COUNTA([4]periods!$A:$A),MATCH(G$1,[4]periods!$1:$1,0)-MATCH($D$1,[4]periods!$1:$1,0)+1),MATCH(G$1,[4]periods!$1:$1,0)-MATCH($D$1,[4]periods!$1:$1,0)+1,FALSE)</f>
        <v>2015-09-29 15:00:00</v>
      </c>
      <c r="H14" s="58" t="s">
        <v>163</v>
      </c>
      <c r="I14" s="59">
        <v>1.5</v>
      </c>
      <c r="J14" s="59">
        <v>0</v>
      </c>
    </row>
    <row r="15" spans="1:10" ht="21" customHeight="1" x14ac:dyDescent="0.15">
      <c r="A15" s="53" t="str">
        <f t="shared" si="0"/>
        <v>20007_101</v>
      </c>
      <c r="B15" s="54">
        <v>20007</v>
      </c>
      <c r="C15" s="55" t="str">
        <f ca="1">VLOOKUP($B15,OFFSET([2]quests!$A$1,0,0,COUNTA([2]quests!$A:$A),MATCH(C$1,[2]quests!$1:$1,0)-MATCH($B$1,[2]quests!$1:$1,0)+1),MATCH(C$1,[2]quests!$1:$1,0)-MATCH($B$1,[2]quests!$1:$1,0)+1,FALSE)</f>
        <v>女王陛下の処刑龍</v>
      </c>
      <c r="D15" s="56">
        <v>101</v>
      </c>
      <c r="E15" s="57" t="str">
        <f ca="1">VLOOKUP($D15,OFFSET([4]periods!$A$1,0,0,COUNTA([4]periods!$A:$A),MATCH(E$1,[4]periods!$1:$1,0)-MATCH($D$1,[4]periods!$1:$1,0)+1),MATCH(E$1,[4]periods!$1:$1,0)-MATCH($D$1,[4]periods!$1:$1,0)+1,FALSE)</f>
        <v>女王陛下の処刑龍 3日目泥UP</v>
      </c>
      <c r="F15" s="57" t="str">
        <f ca="1">VLOOKUP($D15,OFFSET([4]periods!$A$1,0,0,COUNTA([4]periods!$A:$A),MATCH(F$1,[4]periods!$1:$1,0)-MATCH($D$1,[4]periods!$1:$1,0)+1),MATCH(F$1,[4]periods!$1:$1,0)-MATCH($D$1,[4]periods!$1:$1,0)+1,FALSE)</f>
        <v>2015-08-30 15:00:00</v>
      </c>
      <c r="G15" s="57" t="str">
        <f ca="1">VLOOKUP($D15,OFFSET([4]periods!$A$1,0,0,COUNTA([4]periods!$A:$A),MATCH(G$1,[4]periods!$1:$1,0)-MATCH($D$1,[4]periods!$1:$1,0)+1),MATCH(G$1,[4]periods!$1:$1,0)-MATCH($D$1,[4]periods!$1:$1,0)+1,FALSE)</f>
        <v>2015-08-31 00:00:00</v>
      </c>
      <c r="H15" s="58" t="s">
        <v>163</v>
      </c>
      <c r="I15" s="59">
        <v>1.5</v>
      </c>
      <c r="J15" s="59">
        <v>0</v>
      </c>
    </row>
    <row r="16" spans="1:10" ht="21" customHeight="1" x14ac:dyDescent="0.15">
      <c r="A16" s="53" t="str">
        <f t="shared" si="0"/>
        <v>20007_102</v>
      </c>
      <c r="B16" s="54">
        <v>20007</v>
      </c>
      <c r="C16" s="55" t="str">
        <f ca="1">VLOOKUP($B16,OFFSET([2]quests!$A$1,0,0,COUNTA([2]quests!$A:$A),MATCH(C$1,[2]quests!$1:$1,0)-MATCH($B$1,[2]quests!$1:$1,0)+1),MATCH(C$1,[2]quests!$1:$1,0)-MATCH($B$1,[2]quests!$1:$1,0)+1,FALSE)</f>
        <v>女王陛下の処刑龍</v>
      </c>
      <c r="D16" s="56">
        <v>102</v>
      </c>
      <c r="E16" s="57" t="str">
        <f ca="1">VLOOKUP($D16,OFFSET([4]periods!$A$1,0,0,COUNTA([4]periods!$A:$A),MATCH(E$1,[4]periods!$1:$1,0)-MATCH($D$1,[4]periods!$1:$1,0)+1),MATCH(E$1,[4]periods!$1:$1,0)-MATCH($D$1,[4]periods!$1:$1,0)+1,FALSE)</f>
        <v>女王陛下の処刑龍 最終日泥UP</v>
      </c>
      <c r="F16" s="57" t="str">
        <f ca="1">VLOOKUP($D16,OFFSET([4]periods!$A$1,0,0,COUNTA([4]periods!$A:$A),MATCH(F$1,[4]periods!$1:$1,0)-MATCH($D$1,[4]periods!$1:$1,0)+1),MATCH(F$1,[4]periods!$1:$1,0)-MATCH($D$1,[4]periods!$1:$1,0)+1,FALSE)</f>
        <v>2015-09-02 06:00:00</v>
      </c>
      <c r="G16" s="57" t="str">
        <f ca="1">VLOOKUP($D16,OFFSET([4]periods!$A$1,0,0,COUNTA([4]periods!$A:$A),MATCH(G$1,[4]periods!$1:$1,0)-MATCH($D$1,[4]periods!$1:$1,0)+1),MATCH(G$1,[4]periods!$1:$1,0)-MATCH($D$1,[4]periods!$1:$1,0)+1,FALSE)</f>
        <v>2015-09-02 15:00:00</v>
      </c>
      <c r="H16" s="58" t="s">
        <v>163</v>
      </c>
      <c r="I16" s="59">
        <v>1.5</v>
      </c>
      <c r="J16" s="59">
        <v>0</v>
      </c>
    </row>
    <row r="17" spans="1:10" ht="21" customHeight="1" x14ac:dyDescent="0.15">
      <c r="A17" s="53" t="str">
        <f t="shared" si="0"/>
        <v>20008_131</v>
      </c>
      <c r="B17" s="54">
        <v>20008</v>
      </c>
      <c r="C17" s="55" t="str">
        <f ca="1">VLOOKUP($B17,OFFSET([2]quests!$A$1,0,0,COUNTA([2]quests!$A:$A),MATCH(C$1,[2]quests!$1:$1,0)-MATCH($B$1,[2]quests!$1:$1,0)+1),MATCH(C$1,[2]quests!$1:$1,0)-MATCH($B$1,[2]quests!$1:$1,0)+1,FALSE)</f>
        <v>天翔ける金轟機龍</v>
      </c>
      <c r="D17" s="56">
        <v>131</v>
      </c>
      <c r="E17" s="57" t="str">
        <f ca="1">VLOOKUP($D17,OFFSET([4]periods!$A$1,0,0,COUNTA([4]periods!$A:$A),MATCH(E$1,[4]periods!$1:$1,0)-MATCH($D$1,[4]periods!$1:$1,0)+1),MATCH(E$1,[4]periods!$1:$1,0)-MATCH($D$1,[4]periods!$1:$1,0)+1,FALSE)</f>
        <v>天翔ける金轟機龍 3日目泥UP</v>
      </c>
      <c r="F17" s="57" t="str">
        <f ca="1">VLOOKUP($D17,OFFSET([4]periods!$A$1,0,0,COUNTA([4]periods!$A:$A),MATCH(F$1,[4]periods!$1:$1,0)-MATCH($D$1,[4]periods!$1:$1,0)+1),MATCH(F$1,[4]periods!$1:$1,0)-MATCH($D$1,[4]periods!$1:$1,0)+1,FALSE)</f>
        <v>2015-10-11 15:00:00</v>
      </c>
      <c r="G17" s="57" t="str">
        <f ca="1">VLOOKUP($D17,OFFSET([4]periods!$A$1,0,0,COUNTA([4]periods!$A:$A),MATCH(G$1,[4]periods!$1:$1,0)-MATCH($D$1,[4]periods!$1:$1,0)+1),MATCH(G$1,[4]periods!$1:$1,0)-MATCH($D$1,[4]periods!$1:$1,0)+1,FALSE)</f>
        <v>2015-10-12 00:00:00</v>
      </c>
      <c r="H17" s="58" t="s">
        <v>163</v>
      </c>
      <c r="I17" s="59">
        <v>1.5</v>
      </c>
      <c r="J17" s="59">
        <v>0</v>
      </c>
    </row>
    <row r="18" spans="1:10" ht="21" customHeight="1" x14ac:dyDescent="0.15">
      <c r="A18" s="53" t="str">
        <f t="shared" si="0"/>
        <v>20008_132</v>
      </c>
      <c r="B18" s="54">
        <v>20008</v>
      </c>
      <c r="C18" s="55" t="str">
        <f ca="1">VLOOKUP($B18,OFFSET([2]quests!$A$1,0,0,COUNTA([2]quests!$A:$A),MATCH(C$1,[2]quests!$1:$1,0)-MATCH($B$1,[2]quests!$1:$1,0)+1),MATCH(C$1,[2]quests!$1:$1,0)-MATCH($B$1,[2]quests!$1:$1,0)+1,FALSE)</f>
        <v>天翔ける金轟機龍</v>
      </c>
      <c r="D18" s="56">
        <v>132</v>
      </c>
      <c r="E18" s="57" t="str">
        <f ca="1">VLOOKUP($D18,OFFSET([4]periods!$A$1,0,0,COUNTA([4]periods!$A:$A),MATCH(E$1,[4]periods!$1:$1,0)-MATCH($D$1,[4]periods!$1:$1,0)+1),MATCH(E$1,[4]periods!$1:$1,0)-MATCH($D$1,[4]periods!$1:$1,0)+1,FALSE)</f>
        <v>天翔ける金轟機龍 最終日泥UP</v>
      </c>
      <c r="F18" s="57" t="str">
        <f ca="1">VLOOKUP($D18,OFFSET([4]periods!$A$1,0,0,COUNTA([4]periods!$A:$A),MATCH(F$1,[4]periods!$1:$1,0)-MATCH($D$1,[4]periods!$1:$1,0)+1),MATCH(F$1,[4]periods!$1:$1,0)-MATCH($D$1,[4]periods!$1:$1,0)+1,FALSE)</f>
        <v>2015-10-14 06:00:00</v>
      </c>
      <c r="G18" s="57" t="str">
        <f ca="1">VLOOKUP($D18,OFFSET([4]periods!$A$1,0,0,COUNTA([4]periods!$A:$A),MATCH(G$1,[4]periods!$1:$1,0)-MATCH($D$1,[4]periods!$1:$1,0)+1),MATCH(G$1,[4]periods!$1:$1,0)-MATCH($D$1,[4]periods!$1:$1,0)+1,FALSE)</f>
        <v>2015-10-14 15:00:00</v>
      </c>
      <c r="H18" s="58" t="s">
        <v>163</v>
      </c>
      <c r="I18" s="59">
        <v>1.5</v>
      </c>
      <c r="J18" s="59">
        <v>0</v>
      </c>
    </row>
    <row r="19" spans="1:10" ht="21" customHeight="1" x14ac:dyDescent="0.15">
      <c r="A19" s="53" t="str">
        <f t="shared" si="0"/>
        <v>30001_28</v>
      </c>
      <c r="B19" s="54">
        <v>30001</v>
      </c>
      <c r="C19" s="55" t="str">
        <f ca="1">VLOOKUP($B19,OFFSET([2]quests!$A$1,0,0,COUNTA([2]quests!$A:$A),MATCH(C$1,[2]quests!$1:$1,0)-MATCH($B$1,[2]quests!$1:$1,0)+1),MATCH(C$1,[2]quests!$1:$1,0)-MATCH($B$1,[2]quests!$1:$1,0)+1,FALSE)</f>
        <v>ハンター・オブ・ハンター</v>
      </c>
      <c r="D19" s="56">
        <v>28</v>
      </c>
      <c r="E19" s="57" t="str">
        <f ca="1">VLOOKUP($D19,OFFSET([4]periods!$A$1,0,0,COUNTA([4]periods!$A:$A),MATCH(E$1,[4]periods!$1:$1,0)-MATCH($D$1,[4]periods!$1:$1,0)+1),MATCH(E$1,[4]periods!$1:$1,0)-MATCH($D$1,[4]periods!$1:$1,0)+1,FALSE)</f>
        <v>ハンター・オブ・ハンター(三日目泥up)</v>
      </c>
      <c r="F19" s="57" t="str">
        <f ca="1">VLOOKUP($D19,OFFSET([4]periods!$A$1,0,0,COUNTA([4]periods!$A:$A),MATCH(F$1,[4]periods!$1:$1,0)-MATCH($D$1,[4]periods!$1:$1,0)+1),MATCH(F$1,[4]periods!$1:$1,0)-MATCH($D$1,[4]periods!$1:$1,0)+1,FALSE)</f>
        <v>2015-08-03 12:00:00</v>
      </c>
      <c r="G19" s="57" t="str">
        <f ca="1">VLOOKUP($D19,OFFSET([4]periods!$A$1,0,0,COUNTA([4]periods!$A:$A),MATCH(G$1,[4]periods!$1:$1,0)-MATCH($D$1,[4]periods!$1:$1,0)+1),MATCH(G$1,[4]periods!$1:$1,0)-MATCH($D$1,[4]periods!$1:$1,0)+1,FALSE)</f>
        <v>2015-08-03 21:00:00</v>
      </c>
      <c r="H19" s="58" t="s">
        <v>163</v>
      </c>
      <c r="I19" s="59">
        <v>1.5</v>
      </c>
      <c r="J19" s="59">
        <v>0</v>
      </c>
    </row>
    <row r="20" spans="1:10" ht="21" customHeight="1" x14ac:dyDescent="0.15">
      <c r="A20" s="53" t="str">
        <f t="shared" si="0"/>
        <v>30001_29</v>
      </c>
      <c r="B20" s="54">
        <v>30001</v>
      </c>
      <c r="C20" s="55" t="str">
        <f ca="1">VLOOKUP($B20,OFFSET([2]quests!$A$1,0,0,COUNTA([2]quests!$A:$A),MATCH(C$1,[2]quests!$1:$1,0)-MATCH($B$1,[2]quests!$1:$1,0)+1),MATCH(C$1,[2]quests!$1:$1,0)-MATCH($B$1,[2]quests!$1:$1,0)+1,FALSE)</f>
        <v>ハンター・オブ・ハンター</v>
      </c>
      <c r="D20" s="56">
        <v>29</v>
      </c>
      <c r="E20" s="57" t="str">
        <f ca="1">VLOOKUP($D20,OFFSET([4]periods!$A$1,0,0,COUNTA([4]periods!$A:$A),MATCH(E$1,[4]periods!$1:$1,0)-MATCH($D$1,[4]periods!$1:$1,0)+1),MATCH(E$1,[4]periods!$1:$1,0)-MATCH($D$1,[4]periods!$1:$1,0)+1,FALSE)</f>
        <v>ハンター・オブ・ハンター(最終日泥up)</v>
      </c>
      <c r="F20" s="57" t="str">
        <f ca="1">VLOOKUP($D20,OFFSET([4]periods!$A$1,0,0,COUNTA([4]periods!$A:$A),MATCH(F$1,[4]periods!$1:$1,0)-MATCH($D$1,[4]periods!$1:$1,0)+1),MATCH(F$1,[4]periods!$1:$1,0)-MATCH($D$1,[4]periods!$1:$1,0)+1,FALSE)</f>
        <v>2015-08-05 12:00:00</v>
      </c>
      <c r="G20" s="57" t="str">
        <f ca="1">VLOOKUP($D20,OFFSET([4]periods!$A$1,0,0,COUNTA([4]periods!$A:$A),MATCH(G$1,[4]periods!$1:$1,0)-MATCH($D$1,[4]periods!$1:$1,0)+1),MATCH(G$1,[4]periods!$1:$1,0)-MATCH($D$1,[4]periods!$1:$1,0)+1,FALSE)</f>
        <v>2015-08-05 15:00:00</v>
      </c>
      <c r="H20" s="58" t="s">
        <v>163</v>
      </c>
      <c r="I20" s="59">
        <v>2</v>
      </c>
      <c r="J20" s="59">
        <v>0</v>
      </c>
    </row>
    <row r="21" spans="1:10" ht="21" customHeight="1" x14ac:dyDescent="0.15">
      <c r="A21" s="53" t="str">
        <f t="shared" si="0"/>
        <v>30002_30</v>
      </c>
      <c r="B21" s="54">
        <v>30002</v>
      </c>
      <c r="C21" s="55" t="str">
        <f ca="1">VLOOKUP($B21,OFFSET([2]quests!$A$1,0,0,COUNTA([2]quests!$A:$A),MATCH(C$1,[2]quests!$1:$1,0)-MATCH($B$1,[2]quests!$1:$1,0)+1),MATCH(C$1,[2]quests!$1:$1,0)-MATCH($B$1,[2]quests!$1:$1,0)+1,FALSE)</f>
        <v>トリックスター</v>
      </c>
      <c r="D21" s="56">
        <v>30</v>
      </c>
      <c r="E21" s="57" t="str">
        <f ca="1">VLOOKUP($D21,OFFSET([4]periods!$A$1,0,0,COUNTA([4]periods!$A:$A),MATCH(E$1,[4]periods!$1:$1,0)-MATCH($D$1,[4]periods!$1:$1,0)+1),MATCH(E$1,[4]periods!$1:$1,0)-MATCH($D$1,[4]periods!$1:$1,0)+1,FALSE)</f>
        <v>トリックスター(三日目泥up)</v>
      </c>
      <c r="F21" s="57" t="str">
        <f ca="1">VLOOKUP($D21,OFFSET([4]periods!$A$1,0,0,COUNTA([4]periods!$A:$A),MATCH(F$1,[4]periods!$1:$1,0)-MATCH($D$1,[4]periods!$1:$1,0)+1),MATCH(F$1,[4]periods!$1:$1,0)-MATCH($D$1,[4]periods!$1:$1,0)+1,FALSE)</f>
        <v>2015-08-12 12:00:00</v>
      </c>
      <c r="G21" s="57" t="str">
        <f ca="1">VLOOKUP($D21,OFFSET([4]periods!$A$1,0,0,COUNTA([4]periods!$A:$A),MATCH(G$1,[4]periods!$1:$1,0)-MATCH($D$1,[4]periods!$1:$1,0)+1),MATCH(G$1,[4]periods!$1:$1,0)-MATCH($D$1,[4]periods!$1:$1,0)+1,FALSE)</f>
        <v>2015-08-12 21:00:00</v>
      </c>
      <c r="H21" s="58" t="s">
        <v>163</v>
      </c>
      <c r="I21" s="59">
        <v>1.5</v>
      </c>
      <c r="J21" s="59">
        <v>0</v>
      </c>
    </row>
    <row r="22" spans="1:10" ht="21" customHeight="1" x14ac:dyDescent="0.15">
      <c r="A22" s="53" t="str">
        <f t="shared" si="0"/>
        <v>30002_31</v>
      </c>
      <c r="B22" s="54">
        <v>30002</v>
      </c>
      <c r="C22" s="55" t="str">
        <f ca="1">VLOOKUP($B22,OFFSET([2]quests!$A$1,0,0,COUNTA([2]quests!$A:$A),MATCH(C$1,[2]quests!$1:$1,0)-MATCH($B$1,[2]quests!$1:$1,0)+1),MATCH(C$1,[2]quests!$1:$1,0)-MATCH($B$1,[2]quests!$1:$1,0)+1,FALSE)</f>
        <v>トリックスター</v>
      </c>
      <c r="D22" s="56">
        <v>31</v>
      </c>
      <c r="E22" s="57" t="str">
        <f ca="1">VLOOKUP($D22,OFFSET([4]periods!$A$1,0,0,COUNTA([4]periods!$A:$A),MATCH(E$1,[4]periods!$1:$1,0)-MATCH($D$1,[4]periods!$1:$1,0)+1),MATCH(E$1,[4]periods!$1:$1,0)-MATCH($D$1,[4]periods!$1:$1,0)+1,FALSE)</f>
        <v>トリックスター(最終日泥up)</v>
      </c>
      <c r="F22" s="57" t="str">
        <f ca="1">VLOOKUP($D22,OFFSET([4]periods!$A$1,0,0,COUNTA([4]periods!$A:$A),MATCH(F$1,[4]periods!$1:$1,0)-MATCH($D$1,[4]periods!$1:$1,0)+1),MATCH(F$1,[4]periods!$1:$1,0)-MATCH($D$1,[4]periods!$1:$1,0)+1,FALSE)</f>
        <v>2015-08-14 12:00:00</v>
      </c>
      <c r="G22" s="57" t="str">
        <f ca="1">VLOOKUP($D22,OFFSET([4]periods!$A$1,0,0,COUNTA([4]periods!$A:$A),MATCH(G$1,[4]periods!$1:$1,0)-MATCH($D$1,[4]periods!$1:$1,0)+1),MATCH(G$1,[4]periods!$1:$1,0)-MATCH($D$1,[4]periods!$1:$1,0)+1,FALSE)</f>
        <v>2015-08-14 15:00:00</v>
      </c>
      <c r="H22" s="58" t="s">
        <v>163</v>
      </c>
      <c r="I22" s="59">
        <v>2</v>
      </c>
      <c r="J22" s="59">
        <v>0</v>
      </c>
    </row>
    <row r="23" spans="1:10" ht="21" customHeight="1" x14ac:dyDescent="0.15">
      <c r="A23" s="53" t="str">
        <f t="shared" si="0"/>
        <v>30003_32</v>
      </c>
      <c r="B23" s="54">
        <v>30003</v>
      </c>
      <c r="C23" s="55" t="str">
        <f ca="1">VLOOKUP($B23,OFFSET([2]quests!$A$1,0,0,COUNTA([2]quests!$A:$A),MATCH(C$1,[2]quests!$1:$1,0)-MATCH($B$1,[2]quests!$1:$1,0)+1),MATCH(C$1,[2]quests!$1:$1,0)-MATCH($B$1,[2]quests!$1:$1,0)+1,FALSE)</f>
        <v>打ち下ろされる砕棒</v>
      </c>
      <c r="D23" s="56">
        <v>32</v>
      </c>
      <c r="E23" s="57" t="str">
        <f ca="1">VLOOKUP($D23,OFFSET([4]periods!$A$1,0,0,COUNTA([4]periods!$A:$A),MATCH(E$1,[4]periods!$1:$1,0)-MATCH($D$1,[4]periods!$1:$1,0)+1),MATCH(E$1,[4]periods!$1:$1,0)-MATCH($D$1,[4]periods!$1:$1,0)+1,FALSE)</f>
        <v>打ち下ろされる砕棒(三日目泥up)</v>
      </c>
      <c r="F23" s="57" t="str">
        <f ca="1">VLOOKUP($D23,OFFSET([4]periods!$A$1,0,0,COUNTA([4]periods!$A:$A),MATCH(F$1,[4]periods!$1:$1,0)-MATCH($D$1,[4]periods!$1:$1,0)+1),MATCH(F$1,[4]periods!$1:$1,0)-MATCH($D$1,[4]periods!$1:$1,0)+1,FALSE)</f>
        <v>2015-08-19 12:00:00</v>
      </c>
      <c r="G23" s="57" t="str">
        <f ca="1">VLOOKUP($D23,OFFSET([4]periods!$A$1,0,0,COUNTA([4]periods!$A:$A),MATCH(G$1,[4]periods!$1:$1,0)-MATCH($D$1,[4]periods!$1:$1,0)+1),MATCH(G$1,[4]periods!$1:$1,0)-MATCH($D$1,[4]periods!$1:$1,0)+1,FALSE)</f>
        <v>2015-08-19 21:00:00</v>
      </c>
      <c r="H23" s="58" t="s">
        <v>163</v>
      </c>
      <c r="I23" s="59">
        <v>1.5</v>
      </c>
      <c r="J23" s="59">
        <v>0</v>
      </c>
    </row>
    <row r="24" spans="1:10" ht="21" customHeight="1" x14ac:dyDescent="0.15">
      <c r="A24" s="53" t="str">
        <f t="shared" si="0"/>
        <v>30003_33</v>
      </c>
      <c r="B24" s="54">
        <v>30003</v>
      </c>
      <c r="C24" s="55" t="str">
        <f ca="1">VLOOKUP($B24,OFFSET([2]quests!$A$1,0,0,COUNTA([2]quests!$A:$A),MATCH(C$1,[2]quests!$1:$1,0)-MATCH($B$1,[2]quests!$1:$1,0)+1),MATCH(C$1,[2]quests!$1:$1,0)-MATCH($B$1,[2]quests!$1:$1,0)+1,FALSE)</f>
        <v>打ち下ろされる砕棒</v>
      </c>
      <c r="D24" s="56">
        <v>33</v>
      </c>
      <c r="E24" s="57" t="str">
        <f ca="1">VLOOKUP($D24,OFFSET([4]periods!$A$1,0,0,COUNTA([4]periods!$A:$A),MATCH(E$1,[4]periods!$1:$1,0)-MATCH($D$1,[4]periods!$1:$1,0)+1),MATCH(E$1,[4]periods!$1:$1,0)-MATCH($D$1,[4]periods!$1:$1,0)+1,FALSE)</f>
        <v>打ち下ろされる砕棒(最終日泥up)</v>
      </c>
      <c r="F24" s="57" t="str">
        <f ca="1">VLOOKUP($D24,OFFSET([4]periods!$A$1,0,0,COUNTA([4]periods!$A:$A),MATCH(F$1,[4]periods!$1:$1,0)-MATCH($D$1,[4]periods!$1:$1,0)+1),MATCH(F$1,[4]periods!$1:$1,0)-MATCH($D$1,[4]periods!$1:$1,0)+1,FALSE)</f>
        <v>2015-08-21 12:00:00</v>
      </c>
      <c r="G24" s="57" t="str">
        <f ca="1">VLOOKUP($D24,OFFSET([4]periods!$A$1,0,0,COUNTA([4]periods!$A:$A),MATCH(G$1,[4]periods!$1:$1,0)-MATCH($D$1,[4]periods!$1:$1,0)+1),MATCH(G$1,[4]periods!$1:$1,0)-MATCH($D$1,[4]periods!$1:$1,0)+1,FALSE)</f>
        <v>2015-08-21 15:00:00</v>
      </c>
      <c r="H24" s="58" t="s">
        <v>163</v>
      </c>
      <c r="I24" s="59">
        <v>2</v>
      </c>
      <c r="J24" s="59">
        <v>0</v>
      </c>
    </row>
    <row r="25" spans="1:10" ht="21" customHeight="1" x14ac:dyDescent="0.15">
      <c r="A25" s="53" t="str">
        <f t="shared" si="0"/>
        <v>30004_34</v>
      </c>
      <c r="B25" s="54">
        <v>30004</v>
      </c>
      <c r="C25" s="55" t="str">
        <f ca="1">VLOOKUP($B25,OFFSET([2]quests!$A$1,0,0,COUNTA([2]quests!$A:$A),MATCH(C$1,[2]quests!$1:$1,0)-MATCH($B$1,[2]quests!$1:$1,0)+1),MATCH(C$1,[2]quests!$1:$1,0)-MATCH($B$1,[2]quests!$1:$1,0)+1,FALSE)</f>
        <v>危険な仲裁者</v>
      </c>
      <c r="D25" s="56">
        <v>34</v>
      </c>
      <c r="E25" s="57" t="str">
        <f ca="1">VLOOKUP($D25,OFFSET([4]periods!$A$1,0,0,COUNTA([4]periods!$A:$A),MATCH(E$1,[4]periods!$1:$1,0)-MATCH($D$1,[4]periods!$1:$1,0)+1),MATCH(E$1,[4]periods!$1:$1,0)-MATCH($D$1,[4]periods!$1:$1,0)+1,FALSE)</f>
        <v>危険な仲裁者(三日目泥up)</v>
      </c>
      <c r="F25" s="57" t="str">
        <f ca="1">VLOOKUP($D25,OFFSET([4]periods!$A$1,0,0,COUNTA([4]periods!$A:$A),MATCH(F$1,[4]periods!$1:$1,0)-MATCH($D$1,[4]periods!$1:$1,0)+1),MATCH(F$1,[4]periods!$1:$1,0)-MATCH($D$1,[4]periods!$1:$1,0)+1,FALSE)</f>
        <v>2015-08-26 12:00:00</v>
      </c>
      <c r="G25" s="57" t="str">
        <f ca="1">VLOOKUP($D25,OFFSET([4]periods!$A$1,0,0,COUNTA([4]periods!$A:$A),MATCH(G$1,[4]periods!$1:$1,0)-MATCH($D$1,[4]periods!$1:$1,0)+1),MATCH(G$1,[4]periods!$1:$1,0)-MATCH($D$1,[4]periods!$1:$1,0)+1,FALSE)</f>
        <v>2015-08-26 21:00:00</v>
      </c>
      <c r="H25" s="58" t="s">
        <v>163</v>
      </c>
      <c r="I25" s="59">
        <v>1.5</v>
      </c>
      <c r="J25" s="59">
        <v>0</v>
      </c>
    </row>
    <row r="26" spans="1:10" ht="21" customHeight="1" x14ac:dyDescent="0.15">
      <c r="A26" s="53" t="str">
        <f t="shared" si="0"/>
        <v>30004_35</v>
      </c>
      <c r="B26" s="54">
        <v>30004</v>
      </c>
      <c r="C26" s="55" t="str">
        <f ca="1">VLOOKUP($B26,OFFSET([2]quests!$A$1,0,0,COUNTA([2]quests!$A:$A),MATCH(C$1,[2]quests!$1:$1,0)-MATCH($B$1,[2]quests!$1:$1,0)+1),MATCH(C$1,[2]quests!$1:$1,0)-MATCH($B$1,[2]quests!$1:$1,0)+1,FALSE)</f>
        <v>危険な仲裁者</v>
      </c>
      <c r="D26" s="56">
        <v>35</v>
      </c>
      <c r="E26" s="57" t="str">
        <f ca="1">VLOOKUP($D26,OFFSET([4]periods!$A$1,0,0,COUNTA([4]periods!$A:$A),MATCH(E$1,[4]periods!$1:$1,0)-MATCH($D$1,[4]periods!$1:$1,0)+1),MATCH(E$1,[4]periods!$1:$1,0)-MATCH($D$1,[4]periods!$1:$1,0)+1,FALSE)</f>
        <v>危険な仲裁者(最終日泥up)</v>
      </c>
      <c r="F26" s="57" t="str">
        <f ca="1">VLOOKUP($D26,OFFSET([4]periods!$A$1,0,0,COUNTA([4]periods!$A:$A),MATCH(F$1,[4]periods!$1:$1,0)-MATCH($D$1,[4]periods!$1:$1,0)+1),MATCH(F$1,[4]periods!$1:$1,0)-MATCH($D$1,[4]periods!$1:$1,0)+1,FALSE)</f>
        <v>2015-08-28 12:00:00</v>
      </c>
      <c r="G26" s="57" t="str">
        <f ca="1">VLOOKUP($D26,OFFSET([4]periods!$A$1,0,0,COUNTA([4]periods!$A:$A),MATCH(G$1,[4]periods!$1:$1,0)-MATCH($D$1,[4]periods!$1:$1,0)+1),MATCH(G$1,[4]periods!$1:$1,0)-MATCH($D$1,[4]periods!$1:$1,0)+1,FALSE)</f>
        <v>2015-08-28 15:00:00</v>
      </c>
      <c r="H26" s="58" t="s">
        <v>163</v>
      </c>
      <c r="I26" s="59">
        <v>2</v>
      </c>
      <c r="J26" s="59">
        <v>0</v>
      </c>
    </row>
    <row r="27" spans="1:10" ht="21" customHeight="1" x14ac:dyDescent="0.15">
      <c r="A27" s="53" t="str">
        <f t="shared" si="0"/>
        <v>30005_141</v>
      </c>
      <c r="B27" s="54">
        <v>30005</v>
      </c>
      <c r="C27" s="55" t="str">
        <f ca="1">VLOOKUP($B27,OFFSET([2]quests!$A$1,0,0,COUNTA([2]quests!$A:$A),MATCH(C$1,[2]quests!$1:$1,0)-MATCH($B$1,[2]quests!$1:$1,0)+1),MATCH(C$1,[2]quests!$1:$1,0)-MATCH($B$1,[2]quests!$1:$1,0)+1,FALSE)</f>
        <v>ニンゲンにしてあげる☆</v>
      </c>
      <c r="D27" s="56">
        <v>141</v>
      </c>
      <c r="E27" s="57" t="str">
        <f ca="1">VLOOKUP($D27,OFFSET([4]periods!$A$1,0,0,COUNTA([4]periods!$A:$A),MATCH(E$1,[4]periods!$1:$1,0)-MATCH($D$1,[4]periods!$1:$1,0)+1),MATCH(E$1,[4]periods!$1:$1,0)-MATCH($D$1,[4]periods!$1:$1,0)+1,FALSE)</f>
        <v>ニンゲンにしてあげる☆ 3日目泥UP</v>
      </c>
      <c r="F27" s="57" t="str">
        <f ca="1">VLOOKUP($D27,OFFSET([4]periods!$A$1,0,0,COUNTA([4]periods!$A:$A),MATCH(F$1,[4]periods!$1:$1,0)-MATCH($D$1,[4]periods!$1:$1,0)+1),MATCH(F$1,[4]periods!$1:$1,0)-MATCH($D$1,[4]periods!$1:$1,0)+1,FALSE)</f>
        <v>2015-09-04 15:00:00</v>
      </c>
      <c r="G27" s="57" t="str">
        <f ca="1">VLOOKUP($D27,OFFSET([4]periods!$A$1,0,0,COUNTA([4]periods!$A:$A),MATCH(G$1,[4]periods!$1:$1,0)-MATCH($D$1,[4]periods!$1:$1,0)+1),MATCH(G$1,[4]periods!$1:$1,0)-MATCH($D$1,[4]periods!$1:$1,0)+1,FALSE)</f>
        <v>2015-09-04 21:00:00</v>
      </c>
      <c r="H27" s="58" t="s">
        <v>163</v>
      </c>
      <c r="I27" s="59">
        <v>1.5</v>
      </c>
      <c r="J27" s="59">
        <v>0</v>
      </c>
    </row>
    <row r="28" spans="1:10" ht="21" customHeight="1" x14ac:dyDescent="0.15">
      <c r="A28" s="53" t="str">
        <f t="shared" si="0"/>
        <v>30005_142</v>
      </c>
      <c r="B28" s="54">
        <v>30005</v>
      </c>
      <c r="C28" s="55" t="str">
        <f ca="1">VLOOKUP($B28,OFFSET([2]quests!$A$1,0,0,COUNTA([2]quests!$A:$A),MATCH(C$1,[2]quests!$1:$1,0)-MATCH($B$1,[2]quests!$1:$1,0)+1),MATCH(C$1,[2]quests!$1:$1,0)-MATCH($B$1,[2]quests!$1:$1,0)+1,FALSE)</f>
        <v>ニンゲンにしてあげる☆</v>
      </c>
      <c r="D28" s="56">
        <v>142</v>
      </c>
      <c r="E28" s="57" t="str">
        <f ca="1">VLOOKUP($D28,OFFSET([4]periods!$A$1,0,0,COUNTA([4]periods!$A:$A),MATCH(E$1,[4]periods!$1:$1,0)-MATCH($D$1,[4]periods!$1:$1,0)+1),MATCH(E$1,[4]periods!$1:$1,0)-MATCH($D$1,[4]periods!$1:$1,0)+1,FALSE)</f>
        <v>ニンゲンにしてあげる☆ 最終日泥UP</v>
      </c>
      <c r="F28" s="57" t="str">
        <f ca="1">VLOOKUP($D28,OFFSET([4]periods!$A$1,0,0,COUNTA([4]periods!$A:$A),MATCH(F$1,[4]periods!$1:$1,0)-MATCH($D$1,[4]periods!$1:$1,0)+1),MATCH(F$1,[4]periods!$1:$1,0)-MATCH($D$1,[4]periods!$1:$1,0)+1,FALSE)</f>
        <v>2015-09-07 12:00:00</v>
      </c>
      <c r="G28" s="57" t="str">
        <f ca="1">VLOOKUP($D28,OFFSET([4]periods!$A$1,0,0,COUNTA([4]periods!$A:$A),MATCH(G$1,[4]periods!$1:$1,0)-MATCH($D$1,[4]periods!$1:$1,0)+1),MATCH(G$1,[4]periods!$1:$1,0)-MATCH($D$1,[4]periods!$1:$1,0)+1,FALSE)</f>
        <v>2015-09-07 15:00:00</v>
      </c>
      <c r="H28" s="58" t="s">
        <v>163</v>
      </c>
      <c r="I28" s="59">
        <v>2</v>
      </c>
      <c r="J28" s="59">
        <v>0</v>
      </c>
    </row>
    <row r="29" spans="1:10" ht="21" customHeight="1" x14ac:dyDescent="0.15">
      <c r="A29" s="53" t="str">
        <f t="shared" si="0"/>
        <v>30006_161</v>
      </c>
      <c r="B29" s="54">
        <v>30006</v>
      </c>
      <c r="C29" s="55" t="str">
        <f ca="1">VLOOKUP($B29,OFFSET([2]quests!$A$1,0,0,COUNTA([2]quests!$A:$A),MATCH(C$1,[2]quests!$1:$1,0)-MATCH($B$1,[2]quests!$1:$1,0)+1),MATCH(C$1,[2]quests!$1:$1,0)-MATCH($B$1,[2]quests!$1:$1,0)+1,FALSE)</f>
        <v>それはお前を食べるためさ</v>
      </c>
      <c r="D29" s="56">
        <v>161</v>
      </c>
      <c r="E29" s="57" t="str">
        <f ca="1">VLOOKUP($D29,OFFSET([4]periods!$A$1,0,0,COUNTA([4]periods!$A:$A),MATCH(E$1,[4]periods!$1:$1,0)-MATCH($D$1,[4]periods!$1:$1,0)+1),MATCH(E$1,[4]periods!$1:$1,0)-MATCH($D$1,[4]periods!$1:$1,0)+1,FALSE)</f>
        <v>それはお前を食べるためさ 3日目泥UP</v>
      </c>
      <c r="F29" s="57" t="str">
        <f ca="1">VLOOKUP($D29,OFFSET([4]periods!$A$1,0,0,COUNTA([4]periods!$A:$A),MATCH(F$1,[4]periods!$1:$1,0)-MATCH($D$1,[4]periods!$1:$1,0)+1),MATCH(F$1,[4]periods!$1:$1,0)-MATCH($D$1,[4]periods!$1:$1,0)+1,FALSE)</f>
        <v>2015-10-05 15:00:00</v>
      </c>
      <c r="G29" s="57" t="str">
        <f ca="1">VLOOKUP($D29,OFFSET([4]periods!$A$1,0,0,COUNTA([4]periods!$A:$A),MATCH(G$1,[4]periods!$1:$1,0)-MATCH($D$1,[4]periods!$1:$1,0)+1),MATCH(G$1,[4]periods!$1:$1,0)-MATCH($D$1,[4]periods!$1:$1,0)+1,FALSE)</f>
        <v>2015-10-05 21:00:00</v>
      </c>
      <c r="H29" s="58" t="s">
        <v>163</v>
      </c>
      <c r="I29" s="59">
        <v>1.5</v>
      </c>
      <c r="J29" s="59">
        <v>0</v>
      </c>
    </row>
    <row r="30" spans="1:10" ht="21" customHeight="1" x14ac:dyDescent="0.15">
      <c r="A30" s="53" t="str">
        <f t="shared" si="0"/>
        <v>30006_162</v>
      </c>
      <c r="B30" s="54">
        <v>30006</v>
      </c>
      <c r="C30" s="55" t="str">
        <f ca="1">VLOOKUP($B30,OFFSET([2]quests!$A$1,0,0,COUNTA([2]quests!$A:$A),MATCH(C$1,[2]quests!$1:$1,0)-MATCH($B$1,[2]quests!$1:$1,0)+1),MATCH(C$1,[2]quests!$1:$1,0)-MATCH($B$1,[2]quests!$1:$1,0)+1,FALSE)</f>
        <v>それはお前を食べるためさ</v>
      </c>
      <c r="D30" s="56">
        <v>162</v>
      </c>
      <c r="E30" s="57" t="str">
        <f ca="1">VLOOKUP($D30,OFFSET([4]periods!$A$1,0,0,COUNTA([4]periods!$A:$A),MATCH(E$1,[4]periods!$1:$1,0)-MATCH($D$1,[4]periods!$1:$1,0)+1),MATCH(E$1,[4]periods!$1:$1,0)-MATCH($D$1,[4]periods!$1:$1,0)+1,FALSE)</f>
        <v>それはお前を食べるためさ 最終日泥UP</v>
      </c>
      <c r="F30" s="57" t="str">
        <f ca="1">VLOOKUP($D30,OFFSET([4]periods!$A$1,0,0,COUNTA([4]periods!$A:$A),MATCH(F$1,[4]periods!$1:$1,0)-MATCH($D$1,[4]periods!$1:$1,0)+1),MATCH(F$1,[4]periods!$1:$1,0)-MATCH($D$1,[4]periods!$1:$1,0)+1,FALSE)</f>
        <v>2015-10-08 12:00:00</v>
      </c>
      <c r="G30" s="57" t="str">
        <f ca="1">VLOOKUP($D30,OFFSET([4]periods!$A$1,0,0,COUNTA([4]periods!$A:$A),MATCH(G$1,[4]periods!$1:$1,0)-MATCH($D$1,[4]periods!$1:$1,0)+1),MATCH(G$1,[4]periods!$1:$1,0)-MATCH($D$1,[4]periods!$1:$1,0)+1,FALSE)</f>
        <v>2015-10-08 15:00:00</v>
      </c>
      <c r="H30" s="58" t="s">
        <v>163</v>
      </c>
      <c r="I30" s="59">
        <v>2</v>
      </c>
      <c r="J30" s="59">
        <v>0</v>
      </c>
    </row>
    <row r="31" spans="1:10" ht="21" customHeight="1" x14ac:dyDescent="0.15">
      <c r="A31" s="53" t="str">
        <f t="shared" si="0"/>
        <v>30007_151</v>
      </c>
      <c r="B31" s="54">
        <v>30007</v>
      </c>
      <c r="C31" s="55" t="str">
        <f ca="1">VLOOKUP($B31,OFFSET([2]quests!$A$1,0,0,COUNTA([2]quests!$A:$A),MATCH(C$1,[2]quests!$1:$1,0)-MATCH($B$1,[2]quests!$1:$1,0)+1),MATCH(C$1,[2]quests!$1:$1,0)-MATCH($B$1,[2]quests!$1:$1,0)+1,FALSE)</f>
        <v>ガラスの靴は私のもの</v>
      </c>
      <c r="D31" s="56">
        <v>151</v>
      </c>
      <c r="E31" s="57" t="str">
        <f ca="1">VLOOKUP($D31,OFFSET([4]periods!$A$1,0,0,COUNTA([4]periods!$A:$A),MATCH(E$1,[4]periods!$1:$1,0)-MATCH($D$1,[4]periods!$1:$1,0)+1),MATCH(E$1,[4]periods!$1:$1,0)-MATCH($D$1,[4]periods!$1:$1,0)+1,FALSE)</f>
        <v>ガラスの靴は私のもの 3日目泥UP</v>
      </c>
      <c r="F31" s="57" t="str">
        <f ca="1">VLOOKUP($D31,OFFSET([4]periods!$A$1,0,0,COUNTA([4]periods!$A:$A),MATCH(F$1,[4]periods!$1:$1,0)-MATCH($D$1,[4]periods!$1:$1,0)+1),MATCH(F$1,[4]periods!$1:$1,0)-MATCH($D$1,[4]periods!$1:$1,0)+1,FALSE)</f>
        <v>2015-09-17 15:00:00</v>
      </c>
      <c r="G31" s="57" t="str">
        <f ca="1">VLOOKUP($D31,OFFSET([4]periods!$A$1,0,0,COUNTA([4]periods!$A:$A),MATCH(G$1,[4]periods!$1:$1,0)-MATCH($D$1,[4]periods!$1:$1,0)+1),MATCH(G$1,[4]periods!$1:$1,0)-MATCH($D$1,[4]periods!$1:$1,0)+1,FALSE)</f>
        <v>2015-09-17 21:00:00</v>
      </c>
      <c r="H31" s="58" t="s">
        <v>163</v>
      </c>
      <c r="I31" s="59">
        <v>1.5</v>
      </c>
      <c r="J31" s="59">
        <v>0</v>
      </c>
    </row>
    <row r="32" spans="1:10" ht="21" customHeight="1" x14ac:dyDescent="0.15">
      <c r="A32" s="53" t="str">
        <f t="shared" si="0"/>
        <v>30007_152</v>
      </c>
      <c r="B32" s="54">
        <v>30007</v>
      </c>
      <c r="C32" s="55" t="str">
        <f ca="1">VLOOKUP($B32,OFFSET([2]quests!$A$1,0,0,COUNTA([2]quests!$A:$A),MATCH(C$1,[2]quests!$1:$1,0)-MATCH($B$1,[2]quests!$1:$1,0)+1),MATCH(C$1,[2]quests!$1:$1,0)-MATCH($B$1,[2]quests!$1:$1,0)+1,FALSE)</f>
        <v>ガラスの靴は私のもの</v>
      </c>
      <c r="D32" s="56">
        <v>152</v>
      </c>
      <c r="E32" s="57" t="str">
        <f ca="1">VLOOKUP($D32,OFFSET([4]periods!$A$1,0,0,COUNTA([4]periods!$A:$A),MATCH(E$1,[4]periods!$1:$1,0)-MATCH($D$1,[4]periods!$1:$1,0)+1),MATCH(E$1,[4]periods!$1:$1,0)-MATCH($D$1,[4]periods!$1:$1,0)+1,FALSE)</f>
        <v>ガラスの靴は私のもの 最終日泥UP</v>
      </c>
      <c r="F32" s="57" t="str">
        <f ca="1">VLOOKUP($D32,OFFSET([4]periods!$A$1,0,0,COUNTA([4]periods!$A:$A),MATCH(F$1,[4]periods!$1:$1,0)-MATCH($D$1,[4]periods!$1:$1,0)+1),MATCH(F$1,[4]periods!$1:$1,0)-MATCH($D$1,[4]periods!$1:$1,0)+1,FALSE)</f>
        <v>2015-09-20 12:00:00</v>
      </c>
      <c r="G32" s="57" t="str">
        <f ca="1">VLOOKUP($D32,OFFSET([4]periods!$A$1,0,0,COUNTA([4]periods!$A:$A),MATCH(G$1,[4]periods!$1:$1,0)-MATCH($D$1,[4]periods!$1:$1,0)+1),MATCH(G$1,[4]periods!$1:$1,0)-MATCH($D$1,[4]periods!$1:$1,0)+1,FALSE)</f>
        <v>2015-09-20 15:00:00</v>
      </c>
      <c r="H32" s="58" t="s">
        <v>163</v>
      </c>
      <c r="I32" s="59">
        <v>2</v>
      </c>
      <c r="J32" s="59">
        <v>0</v>
      </c>
    </row>
    <row r="33" spans="1:10" ht="21" customHeight="1" x14ac:dyDescent="0.15">
      <c r="A33" s="53" t="str">
        <f t="shared" si="0"/>
        <v>30008_171</v>
      </c>
      <c r="B33" s="54">
        <v>30008</v>
      </c>
      <c r="C33" s="55" t="str">
        <f ca="1">VLOOKUP($B33,OFFSET([2]quests!$A$1,0,0,COUNTA([2]quests!$A:$A),MATCH(C$1,[2]quests!$1:$1,0)-MATCH($B$1,[2]quests!$1:$1,0)+1),MATCH(C$1,[2]quests!$1:$1,0)-MATCH($B$1,[2]quests!$1:$1,0)+1,FALSE)</f>
        <v>わたしの嫁を返してもらおう</v>
      </c>
      <c r="D33" s="56">
        <v>171</v>
      </c>
      <c r="E33" s="57" t="str">
        <f ca="1">VLOOKUP($D33,OFFSET([4]periods!$A$1,0,0,COUNTA([4]periods!$A:$A),MATCH(E$1,[4]periods!$1:$1,0)-MATCH($D$1,[4]periods!$1:$1,0)+1),MATCH(E$1,[4]periods!$1:$1,0)-MATCH($D$1,[4]periods!$1:$1,0)+1,FALSE)</f>
        <v>わたしの嫁を返してもらおう 3日目泥UP</v>
      </c>
      <c r="F33" s="57" t="str">
        <f ca="1">VLOOKUP($D33,OFFSET([4]periods!$A$1,0,0,COUNTA([4]periods!$A:$A),MATCH(F$1,[4]periods!$1:$1,0)-MATCH($D$1,[4]periods!$1:$1,0)+1),MATCH(F$1,[4]periods!$1:$1,0)-MATCH($D$1,[4]periods!$1:$1,0)+1,FALSE)</f>
        <v>2015-09-30 15:00:00</v>
      </c>
      <c r="G33" s="57" t="str">
        <f ca="1">VLOOKUP($D33,OFFSET([4]periods!$A$1,0,0,COUNTA([4]periods!$A:$A),MATCH(G$1,[4]periods!$1:$1,0)-MATCH($D$1,[4]periods!$1:$1,0)+1),MATCH(G$1,[4]periods!$1:$1,0)-MATCH($D$1,[4]periods!$1:$1,0)+1,FALSE)</f>
        <v>2015-09-30 21:00:00</v>
      </c>
      <c r="H33" s="58" t="s">
        <v>165</v>
      </c>
      <c r="I33" s="59">
        <v>1.5</v>
      </c>
      <c r="J33" s="59">
        <v>0</v>
      </c>
    </row>
    <row r="34" spans="1:10" ht="21" customHeight="1" x14ac:dyDescent="0.15">
      <c r="A34" s="53" t="str">
        <f t="shared" si="0"/>
        <v>30008_172</v>
      </c>
      <c r="B34" s="54">
        <v>30008</v>
      </c>
      <c r="C34" s="55" t="str">
        <f ca="1">VLOOKUP($B34,OFFSET([2]quests!$A$1,0,0,COUNTA([2]quests!$A:$A),MATCH(C$1,[2]quests!$1:$1,0)-MATCH($B$1,[2]quests!$1:$1,0)+1),MATCH(C$1,[2]quests!$1:$1,0)-MATCH($B$1,[2]quests!$1:$1,0)+1,FALSE)</f>
        <v>わたしの嫁を返してもらおう</v>
      </c>
      <c r="D34" s="56">
        <v>172</v>
      </c>
      <c r="E34" s="57" t="str">
        <f ca="1">VLOOKUP($D34,OFFSET([4]periods!$A$1,0,0,COUNTA([4]periods!$A:$A),MATCH(E$1,[4]periods!$1:$1,0)-MATCH($D$1,[4]periods!$1:$1,0)+1),MATCH(E$1,[4]periods!$1:$1,0)-MATCH($D$1,[4]periods!$1:$1,0)+1,FALSE)</f>
        <v>わたしの嫁を返してもらおう 最終日泥UP</v>
      </c>
      <c r="F34" s="57" t="str">
        <f ca="1">VLOOKUP($D34,OFFSET([4]periods!$A$1,0,0,COUNTA([4]periods!$A:$A),MATCH(F$1,[4]periods!$1:$1,0)-MATCH($D$1,[4]periods!$1:$1,0)+1),MATCH(F$1,[4]periods!$1:$1,0)-MATCH($D$1,[4]periods!$1:$1,0)+1,FALSE)</f>
        <v>2015-10-03 12:00:00</v>
      </c>
      <c r="G34" s="57" t="str">
        <f ca="1">VLOOKUP($D34,OFFSET([4]periods!$A$1,0,0,COUNTA([4]periods!$A:$A),MATCH(G$1,[4]periods!$1:$1,0)-MATCH($D$1,[4]periods!$1:$1,0)+1),MATCH(G$1,[4]periods!$1:$1,0)-MATCH($D$1,[4]periods!$1:$1,0)+1,FALSE)</f>
        <v>2015-10-03 15:00:00</v>
      </c>
      <c r="H34" s="58" t="s">
        <v>163</v>
      </c>
      <c r="I34" s="59">
        <v>2</v>
      </c>
      <c r="J34" s="59">
        <v>0</v>
      </c>
    </row>
    <row r="35" spans="1:10" ht="21" customHeight="1" x14ac:dyDescent="0.15">
      <c r="A35" s="53" t="str">
        <f t="shared" si="0"/>
        <v>12001_11209</v>
      </c>
      <c r="B35" s="54">
        <v>12001</v>
      </c>
      <c r="C35" s="55" t="str">
        <f ca="1">VLOOKUP($B35,OFFSET([2]quests!$A$1,0,0,COUNTA([2]quests!$A:$A),MATCH(C$1,[2]quests!$1:$1,0)-MATCH($B$1,[2]quests!$1:$1,0)+1),MATCH(C$1,[2]quests!$1:$1,0)-MATCH($B$1,[2]quests!$1:$1,0)+1,FALSE)</f>
        <v>【緊急！！】 アヒル捕獲作戦</v>
      </c>
      <c r="D35" s="56">
        <v>11209</v>
      </c>
      <c r="E35" s="57" t="str">
        <f ca="1">VLOOKUP($D35,OFFSET([4]periods!$A$1,0,0,COUNTA([4]periods!$A:$A),MATCH(E$1,[4]periods!$1:$1,0)-MATCH($D$1,[4]periods!$1:$1,0)+1),MATCH(E$1,[4]periods!$1:$1,0)-MATCH($D$1,[4]periods!$1:$1,0)+1,FALSE)</f>
        <v>シルバーウィーク　ゲリラ体力半分</v>
      </c>
      <c r="F35" s="57" t="str">
        <f ca="1">VLOOKUP($D35,OFFSET([4]periods!$A$1,0,0,COUNTA([4]periods!$A:$A),MATCH(F$1,[4]periods!$1:$1,0)-MATCH($D$1,[4]periods!$1:$1,0)+1),MATCH(F$1,[4]periods!$1:$1,0)-MATCH($D$1,[4]periods!$1:$1,0)+1,FALSE)</f>
        <v>2015-09-19 15:00:00</v>
      </c>
      <c r="G35" s="57" t="str">
        <f ca="1">VLOOKUP($D35,OFFSET([4]periods!$A$1,0,0,COUNTA([4]periods!$A:$A),MATCH(G$1,[4]periods!$1:$1,0)-MATCH($D$1,[4]periods!$1:$1,0)+1),MATCH(G$1,[4]periods!$1:$1,0)-MATCH($D$1,[4]periods!$1:$1,0)+1,FALSE)</f>
        <v>2015-09-24 14:59:59</v>
      </c>
      <c r="H35" s="58" t="s">
        <v>166</v>
      </c>
      <c r="I35" s="59">
        <v>0.5</v>
      </c>
      <c r="J35" s="59">
        <v>0</v>
      </c>
    </row>
    <row r="36" spans="1:10" ht="21" customHeight="1" x14ac:dyDescent="0.15">
      <c r="A36" s="53" t="str">
        <f t="shared" si="0"/>
        <v>11006_11216</v>
      </c>
      <c r="B36" s="54">
        <v>11006</v>
      </c>
      <c r="C36" s="55" t="str">
        <f ca="1">VLOOKUP($B36,OFFSET([2]quests!$A$1,0,0,COUNTA([2]quests!$A:$A),MATCH(C$1,[2]quests!$1:$1,0)-MATCH($B$1,[2]quests!$1:$1,0)+1),MATCH(C$1,[2]quests!$1:$1,0)-MATCH($B$1,[2]quests!$1:$1,0)+1,FALSE)</f>
        <v>【土日限定】 ゴールドカジノ</v>
      </c>
      <c r="D36" s="56">
        <v>11216</v>
      </c>
      <c r="E36" s="57" t="str">
        <f ca="1">VLOOKUP($D36,OFFSET([4]periods!$A$1,0,0,COUNTA([4]periods!$A:$A),MATCH(E$1,[4]periods!$1:$1,0)-MATCH($D$1,[4]periods!$1:$1,0)+1),MATCH(E$1,[4]periods!$1:$1,0)-MATCH($D$1,[4]periods!$1:$1,0)+1,FALSE)</f>
        <v>シルバーウィーク 土日体力半分１</v>
      </c>
      <c r="F36" s="57" t="str">
        <f ca="1">VLOOKUP($D36,OFFSET([4]periods!$A$1,0,0,COUNTA([4]periods!$A:$A),MATCH(F$1,[4]periods!$1:$1,0)-MATCH($D$1,[4]periods!$1:$1,0)+1),MATCH(F$1,[4]periods!$1:$1,0)-MATCH($D$1,[4]periods!$1:$1,0)+1,FALSE)</f>
        <v>2015-09-19 00:00:00</v>
      </c>
      <c r="G36" s="57" t="str">
        <f ca="1">VLOOKUP($D36,OFFSET([4]periods!$A$1,0,0,COUNTA([4]periods!$A:$A),MATCH(G$1,[4]periods!$1:$1,0)-MATCH($D$1,[4]periods!$1:$1,0)+1),MATCH(G$1,[4]periods!$1:$1,0)-MATCH($D$1,[4]periods!$1:$1,0)+1,FALSE)</f>
        <v>2015-09-20 23:59:59</v>
      </c>
      <c r="H36" s="58" t="s">
        <v>166</v>
      </c>
      <c r="I36" s="59">
        <v>0.5</v>
      </c>
      <c r="J36" s="59">
        <v>0</v>
      </c>
    </row>
    <row r="37" spans="1:10" ht="21" customHeight="1" x14ac:dyDescent="0.15">
      <c r="A37" s="53" t="str">
        <f t="shared" si="0"/>
        <v>11006_11217</v>
      </c>
      <c r="B37" s="54">
        <v>11006</v>
      </c>
      <c r="C37" s="55" t="str">
        <f ca="1">VLOOKUP($B37,OFFSET([2]quests!$A$1,0,0,COUNTA([2]quests!$A:$A),MATCH(C$1,[2]quests!$1:$1,0)-MATCH($B$1,[2]quests!$1:$1,0)+1),MATCH(C$1,[2]quests!$1:$1,0)-MATCH($B$1,[2]quests!$1:$1,0)+1,FALSE)</f>
        <v>【土日限定】 ゴールドカジノ</v>
      </c>
      <c r="D37" s="56">
        <v>11217</v>
      </c>
      <c r="E37" s="57" t="str">
        <f ca="1">VLOOKUP($D37,OFFSET([4]periods!$A$1,0,0,COUNTA([4]periods!$A:$A),MATCH(E$1,[4]periods!$1:$1,0)-MATCH($D$1,[4]periods!$1:$1,0)+1),MATCH(E$1,[4]periods!$1:$1,0)-MATCH($D$1,[4]periods!$1:$1,0)+1,FALSE)</f>
        <v>シルバーウィーク 土日体力半分2</v>
      </c>
      <c r="F37" s="57" t="str">
        <f ca="1">VLOOKUP($D37,OFFSET([4]periods!$A$1,0,0,COUNTA([4]periods!$A:$A),MATCH(F$1,[4]periods!$1:$1,0)-MATCH($D$1,[4]periods!$1:$1,0)+1),MATCH(F$1,[4]periods!$1:$1,0)-MATCH($D$1,[4]periods!$1:$1,0)+1,FALSE)</f>
        <v>2015-09-26 00:00:00</v>
      </c>
      <c r="G37" s="57" t="str">
        <f ca="1">VLOOKUP($D37,OFFSET([4]periods!$A$1,0,0,COUNTA([4]periods!$A:$A),MATCH(G$1,[4]periods!$1:$1,0)-MATCH($D$1,[4]periods!$1:$1,0)+1),MATCH(G$1,[4]periods!$1:$1,0)-MATCH($D$1,[4]periods!$1:$1,0)+1,FALSE)</f>
        <v>2015-09-27 23:59:59</v>
      </c>
      <c r="H37" s="58" t="s">
        <v>166</v>
      </c>
      <c r="I37" s="59">
        <v>0.5</v>
      </c>
      <c r="J37" s="59">
        <v>0</v>
      </c>
    </row>
    <row r="38" spans="1:10" ht="21" customHeight="1" x14ac:dyDescent="0.15">
      <c r="A38" s="53" t="str">
        <f t="shared" si="0"/>
        <v>20009_201</v>
      </c>
      <c r="B38" s="54">
        <v>20009</v>
      </c>
      <c r="C38" s="55" t="str">
        <f ca="1">VLOOKUP($B38,OFFSET([2]quests!$A$1,0,0,COUNTA([2]quests!$A:$A),MATCH(C$1,[2]quests!$1:$1,0)-MATCH($B$1,[2]quests!$1:$1,0)+1),MATCH(C$1,[2]quests!$1:$1,0)-MATCH($B$1,[2]quests!$1:$1,0)+1,FALSE)</f>
        <v>迫り来る窒息</v>
      </c>
      <c r="D38" s="56">
        <v>201</v>
      </c>
      <c r="E38" s="57" t="str">
        <f ca="1">VLOOKUP($D38,OFFSET([4]periods!$A$1,0,0,COUNTA([4]periods!$A:$A),MATCH(E$1,[4]periods!$1:$1,0)-MATCH($D$1,[4]periods!$1:$1,0)+1),MATCH(E$1,[4]periods!$1:$1,0)-MATCH($D$1,[4]periods!$1:$1,0)+1,FALSE)</f>
        <v>迫り来る窒息 3日目泥UP</v>
      </c>
      <c r="F38" s="57" t="str">
        <f ca="1">VLOOKUP($D38,OFFSET([4]periods!$A$1,0,0,COUNTA([4]periods!$A:$A),MATCH(F$1,[4]periods!$1:$1,0)-MATCH($D$1,[4]periods!$1:$1,0)+1),MATCH(F$1,[4]periods!$1:$1,0)-MATCH($D$1,[4]periods!$1:$1,0)+1,FALSE)</f>
        <v>2015-10-11 15:00:00</v>
      </c>
      <c r="G38" s="57" t="str">
        <f ca="1">VLOOKUP($D38,OFFSET([4]periods!$A$1,0,0,COUNTA([4]periods!$A:$A),MATCH(G$1,[4]periods!$1:$1,0)-MATCH($D$1,[4]periods!$1:$1,0)+1),MATCH(G$1,[4]periods!$1:$1,0)-MATCH($D$1,[4]periods!$1:$1,0)+1,FALSE)</f>
        <v>2015-10-12 00:00:00</v>
      </c>
      <c r="H38" s="58" t="s">
        <v>163</v>
      </c>
      <c r="I38" s="59">
        <v>1.5</v>
      </c>
      <c r="J38" s="59">
        <v>0</v>
      </c>
    </row>
    <row r="39" spans="1:10" ht="21" customHeight="1" x14ac:dyDescent="0.15">
      <c r="A39" s="53" t="str">
        <f t="shared" si="0"/>
        <v>20009_202</v>
      </c>
      <c r="B39" s="54">
        <v>20009</v>
      </c>
      <c r="C39" s="55" t="str">
        <f ca="1">VLOOKUP($B39,OFFSET([2]quests!$A$1,0,0,COUNTA([2]quests!$A:$A),MATCH(C$1,[2]quests!$1:$1,0)-MATCH($B$1,[2]quests!$1:$1,0)+1),MATCH(C$1,[2]quests!$1:$1,0)-MATCH($B$1,[2]quests!$1:$1,0)+1,FALSE)</f>
        <v>迫り来る窒息</v>
      </c>
      <c r="D39" s="56">
        <v>202</v>
      </c>
      <c r="E39" s="57" t="str">
        <f ca="1">VLOOKUP($D39,OFFSET([4]periods!$A$1,0,0,COUNTA([4]periods!$A:$A),MATCH(E$1,[4]periods!$1:$1,0)-MATCH($D$1,[4]periods!$1:$1,0)+1),MATCH(E$1,[4]periods!$1:$1,0)-MATCH($D$1,[4]periods!$1:$1,0)+1,FALSE)</f>
        <v>迫り来る窒息 最終日泥UP</v>
      </c>
      <c r="F39" s="57" t="str">
        <f ca="1">VLOOKUP($D39,OFFSET([4]periods!$A$1,0,0,COUNTA([4]periods!$A:$A),MATCH(F$1,[4]periods!$1:$1,0)-MATCH($D$1,[4]periods!$1:$1,0)+1),MATCH(F$1,[4]periods!$1:$1,0)-MATCH($D$1,[4]periods!$1:$1,0)+1,FALSE)</f>
        <v>2015-10-15 06:00:00</v>
      </c>
      <c r="G39" s="57" t="str">
        <f ca="1">VLOOKUP($D39,OFFSET([4]periods!$A$1,0,0,COUNTA([4]periods!$A:$A),MATCH(G$1,[4]periods!$1:$1,0)-MATCH($D$1,[4]periods!$1:$1,0)+1),MATCH(G$1,[4]periods!$1:$1,0)-MATCH($D$1,[4]periods!$1:$1,0)+1,FALSE)</f>
        <v>2015-10-15 15:00:00</v>
      </c>
      <c r="H39" s="58" t="s">
        <v>163</v>
      </c>
      <c r="I39" s="59">
        <v>1.5</v>
      </c>
      <c r="J39" s="59">
        <v>0</v>
      </c>
    </row>
    <row r="40" spans="1:10" ht="21" customHeight="1" x14ac:dyDescent="0.15">
      <c r="A40" s="53" t="str">
        <f t="shared" si="0"/>
        <v>30009_211</v>
      </c>
      <c r="B40" s="54">
        <v>30009</v>
      </c>
      <c r="C40" s="55" t="str">
        <f ca="1">VLOOKUP($B40,OFFSET([2]quests!$A$1,0,0,COUNTA([2]quests!$A:$A),MATCH(C$1,[2]quests!$1:$1,0)-MATCH($B$1,[2]quests!$1:$1,0)+1),MATCH(C$1,[2]quests!$1:$1,0)-MATCH($B$1,[2]quests!$1:$1,0)+1,FALSE)</f>
        <v>復活の捕食者</v>
      </c>
      <c r="D40" s="56">
        <v>211</v>
      </c>
      <c r="E40" s="57" t="str">
        <f ca="1">VLOOKUP($D40,OFFSET([4]periods!$A$1,0,0,COUNTA([4]periods!$A:$A),MATCH(E$1,[4]periods!$1:$1,0)-MATCH($D$1,[4]periods!$1:$1,0)+1),MATCH(E$1,[4]periods!$1:$1,0)-MATCH($D$1,[4]periods!$1:$1,0)+1,FALSE)</f>
        <v>復活の捕食者 3日目泥UP</v>
      </c>
      <c r="F40" s="57" t="str">
        <f ca="1">VLOOKUP($D40,OFFSET([4]periods!$A$1,0,0,COUNTA([4]periods!$A:$A),MATCH(F$1,[4]periods!$1:$1,0)-MATCH($D$1,[4]periods!$1:$1,0)+1),MATCH(F$1,[4]periods!$1:$1,0)-MATCH($D$1,[4]periods!$1:$1,0)+1,FALSE)</f>
        <v>2015-10-14 15:00:00</v>
      </c>
      <c r="G40" s="57" t="str">
        <f ca="1">VLOOKUP($D40,OFFSET([4]periods!$A$1,0,0,COUNTA([4]periods!$A:$A),MATCH(G$1,[4]periods!$1:$1,0)-MATCH($D$1,[4]periods!$1:$1,0)+1),MATCH(G$1,[4]periods!$1:$1,0)-MATCH($D$1,[4]periods!$1:$1,0)+1,FALSE)</f>
        <v>2015-10-14 21:00:00</v>
      </c>
      <c r="H40" s="58" t="s">
        <v>163</v>
      </c>
      <c r="I40" s="59">
        <v>1.5</v>
      </c>
      <c r="J40" s="59">
        <v>0</v>
      </c>
    </row>
    <row r="41" spans="1:10" ht="21" customHeight="1" x14ac:dyDescent="0.15">
      <c r="A41" s="53" t="str">
        <f t="shared" si="0"/>
        <v>30009_212</v>
      </c>
      <c r="B41" s="54">
        <v>30009</v>
      </c>
      <c r="C41" s="55" t="str">
        <f ca="1">VLOOKUP($B41,OFFSET([2]quests!$A$1,0,0,COUNTA([2]quests!$A:$A),MATCH(C$1,[2]quests!$1:$1,0)-MATCH($B$1,[2]quests!$1:$1,0)+1),MATCH(C$1,[2]quests!$1:$1,0)-MATCH($B$1,[2]quests!$1:$1,0)+1,FALSE)</f>
        <v>復活の捕食者</v>
      </c>
      <c r="D41" s="56">
        <v>212</v>
      </c>
      <c r="E41" s="57" t="str">
        <f ca="1">VLOOKUP($D41,OFFSET([4]periods!$A$1,0,0,COUNTA([4]periods!$A:$A),MATCH(E$1,[4]periods!$1:$1,0)-MATCH($D$1,[4]periods!$1:$1,0)+1),MATCH(E$1,[4]periods!$1:$1,0)-MATCH($D$1,[4]periods!$1:$1,0)+1,FALSE)</f>
        <v>復活の捕食者 最終日泥UP</v>
      </c>
      <c r="F41" s="57" t="str">
        <f ca="1">VLOOKUP($D41,OFFSET([4]periods!$A$1,0,0,COUNTA([4]periods!$A:$A),MATCH(F$1,[4]periods!$1:$1,0)-MATCH($D$1,[4]periods!$1:$1,0)+1),MATCH(F$1,[4]periods!$1:$1,0)-MATCH($D$1,[4]periods!$1:$1,0)+1,FALSE)</f>
        <v>2015-10-18 12:00:00</v>
      </c>
      <c r="G41" s="57" t="str">
        <f ca="1">VLOOKUP($D41,OFFSET([4]periods!$A$1,0,0,COUNTA([4]periods!$A:$A),MATCH(G$1,[4]periods!$1:$1,0)-MATCH($D$1,[4]periods!$1:$1,0)+1),MATCH(G$1,[4]periods!$1:$1,0)-MATCH($D$1,[4]periods!$1:$1,0)+1,FALSE)</f>
        <v>2015-10-18 15:00:00</v>
      </c>
      <c r="H41" s="58" t="s">
        <v>163</v>
      </c>
      <c r="I41" s="59">
        <v>2</v>
      </c>
      <c r="J41" s="59">
        <v>0</v>
      </c>
    </row>
    <row r="42" spans="1:10" ht="21" customHeight="1" x14ac:dyDescent="0.15">
      <c r="A42" s="53" t="str">
        <f t="shared" si="0"/>
        <v>40002_221</v>
      </c>
      <c r="B42" s="54">
        <v>40002</v>
      </c>
      <c r="C42" s="55" t="str">
        <f ca="1">VLOOKUP($B42,OFFSET([2]quests!$A$1,0,0,COUNTA([2]quests!$A:$A),MATCH(C$1,[2]quests!$1:$1,0)-MATCH($B$1,[2]quests!$1:$1,0)+1),MATCH(C$1,[2]quests!$1:$1,0)-MATCH($B$1,[2]quests!$1:$1,0)+1,FALSE)</f>
        <v>アザゼル襲来！</v>
      </c>
      <c r="D42" s="56">
        <v>221</v>
      </c>
      <c r="E42" s="57" t="str">
        <f ca="1">VLOOKUP($D42,OFFSET([4]periods!$A$1,0,0,COUNTA([4]periods!$A:$A),MATCH(E$1,[4]periods!$1:$1,0)-MATCH($D$1,[4]periods!$1:$1,0)+1),MATCH(E$1,[4]periods!$1:$1,0)-MATCH($D$1,[4]periods!$1:$1,0)+1,FALSE)</f>
        <v>アザゼル襲来！！ 確率UP</v>
      </c>
      <c r="F42" s="57" t="str">
        <f ca="1">VLOOKUP($D42,OFFSET([4]periods!$A$1,0,0,COUNTA([4]periods!$A:$A),MATCH(F$1,[4]periods!$1:$1,0)-MATCH($D$1,[4]periods!$1:$1,0)+1),MATCH(F$1,[4]periods!$1:$1,0)-MATCH($D$1,[4]periods!$1:$1,0)+1,FALSE)</f>
        <v>2015-10-09 21:00:00</v>
      </c>
      <c r="G42" s="57" t="str">
        <f ca="1">VLOOKUP($D42,OFFSET([4]periods!$A$1,0,0,COUNTA([4]periods!$A:$A),MATCH(G$1,[4]periods!$1:$1,0)-MATCH($D$1,[4]periods!$1:$1,0)+1),MATCH(G$1,[4]periods!$1:$1,0)-MATCH($D$1,[4]periods!$1:$1,0)+1,FALSE)</f>
        <v>2015-10-09 23:59:59</v>
      </c>
      <c r="H42" s="58" t="s">
        <v>163</v>
      </c>
      <c r="I42" s="59">
        <v>2</v>
      </c>
      <c r="J42" s="59">
        <v>0</v>
      </c>
    </row>
    <row r="43" spans="1:10" ht="21" customHeight="1" x14ac:dyDescent="0.15">
      <c r="A43" s="53" t="str">
        <f t="shared" si="0"/>
        <v>40002_222</v>
      </c>
      <c r="B43" s="54">
        <v>40002</v>
      </c>
      <c r="C43" s="55" t="str">
        <f ca="1">VLOOKUP($B43,OFFSET([2]quests!$A$1,0,0,COUNTA([2]quests!$A:$A),MATCH(C$1,[2]quests!$1:$1,0)-MATCH($B$1,[2]quests!$1:$1,0)+1),MATCH(C$1,[2]quests!$1:$1,0)-MATCH($B$1,[2]quests!$1:$1,0)+1,FALSE)</f>
        <v>アザゼル襲来！</v>
      </c>
      <c r="D43" s="56">
        <v>222</v>
      </c>
      <c r="E43" s="57" t="str">
        <f ca="1">VLOOKUP($D43,OFFSET([4]periods!$A$1,0,0,COUNTA([4]periods!$A:$A),MATCH(E$1,[4]periods!$1:$1,0)-MATCH($D$1,[4]periods!$1:$1,0)+1),MATCH(E$1,[4]periods!$1:$1,0)-MATCH($D$1,[4]periods!$1:$1,0)+1,FALSE)</f>
        <v>アザゼル襲来！！ 確率UP</v>
      </c>
      <c r="F43" s="57" t="str">
        <f ca="1">VLOOKUP($D43,OFFSET([4]periods!$A$1,0,0,COUNTA([4]periods!$A:$A),MATCH(F$1,[4]periods!$1:$1,0)-MATCH($D$1,[4]periods!$1:$1,0)+1),MATCH(F$1,[4]periods!$1:$1,0)-MATCH($D$1,[4]periods!$1:$1,0)+1,FALSE)</f>
        <v>2015-10-10 12:00:00</v>
      </c>
      <c r="G43" s="57" t="str">
        <f ca="1">VLOOKUP($D43,OFFSET([4]periods!$A$1,0,0,COUNTA([4]periods!$A:$A),MATCH(G$1,[4]periods!$1:$1,0)-MATCH($D$1,[4]periods!$1:$1,0)+1),MATCH(G$1,[4]periods!$1:$1,0)-MATCH($D$1,[4]periods!$1:$1,0)+1,FALSE)</f>
        <v>2015-10-10 14:59:59</v>
      </c>
      <c r="H43" s="58" t="s">
        <v>163</v>
      </c>
      <c r="I43" s="59">
        <v>2</v>
      </c>
      <c r="J43" s="59">
        <v>0</v>
      </c>
    </row>
    <row r="44" spans="1:10" ht="21" customHeight="1" x14ac:dyDescent="0.15">
      <c r="A44" s="53" t="str">
        <f t="shared" si="0"/>
        <v>20010_231</v>
      </c>
      <c r="B44" s="54">
        <v>20010</v>
      </c>
      <c r="C44" s="55" t="str">
        <f ca="1">VLOOKUP($B44,OFFSET([2]quests!$A$1,0,0,COUNTA([2]quests!$A:$A),MATCH(C$1,[2]quests!$1:$1,0)-MATCH($B$1,[2]quests!$1:$1,0)+1),MATCH(C$1,[2]quests!$1:$1,0)-MATCH($B$1,[2]quests!$1:$1,0)+1,FALSE)</f>
        <v>悪夢の一目惚れ</v>
      </c>
      <c r="D44" s="56">
        <v>231</v>
      </c>
      <c r="E44" s="57" t="str">
        <f ca="1">VLOOKUP($D44,OFFSET([4]periods!$A$1,0,0,COUNTA([4]periods!$A:$A),MATCH(E$1,[4]periods!$1:$1,0)-MATCH($D$1,[4]periods!$1:$1,0)+1),MATCH(E$1,[4]periods!$1:$1,0)-MATCH($D$1,[4]periods!$1:$1,0)+1,FALSE)</f>
        <v>悪夢の一目惚れ（チエミ） 3日目泥UP</v>
      </c>
      <c r="F44" s="57" t="str">
        <f ca="1">VLOOKUP($D44,OFFSET([4]periods!$A$1,0,0,COUNTA([4]periods!$A:$A),MATCH(F$1,[4]periods!$1:$1,0)-MATCH($D$1,[4]periods!$1:$1,0)+1),MATCH(F$1,[4]periods!$1:$1,0)-MATCH($D$1,[4]periods!$1:$1,0)+1,FALSE)</f>
        <v>2015-10-17 15:00:00</v>
      </c>
      <c r="G44" s="57" t="str">
        <f ca="1">VLOOKUP($D44,OFFSET([4]periods!$A$1,0,0,COUNTA([4]periods!$A:$A),MATCH(G$1,[4]periods!$1:$1,0)-MATCH($D$1,[4]periods!$1:$1,0)+1),MATCH(G$1,[4]periods!$1:$1,0)-MATCH($D$1,[4]periods!$1:$1,0)+1,FALSE)</f>
        <v>2015-10-18 00:00:00</v>
      </c>
      <c r="H44" s="58" t="s">
        <v>163</v>
      </c>
      <c r="I44" s="59">
        <v>1.5</v>
      </c>
      <c r="J44" s="59">
        <v>0</v>
      </c>
    </row>
    <row r="45" spans="1:10" ht="21" customHeight="1" x14ac:dyDescent="0.15">
      <c r="A45" s="53" t="str">
        <f t="shared" si="0"/>
        <v>20010_232</v>
      </c>
      <c r="B45" s="54">
        <v>20010</v>
      </c>
      <c r="C45" s="55" t="str">
        <f ca="1">VLOOKUP($B45,OFFSET([2]quests!$A$1,0,0,COUNTA([2]quests!$A:$A),MATCH(C$1,[2]quests!$1:$1,0)-MATCH($B$1,[2]quests!$1:$1,0)+1),MATCH(C$1,[2]quests!$1:$1,0)-MATCH($B$1,[2]quests!$1:$1,0)+1,FALSE)</f>
        <v>悪夢の一目惚れ</v>
      </c>
      <c r="D45" s="56">
        <v>232</v>
      </c>
      <c r="E45" s="57" t="str">
        <f ca="1">VLOOKUP($D45,OFFSET([4]periods!$A$1,0,0,COUNTA([4]periods!$A:$A),MATCH(E$1,[4]periods!$1:$1,0)-MATCH($D$1,[4]periods!$1:$1,0)+1),MATCH(E$1,[4]periods!$1:$1,0)-MATCH($D$1,[4]periods!$1:$1,0)+1,FALSE)</f>
        <v>悪夢の一目惚れ（チエミ） 最終日泥UP</v>
      </c>
      <c r="F45" s="57" t="str">
        <f ca="1">VLOOKUP($D45,OFFSET([4]periods!$A$1,0,0,COUNTA([4]periods!$A:$A),MATCH(F$1,[4]periods!$1:$1,0)-MATCH($D$1,[4]periods!$1:$1,0)+1),MATCH(F$1,[4]periods!$1:$1,0)-MATCH($D$1,[4]periods!$1:$1,0)+1,FALSE)</f>
        <v>2015-10-21 06:00:00</v>
      </c>
      <c r="G45" s="57" t="str">
        <f ca="1">VLOOKUP($D45,OFFSET([4]periods!$A$1,0,0,COUNTA([4]periods!$A:$A),MATCH(G$1,[4]periods!$1:$1,0)-MATCH($D$1,[4]periods!$1:$1,0)+1),MATCH(G$1,[4]periods!$1:$1,0)-MATCH($D$1,[4]periods!$1:$1,0)+1,FALSE)</f>
        <v>2015-10-21 15:00:00</v>
      </c>
      <c r="H45" s="58" t="s">
        <v>163</v>
      </c>
      <c r="I45" s="59">
        <v>1.5</v>
      </c>
      <c r="J45" s="59">
        <v>0</v>
      </c>
    </row>
    <row r="46" spans="1:10" ht="21" customHeight="1" x14ac:dyDescent="0.15">
      <c r="A46" s="53" t="str">
        <f t="shared" si="0"/>
        <v>30010_241</v>
      </c>
      <c r="B46" s="54">
        <v>30010</v>
      </c>
      <c r="C46" s="55" t="str">
        <f ca="1">VLOOKUP($B46,OFFSET([2]quests!$A$1,0,0,COUNTA([2]quests!$A:$A),MATCH(C$1,[2]quests!$1:$1,0)-MATCH($B$1,[2]quests!$1:$1,0)+1),MATCH(C$1,[2]quests!$1:$1,0)-MATCH($B$1,[2]quests!$1:$1,0)+1,FALSE)</f>
        <v>最大最凶</v>
      </c>
      <c r="D46" s="56">
        <v>241</v>
      </c>
      <c r="E46" s="57" t="str">
        <f ca="1">VLOOKUP($D46,OFFSET([4]periods!$A$1,0,0,COUNTA([4]periods!$A:$A),MATCH(E$1,[4]periods!$1:$1,0)-MATCH($D$1,[4]periods!$1:$1,0)+1),MATCH(E$1,[4]periods!$1:$1,0)-MATCH($D$1,[4]periods!$1:$1,0)+1,FALSE)</f>
        <v>最大最凶（メガロドン） 3日目泥UP</v>
      </c>
      <c r="F46" s="57" t="str">
        <f ca="1">VLOOKUP($D46,OFFSET([4]periods!$A$1,0,0,COUNTA([4]periods!$A:$A),MATCH(F$1,[4]periods!$1:$1,0)-MATCH($D$1,[4]periods!$1:$1,0)+1),MATCH(F$1,[4]periods!$1:$1,0)-MATCH($D$1,[4]periods!$1:$1,0)+1,FALSE)</f>
        <v>2015-10-18 15:00:00</v>
      </c>
      <c r="G46" s="57" t="str">
        <f ca="1">VLOOKUP($D46,OFFSET([4]periods!$A$1,0,0,COUNTA([4]periods!$A:$A),MATCH(G$1,[4]periods!$1:$1,0)-MATCH($D$1,[4]periods!$1:$1,0)+1),MATCH(G$1,[4]periods!$1:$1,0)-MATCH($D$1,[4]periods!$1:$1,0)+1,FALSE)</f>
        <v>2015-10-18 21:00:00</v>
      </c>
      <c r="H46" s="58" t="s">
        <v>163</v>
      </c>
      <c r="I46" s="59">
        <v>1.5</v>
      </c>
      <c r="J46" s="59">
        <v>0</v>
      </c>
    </row>
    <row r="47" spans="1:10" ht="21" customHeight="1" x14ac:dyDescent="0.15">
      <c r="A47" s="53" t="str">
        <f t="shared" si="0"/>
        <v>30010_242</v>
      </c>
      <c r="B47" s="54">
        <v>30010</v>
      </c>
      <c r="C47" s="55" t="str">
        <f ca="1">VLOOKUP($B47,OFFSET([2]quests!$A$1,0,0,COUNTA([2]quests!$A:$A),MATCH(C$1,[2]quests!$1:$1,0)-MATCH($B$1,[2]quests!$1:$1,0)+1),MATCH(C$1,[2]quests!$1:$1,0)-MATCH($B$1,[2]quests!$1:$1,0)+1,FALSE)</f>
        <v>最大最凶</v>
      </c>
      <c r="D47" s="56">
        <v>242</v>
      </c>
      <c r="E47" s="57" t="str">
        <f ca="1">VLOOKUP($D47,OFFSET([4]periods!$A$1,0,0,COUNTA([4]periods!$A:$A),MATCH(E$1,[4]periods!$1:$1,0)-MATCH($D$1,[4]periods!$1:$1,0)+1),MATCH(E$1,[4]periods!$1:$1,0)-MATCH($D$1,[4]periods!$1:$1,0)+1,FALSE)</f>
        <v>最大最凶（メガロドン） 最終日泥UP</v>
      </c>
      <c r="F47" s="57" t="str">
        <f ca="1">VLOOKUP($D47,OFFSET([4]periods!$A$1,0,0,COUNTA([4]periods!$A:$A),MATCH(F$1,[4]periods!$1:$1,0)-MATCH($D$1,[4]periods!$1:$1,0)+1),MATCH(F$1,[4]periods!$1:$1,0)-MATCH($D$1,[4]periods!$1:$1,0)+1,FALSE)</f>
        <v>2015-10-22 12:00:00</v>
      </c>
      <c r="G47" s="57" t="str">
        <f ca="1">VLOOKUP($D47,OFFSET([4]periods!$A$1,0,0,COUNTA([4]periods!$A:$A),MATCH(G$1,[4]periods!$1:$1,0)-MATCH($D$1,[4]periods!$1:$1,0)+1),MATCH(G$1,[4]periods!$1:$1,0)-MATCH($D$1,[4]periods!$1:$1,0)+1,FALSE)</f>
        <v>2015-10-22 15:00:00</v>
      </c>
      <c r="H47" s="58" t="s">
        <v>163</v>
      </c>
      <c r="I47" s="59">
        <v>2</v>
      </c>
      <c r="J47" s="59">
        <v>0</v>
      </c>
    </row>
    <row r="48" spans="1:10" ht="21" customHeight="1" x14ac:dyDescent="0.15">
      <c r="A48" s="53" t="str">
        <f t="shared" si="0"/>
        <v>1_1004</v>
      </c>
      <c r="B48" s="54">
        <v>1</v>
      </c>
      <c r="C48" s="55" t="str">
        <f ca="1">VLOOKUP($B48,OFFSET([2]quests!$A$1,0,0,COUNTA([2]quests!$A:$A),MATCH(C$1,[2]quests!$1:$1,0)-MATCH($B$1,[2]quests!$1:$1,0)+1),MATCH(C$1,[2]quests!$1:$1,0)-MATCH($B$1,[2]quests!$1:$1,0)+1,FALSE)</f>
        <v>1．ALICEの入り口</v>
      </c>
      <c r="D48" s="56">
        <v>1004</v>
      </c>
      <c r="E48" s="57" t="str">
        <f ca="1">VLOOKUP($D48,OFFSET([4]periods!$A$1,0,0,COUNTA([4]periods!$A:$A),MATCH(E$1,[4]periods!$1:$1,0)-MATCH($D$1,[4]periods!$1:$1,0)+1),MATCH(E$1,[4]periods!$1:$1,0)-MATCH($D$1,[4]periods!$1:$1,0)+1,FALSE)</f>
        <v>200万DL/経験値２倍期間</v>
      </c>
      <c r="F48" s="57" t="str">
        <f ca="1">VLOOKUP($D48,OFFSET([4]periods!$A$1,0,0,COUNTA([4]periods!$A:$A),MATCH(F$1,[4]periods!$1:$1,0)-MATCH($D$1,[4]periods!$1:$1,0)+1),MATCH(F$1,[4]periods!$1:$1,0)-MATCH($D$1,[4]periods!$1:$1,0)+1,FALSE)</f>
        <v>2016-02-22 15:00:00</v>
      </c>
      <c r="G48" s="57" t="str">
        <f ca="1">VLOOKUP($D48,OFFSET([4]periods!$A$1,0,0,COUNTA([4]periods!$A:$A),MATCH(G$1,[4]periods!$1:$1,0)-MATCH($D$1,[4]periods!$1:$1,0)+1),MATCH(G$1,[4]periods!$1:$1,0)-MATCH($D$1,[4]periods!$1:$1,0)+1,FALSE)</f>
        <v>2016-03-06 14:59:59</v>
      </c>
      <c r="H48" s="58" t="s">
        <v>167</v>
      </c>
      <c r="I48" s="59">
        <v>2</v>
      </c>
      <c r="J48" s="59">
        <v>1</v>
      </c>
    </row>
    <row r="49" spans="1:10" ht="21" customHeight="1" x14ac:dyDescent="0.15">
      <c r="A49" s="53" t="str">
        <f t="shared" si="0"/>
        <v>2_1004</v>
      </c>
      <c r="B49" s="54">
        <v>2</v>
      </c>
      <c r="C49" s="55" t="str">
        <f ca="1">VLOOKUP($B49,OFFSET([2]quests!$A$1,0,0,COUNTA([2]quests!$A:$A),MATCH(C$1,[2]quests!$1:$1,0)-MATCH($B$1,[2]quests!$1:$1,0)+1),MATCH(C$1,[2]quests!$1:$1,0)-MATCH($B$1,[2]quests!$1:$1,0)+1,FALSE)</f>
        <v>2．火之柄神社</v>
      </c>
      <c r="D49" s="56">
        <v>1004</v>
      </c>
      <c r="E49" s="57" t="str">
        <f ca="1">VLOOKUP($D49,OFFSET([4]periods!$A$1,0,0,COUNTA([4]periods!$A:$A),MATCH(E$1,[4]periods!$1:$1,0)-MATCH($D$1,[4]periods!$1:$1,0)+1),MATCH(E$1,[4]periods!$1:$1,0)-MATCH($D$1,[4]periods!$1:$1,0)+1,FALSE)</f>
        <v>200万DL/経験値２倍期間</v>
      </c>
      <c r="F49" s="57" t="str">
        <f ca="1">VLOOKUP($D49,OFFSET([4]periods!$A$1,0,0,COUNTA([4]periods!$A:$A),MATCH(F$1,[4]periods!$1:$1,0)-MATCH($D$1,[4]periods!$1:$1,0)+1),MATCH(F$1,[4]periods!$1:$1,0)-MATCH($D$1,[4]periods!$1:$1,0)+1,FALSE)</f>
        <v>2016-02-22 15:00:00</v>
      </c>
      <c r="G49" s="57" t="str">
        <f ca="1">VLOOKUP($D49,OFFSET([4]periods!$A$1,0,0,COUNTA([4]periods!$A:$A),MATCH(G$1,[4]periods!$1:$1,0)-MATCH($D$1,[4]periods!$1:$1,0)+1),MATCH(G$1,[4]periods!$1:$1,0)-MATCH($D$1,[4]periods!$1:$1,0)+1,FALSE)</f>
        <v>2016-03-06 14:59:59</v>
      </c>
      <c r="H49" s="58" t="s">
        <v>167</v>
      </c>
      <c r="I49" s="59">
        <v>2</v>
      </c>
      <c r="J49" s="59">
        <v>1</v>
      </c>
    </row>
    <row r="50" spans="1:10" ht="21" customHeight="1" x14ac:dyDescent="0.15">
      <c r="A50" s="53" t="str">
        <f t="shared" si="0"/>
        <v>3_1004</v>
      </c>
      <c r="B50" s="54">
        <v>3</v>
      </c>
      <c r="C50" s="55" t="str">
        <f ca="1">VLOOKUP($B50,OFFSET([2]quests!$A$1,0,0,COUNTA([2]quests!$A:$A),MATCH(C$1,[2]quests!$1:$1,0)-MATCH($B$1,[2]quests!$1:$1,0)+1),MATCH(C$1,[2]quests!$1:$1,0)-MATCH($B$1,[2]quests!$1:$1,0)+1,FALSE)</f>
        <v>3．グリーンモール</v>
      </c>
      <c r="D50" s="56">
        <v>1004</v>
      </c>
      <c r="E50" s="57" t="str">
        <f ca="1">VLOOKUP($D50,OFFSET([4]periods!$A$1,0,0,COUNTA([4]periods!$A:$A),MATCH(E$1,[4]periods!$1:$1,0)-MATCH($D$1,[4]periods!$1:$1,0)+1),MATCH(E$1,[4]periods!$1:$1,0)-MATCH($D$1,[4]periods!$1:$1,0)+1,FALSE)</f>
        <v>200万DL/経験値２倍期間</v>
      </c>
      <c r="F50" s="57" t="str">
        <f ca="1">VLOOKUP($D50,OFFSET([4]periods!$A$1,0,0,COUNTA([4]periods!$A:$A),MATCH(F$1,[4]periods!$1:$1,0)-MATCH($D$1,[4]periods!$1:$1,0)+1),MATCH(F$1,[4]periods!$1:$1,0)-MATCH($D$1,[4]periods!$1:$1,0)+1,FALSE)</f>
        <v>2016-02-22 15:00:00</v>
      </c>
      <c r="G50" s="57" t="str">
        <f ca="1">VLOOKUP($D50,OFFSET([4]periods!$A$1,0,0,COUNTA([4]periods!$A:$A),MATCH(G$1,[4]periods!$1:$1,0)-MATCH($D$1,[4]periods!$1:$1,0)+1),MATCH(G$1,[4]periods!$1:$1,0)-MATCH($D$1,[4]periods!$1:$1,0)+1,FALSE)</f>
        <v>2016-03-06 14:59:59</v>
      </c>
      <c r="H50" s="58" t="s">
        <v>167</v>
      </c>
      <c r="I50" s="59">
        <v>2</v>
      </c>
      <c r="J50" s="59">
        <v>1</v>
      </c>
    </row>
    <row r="51" spans="1:10" ht="21" customHeight="1" x14ac:dyDescent="0.15">
      <c r="A51" s="53" t="str">
        <f t="shared" si="0"/>
        <v>4_1004</v>
      </c>
      <c r="B51" s="54">
        <v>4</v>
      </c>
      <c r="C51" s="55" t="str">
        <f ca="1">VLOOKUP($B51,OFFSET([2]quests!$A$1,0,0,COUNTA([2]quests!$A:$A),MATCH(C$1,[2]quests!$1:$1,0)-MATCH($B$1,[2]quests!$1:$1,0)+1),MATCH(C$1,[2]quests!$1:$1,0)-MATCH($B$1,[2]quests!$1:$1,0)+1,FALSE)</f>
        <v>4．イエロープラント</v>
      </c>
      <c r="D51" s="56">
        <v>1004</v>
      </c>
      <c r="E51" s="57" t="str">
        <f ca="1">VLOOKUP($D51,OFFSET([4]periods!$A$1,0,0,COUNTA([4]periods!$A:$A),MATCH(E$1,[4]periods!$1:$1,0)-MATCH($D$1,[4]periods!$1:$1,0)+1),MATCH(E$1,[4]periods!$1:$1,0)-MATCH($D$1,[4]periods!$1:$1,0)+1,FALSE)</f>
        <v>200万DL/経験値２倍期間</v>
      </c>
      <c r="F51" s="57" t="str">
        <f ca="1">VLOOKUP($D51,OFFSET([4]periods!$A$1,0,0,COUNTA([4]periods!$A:$A),MATCH(F$1,[4]periods!$1:$1,0)-MATCH($D$1,[4]periods!$1:$1,0)+1),MATCH(F$1,[4]periods!$1:$1,0)-MATCH($D$1,[4]periods!$1:$1,0)+1,FALSE)</f>
        <v>2016-02-22 15:00:00</v>
      </c>
      <c r="G51" s="57" t="str">
        <f ca="1">VLOOKUP($D51,OFFSET([4]periods!$A$1,0,0,COUNTA([4]periods!$A:$A),MATCH(G$1,[4]periods!$1:$1,0)-MATCH($D$1,[4]periods!$1:$1,0)+1),MATCH(G$1,[4]periods!$1:$1,0)-MATCH($D$1,[4]periods!$1:$1,0)+1,FALSE)</f>
        <v>2016-03-06 14:59:59</v>
      </c>
      <c r="H51" s="58" t="s">
        <v>167</v>
      </c>
      <c r="I51" s="59">
        <v>2</v>
      </c>
      <c r="J51" s="59">
        <v>1</v>
      </c>
    </row>
    <row r="52" spans="1:10" ht="21" customHeight="1" x14ac:dyDescent="0.15">
      <c r="A52" s="53" t="str">
        <f t="shared" si="0"/>
        <v>5_1004</v>
      </c>
      <c r="B52" s="54">
        <v>5</v>
      </c>
      <c r="C52" s="55" t="str">
        <f ca="1">VLOOKUP($B52,OFFSET([2]quests!$A$1,0,0,COUNTA([2]quests!$A:$A),MATCH(C$1,[2]quests!$1:$1,0)-MATCH($B$1,[2]quests!$1:$1,0)+1),MATCH(C$1,[2]quests!$1:$1,0)-MATCH($B$1,[2]quests!$1:$1,0)+1,FALSE)</f>
        <v>5．ウォーターランド</v>
      </c>
      <c r="D52" s="56">
        <v>1004</v>
      </c>
      <c r="E52" s="57" t="str">
        <f ca="1">VLOOKUP($D52,OFFSET([4]periods!$A$1,0,0,COUNTA([4]periods!$A:$A),MATCH(E$1,[4]periods!$1:$1,0)-MATCH($D$1,[4]periods!$1:$1,0)+1),MATCH(E$1,[4]periods!$1:$1,0)-MATCH($D$1,[4]periods!$1:$1,0)+1,FALSE)</f>
        <v>200万DL/経験値２倍期間</v>
      </c>
      <c r="F52" s="57" t="str">
        <f ca="1">VLOOKUP($D52,OFFSET([4]periods!$A$1,0,0,COUNTA([4]periods!$A:$A),MATCH(F$1,[4]periods!$1:$1,0)-MATCH($D$1,[4]periods!$1:$1,0)+1),MATCH(F$1,[4]periods!$1:$1,0)-MATCH($D$1,[4]periods!$1:$1,0)+1,FALSE)</f>
        <v>2016-02-22 15:00:00</v>
      </c>
      <c r="G52" s="57" t="str">
        <f ca="1">VLOOKUP($D52,OFFSET([4]periods!$A$1,0,0,COUNTA([4]periods!$A:$A),MATCH(G$1,[4]periods!$1:$1,0)-MATCH($D$1,[4]periods!$1:$1,0)+1),MATCH(G$1,[4]periods!$1:$1,0)-MATCH($D$1,[4]periods!$1:$1,0)+1,FALSE)</f>
        <v>2016-03-06 14:59:59</v>
      </c>
      <c r="H52" s="58" t="s">
        <v>167</v>
      </c>
      <c r="I52" s="59">
        <v>2</v>
      </c>
      <c r="J52" s="59">
        <v>1</v>
      </c>
    </row>
    <row r="53" spans="1:10" ht="21" customHeight="1" x14ac:dyDescent="0.15">
      <c r="A53" s="53" t="str">
        <f t="shared" si="0"/>
        <v>6_1004</v>
      </c>
      <c r="B53" s="54">
        <v>6</v>
      </c>
      <c r="C53" s="55" t="str">
        <f ca="1">VLOOKUP($B53,OFFSET([2]quests!$A$1,0,0,COUNTA([2]quests!$A:$A),MATCH(C$1,[2]quests!$1:$1,0)-MATCH($B$1,[2]quests!$1:$1,0)+1),MATCH(C$1,[2]quests!$1:$1,0)-MATCH($B$1,[2]quests!$1:$1,0)+1,FALSE)</f>
        <v>6．ドリームパーク</v>
      </c>
      <c r="D53" s="56">
        <v>1004</v>
      </c>
      <c r="E53" s="57" t="str">
        <f ca="1">VLOOKUP($D53,OFFSET([4]periods!$A$1,0,0,COUNTA([4]periods!$A:$A),MATCH(E$1,[4]periods!$1:$1,0)-MATCH($D$1,[4]periods!$1:$1,0)+1),MATCH(E$1,[4]periods!$1:$1,0)-MATCH($D$1,[4]periods!$1:$1,0)+1,FALSE)</f>
        <v>200万DL/経験値２倍期間</v>
      </c>
      <c r="F53" s="57" t="str">
        <f ca="1">VLOOKUP($D53,OFFSET([4]periods!$A$1,0,0,COUNTA([4]periods!$A:$A),MATCH(F$1,[4]periods!$1:$1,0)-MATCH($D$1,[4]periods!$1:$1,0)+1),MATCH(F$1,[4]periods!$1:$1,0)-MATCH($D$1,[4]periods!$1:$1,0)+1,FALSE)</f>
        <v>2016-02-22 15:00:00</v>
      </c>
      <c r="G53" s="57" t="str">
        <f ca="1">VLOOKUP($D53,OFFSET([4]periods!$A$1,0,0,COUNTA([4]periods!$A:$A),MATCH(G$1,[4]periods!$1:$1,0)-MATCH($D$1,[4]periods!$1:$1,0)+1),MATCH(G$1,[4]periods!$1:$1,0)-MATCH($D$1,[4]periods!$1:$1,0)+1,FALSE)</f>
        <v>2016-03-06 14:59:59</v>
      </c>
      <c r="H53" s="58" t="s">
        <v>167</v>
      </c>
      <c r="I53" s="59">
        <v>2</v>
      </c>
      <c r="J53" s="59">
        <v>1</v>
      </c>
    </row>
    <row r="54" spans="1:10" ht="21" customHeight="1" x14ac:dyDescent="0.15">
      <c r="A54" s="53" t="str">
        <f t="shared" si="0"/>
        <v>7_1004</v>
      </c>
      <c r="B54" s="54">
        <v>7</v>
      </c>
      <c r="C54" s="55" t="str">
        <f ca="1">VLOOKUP($B54,OFFSET([2]quests!$A$1,0,0,COUNTA([2]quests!$A:$A),MATCH(C$1,[2]quests!$1:$1,0)-MATCH($B$1,[2]quests!$1:$1,0)+1),MATCH(C$1,[2]quests!$1:$1,0)-MATCH($B$1,[2]quests!$1:$1,0)+1,FALSE)</f>
        <v>7．ローガ密林</v>
      </c>
      <c r="D54" s="56">
        <v>1004</v>
      </c>
      <c r="E54" s="57" t="str">
        <f ca="1">VLOOKUP($D54,OFFSET([4]periods!$A$1,0,0,COUNTA([4]periods!$A:$A),MATCH(E$1,[4]periods!$1:$1,0)-MATCH($D$1,[4]periods!$1:$1,0)+1),MATCH(E$1,[4]periods!$1:$1,0)-MATCH($D$1,[4]periods!$1:$1,0)+1,FALSE)</f>
        <v>200万DL/経験値２倍期間</v>
      </c>
      <c r="F54" s="57" t="str">
        <f ca="1">VLOOKUP($D54,OFFSET([4]periods!$A$1,0,0,COUNTA([4]periods!$A:$A),MATCH(F$1,[4]periods!$1:$1,0)-MATCH($D$1,[4]periods!$1:$1,0)+1),MATCH(F$1,[4]periods!$1:$1,0)-MATCH($D$1,[4]periods!$1:$1,0)+1,FALSE)</f>
        <v>2016-02-22 15:00:00</v>
      </c>
      <c r="G54" s="57" t="str">
        <f ca="1">VLOOKUP($D54,OFFSET([4]periods!$A$1,0,0,COUNTA([4]periods!$A:$A),MATCH(G$1,[4]periods!$1:$1,0)-MATCH($D$1,[4]periods!$1:$1,0)+1),MATCH(G$1,[4]periods!$1:$1,0)-MATCH($D$1,[4]periods!$1:$1,0)+1,FALSE)</f>
        <v>2016-03-06 14:59:59</v>
      </c>
      <c r="H54" s="58" t="s">
        <v>167</v>
      </c>
      <c r="I54" s="59">
        <v>2</v>
      </c>
      <c r="J54" s="59">
        <v>1</v>
      </c>
    </row>
    <row r="55" spans="1:10" ht="21" customHeight="1" x14ac:dyDescent="0.15">
      <c r="A55" s="53" t="str">
        <f t="shared" si="0"/>
        <v>8_1004</v>
      </c>
      <c r="B55" s="54">
        <v>8</v>
      </c>
      <c r="C55" s="55" t="str">
        <f ca="1">VLOOKUP($B55,OFFSET([2]quests!$A$1,0,0,COUNTA([2]quests!$A:$A),MATCH(C$1,[2]quests!$1:$1,0)-MATCH($B$1,[2]quests!$1:$1,0)+1),MATCH(C$1,[2]quests!$1:$1,0)-MATCH($B$1,[2]quests!$1:$1,0)+1,FALSE)</f>
        <v>8．ヴィクリー砂漠</v>
      </c>
      <c r="D55" s="56">
        <v>1004</v>
      </c>
      <c r="E55" s="57" t="str">
        <f ca="1">VLOOKUP($D55,OFFSET([4]periods!$A$1,0,0,COUNTA([4]periods!$A:$A),MATCH(E$1,[4]periods!$1:$1,0)-MATCH($D$1,[4]periods!$1:$1,0)+1),MATCH(E$1,[4]periods!$1:$1,0)-MATCH($D$1,[4]periods!$1:$1,0)+1,FALSE)</f>
        <v>200万DL/経験値２倍期間</v>
      </c>
      <c r="F55" s="57" t="str">
        <f ca="1">VLOOKUP($D55,OFFSET([4]periods!$A$1,0,0,COUNTA([4]periods!$A:$A),MATCH(F$1,[4]periods!$1:$1,0)-MATCH($D$1,[4]periods!$1:$1,0)+1),MATCH(F$1,[4]periods!$1:$1,0)-MATCH($D$1,[4]periods!$1:$1,0)+1,FALSE)</f>
        <v>2016-02-22 15:00:00</v>
      </c>
      <c r="G55" s="57" t="str">
        <f ca="1">VLOOKUP($D55,OFFSET([4]periods!$A$1,0,0,COUNTA([4]periods!$A:$A),MATCH(G$1,[4]periods!$1:$1,0)-MATCH($D$1,[4]periods!$1:$1,0)+1),MATCH(G$1,[4]periods!$1:$1,0)-MATCH($D$1,[4]periods!$1:$1,0)+1,FALSE)</f>
        <v>2016-03-06 14:59:59</v>
      </c>
      <c r="H55" s="58" t="s">
        <v>167</v>
      </c>
      <c r="I55" s="59">
        <v>2</v>
      </c>
      <c r="J55" s="59">
        <v>1</v>
      </c>
    </row>
    <row r="56" spans="1:10" ht="21" customHeight="1" x14ac:dyDescent="0.15">
      <c r="A56" s="53" t="str">
        <f t="shared" si="0"/>
        <v>9_1004</v>
      </c>
      <c r="B56" s="54">
        <v>9</v>
      </c>
      <c r="C56" s="55" t="str">
        <f ca="1">VLOOKUP($B56,OFFSET([2]quests!$A$1,0,0,COUNTA([2]quests!$A:$A),MATCH(C$1,[2]quests!$1:$1,0)-MATCH($B$1,[2]quests!$1:$1,0)+1),MATCH(C$1,[2]quests!$1:$1,0)-MATCH($B$1,[2]quests!$1:$1,0)+1,FALSE)</f>
        <v>9．ラバーズ氷河</v>
      </c>
      <c r="D56" s="56">
        <v>1004</v>
      </c>
      <c r="E56" s="57" t="str">
        <f ca="1">VLOOKUP($D56,OFFSET([4]periods!$A$1,0,0,COUNTA([4]periods!$A:$A),MATCH(E$1,[4]periods!$1:$1,0)-MATCH($D$1,[4]periods!$1:$1,0)+1),MATCH(E$1,[4]periods!$1:$1,0)-MATCH($D$1,[4]periods!$1:$1,0)+1,FALSE)</f>
        <v>200万DL/経験値２倍期間</v>
      </c>
      <c r="F56" s="57" t="str">
        <f ca="1">VLOOKUP($D56,OFFSET([4]periods!$A$1,0,0,COUNTA([4]periods!$A:$A),MATCH(F$1,[4]periods!$1:$1,0)-MATCH($D$1,[4]periods!$1:$1,0)+1),MATCH(F$1,[4]periods!$1:$1,0)-MATCH($D$1,[4]periods!$1:$1,0)+1,FALSE)</f>
        <v>2016-02-22 15:00:00</v>
      </c>
      <c r="G56" s="57" t="str">
        <f ca="1">VLOOKUP($D56,OFFSET([4]periods!$A$1,0,0,COUNTA([4]periods!$A:$A),MATCH(G$1,[4]periods!$1:$1,0)-MATCH($D$1,[4]periods!$1:$1,0)+1),MATCH(G$1,[4]periods!$1:$1,0)-MATCH($D$1,[4]periods!$1:$1,0)+1,FALSE)</f>
        <v>2016-03-06 14:59:59</v>
      </c>
      <c r="H56" s="58" t="s">
        <v>167</v>
      </c>
      <c r="I56" s="59">
        <v>2</v>
      </c>
      <c r="J56" s="59">
        <v>1</v>
      </c>
    </row>
    <row r="57" spans="1:10" ht="21" customHeight="1" x14ac:dyDescent="0.15">
      <c r="A57" s="53" t="str">
        <f t="shared" si="0"/>
        <v>10_1004</v>
      </c>
      <c r="B57" s="54">
        <v>10</v>
      </c>
      <c r="C57" s="55" t="str">
        <f ca="1">VLOOKUP($B57,OFFSET([2]quests!$A$1,0,0,COUNTA([2]quests!$A:$A),MATCH(C$1,[2]quests!$1:$1,0)-MATCH($B$1,[2]quests!$1:$1,0)+1),MATCH(C$1,[2]quests!$1:$1,0)-MATCH($B$1,[2]quests!$1:$1,0)+1,FALSE)</f>
        <v>10．奥散水の紅葉岩</v>
      </c>
      <c r="D57" s="56">
        <v>1004</v>
      </c>
      <c r="E57" s="57" t="str">
        <f ca="1">VLOOKUP($D57,OFFSET([4]periods!$A$1,0,0,COUNTA([4]periods!$A:$A),MATCH(E$1,[4]periods!$1:$1,0)-MATCH($D$1,[4]periods!$1:$1,0)+1),MATCH(E$1,[4]periods!$1:$1,0)-MATCH($D$1,[4]periods!$1:$1,0)+1,FALSE)</f>
        <v>200万DL/経験値２倍期間</v>
      </c>
      <c r="F57" s="57" t="str">
        <f ca="1">VLOOKUP($D57,OFFSET([4]periods!$A$1,0,0,COUNTA([4]periods!$A:$A),MATCH(F$1,[4]periods!$1:$1,0)-MATCH($D$1,[4]periods!$1:$1,0)+1),MATCH(F$1,[4]periods!$1:$1,0)-MATCH($D$1,[4]periods!$1:$1,0)+1,FALSE)</f>
        <v>2016-02-22 15:00:00</v>
      </c>
      <c r="G57" s="57" t="str">
        <f ca="1">VLOOKUP($D57,OFFSET([4]periods!$A$1,0,0,COUNTA([4]periods!$A:$A),MATCH(G$1,[4]periods!$1:$1,0)-MATCH($D$1,[4]periods!$1:$1,0)+1),MATCH(G$1,[4]periods!$1:$1,0)-MATCH($D$1,[4]periods!$1:$1,0)+1,FALSE)</f>
        <v>2016-03-06 14:59:59</v>
      </c>
      <c r="H57" s="58" t="s">
        <v>167</v>
      </c>
      <c r="I57" s="59">
        <v>2</v>
      </c>
      <c r="J57" s="59">
        <v>1</v>
      </c>
    </row>
    <row r="58" spans="1:10" ht="21" customHeight="1" x14ac:dyDescent="0.15">
      <c r="A58" s="53" t="str">
        <f t="shared" si="0"/>
        <v>11_1004</v>
      </c>
      <c r="B58" s="54">
        <v>11</v>
      </c>
      <c r="C58" s="55" t="str">
        <f ca="1">VLOOKUP($B58,OFFSET([2]quests!$A$1,0,0,COUNTA([2]quests!$A:$A),MATCH(C$1,[2]quests!$1:$1,0)-MATCH($B$1,[2]quests!$1:$1,0)+1),MATCH(C$1,[2]quests!$1:$1,0)-MATCH($B$1,[2]quests!$1:$1,0)+1,FALSE)</f>
        <v>11．ディープソート戦場跡</v>
      </c>
      <c r="D58" s="56">
        <v>1004</v>
      </c>
      <c r="E58" s="57" t="str">
        <f ca="1">VLOOKUP($D58,OFFSET([4]periods!$A$1,0,0,COUNTA([4]periods!$A:$A),MATCH(E$1,[4]periods!$1:$1,0)-MATCH($D$1,[4]periods!$1:$1,0)+1),MATCH(E$1,[4]periods!$1:$1,0)-MATCH($D$1,[4]periods!$1:$1,0)+1,FALSE)</f>
        <v>200万DL/経験値２倍期間</v>
      </c>
      <c r="F58" s="57" t="str">
        <f ca="1">VLOOKUP($D58,OFFSET([4]periods!$A$1,0,0,COUNTA([4]periods!$A:$A),MATCH(F$1,[4]periods!$1:$1,0)-MATCH($D$1,[4]periods!$1:$1,0)+1),MATCH(F$1,[4]periods!$1:$1,0)-MATCH($D$1,[4]periods!$1:$1,0)+1,FALSE)</f>
        <v>2016-02-22 15:00:00</v>
      </c>
      <c r="G58" s="57" t="str">
        <f ca="1">VLOOKUP($D58,OFFSET([4]periods!$A$1,0,0,COUNTA([4]periods!$A:$A),MATCH(G$1,[4]periods!$1:$1,0)-MATCH($D$1,[4]periods!$1:$1,0)+1),MATCH(G$1,[4]periods!$1:$1,0)-MATCH($D$1,[4]periods!$1:$1,0)+1,FALSE)</f>
        <v>2016-03-06 14:59:59</v>
      </c>
      <c r="H58" s="58" t="s">
        <v>167</v>
      </c>
      <c r="I58" s="59">
        <v>2</v>
      </c>
      <c r="J58" s="59">
        <v>1</v>
      </c>
    </row>
    <row r="59" spans="1:10" ht="21" customHeight="1" x14ac:dyDescent="0.15">
      <c r="A59" s="53" t="str">
        <f t="shared" si="0"/>
        <v>12_1004</v>
      </c>
      <c r="B59" s="54">
        <v>12</v>
      </c>
      <c r="C59" s="55" t="str">
        <f ca="1">VLOOKUP($B59,OFFSET([2]quests!$A$1,0,0,COUNTA([2]quests!$A:$A),MATCH(C$1,[2]quests!$1:$1,0)-MATCH($B$1,[2]quests!$1:$1,0)+1),MATCH(C$1,[2]quests!$1:$1,0)-MATCH($B$1,[2]quests!$1:$1,0)+1,FALSE)</f>
        <v>12．電脳街アキハバラ2.0</v>
      </c>
      <c r="D59" s="56">
        <v>1004</v>
      </c>
      <c r="E59" s="57" t="str">
        <f ca="1">VLOOKUP($D59,OFFSET([4]periods!$A$1,0,0,COUNTA([4]periods!$A:$A),MATCH(E$1,[4]periods!$1:$1,0)-MATCH($D$1,[4]periods!$1:$1,0)+1),MATCH(E$1,[4]periods!$1:$1,0)-MATCH($D$1,[4]periods!$1:$1,0)+1,FALSE)</f>
        <v>200万DL/経験値２倍期間</v>
      </c>
      <c r="F59" s="57" t="str">
        <f ca="1">VLOOKUP($D59,OFFSET([4]periods!$A$1,0,0,COUNTA([4]periods!$A:$A),MATCH(F$1,[4]periods!$1:$1,0)-MATCH($D$1,[4]periods!$1:$1,0)+1),MATCH(F$1,[4]periods!$1:$1,0)-MATCH($D$1,[4]periods!$1:$1,0)+1,FALSE)</f>
        <v>2016-02-22 15:00:00</v>
      </c>
      <c r="G59" s="57" t="str">
        <f ca="1">VLOOKUP($D59,OFFSET([4]periods!$A$1,0,0,COUNTA([4]periods!$A:$A),MATCH(G$1,[4]periods!$1:$1,0)-MATCH($D$1,[4]periods!$1:$1,0)+1),MATCH(G$1,[4]periods!$1:$1,0)-MATCH($D$1,[4]periods!$1:$1,0)+1,FALSE)</f>
        <v>2016-03-06 14:59:59</v>
      </c>
      <c r="H59" s="58" t="s">
        <v>167</v>
      </c>
      <c r="I59" s="59">
        <v>2</v>
      </c>
      <c r="J59" s="59">
        <v>1</v>
      </c>
    </row>
    <row r="60" spans="1:10" ht="21" customHeight="1" x14ac:dyDescent="0.15">
      <c r="A60" s="53" t="str">
        <f t="shared" si="0"/>
        <v>13_1004</v>
      </c>
      <c r="B60" s="54">
        <v>13</v>
      </c>
      <c r="C60" s="55" t="str">
        <f ca="1">VLOOKUP($B60,OFFSET([2]quests!$A$1,0,0,COUNTA([2]quests!$A:$A),MATCH(C$1,[2]quests!$1:$1,0)-MATCH($B$1,[2]quests!$1:$1,0)+1),MATCH(C$1,[2]quests!$1:$1,0)-MATCH($B$1,[2]quests!$1:$1,0)+1,FALSE)</f>
        <v>13．天空城マドーラ</v>
      </c>
      <c r="D60" s="56">
        <v>1004</v>
      </c>
      <c r="E60" s="57" t="str">
        <f ca="1">VLOOKUP($D60,OFFSET([4]periods!$A$1,0,0,COUNTA([4]periods!$A:$A),MATCH(E$1,[4]periods!$1:$1,0)-MATCH($D$1,[4]periods!$1:$1,0)+1),MATCH(E$1,[4]periods!$1:$1,0)-MATCH($D$1,[4]periods!$1:$1,0)+1,FALSE)</f>
        <v>200万DL/経験値２倍期間</v>
      </c>
      <c r="F60" s="57" t="str">
        <f ca="1">VLOOKUP($D60,OFFSET([4]periods!$A$1,0,0,COUNTA([4]periods!$A:$A),MATCH(F$1,[4]periods!$1:$1,0)-MATCH($D$1,[4]periods!$1:$1,0)+1),MATCH(F$1,[4]periods!$1:$1,0)-MATCH($D$1,[4]periods!$1:$1,0)+1,FALSE)</f>
        <v>2016-02-22 15:00:00</v>
      </c>
      <c r="G60" s="57" t="str">
        <f ca="1">VLOOKUP($D60,OFFSET([4]periods!$A$1,0,0,COUNTA([4]periods!$A:$A),MATCH(G$1,[4]periods!$1:$1,0)-MATCH($D$1,[4]periods!$1:$1,0)+1),MATCH(G$1,[4]periods!$1:$1,0)-MATCH($D$1,[4]periods!$1:$1,0)+1,FALSE)</f>
        <v>2016-03-06 14:59:59</v>
      </c>
      <c r="H60" s="58" t="s">
        <v>167</v>
      </c>
      <c r="I60" s="59">
        <v>2</v>
      </c>
      <c r="J60" s="59">
        <v>1</v>
      </c>
    </row>
    <row r="61" spans="1:10" ht="21" customHeight="1" x14ac:dyDescent="0.15">
      <c r="A61" s="53" t="str">
        <f t="shared" si="0"/>
        <v>14_1004</v>
      </c>
      <c r="B61" s="54">
        <v>14</v>
      </c>
      <c r="C61" s="55" t="str">
        <f ca="1">VLOOKUP($B61,OFFSET([2]quests!$A$1,0,0,COUNTA([2]quests!$A:$A),MATCH(C$1,[2]quests!$1:$1,0)-MATCH($B$1,[2]quests!$1:$1,0)+1),MATCH(C$1,[2]quests!$1:$1,0)-MATCH($B$1,[2]quests!$1:$1,0)+1,FALSE)</f>
        <v>14．機械都市マッシュ</v>
      </c>
      <c r="D61" s="56">
        <v>1004</v>
      </c>
      <c r="E61" s="57" t="str">
        <f ca="1">VLOOKUP($D61,OFFSET([4]periods!$A$1,0,0,COUNTA([4]periods!$A:$A),MATCH(E$1,[4]periods!$1:$1,0)-MATCH($D$1,[4]periods!$1:$1,0)+1),MATCH(E$1,[4]periods!$1:$1,0)-MATCH($D$1,[4]periods!$1:$1,0)+1,FALSE)</f>
        <v>200万DL/経験値２倍期間</v>
      </c>
      <c r="F61" s="57" t="str">
        <f ca="1">VLOOKUP($D61,OFFSET([4]periods!$A$1,0,0,COUNTA([4]periods!$A:$A),MATCH(F$1,[4]periods!$1:$1,0)-MATCH($D$1,[4]periods!$1:$1,0)+1),MATCH(F$1,[4]periods!$1:$1,0)-MATCH($D$1,[4]periods!$1:$1,0)+1,FALSE)</f>
        <v>2016-02-22 15:00:00</v>
      </c>
      <c r="G61" s="57" t="str">
        <f ca="1">VLOOKUP($D61,OFFSET([4]periods!$A$1,0,0,COUNTA([4]periods!$A:$A),MATCH(G$1,[4]periods!$1:$1,0)-MATCH($D$1,[4]periods!$1:$1,0)+1),MATCH(G$1,[4]periods!$1:$1,0)-MATCH($D$1,[4]periods!$1:$1,0)+1,FALSE)</f>
        <v>2016-03-06 14:59:59</v>
      </c>
      <c r="H61" s="58" t="s">
        <v>167</v>
      </c>
      <c r="I61" s="59">
        <v>2</v>
      </c>
      <c r="J61" s="59">
        <v>1</v>
      </c>
    </row>
    <row r="62" spans="1:10" ht="21" customHeight="1" x14ac:dyDescent="0.15">
      <c r="A62" s="53" t="str">
        <f t="shared" si="0"/>
        <v>15_1004</v>
      </c>
      <c r="B62" s="54">
        <v>15</v>
      </c>
      <c r="C62" s="55" t="str">
        <f ca="1">VLOOKUP($B62,OFFSET([2]quests!$A$1,0,0,COUNTA([2]quests!$A:$A),MATCH(C$1,[2]quests!$1:$1,0)-MATCH($B$1,[2]quests!$1:$1,0)+1),MATCH(C$1,[2]quests!$1:$1,0)-MATCH($B$1,[2]quests!$1:$1,0)+1,FALSE)</f>
        <v>15．ハイサイスタジアム</v>
      </c>
      <c r="D62" s="56">
        <v>1004</v>
      </c>
      <c r="E62" s="57" t="str">
        <f ca="1">VLOOKUP($D62,OFFSET([4]periods!$A$1,0,0,COUNTA([4]periods!$A:$A),MATCH(E$1,[4]periods!$1:$1,0)-MATCH($D$1,[4]periods!$1:$1,0)+1),MATCH(E$1,[4]periods!$1:$1,0)-MATCH($D$1,[4]periods!$1:$1,0)+1,FALSE)</f>
        <v>200万DL/経験値２倍期間</v>
      </c>
      <c r="F62" s="57" t="str">
        <f ca="1">VLOOKUP($D62,OFFSET([4]periods!$A$1,0,0,COUNTA([4]periods!$A:$A),MATCH(F$1,[4]periods!$1:$1,0)-MATCH($D$1,[4]periods!$1:$1,0)+1),MATCH(F$1,[4]periods!$1:$1,0)-MATCH($D$1,[4]periods!$1:$1,0)+1,FALSE)</f>
        <v>2016-02-22 15:00:00</v>
      </c>
      <c r="G62" s="57" t="str">
        <f ca="1">VLOOKUP($D62,OFFSET([4]periods!$A$1,0,0,COUNTA([4]periods!$A:$A),MATCH(G$1,[4]periods!$1:$1,0)-MATCH($D$1,[4]periods!$1:$1,0)+1),MATCH(G$1,[4]periods!$1:$1,0)-MATCH($D$1,[4]periods!$1:$1,0)+1,FALSE)</f>
        <v>2016-03-06 14:59:59</v>
      </c>
      <c r="H62" s="58" t="s">
        <v>167</v>
      </c>
      <c r="I62" s="59">
        <v>2</v>
      </c>
      <c r="J62" s="59">
        <v>1</v>
      </c>
    </row>
    <row r="63" spans="1:10" ht="21" customHeight="1" x14ac:dyDescent="0.15">
      <c r="A63" s="53" t="str">
        <f t="shared" si="0"/>
        <v>16_1004</v>
      </c>
      <c r="B63" s="54">
        <v>16</v>
      </c>
      <c r="C63" s="55" t="str">
        <f ca="1">VLOOKUP($B63,OFFSET([2]quests!$A$1,0,0,COUNTA([2]quests!$A:$A),MATCH(C$1,[2]quests!$1:$1,0)-MATCH($B$1,[2]quests!$1:$1,0)+1),MATCH(C$1,[2]quests!$1:$1,0)-MATCH($B$1,[2]quests!$1:$1,0)+1,FALSE)</f>
        <v>16．H&amp;Gスイートハウス</v>
      </c>
      <c r="D63" s="56">
        <v>1004</v>
      </c>
      <c r="E63" s="57" t="str">
        <f ca="1">VLOOKUP($D63,OFFSET([4]periods!$A$1,0,0,COUNTA([4]periods!$A:$A),MATCH(E$1,[4]periods!$1:$1,0)-MATCH($D$1,[4]periods!$1:$1,0)+1),MATCH(E$1,[4]periods!$1:$1,0)-MATCH($D$1,[4]periods!$1:$1,0)+1,FALSE)</f>
        <v>200万DL/経験値２倍期間</v>
      </c>
      <c r="F63" s="57" t="str">
        <f ca="1">VLOOKUP($D63,OFFSET([4]periods!$A$1,0,0,COUNTA([4]periods!$A:$A),MATCH(F$1,[4]periods!$1:$1,0)-MATCH($D$1,[4]periods!$1:$1,0)+1),MATCH(F$1,[4]periods!$1:$1,0)-MATCH($D$1,[4]periods!$1:$1,0)+1,FALSE)</f>
        <v>2016-02-22 15:00:00</v>
      </c>
      <c r="G63" s="57" t="str">
        <f ca="1">VLOOKUP($D63,OFFSET([4]periods!$A$1,0,0,COUNTA([4]periods!$A:$A),MATCH(G$1,[4]periods!$1:$1,0)-MATCH($D$1,[4]periods!$1:$1,0)+1),MATCH(G$1,[4]periods!$1:$1,0)-MATCH($D$1,[4]periods!$1:$1,0)+1,FALSE)</f>
        <v>2016-03-06 14:59:59</v>
      </c>
      <c r="H63" s="58" t="s">
        <v>167</v>
      </c>
      <c r="I63" s="59">
        <v>2</v>
      </c>
      <c r="J63" s="59">
        <v>1</v>
      </c>
    </row>
    <row r="64" spans="1:10" ht="21" customHeight="1" x14ac:dyDescent="0.15">
      <c r="A64" s="53" t="str">
        <f t="shared" si="0"/>
        <v>20011_251</v>
      </c>
      <c r="B64" s="54">
        <v>20011</v>
      </c>
      <c r="C64" s="55" t="str">
        <f ca="1">VLOOKUP($B64,OFFSET([2]quests!$A$1,0,0,COUNTA([2]quests!$A:$A),MATCH(C$1,[2]quests!$1:$1,0)-MATCH($B$1,[2]quests!$1:$1,0)+1),MATCH(C$1,[2]quests!$1:$1,0)-MATCH($B$1,[2]quests!$1:$1,0)+1,FALSE)</f>
        <v>すべてが灰になる</v>
      </c>
      <c r="D64" s="56">
        <v>251</v>
      </c>
      <c r="E64" s="57" t="str">
        <f ca="1">VLOOKUP($D64,OFFSET([4]periods!$A$1,0,0,COUNTA([4]periods!$A:$A),MATCH(E$1,[4]periods!$1:$1,0)-MATCH($D$1,[4]periods!$1:$1,0)+1),MATCH(E$1,[4]periods!$1:$1,0)-MATCH($D$1,[4]periods!$1:$1,0)+1,FALSE)</f>
        <v>全てが灰になる（狂気の炎風 ミサコ） 3日目泥UP</v>
      </c>
      <c r="F64" s="57" t="str">
        <f ca="1">VLOOKUP($D64,OFFSET([4]periods!$A$1,0,0,COUNTA([4]periods!$A:$A),MATCH(F$1,[4]periods!$1:$1,0)-MATCH($D$1,[4]periods!$1:$1,0)+1),MATCH(F$1,[4]periods!$1:$1,0)-MATCH($D$1,[4]periods!$1:$1,0)+1,FALSE)</f>
        <v>2015-10-25 15:00:00</v>
      </c>
      <c r="G64" s="57" t="str">
        <f ca="1">VLOOKUP($D64,OFFSET([4]periods!$A$1,0,0,COUNTA([4]periods!$A:$A),MATCH(G$1,[4]periods!$1:$1,0)-MATCH($D$1,[4]periods!$1:$1,0)+1),MATCH(G$1,[4]periods!$1:$1,0)-MATCH($D$1,[4]periods!$1:$1,0)+1,FALSE)</f>
        <v>2015-10-25 23:59:59</v>
      </c>
      <c r="H64" s="58" t="s">
        <v>163</v>
      </c>
      <c r="I64" s="59">
        <v>1.5</v>
      </c>
      <c r="J64" s="59">
        <v>0</v>
      </c>
    </row>
    <row r="65" spans="1:10" ht="21" customHeight="1" x14ac:dyDescent="0.15">
      <c r="A65" s="53" t="str">
        <f t="shared" si="0"/>
        <v>20011_252</v>
      </c>
      <c r="B65" s="54">
        <v>20011</v>
      </c>
      <c r="C65" s="55" t="str">
        <f ca="1">VLOOKUP($B65,OFFSET([2]quests!$A$1,0,0,COUNTA([2]quests!$A:$A),MATCH(C$1,[2]quests!$1:$1,0)-MATCH($B$1,[2]quests!$1:$1,0)+1),MATCH(C$1,[2]quests!$1:$1,0)-MATCH($B$1,[2]quests!$1:$1,0)+1,FALSE)</f>
        <v>すべてが灰になる</v>
      </c>
      <c r="D65" s="56">
        <v>252</v>
      </c>
      <c r="E65" s="57" t="str">
        <f ca="1">VLOOKUP($D65,OFFSET([4]periods!$A$1,0,0,COUNTA([4]periods!$A:$A),MATCH(E$1,[4]periods!$1:$1,0)-MATCH($D$1,[4]periods!$1:$1,0)+1),MATCH(E$1,[4]periods!$1:$1,0)-MATCH($D$1,[4]periods!$1:$1,0)+1,FALSE)</f>
        <v>全てが灰になる（狂気の炎風 ミサコ） 最終日泥UP</v>
      </c>
      <c r="F65" s="57" t="str">
        <f ca="1">VLOOKUP($D65,OFFSET([4]periods!$A$1,0,0,COUNTA([4]periods!$A:$A),MATCH(F$1,[4]periods!$1:$1,0)-MATCH($D$1,[4]periods!$1:$1,0)+1),MATCH(F$1,[4]periods!$1:$1,0)-MATCH($D$1,[4]periods!$1:$1,0)+1,FALSE)</f>
        <v>2015-10-29 06:00:00</v>
      </c>
      <c r="G65" s="57" t="str">
        <f ca="1">VLOOKUP($D65,OFFSET([4]periods!$A$1,0,0,COUNTA([4]periods!$A:$A),MATCH(G$1,[4]periods!$1:$1,0)-MATCH($D$1,[4]periods!$1:$1,0)+1),MATCH(G$1,[4]periods!$1:$1,0)-MATCH($D$1,[4]periods!$1:$1,0)+1,FALSE)</f>
        <v>2015-10-29 14:59:59</v>
      </c>
      <c r="H65" s="58" t="s">
        <v>163</v>
      </c>
      <c r="I65" s="59">
        <v>1.5</v>
      </c>
      <c r="J65" s="59">
        <v>0</v>
      </c>
    </row>
    <row r="66" spans="1:10" ht="21" customHeight="1" x14ac:dyDescent="0.15">
      <c r="A66" s="53" t="str">
        <f t="shared" si="0"/>
        <v>20012_271</v>
      </c>
      <c r="B66" s="54">
        <v>20012</v>
      </c>
      <c r="C66" s="55" t="str">
        <f ca="1">VLOOKUP($B66,OFFSET([2]quests!$A$1,0,0,COUNTA([2]quests!$A:$A),MATCH(C$1,[2]quests!$1:$1,0)-MATCH($B$1,[2]quests!$1:$1,0)+1),MATCH(C$1,[2]quests!$1:$1,0)-MATCH($B$1,[2]quests!$1:$1,0)+1,FALSE)</f>
        <v>罪と劇薬</v>
      </c>
      <c r="D66" s="56">
        <v>271</v>
      </c>
      <c r="E66" s="57" t="str">
        <f ca="1">VLOOKUP($D66,OFFSET([4]periods!$A$1,0,0,COUNTA([4]periods!$A:$A),MATCH(E$1,[4]periods!$1:$1,0)-MATCH($D$1,[4]periods!$1:$1,0)+1),MATCH(E$1,[4]periods!$1:$1,0)-MATCH($D$1,[4]periods!$1:$1,0)+1,FALSE)</f>
        <v>宿痾の葬送 チカ（罪と劇薬） 3日目泥UP</v>
      </c>
      <c r="F66" s="57" t="str">
        <f ca="1">VLOOKUP($D66,OFFSET([4]periods!$A$1,0,0,COUNTA([4]periods!$A:$A),MATCH(F$1,[4]periods!$1:$1,0)-MATCH($D$1,[4]periods!$1:$1,0)+1),MATCH(F$1,[4]periods!$1:$1,0)-MATCH($D$1,[4]periods!$1:$1,0)+1,FALSE)</f>
        <v>2015-11-01 15:00:00</v>
      </c>
      <c r="G66" s="57" t="str">
        <f ca="1">VLOOKUP($D66,OFFSET([4]periods!$A$1,0,0,COUNTA([4]periods!$A:$A),MATCH(G$1,[4]periods!$1:$1,0)-MATCH($D$1,[4]periods!$1:$1,0)+1),MATCH(G$1,[4]periods!$1:$1,0)-MATCH($D$1,[4]periods!$1:$1,0)+1,FALSE)</f>
        <v>2015-11-01 23:59:59</v>
      </c>
      <c r="H66" s="58" t="s">
        <v>163</v>
      </c>
      <c r="I66" s="59">
        <v>1.5</v>
      </c>
      <c r="J66" s="59">
        <v>0</v>
      </c>
    </row>
    <row r="67" spans="1:10" ht="21" customHeight="1" x14ac:dyDescent="0.15">
      <c r="A67" s="53" t="str">
        <f t="shared" ref="A67:A99" si="1">B67&amp;"_"&amp;D67</f>
        <v>20012_272</v>
      </c>
      <c r="B67" s="54">
        <v>20012</v>
      </c>
      <c r="C67" s="55" t="str">
        <f ca="1">VLOOKUP($B67,OFFSET([2]quests!$A$1,0,0,COUNTA([2]quests!$A:$A),MATCH(C$1,[2]quests!$1:$1,0)-MATCH($B$1,[2]quests!$1:$1,0)+1),MATCH(C$1,[2]quests!$1:$1,0)-MATCH($B$1,[2]quests!$1:$1,0)+1,FALSE)</f>
        <v>罪と劇薬</v>
      </c>
      <c r="D67" s="56">
        <v>272</v>
      </c>
      <c r="E67" s="57" t="str">
        <f ca="1">VLOOKUP($D67,OFFSET([4]periods!$A$1,0,0,COUNTA([4]periods!$A:$A),MATCH(E$1,[4]periods!$1:$1,0)-MATCH($D$1,[4]periods!$1:$1,0)+1),MATCH(E$1,[4]periods!$1:$1,0)-MATCH($D$1,[4]periods!$1:$1,0)+1,FALSE)</f>
        <v>宿痾の葬送 チカ（罪と劇薬） 最終日泥UP</v>
      </c>
      <c r="F67" s="57" t="str">
        <f ca="1">VLOOKUP($D67,OFFSET([4]periods!$A$1,0,0,COUNTA([4]periods!$A:$A),MATCH(F$1,[4]periods!$1:$1,0)-MATCH($D$1,[4]periods!$1:$1,0)+1),MATCH(F$1,[4]periods!$1:$1,0)-MATCH($D$1,[4]periods!$1:$1,0)+1,FALSE)</f>
        <v>2015-11-05 06:00:00</v>
      </c>
      <c r="G67" s="57" t="str">
        <f ca="1">VLOOKUP($D67,OFFSET([4]periods!$A$1,0,0,COUNTA([4]periods!$A:$A),MATCH(G$1,[4]periods!$1:$1,0)-MATCH($D$1,[4]periods!$1:$1,0)+1),MATCH(G$1,[4]periods!$1:$1,0)-MATCH($D$1,[4]periods!$1:$1,0)+1,FALSE)</f>
        <v>2015-11-05 14:59:59</v>
      </c>
      <c r="H67" s="58" t="s">
        <v>161</v>
      </c>
      <c r="I67" s="59">
        <v>1.5</v>
      </c>
      <c r="J67" s="59">
        <v>0</v>
      </c>
    </row>
    <row r="68" spans="1:10" ht="21" customHeight="1" x14ac:dyDescent="0.15">
      <c r="A68" s="53" t="str">
        <f t="shared" si="1"/>
        <v>30011_261</v>
      </c>
      <c r="B68" s="54">
        <v>30011</v>
      </c>
      <c r="C68" s="55" t="str">
        <f ca="1">VLOOKUP($B68,OFFSET([2]quests!$A$1,0,0,COUNTA([2]quests!$A:$A),MATCH(C$1,[2]quests!$1:$1,0)-MATCH($B$1,[2]quests!$1:$1,0)+1),MATCH(C$1,[2]quests!$1:$1,0)-MATCH($B$1,[2]quests!$1:$1,0)+1,FALSE)</f>
        <v>気怠い巨読者</v>
      </c>
      <c r="D68" s="56">
        <v>261</v>
      </c>
      <c r="E68" s="57" t="str">
        <f ca="1">VLOOKUP($D68,OFFSET([4]periods!$A$1,0,0,COUNTA([4]periods!$A:$A),MATCH(E$1,[4]periods!$1:$1,0)-MATCH($D$1,[4]periods!$1:$1,0)+1),MATCH(E$1,[4]periods!$1:$1,0)-MATCH($D$1,[4]periods!$1:$1,0)+1,FALSE)</f>
        <v>古の博学 アーケロン（気怠い巨読者） 3日目泥UP</v>
      </c>
      <c r="F68" s="57" t="str">
        <f ca="1">VLOOKUP($D68,OFFSET([4]periods!$A$1,0,0,COUNTA([4]periods!$A:$A),MATCH(F$1,[4]periods!$1:$1,0)-MATCH($D$1,[4]periods!$1:$1,0)+1),MATCH(F$1,[4]periods!$1:$1,0)-MATCH($D$1,[4]periods!$1:$1,0)+1,FALSE)</f>
        <v>2015-10-29 12:00:00</v>
      </c>
      <c r="G68" s="57" t="str">
        <f ca="1">VLOOKUP($D68,OFFSET([4]periods!$A$1,0,0,COUNTA([4]periods!$A:$A),MATCH(G$1,[4]periods!$1:$1,0)-MATCH($D$1,[4]periods!$1:$1,0)+1),MATCH(G$1,[4]periods!$1:$1,0)-MATCH($D$1,[4]periods!$1:$1,0)+1,FALSE)</f>
        <v>2015-10-29 21:00:00</v>
      </c>
      <c r="H68" s="58" t="s">
        <v>163</v>
      </c>
      <c r="I68" s="59">
        <v>1.5</v>
      </c>
      <c r="J68" s="59">
        <v>0</v>
      </c>
    </row>
    <row r="69" spans="1:10" ht="21" customHeight="1" x14ac:dyDescent="0.15">
      <c r="A69" s="53" t="str">
        <f t="shared" si="1"/>
        <v>30011_262</v>
      </c>
      <c r="B69" s="54">
        <v>30011</v>
      </c>
      <c r="C69" s="55" t="str">
        <f ca="1">VLOOKUP($B69,OFFSET([2]quests!$A$1,0,0,COUNTA([2]quests!$A:$A),MATCH(C$1,[2]quests!$1:$1,0)-MATCH($B$1,[2]quests!$1:$1,0)+1),MATCH(C$1,[2]quests!$1:$1,0)-MATCH($B$1,[2]quests!$1:$1,0)+1,FALSE)</f>
        <v>気怠い巨読者</v>
      </c>
      <c r="D69" s="56">
        <v>262</v>
      </c>
      <c r="E69" s="57" t="str">
        <f ca="1">VLOOKUP($D69,OFFSET([4]periods!$A$1,0,0,COUNTA([4]periods!$A:$A),MATCH(E$1,[4]periods!$1:$1,0)-MATCH($D$1,[4]periods!$1:$1,0)+1),MATCH(E$1,[4]periods!$1:$1,0)-MATCH($D$1,[4]periods!$1:$1,0)+1,FALSE)</f>
        <v>古の博学 アーケロン（気怠い巨読者） 最終日泥UP</v>
      </c>
      <c r="F69" s="57" t="str">
        <f ca="1">VLOOKUP($D69,OFFSET([4]periods!$A$1,0,0,COUNTA([4]periods!$A:$A),MATCH(F$1,[4]periods!$1:$1,0)-MATCH($D$1,[4]periods!$1:$1,0)+1),MATCH(F$1,[4]periods!$1:$1,0)-MATCH($D$1,[4]periods!$1:$1,0)+1,FALSE)</f>
        <v>2015-11-02 12:00:00</v>
      </c>
      <c r="G69" s="57" t="str">
        <f ca="1">VLOOKUP($D69,OFFSET([4]periods!$A$1,0,0,COUNTA([4]periods!$A:$A),MATCH(G$1,[4]periods!$1:$1,0)-MATCH($D$1,[4]periods!$1:$1,0)+1),MATCH(G$1,[4]periods!$1:$1,0)-MATCH($D$1,[4]periods!$1:$1,0)+1,FALSE)</f>
        <v>2015-11-02 14:59:59</v>
      </c>
      <c r="H69" s="58" t="s">
        <v>163</v>
      </c>
      <c r="I69" s="59">
        <v>1.5</v>
      </c>
      <c r="J69" s="59">
        <v>0</v>
      </c>
    </row>
    <row r="70" spans="1:10" ht="21" customHeight="1" x14ac:dyDescent="0.15">
      <c r="A70" s="53" t="str">
        <f t="shared" si="1"/>
        <v>30012_281</v>
      </c>
      <c r="B70" s="54">
        <v>30012</v>
      </c>
      <c r="C70" s="55" t="str">
        <f ca="1">VLOOKUP($B70,OFFSET([2]quests!$A$1,0,0,COUNTA([2]quests!$A:$A),MATCH(C$1,[2]quests!$1:$1,0)-MATCH($B$1,[2]quests!$1:$1,0)+1),MATCH(C$1,[2]quests!$1:$1,0)-MATCH($B$1,[2]quests!$1:$1,0)+1,FALSE)</f>
        <v>底なしの胃袋</v>
      </c>
      <c r="D70" s="56">
        <v>281</v>
      </c>
      <c r="E70" s="57" t="str">
        <f ca="1">VLOOKUP($D70,OFFSET([4]periods!$A$1,0,0,COUNTA([4]periods!$A:$A),MATCH(E$1,[4]periods!$1:$1,0)-MATCH($D$1,[4]periods!$1:$1,0)+1),MATCH(E$1,[4]periods!$1:$1,0)-MATCH($D$1,[4]periods!$1:$1,0)+1,FALSE)</f>
        <v>底なしの胃袋（リードシクティス） 3日目泥UP</v>
      </c>
      <c r="F70" s="57" t="str">
        <f ca="1">VLOOKUP($D70,OFFSET([4]periods!$A$1,0,0,COUNTA([4]periods!$A:$A),MATCH(F$1,[4]periods!$1:$1,0)-MATCH($D$1,[4]periods!$1:$1,0)+1),MATCH(F$1,[4]periods!$1:$1,0)-MATCH($D$1,[4]periods!$1:$1,0)+1,FALSE)</f>
        <v>2015-11-05 12:00:00</v>
      </c>
      <c r="G70" s="57" t="str">
        <f ca="1">VLOOKUP($D70,OFFSET([4]periods!$A$1,0,0,COUNTA([4]periods!$A:$A),MATCH(G$1,[4]periods!$1:$1,0)-MATCH($D$1,[4]periods!$1:$1,0)+1),MATCH(G$1,[4]periods!$1:$1,0)-MATCH($D$1,[4]periods!$1:$1,0)+1,FALSE)</f>
        <v>2015-11-05 20:59:59</v>
      </c>
      <c r="H70" s="58" t="s">
        <v>163</v>
      </c>
      <c r="I70" s="59">
        <v>1.5</v>
      </c>
      <c r="J70" s="59">
        <v>0</v>
      </c>
    </row>
    <row r="71" spans="1:10" ht="21" customHeight="1" x14ac:dyDescent="0.15">
      <c r="A71" s="53" t="str">
        <f t="shared" si="1"/>
        <v>30012_282</v>
      </c>
      <c r="B71" s="54">
        <v>30012</v>
      </c>
      <c r="C71" s="55" t="str">
        <f ca="1">VLOOKUP($B71,OFFSET([2]quests!$A$1,0,0,COUNTA([2]quests!$A:$A),MATCH(C$1,[2]quests!$1:$1,0)-MATCH($B$1,[2]quests!$1:$1,0)+1),MATCH(C$1,[2]quests!$1:$1,0)-MATCH($B$1,[2]quests!$1:$1,0)+1,FALSE)</f>
        <v>底なしの胃袋</v>
      </c>
      <c r="D71" s="56">
        <v>282</v>
      </c>
      <c r="E71" s="57" t="str">
        <f ca="1">VLOOKUP($D71,OFFSET([4]periods!$A$1,0,0,COUNTA([4]periods!$A:$A),MATCH(E$1,[4]periods!$1:$1,0)-MATCH($D$1,[4]periods!$1:$1,0)+1),MATCH(E$1,[4]periods!$1:$1,0)-MATCH($D$1,[4]periods!$1:$1,0)+1,FALSE)</f>
        <v>底なしの胃袋（リードシクティス） 最終日泥UP</v>
      </c>
      <c r="F71" s="57" t="str">
        <f ca="1">VLOOKUP($D71,OFFSET([4]periods!$A$1,0,0,COUNTA([4]periods!$A:$A),MATCH(F$1,[4]periods!$1:$1,0)-MATCH($D$1,[4]periods!$1:$1,0)+1),MATCH(F$1,[4]periods!$1:$1,0)-MATCH($D$1,[4]periods!$1:$1,0)+1,FALSE)</f>
        <v>2015-11-09 12:00:00</v>
      </c>
      <c r="G71" s="57" t="str">
        <f ca="1">VLOOKUP($D71,OFFSET([4]periods!$A$1,0,0,COUNTA([4]periods!$A:$A),MATCH(G$1,[4]periods!$1:$1,0)-MATCH($D$1,[4]periods!$1:$1,0)+1),MATCH(G$1,[4]periods!$1:$1,0)-MATCH($D$1,[4]periods!$1:$1,0)+1,FALSE)</f>
        <v>2015-11-09 14:59:59</v>
      </c>
      <c r="H71" s="58" t="s">
        <v>163</v>
      </c>
      <c r="I71" s="59">
        <v>1.5</v>
      </c>
      <c r="J71" s="59">
        <v>0</v>
      </c>
    </row>
    <row r="72" spans="1:10" ht="21" customHeight="1" x14ac:dyDescent="0.15">
      <c r="A72" s="53" t="str">
        <f t="shared" si="1"/>
        <v>40003_291</v>
      </c>
      <c r="B72" s="54">
        <v>40003</v>
      </c>
      <c r="C72" s="55" t="str">
        <f ca="1">VLOOKUP($B72,OFFSET([2]quests!$A$1,0,0,COUNTA([2]quests!$A:$A),MATCH(C$1,[2]quests!$1:$1,0)-MATCH($B$1,[2]quests!$1:$1,0)+1),MATCH(C$1,[2]quests!$1:$1,0)-MATCH($B$1,[2]quests!$1:$1,0)+1,FALSE)</f>
        <v>ジャンヌ襲来！</v>
      </c>
      <c r="D72" s="56">
        <v>291</v>
      </c>
      <c r="E72" s="57" t="str">
        <f ca="1">VLOOKUP($D72,OFFSET([4]periods!$A$1,0,0,COUNTA([4]periods!$A:$A),MATCH(E$1,[4]periods!$1:$1,0)-MATCH($D$1,[4]periods!$1:$1,0)+1),MATCH(E$1,[4]periods!$1:$1,0)-MATCH($D$1,[4]periods!$1:$1,0)+1,FALSE)</f>
        <v>ジャンヌ襲来！！ 確率UP</v>
      </c>
      <c r="F72" s="57" t="str">
        <f ca="1">VLOOKUP($D72,OFFSET([4]periods!$A$1,0,0,COUNTA([4]periods!$A:$A),MATCH(F$1,[4]periods!$1:$1,0)-MATCH($D$1,[4]periods!$1:$1,0)+1),MATCH(F$1,[4]periods!$1:$1,0)-MATCH($D$1,[4]periods!$1:$1,0)+1,FALSE)</f>
        <v>2015-10-29 21:00:00</v>
      </c>
      <c r="G72" s="57" t="str">
        <f ca="1">VLOOKUP($D72,OFFSET([4]periods!$A$1,0,0,COUNTA([4]periods!$A:$A),MATCH(G$1,[4]periods!$1:$1,0)-MATCH($D$1,[4]periods!$1:$1,0)+1),MATCH(G$1,[4]periods!$1:$1,0)-MATCH($D$1,[4]periods!$1:$1,0)+1,FALSE)</f>
        <v>2015-10-29 23:59:59</v>
      </c>
      <c r="H72" s="58" t="s">
        <v>163</v>
      </c>
      <c r="I72" s="59">
        <v>2</v>
      </c>
      <c r="J72" s="59">
        <v>0</v>
      </c>
    </row>
    <row r="73" spans="1:10" ht="21" customHeight="1" x14ac:dyDescent="0.15">
      <c r="A73" s="53" t="str">
        <f t="shared" si="1"/>
        <v>40003_292</v>
      </c>
      <c r="B73" s="54">
        <v>40003</v>
      </c>
      <c r="C73" s="55" t="str">
        <f ca="1">VLOOKUP($B73,OFFSET([2]quests!$A$1,0,0,COUNTA([2]quests!$A:$A),MATCH(C$1,[2]quests!$1:$1,0)-MATCH($B$1,[2]quests!$1:$1,0)+1),MATCH(C$1,[2]quests!$1:$1,0)-MATCH($B$1,[2]quests!$1:$1,0)+1,FALSE)</f>
        <v>ジャンヌ襲来！</v>
      </c>
      <c r="D73" s="56">
        <v>292</v>
      </c>
      <c r="E73" s="57" t="str">
        <f ca="1">VLOOKUP($D73,OFFSET([4]periods!$A$1,0,0,COUNTA([4]periods!$A:$A),MATCH(E$1,[4]periods!$1:$1,0)-MATCH($D$1,[4]periods!$1:$1,0)+1),MATCH(E$1,[4]periods!$1:$1,0)-MATCH($D$1,[4]periods!$1:$1,0)+1,FALSE)</f>
        <v>ジャンヌ襲来！！ 確率UP</v>
      </c>
      <c r="F73" s="57" t="str">
        <f ca="1">VLOOKUP($D73,OFFSET([4]periods!$A$1,0,0,COUNTA([4]periods!$A:$A),MATCH(F$1,[4]periods!$1:$1,0)-MATCH($D$1,[4]periods!$1:$1,0)+1),MATCH(F$1,[4]periods!$1:$1,0)-MATCH($D$1,[4]periods!$1:$1,0)+1,FALSE)</f>
        <v>2015-10-30 12:00:00</v>
      </c>
      <c r="G73" s="57" t="str">
        <f ca="1">VLOOKUP($D73,OFFSET([4]periods!$A$1,0,0,COUNTA([4]periods!$A:$A),MATCH(G$1,[4]periods!$1:$1,0)-MATCH($D$1,[4]periods!$1:$1,0)+1),MATCH(G$1,[4]periods!$1:$1,0)-MATCH($D$1,[4]periods!$1:$1,0)+1,FALSE)</f>
        <v>2015-10-30 14:59:59</v>
      </c>
      <c r="H73" s="58" t="s">
        <v>163</v>
      </c>
      <c r="I73" s="59">
        <v>2</v>
      </c>
      <c r="J73" s="59">
        <v>0</v>
      </c>
    </row>
    <row r="74" spans="1:10" ht="21" customHeight="1" x14ac:dyDescent="0.15">
      <c r="A74" s="53" t="str">
        <f t="shared" si="1"/>
        <v>30013_301</v>
      </c>
      <c r="B74" s="54">
        <v>30013</v>
      </c>
      <c r="C74" s="55" t="str">
        <f ca="1">VLOOKUP($B74,OFFSET([2]quests!$A$1,0,0,COUNTA([2]quests!$A:$A),MATCH(C$1,[2]quests!$1:$1,0)-MATCH($B$1,[2]quests!$1:$1,0)+1),MATCH(C$1,[2]quests!$1:$1,0)-MATCH($B$1,[2]quests!$1:$1,0)+1,FALSE)</f>
        <v>決戦・竜宮城</v>
      </c>
      <c r="D74" s="56">
        <v>301</v>
      </c>
      <c r="E74" s="57" t="str">
        <f ca="1">VLOOKUP($D74,OFFSET([4]periods!$A$1,0,0,COUNTA([4]periods!$A:$A),MATCH(E$1,[4]periods!$1:$1,0)-MATCH($D$1,[4]periods!$1:$1,0)+1),MATCH(E$1,[4]periods!$1:$1,0)-MATCH($D$1,[4]periods!$1:$1,0)+1,FALSE)</f>
        <v>決戦・竜宮城（ウラシマ） 3日目泥UP</v>
      </c>
      <c r="F74" s="57" t="str">
        <f ca="1">VLOOKUP($D74,OFFSET([4]periods!$A$1,0,0,COUNTA([4]periods!$A:$A),MATCH(F$1,[4]periods!$1:$1,0)-MATCH($D$1,[4]periods!$1:$1,0)+1),MATCH(F$1,[4]periods!$1:$1,0)-MATCH($D$1,[4]periods!$1:$1,0)+1,FALSE)</f>
        <v>2015-11-08 15:00:00</v>
      </c>
      <c r="G74" s="57" t="str">
        <f ca="1">VLOOKUP($D74,OFFSET([4]periods!$A$1,0,0,COUNTA([4]periods!$A:$A),MATCH(G$1,[4]periods!$1:$1,0)-MATCH($D$1,[4]periods!$1:$1,0)+1),MATCH(G$1,[4]periods!$1:$1,0)-MATCH($D$1,[4]periods!$1:$1,0)+1,FALSE)</f>
        <v>2015-11-09 21:00:00</v>
      </c>
      <c r="H74" s="58" t="s">
        <v>163</v>
      </c>
      <c r="I74" s="59">
        <v>1.5</v>
      </c>
      <c r="J74" s="59">
        <v>0</v>
      </c>
    </row>
    <row r="75" spans="1:10" ht="21" customHeight="1" x14ac:dyDescent="0.15">
      <c r="A75" s="53" t="str">
        <f t="shared" si="1"/>
        <v>30013_302</v>
      </c>
      <c r="B75" s="54">
        <v>30013</v>
      </c>
      <c r="C75" s="55" t="str">
        <f ca="1">VLOOKUP($B75,OFFSET([2]quests!$A$1,0,0,COUNTA([2]quests!$A:$A),MATCH(C$1,[2]quests!$1:$1,0)-MATCH($B$1,[2]quests!$1:$1,0)+1),MATCH(C$1,[2]quests!$1:$1,0)-MATCH($B$1,[2]quests!$1:$1,0)+1,FALSE)</f>
        <v>決戦・竜宮城</v>
      </c>
      <c r="D75" s="56">
        <v>302</v>
      </c>
      <c r="E75" s="57" t="str">
        <f ca="1">VLOOKUP($D75,OFFSET([4]periods!$A$1,0,0,COUNTA([4]periods!$A:$A),MATCH(E$1,[4]periods!$1:$1,0)-MATCH($D$1,[4]periods!$1:$1,0)+1),MATCH(E$1,[4]periods!$1:$1,0)-MATCH($D$1,[4]periods!$1:$1,0)+1,FALSE)</f>
        <v>決戦・竜宮城（ウラシマ） 最終日泥UP</v>
      </c>
      <c r="F75" s="57" t="str">
        <f ca="1">VLOOKUP($D75,OFFSET([4]periods!$A$1,0,0,COUNTA([4]periods!$A:$A),MATCH(F$1,[4]periods!$1:$1,0)-MATCH($D$1,[4]periods!$1:$1,0)+1),MATCH(F$1,[4]periods!$1:$1,0)-MATCH($D$1,[4]periods!$1:$1,0)+1,FALSE)</f>
        <v>2015-11-13 12:00:00</v>
      </c>
      <c r="G75" s="57" t="str">
        <f ca="1">VLOOKUP($D75,OFFSET([4]periods!$A$1,0,0,COUNTA([4]periods!$A:$A),MATCH(G$1,[4]periods!$1:$1,0)-MATCH($D$1,[4]periods!$1:$1,0)+1),MATCH(G$1,[4]periods!$1:$1,0)-MATCH($D$1,[4]periods!$1:$1,0)+1,FALSE)</f>
        <v>2015-11-13 14:59:59</v>
      </c>
      <c r="H75" s="58" t="s">
        <v>163</v>
      </c>
      <c r="I75" s="59">
        <v>1.5</v>
      </c>
      <c r="J75" s="59">
        <v>0</v>
      </c>
    </row>
    <row r="76" spans="1:10" ht="21" customHeight="1" x14ac:dyDescent="0.15">
      <c r="A76" s="53" t="str">
        <f t="shared" si="1"/>
        <v>40004_321</v>
      </c>
      <c r="B76" s="54">
        <v>40004</v>
      </c>
      <c r="C76" s="55" t="str">
        <f ca="1">VLOOKUP($B76,OFFSET([2]quests!$A$1,0,0,COUNTA([2]quests!$A:$A),MATCH(C$1,[2]quests!$1:$1,0)-MATCH($B$1,[2]quests!$1:$1,0)+1),MATCH(C$1,[2]quests!$1:$1,0)-MATCH($B$1,[2]quests!$1:$1,0)+1,FALSE)</f>
        <v>宮本武蔵襲来！</v>
      </c>
      <c r="D76" s="56">
        <v>321</v>
      </c>
      <c r="E76" s="57" t="str">
        <f ca="1">VLOOKUP($D76,OFFSET([4]periods!$A$1,0,0,COUNTA([4]periods!$A:$A),MATCH(E$1,[4]periods!$1:$1,0)-MATCH($D$1,[4]periods!$1:$1,0)+1),MATCH(E$1,[4]periods!$1:$1,0)-MATCH($D$1,[4]periods!$1:$1,0)+1,FALSE)</f>
        <v>宮本武蔵襲来！！ 確率UP</v>
      </c>
      <c r="F76" s="57" t="str">
        <f ca="1">VLOOKUP($D76,OFFSET([4]periods!$A$1,0,0,COUNTA([4]periods!$A:$A),MATCH(F$1,[4]periods!$1:$1,0)-MATCH($D$1,[4]periods!$1:$1,0)+1),MATCH(F$1,[4]periods!$1:$1,0)-MATCH($D$1,[4]periods!$1:$1,0)+1,FALSE)</f>
        <v>2015-11-13 21:00:00</v>
      </c>
      <c r="G76" s="57" t="str">
        <f ca="1">VLOOKUP($D76,OFFSET([4]periods!$A$1,0,0,COUNTA([4]periods!$A:$A),MATCH(G$1,[4]periods!$1:$1,0)-MATCH($D$1,[4]periods!$1:$1,0)+1),MATCH(G$1,[4]periods!$1:$1,0)-MATCH($D$1,[4]periods!$1:$1,0)+1,FALSE)</f>
        <v>2015-11-13 23:59:59</v>
      </c>
      <c r="H76" s="58" t="s">
        <v>163</v>
      </c>
      <c r="I76" s="59">
        <v>2</v>
      </c>
      <c r="J76" s="59">
        <v>0</v>
      </c>
    </row>
    <row r="77" spans="1:10" ht="21" customHeight="1" x14ac:dyDescent="0.15">
      <c r="A77" s="53" t="str">
        <f t="shared" si="1"/>
        <v>40004_322</v>
      </c>
      <c r="B77" s="54">
        <v>40004</v>
      </c>
      <c r="C77" s="55" t="str">
        <f ca="1">VLOOKUP($B77,OFFSET([2]quests!$A$1,0,0,COUNTA([2]quests!$A:$A),MATCH(C$1,[2]quests!$1:$1,0)-MATCH($B$1,[2]quests!$1:$1,0)+1),MATCH(C$1,[2]quests!$1:$1,0)-MATCH($B$1,[2]quests!$1:$1,0)+1,FALSE)</f>
        <v>宮本武蔵襲来！</v>
      </c>
      <c r="D77" s="56">
        <v>322</v>
      </c>
      <c r="E77" s="57" t="str">
        <f ca="1">VLOOKUP($D77,OFFSET([4]periods!$A$1,0,0,COUNTA([4]periods!$A:$A),MATCH(E$1,[4]periods!$1:$1,0)-MATCH($D$1,[4]periods!$1:$1,0)+1),MATCH(E$1,[4]periods!$1:$1,0)-MATCH($D$1,[4]periods!$1:$1,0)+1,FALSE)</f>
        <v>宮本武蔵襲来！！ 確率UP</v>
      </c>
      <c r="F77" s="57" t="str">
        <f ca="1">VLOOKUP($D77,OFFSET([4]periods!$A$1,0,0,COUNTA([4]periods!$A:$A),MATCH(F$1,[4]periods!$1:$1,0)-MATCH($D$1,[4]periods!$1:$1,0)+1),MATCH(F$1,[4]periods!$1:$1,0)-MATCH($D$1,[4]periods!$1:$1,0)+1,FALSE)</f>
        <v>2015-11-14 12:00:00</v>
      </c>
      <c r="G77" s="57" t="str">
        <f ca="1">VLOOKUP($D77,OFFSET([4]periods!$A$1,0,0,COUNTA([4]periods!$A:$A),MATCH(G$1,[4]periods!$1:$1,0)-MATCH($D$1,[4]periods!$1:$1,0)+1),MATCH(G$1,[4]periods!$1:$1,0)-MATCH($D$1,[4]periods!$1:$1,0)+1,FALSE)</f>
        <v>2015-11-14 14:59:59</v>
      </c>
      <c r="H77" s="58" t="s">
        <v>163</v>
      </c>
      <c r="I77" s="59">
        <v>2</v>
      </c>
      <c r="J77" s="59">
        <v>0</v>
      </c>
    </row>
    <row r="78" spans="1:10" ht="21" customHeight="1" x14ac:dyDescent="0.15">
      <c r="A78" s="53" t="str">
        <f t="shared" si="1"/>
        <v>30014_311</v>
      </c>
      <c r="B78" s="54">
        <v>30014</v>
      </c>
      <c r="C78" s="55" t="str">
        <f ca="1">VLOOKUP($B78,OFFSET([2]quests!$A$1,0,0,COUNTA([2]quests!$A:$A),MATCH(C$1,[2]quests!$1:$1,0)-MATCH($B$1,[2]quests!$1:$1,0)+1),MATCH(C$1,[2]quests!$1:$1,0)-MATCH($B$1,[2]quests!$1:$1,0)+1,FALSE)</f>
        <v>親指を突き立てろ！</v>
      </c>
      <c r="D78" s="56">
        <v>311</v>
      </c>
      <c r="E78" s="57" t="str">
        <f ca="1">VLOOKUP($D78,OFFSET([4]periods!$A$1,0,0,COUNTA([4]periods!$A:$A),MATCH(E$1,[4]periods!$1:$1,0)-MATCH($D$1,[4]periods!$1:$1,0)+1),MATCH(E$1,[4]periods!$1:$1,0)-MATCH($D$1,[4]periods!$1:$1,0)+1,FALSE)</f>
        <v>親指を突き立てろ！（カエデ） 3日目泥UP</v>
      </c>
      <c r="F78" s="57" t="str">
        <f ca="1">VLOOKUP($D78,OFFSET([4]periods!$A$1,0,0,COUNTA([4]periods!$A:$A),MATCH(F$1,[4]periods!$1:$1,0)-MATCH($D$1,[4]periods!$1:$1,0)+1),MATCH(F$1,[4]periods!$1:$1,0)-MATCH($D$1,[4]periods!$1:$1,0)+1,FALSE)</f>
        <v>2015-11-15 15:00:00</v>
      </c>
      <c r="G78" s="57" t="str">
        <f ca="1">VLOOKUP($D78,OFFSET([4]periods!$A$1,0,0,COUNTA([4]periods!$A:$A),MATCH(G$1,[4]periods!$1:$1,0)-MATCH($D$1,[4]periods!$1:$1,0)+1),MATCH(G$1,[4]periods!$1:$1,0)-MATCH($D$1,[4]periods!$1:$1,0)+1,FALSE)</f>
        <v>2015-11-15 21:00:00</v>
      </c>
      <c r="H78" s="58" t="s">
        <v>163</v>
      </c>
      <c r="I78" s="59">
        <v>1.5</v>
      </c>
      <c r="J78" s="59">
        <v>0</v>
      </c>
    </row>
    <row r="79" spans="1:10" ht="21" customHeight="1" x14ac:dyDescent="0.15">
      <c r="A79" s="53" t="str">
        <f t="shared" si="1"/>
        <v>30014_312</v>
      </c>
      <c r="B79" s="54">
        <v>30014</v>
      </c>
      <c r="C79" s="55" t="str">
        <f ca="1">VLOOKUP($B79,OFFSET([2]quests!$A$1,0,0,COUNTA([2]quests!$A:$A),MATCH(C$1,[2]quests!$1:$1,0)-MATCH($B$1,[2]quests!$1:$1,0)+1),MATCH(C$1,[2]quests!$1:$1,0)-MATCH($B$1,[2]quests!$1:$1,0)+1,FALSE)</f>
        <v>親指を突き立てろ！</v>
      </c>
      <c r="D79" s="56">
        <v>312</v>
      </c>
      <c r="E79" s="57" t="str">
        <f ca="1">VLOOKUP($D79,OFFSET([4]periods!$A$1,0,0,COUNTA([4]periods!$A:$A),MATCH(E$1,[4]periods!$1:$1,0)-MATCH($D$1,[4]periods!$1:$1,0)+1),MATCH(E$1,[4]periods!$1:$1,0)-MATCH($D$1,[4]periods!$1:$1,0)+1,FALSE)</f>
        <v>親指を突き立てろ！（カエデ） 最終日泥UP</v>
      </c>
      <c r="F79" s="57" t="str">
        <f ca="1">VLOOKUP($D79,OFFSET([4]periods!$A$1,0,0,COUNTA([4]periods!$A:$A),MATCH(F$1,[4]periods!$1:$1,0)-MATCH($D$1,[4]periods!$1:$1,0)+1),MATCH(F$1,[4]periods!$1:$1,0)-MATCH($D$1,[4]periods!$1:$1,0)+1,FALSE)</f>
        <v>2015-11-20 12:00:00</v>
      </c>
      <c r="G79" s="57" t="str">
        <f ca="1">VLOOKUP($D79,OFFSET([4]periods!$A$1,0,0,COUNTA([4]periods!$A:$A),MATCH(G$1,[4]periods!$1:$1,0)-MATCH($D$1,[4]periods!$1:$1,0)+1),MATCH(G$1,[4]periods!$1:$1,0)-MATCH($D$1,[4]periods!$1:$1,0)+1,FALSE)</f>
        <v>2015-11-20 14:59:59</v>
      </c>
      <c r="H79" s="58" t="s">
        <v>163</v>
      </c>
      <c r="I79" s="59">
        <v>1.5</v>
      </c>
      <c r="J79" s="59">
        <v>0</v>
      </c>
    </row>
    <row r="80" spans="1:10" ht="21" customHeight="1" x14ac:dyDescent="0.15">
      <c r="A80" s="53" t="str">
        <f t="shared" si="1"/>
        <v>30015_331</v>
      </c>
      <c r="B80" s="54">
        <v>30015</v>
      </c>
      <c r="C80" s="55" t="str">
        <f ca="1">VLOOKUP($B80,OFFSET([2]quests!$A$1,0,0,COUNTA([2]quests!$A:$A),MATCH(C$1,[2]quests!$1:$1,0)-MATCH($B$1,[2]quests!$1:$1,0)+1),MATCH(C$1,[2]quests!$1:$1,0)-MATCH($B$1,[2]quests!$1:$1,0)+1,FALSE)</f>
        <v>兄妹の大冒険</v>
      </c>
      <c r="D80" s="56">
        <v>331</v>
      </c>
      <c r="E80" s="57" t="str">
        <f ca="1">VLOOKUP($D80,OFFSET([4]periods!$A$1,0,0,COUNTA([4]periods!$A:$A),MATCH(E$1,[4]periods!$1:$1,0)-MATCH($D$1,[4]periods!$1:$1,0)+1),MATCH(E$1,[4]periods!$1:$1,0)-MATCH($D$1,[4]periods!$1:$1,0)+1,FALSE)</f>
        <v>兄妹の大冒険（シュガフル）3日目泥UP</v>
      </c>
      <c r="F80" s="57" t="str">
        <f ca="1">VLOOKUP($D80,OFFSET([4]periods!$A$1,0,0,COUNTA([4]periods!$A:$A),MATCH(F$1,[4]periods!$1:$1,0)-MATCH($D$1,[4]periods!$1:$1,0)+1),MATCH(F$1,[4]periods!$1:$1,0)-MATCH($D$1,[4]periods!$1:$1,0)+1,FALSE)</f>
        <v>2015-11-22 15:00:00</v>
      </c>
      <c r="G80" s="57" t="str">
        <f ca="1">VLOOKUP($D80,OFFSET([4]periods!$A$1,0,0,COUNTA([4]periods!$A:$A),MATCH(G$1,[4]periods!$1:$1,0)-MATCH($D$1,[4]periods!$1:$1,0)+1),MATCH(G$1,[4]periods!$1:$1,0)-MATCH($D$1,[4]periods!$1:$1,0)+1,FALSE)</f>
        <v>2015-11-22 21:00:00</v>
      </c>
      <c r="H80" s="58" t="s">
        <v>163</v>
      </c>
      <c r="I80" s="59">
        <v>1.5</v>
      </c>
      <c r="J80" s="59">
        <v>0</v>
      </c>
    </row>
    <row r="81" spans="1:10" ht="21" customHeight="1" x14ac:dyDescent="0.15">
      <c r="A81" s="53" t="str">
        <f t="shared" si="1"/>
        <v>30015_332</v>
      </c>
      <c r="B81" s="54">
        <v>30015</v>
      </c>
      <c r="C81" s="55" t="str">
        <f ca="1">VLOOKUP($B81,OFFSET([2]quests!$A$1,0,0,COUNTA([2]quests!$A:$A),MATCH(C$1,[2]quests!$1:$1,0)-MATCH($B$1,[2]quests!$1:$1,0)+1),MATCH(C$1,[2]quests!$1:$1,0)-MATCH($B$1,[2]quests!$1:$1,0)+1,FALSE)</f>
        <v>兄妹の大冒険</v>
      </c>
      <c r="D81" s="56">
        <v>332</v>
      </c>
      <c r="E81" s="57" t="str">
        <f ca="1">VLOOKUP($D81,OFFSET([4]periods!$A$1,0,0,COUNTA([4]periods!$A:$A),MATCH(E$1,[4]periods!$1:$1,0)-MATCH($D$1,[4]periods!$1:$1,0)+1),MATCH(E$1,[4]periods!$1:$1,0)-MATCH($D$1,[4]periods!$1:$1,0)+1,FALSE)</f>
        <v>兄妹の大冒険（シュガフル） 最終日泥UP</v>
      </c>
      <c r="F81" s="57" t="str">
        <f ca="1">VLOOKUP($D81,OFFSET([4]periods!$A$1,0,0,COUNTA([4]periods!$A:$A),MATCH(F$1,[4]periods!$1:$1,0)-MATCH($D$1,[4]periods!$1:$1,0)+1),MATCH(F$1,[4]periods!$1:$1,0)-MATCH($D$1,[4]periods!$1:$1,0)+1,FALSE)</f>
        <v>2015-11-27 12:00:00</v>
      </c>
      <c r="G81" s="57" t="str">
        <f ca="1">VLOOKUP($D81,OFFSET([4]periods!$A$1,0,0,COUNTA([4]periods!$A:$A),MATCH(G$1,[4]periods!$1:$1,0)-MATCH($D$1,[4]periods!$1:$1,0)+1),MATCH(G$1,[4]periods!$1:$1,0)-MATCH($D$1,[4]periods!$1:$1,0)+1,FALSE)</f>
        <v>2015-11-27 14:59:59</v>
      </c>
      <c r="H81" s="58" t="s">
        <v>163</v>
      </c>
      <c r="I81" s="59">
        <v>1.5</v>
      </c>
      <c r="J81" s="59">
        <v>0</v>
      </c>
    </row>
    <row r="82" spans="1:10" ht="21" customHeight="1" x14ac:dyDescent="0.15">
      <c r="A82" s="53" t="str">
        <f t="shared" si="1"/>
        <v>30016_341</v>
      </c>
      <c r="B82" s="54">
        <v>30016</v>
      </c>
      <c r="C82" s="55" t="str">
        <f ca="1">VLOOKUP($B82,OFFSET([2]quests!$A$1,0,0,COUNTA([2]quests!$A:$A),MATCH(C$1,[2]quests!$1:$1,0)-MATCH($B$1,[2]quests!$1:$1,0)+1),MATCH(C$1,[2]quests!$1:$1,0)-MATCH($B$1,[2]quests!$1:$1,0)+1,FALSE)</f>
        <v>私がワニの天敵よ？</v>
      </c>
      <c r="D82" s="56">
        <v>341</v>
      </c>
      <c r="E82" s="57" t="str">
        <f ca="1">VLOOKUP($D82,OFFSET([4]periods!$A$1,0,0,COUNTA([4]periods!$A:$A),MATCH(E$1,[4]periods!$1:$1,0)-MATCH($D$1,[4]periods!$1:$1,0)+1),MATCH(E$1,[4]periods!$1:$1,0)-MATCH($D$1,[4]periods!$1:$1,0)+1,FALSE)</f>
        <v>私がワニの天敵よ（フック）3日目泥UP</v>
      </c>
      <c r="F82" s="57" t="str">
        <f ca="1">VLOOKUP($D82,OFFSET([4]periods!$A$1,0,0,COUNTA([4]periods!$A:$A),MATCH(F$1,[4]periods!$1:$1,0)-MATCH($D$1,[4]periods!$1:$1,0)+1),MATCH(F$1,[4]periods!$1:$1,0)-MATCH($D$1,[4]periods!$1:$1,0)+1,FALSE)</f>
        <v>2015-11-29 15:00:00</v>
      </c>
      <c r="G82" s="57" t="str">
        <f ca="1">VLOOKUP($D82,OFFSET([4]periods!$A$1,0,0,COUNTA([4]periods!$A:$A),MATCH(G$1,[4]periods!$1:$1,0)-MATCH($D$1,[4]periods!$1:$1,0)+1),MATCH(G$1,[4]periods!$1:$1,0)-MATCH($D$1,[4]periods!$1:$1,0)+1,FALSE)</f>
        <v>2015-11-29 21:00:00</v>
      </c>
      <c r="H82" s="58" t="s">
        <v>163</v>
      </c>
      <c r="I82" s="59">
        <v>1.5</v>
      </c>
      <c r="J82" s="59">
        <v>0</v>
      </c>
    </row>
    <row r="83" spans="1:10" ht="21" customHeight="1" x14ac:dyDescent="0.15">
      <c r="A83" s="53" t="str">
        <f t="shared" si="1"/>
        <v>30016_342</v>
      </c>
      <c r="B83" s="54">
        <v>30016</v>
      </c>
      <c r="C83" s="55" t="str">
        <f ca="1">VLOOKUP($B83,OFFSET([2]quests!$A$1,0,0,COUNTA([2]quests!$A:$A),MATCH(C$1,[2]quests!$1:$1,0)-MATCH($B$1,[2]quests!$1:$1,0)+1),MATCH(C$1,[2]quests!$1:$1,0)-MATCH($B$1,[2]quests!$1:$1,0)+1,FALSE)</f>
        <v>私がワニの天敵よ？</v>
      </c>
      <c r="D83" s="56">
        <v>342</v>
      </c>
      <c r="E83" s="57" t="str">
        <f ca="1">VLOOKUP($D83,OFFSET([4]periods!$A$1,0,0,COUNTA([4]periods!$A:$A),MATCH(E$1,[4]periods!$1:$1,0)-MATCH($D$1,[4]periods!$1:$1,0)+1),MATCH(E$1,[4]periods!$1:$1,0)-MATCH($D$1,[4]periods!$1:$1,0)+1,FALSE)</f>
        <v>私がワニの天敵よ（フック） 最終日泥UP</v>
      </c>
      <c r="F83" s="57" t="str">
        <f ca="1">VLOOKUP($D83,OFFSET([4]periods!$A$1,0,0,COUNTA([4]periods!$A:$A),MATCH(F$1,[4]periods!$1:$1,0)-MATCH($D$1,[4]periods!$1:$1,0)+1),MATCH(F$1,[4]periods!$1:$1,0)-MATCH($D$1,[4]periods!$1:$1,0)+1,FALSE)</f>
        <v>2015-12-04 12:00:00</v>
      </c>
      <c r="G83" s="57" t="str">
        <f ca="1">VLOOKUP($D83,OFFSET([4]periods!$A$1,0,0,COUNTA([4]periods!$A:$A),MATCH(G$1,[4]periods!$1:$1,0)-MATCH($D$1,[4]periods!$1:$1,0)+1),MATCH(G$1,[4]periods!$1:$1,0)-MATCH($D$1,[4]periods!$1:$1,0)+1,FALSE)</f>
        <v>2015-12-04 14:59:59</v>
      </c>
      <c r="H83" s="58" t="s">
        <v>163</v>
      </c>
      <c r="I83" s="59">
        <v>1.5</v>
      </c>
      <c r="J83" s="59">
        <v>0</v>
      </c>
    </row>
    <row r="84" spans="1:10" ht="21" customHeight="1" x14ac:dyDescent="0.15">
      <c r="A84" s="53" t="str">
        <f t="shared" si="1"/>
        <v>30017_0</v>
      </c>
      <c r="B84" s="54">
        <v>30017</v>
      </c>
      <c r="C84" s="55" t="str">
        <f ca="1">VLOOKUP($B84,OFFSET([2]quests!$A$1,0,0,COUNTA([2]quests!$A:$A),MATCH(C$1,[2]quests!$1:$1,0)-MATCH($B$1,[2]quests!$1:$1,0)+1),MATCH(C$1,[2]quests!$1:$1,0)-MATCH($B$1,[2]quests!$1:$1,0)+1,FALSE)</f>
        <v>狩人の挽歌</v>
      </c>
      <c r="D84" s="56">
        <v>0</v>
      </c>
      <c r="E84" s="57" t="str">
        <f ca="1">VLOOKUP($D84,OFFSET([4]periods!$A$1,0,0,COUNTA([4]periods!$A:$A),MATCH(E$1,[4]periods!$1:$1,0)-MATCH($D$1,[4]periods!$1:$1,0)+1),MATCH(E$1,[4]periods!$1:$1,0)-MATCH($D$1,[4]periods!$1:$1,0)+1,FALSE)</f>
        <v>無期限</v>
      </c>
      <c r="F84" s="61" t="s">
        <v>168</v>
      </c>
      <c r="G84" s="61" t="s">
        <v>169</v>
      </c>
      <c r="H84" s="58" t="s">
        <v>170</v>
      </c>
      <c r="I84" s="59">
        <v>1.5</v>
      </c>
      <c r="J84" s="59">
        <v>0</v>
      </c>
    </row>
    <row r="85" spans="1:10" ht="21" customHeight="1" x14ac:dyDescent="0.15">
      <c r="A85" s="53" t="str">
        <f t="shared" si="1"/>
        <v>30018_0</v>
      </c>
      <c r="B85" s="54">
        <v>30018</v>
      </c>
      <c r="C85" s="55" t="str">
        <f ca="1">VLOOKUP($B85,OFFSET([2]quests!$A$1,0,0,COUNTA([2]quests!$A:$A),MATCH(C$1,[2]quests!$1:$1,0)-MATCH($B$1,[2]quests!$1:$1,0)+1),MATCH(C$1,[2]quests!$1:$1,0)-MATCH($B$1,[2]quests!$1:$1,0)+1,FALSE)</f>
        <v>バックストリートファイト</v>
      </c>
      <c r="D85" s="56">
        <v>0</v>
      </c>
      <c r="E85" s="57" t="str">
        <f ca="1">VLOOKUP($D85,OFFSET([4]periods!$A$1,0,0,COUNTA([4]periods!$A:$A),MATCH(E$1,[4]periods!$1:$1,0)-MATCH($D$1,[4]periods!$1:$1,0)+1),MATCH(E$1,[4]periods!$1:$1,0)-MATCH($D$1,[4]periods!$1:$1,0)+1,FALSE)</f>
        <v>無期限</v>
      </c>
      <c r="F85" s="61" t="s">
        <v>171</v>
      </c>
      <c r="G85" s="61" t="s">
        <v>172</v>
      </c>
      <c r="H85" s="58" t="s">
        <v>161</v>
      </c>
      <c r="I85" s="59">
        <v>1.5</v>
      </c>
      <c r="J85" s="59">
        <v>0</v>
      </c>
    </row>
    <row r="86" spans="1:10" ht="21" customHeight="1" x14ac:dyDescent="0.15">
      <c r="A86" s="53" t="str">
        <f t="shared" si="1"/>
        <v>30019_0</v>
      </c>
      <c r="B86" s="54">
        <v>30019</v>
      </c>
      <c r="C86" s="55" t="str">
        <f ca="1">VLOOKUP($B86,OFFSET([2]quests!$A$1,0,0,COUNTA([2]quests!$A:$A),MATCH(C$1,[2]quests!$1:$1,0)-MATCH($B$1,[2]quests!$1:$1,0)+1),MATCH(C$1,[2]quests!$1:$1,0)-MATCH($B$1,[2]quests!$1:$1,0)+1,FALSE)</f>
        <v>狙撃は終わらない</v>
      </c>
      <c r="D86" s="56">
        <v>0</v>
      </c>
      <c r="E86" s="57" t="str">
        <f ca="1">VLOOKUP($D86,OFFSET([4]periods!$A$1,0,0,COUNTA([4]periods!$A:$A),MATCH(E$1,[4]periods!$1:$1,0)-MATCH($D$1,[4]periods!$1:$1,0)+1),MATCH(E$1,[4]periods!$1:$1,0)-MATCH($D$1,[4]periods!$1:$1,0)+1,FALSE)</f>
        <v>無期限</v>
      </c>
      <c r="F86" s="61" t="s">
        <v>173</v>
      </c>
      <c r="G86" s="61" t="s">
        <v>174</v>
      </c>
      <c r="H86" s="58" t="s">
        <v>161</v>
      </c>
      <c r="I86" s="59">
        <v>1.5</v>
      </c>
      <c r="J86" s="59">
        <v>0</v>
      </c>
    </row>
    <row r="87" spans="1:10" ht="21" customHeight="1" x14ac:dyDescent="0.15">
      <c r="A87" s="53" t="str">
        <f t="shared" si="1"/>
        <v>40005_0</v>
      </c>
      <c r="B87" s="54">
        <v>40005</v>
      </c>
      <c r="C87" s="55" t="str">
        <f ca="1">VLOOKUP($B87,OFFSET([2]quests!$A$1,0,0,COUNTA([2]quests!$A:$A),MATCH(C$1,[2]quests!$1:$1,0)-MATCH($B$1,[2]quests!$1:$1,0)+1),MATCH(C$1,[2]quests!$1:$1,0)-MATCH($B$1,[2]quests!$1:$1,0)+1,FALSE)</f>
        <v>オズ襲来！</v>
      </c>
      <c r="D87" s="56">
        <v>0</v>
      </c>
      <c r="E87" s="57" t="str">
        <f ca="1">VLOOKUP($D87,OFFSET([4]periods!$A$1,0,0,COUNTA([4]periods!$A:$A),MATCH(E$1,[4]periods!$1:$1,0)-MATCH($D$1,[4]periods!$1:$1,0)+1),MATCH(E$1,[4]periods!$1:$1,0)-MATCH($D$1,[4]periods!$1:$1,0)+1,FALSE)</f>
        <v>無期限</v>
      </c>
      <c r="F87" s="61" t="s">
        <v>175</v>
      </c>
      <c r="G87" s="61" t="s">
        <v>176</v>
      </c>
      <c r="H87" s="58" t="s">
        <v>161</v>
      </c>
      <c r="I87" s="59">
        <v>2</v>
      </c>
      <c r="J87" s="59">
        <v>0</v>
      </c>
    </row>
    <row r="88" spans="1:10" ht="21" customHeight="1" x14ac:dyDescent="0.15">
      <c r="A88" s="53" t="str">
        <f t="shared" si="1"/>
        <v>40005_1</v>
      </c>
      <c r="B88" s="54">
        <v>40005</v>
      </c>
      <c r="C88" s="55" t="str">
        <f ca="1">VLOOKUP($B88,OFFSET([2]quests!$A$1,0,0,COUNTA([2]quests!$A:$A),MATCH(C$1,[2]quests!$1:$1,0)-MATCH($B$1,[2]quests!$1:$1,0)+1),MATCH(C$1,[2]quests!$1:$1,0)-MATCH($B$1,[2]quests!$1:$1,0)+1,FALSE)</f>
        <v>オズ襲来！</v>
      </c>
      <c r="D88" s="56">
        <v>1</v>
      </c>
      <c r="E88" s="57"/>
      <c r="F88" s="61" t="s">
        <v>177</v>
      </c>
      <c r="G88" s="61" t="s">
        <v>178</v>
      </c>
      <c r="H88" s="58" t="s">
        <v>161</v>
      </c>
      <c r="I88" s="59">
        <v>2</v>
      </c>
      <c r="J88" s="59">
        <v>0</v>
      </c>
    </row>
    <row r="89" spans="1:10" ht="21" customHeight="1" x14ac:dyDescent="0.15">
      <c r="A89" s="53" t="str">
        <f t="shared" si="1"/>
        <v>30020_0</v>
      </c>
      <c r="B89" s="54">
        <v>30020</v>
      </c>
      <c r="C89" s="55" t="str">
        <f ca="1">VLOOKUP($B89,OFFSET([2]quests!$A$1,0,0,COUNTA([2]quests!$A:$A),MATCH(C$1,[2]quests!$1:$1,0)-MATCH($B$1,[2]quests!$1:$1,0)+1),MATCH(C$1,[2]quests!$1:$1,0)-MATCH($B$1,[2]quests!$1:$1,0)+1,FALSE)</f>
        <v>若造よ、身の程を知れ</v>
      </c>
      <c r="D89" s="56">
        <v>0</v>
      </c>
      <c r="E89" s="57" t="str">
        <f ca="1">VLOOKUP($D89,OFFSET([4]periods!$A$1,0,0,COUNTA([4]periods!$A:$A),MATCH(E$1,[4]periods!$1:$1,0)-MATCH($D$1,[4]periods!$1:$1,0)+1),MATCH(E$1,[4]periods!$1:$1,0)-MATCH($D$1,[4]periods!$1:$1,0)+1,FALSE)</f>
        <v>無期限</v>
      </c>
      <c r="F89" s="61" t="s">
        <v>179</v>
      </c>
      <c r="G89" s="61" t="s">
        <v>180</v>
      </c>
      <c r="H89" s="58" t="s">
        <v>161</v>
      </c>
      <c r="I89" s="59">
        <v>1.5</v>
      </c>
      <c r="J89" s="59">
        <v>0</v>
      </c>
    </row>
    <row r="90" spans="1:10" ht="21" customHeight="1" x14ac:dyDescent="0.15">
      <c r="A90" s="53" t="str">
        <f t="shared" si="1"/>
        <v>40006_0</v>
      </c>
      <c r="B90" s="54">
        <v>40006</v>
      </c>
      <c r="C90" s="55" t="str">
        <f ca="1">VLOOKUP($B90,OFFSET([2]quests!$A$1,0,0,COUNTA([2]quests!$A:$A),MATCH(C$1,[2]quests!$1:$1,0)-MATCH($B$1,[2]quests!$1:$1,0)+1),MATCH(C$1,[2]quests!$1:$1,0)-MATCH($B$1,[2]quests!$1:$1,0)+1,FALSE)</f>
        <v>アーサー襲来！</v>
      </c>
      <c r="D90" s="56">
        <v>0</v>
      </c>
      <c r="E90" s="57" t="str">
        <f ca="1">VLOOKUP($D90,OFFSET([4]periods!$A$1,0,0,COUNTA([4]periods!$A:$A),MATCH(E$1,[4]periods!$1:$1,0)-MATCH($D$1,[4]periods!$1:$1,0)+1),MATCH(E$1,[4]periods!$1:$1,0)-MATCH($D$1,[4]periods!$1:$1,0)+1,FALSE)</f>
        <v>無期限</v>
      </c>
      <c r="F90" s="61" t="s">
        <v>181</v>
      </c>
      <c r="G90" s="61" t="s">
        <v>180</v>
      </c>
      <c r="H90" s="58" t="s">
        <v>161</v>
      </c>
      <c r="I90" s="59">
        <v>2</v>
      </c>
      <c r="J90" s="59">
        <v>0</v>
      </c>
    </row>
    <row r="91" spans="1:10" ht="21" customHeight="1" x14ac:dyDescent="0.15">
      <c r="A91" s="53" t="str">
        <f t="shared" si="1"/>
        <v>40006_1</v>
      </c>
      <c r="B91" s="54">
        <v>40006</v>
      </c>
      <c r="C91" s="55" t="str">
        <f ca="1">VLOOKUP($B91,OFFSET([2]quests!$A$1,0,0,COUNTA([2]quests!$A:$A),MATCH(C$1,[2]quests!$1:$1,0)-MATCH($B$1,[2]quests!$1:$1,0)+1),MATCH(C$1,[2]quests!$1:$1,0)-MATCH($B$1,[2]quests!$1:$1,0)+1,FALSE)</f>
        <v>アーサー襲来！</v>
      </c>
      <c r="D91" s="56">
        <v>1</v>
      </c>
      <c r="E91" s="57"/>
      <c r="F91" s="61" t="s">
        <v>182</v>
      </c>
      <c r="G91" s="61" t="s">
        <v>183</v>
      </c>
      <c r="H91" s="58" t="s">
        <v>161</v>
      </c>
      <c r="I91" s="59">
        <v>2</v>
      </c>
      <c r="J91" s="59">
        <v>0</v>
      </c>
    </row>
    <row r="92" spans="1:10" ht="21" customHeight="1" x14ac:dyDescent="0.15">
      <c r="A92" s="53" t="str">
        <f t="shared" si="1"/>
        <v>30021_0</v>
      </c>
      <c r="B92" s="54">
        <v>30021</v>
      </c>
      <c r="C92" s="55" t="str">
        <f ca="1">VLOOKUP($B92,OFFSET([2]quests!$A$1,0,0,COUNTA([2]quests!$A:$A),MATCH(C$1,[2]quests!$1:$1,0)-MATCH($B$1,[2]quests!$1:$1,0)+1),MATCH(C$1,[2]quests!$1:$1,0)-MATCH($B$1,[2]quests!$1:$1,0)+1,FALSE)</f>
        <v>野獣死すべしっ！</v>
      </c>
      <c r="D92" s="56">
        <v>0</v>
      </c>
      <c r="E92" s="57" t="str">
        <f ca="1">VLOOKUP($D92,OFFSET([4]periods!$A$1,0,0,COUNTA([4]periods!$A:$A),MATCH(E$1,[4]periods!$1:$1,0)-MATCH($D$1,[4]periods!$1:$1,0)+1),MATCH(E$1,[4]periods!$1:$1,0)-MATCH($D$1,[4]periods!$1:$1,0)+1,FALSE)</f>
        <v>無期限</v>
      </c>
      <c r="F92" s="61" t="s">
        <v>184</v>
      </c>
      <c r="G92" s="61" t="s">
        <v>185</v>
      </c>
      <c r="H92" s="58" t="s">
        <v>161</v>
      </c>
      <c r="I92" s="59">
        <v>1.5</v>
      </c>
      <c r="J92" s="59">
        <v>0</v>
      </c>
    </row>
    <row r="93" spans="1:10" ht="21" customHeight="1" x14ac:dyDescent="0.15">
      <c r="A93" s="53" t="str">
        <f t="shared" si="1"/>
        <v>30022_0</v>
      </c>
      <c r="B93" s="54">
        <v>30022</v>
      </c>
      <c r="C93" s="55" t="str">
        <f ca="1">VLOOKUP($B93,OFFSET([2]quests!$A$1,0,0,COUNTA([2]quests!$A:$A),MATCH(C$1,[2]quests!$1:$1,0)-MATCH($B$1,[2]quests!$1:$1,0)+1),MATCH(C$1,[2]quests!$1:$1,0)-MATCH($B$1,[2]quests!$1:$1,0)+1,FALSE)</f>
        <v>凶鼠ネコを咬む</v>
      </c>
      <c r="D93" s="56">
        <v>0</v>
      </c>
      <c r="E93" s="57" t="str">
        <f ca="1">VLOOKUP($D93,OFFSET([4]periods!$A$1,0,0,COUNTA([4]periods!$A:$A),MATCH(E$1,[4]periods!$1:$1,0)-MATCH($D$1,[4]periods!$1:$1,0)+1),MATCH(E$1,[4]periods!$1:$1,0)-MATCH($D$1,[4]periods!$1:$1,0)+1,FALSE)</f>
        <v>無期限</v>
      </c>
      <c r="F93" s="61" t="s">
        <v>186</v>
      </c>
      <c r="G93" s="61" t="s">
        <v>187</v>
      </c>
      <c r="H93" s="58" t="s">
        <v>188</v>
      </c>
      <c r="I93" s="59">
        <v>1.5</v>
      </c>
      <c r="J93" s="59">
        <v>0</v>
      </c>
    </row>
    <row r="94" spans="1:10" ht="21" customHeight="1" x14ac:dyDescent="0.15">
      <c r="A94" s="53" t="str">
        <f t="shared" si="1"/>
        <v>40007_0</v>
      </c>
      <c r="B94" s="54">
        <v>40007</v>
      </c>
      <c r="C94" s="55" t="str">
        <f ca="1">VLOOKUP($B94,OFFSET([2]quests!$A$1,0,0,COUNTA([2]quests!$A:$A),MATCH(C$1,[2]quests!$1:$1,0)-MATCH($B$1,[2]quests!$1:$1,0)+1),MATCH(C$1,[2]quests!$1:$1,0)-MATCH($B$1,[2]quests!$1:$1,0)+1,FALSE)</f>
        <v>グリム襲来！</v>
      </c>
      <c r="D94" s="56">
        <v>0</v>
      </c>
      <c r="E94" s="57" t="str">
        <f ca="1">VLOOKUP($D94,OFFSET([4]periods!$A$1,0,0,COUNTA([4]periods!$A:$A),MATCH(E$1,[4]periods!$1:$1,0)-MATCH($D$1,[4]periods!$1:$1,0)+1),MATCH(E$1,[4]periods!$1:$1,0)-MATCH($D$1,[4]periods!$1:$1,0)+1,FALSE)</f>
        <v>無期限</v>
      </c>
      <c r="F94" s="61" t="s">
        <v>189</v>
      </c>
      <c r="G94" s="61" t="s">
        <v>190</v>
      </c>
      <c r="H94" s="58" t="s">
        <v>191</v>
      </c>
      <c r="I94" s="59">
        <v>2</v>
      </c>
      <c r="J94" s="59">
        <v>0</v>
      </c>
    </row>
    <row r="95" spans="1:10" ht="21" customHeight="1" x14ac:dyDescent="0.15">
      <c r="A95" s="53" t="str">
        <f t="shared" si="1"/>
        <v>40007_1</v>
      </c>
      <c r="B95" s="54">
        <v>40007</v>
      </c>
      <c r="C95" s="55" t="str">
        <f ca="1">VLOOKUP($B95,OFFSET([2]quests!$A$1,0,0,COUNTA([2]quests!$A:$A),MATCH(C$1,[2]quests!$1:$1,0)-MATCH($B$1,[2]quests!$1:$1,0)+1),MATCH(C$1,[2]quests!$1:$1,0)-MATCH($B$1,[2]quests!$1:$1,0)+1,FALSE)</f>
        <v>グリム襲来！</v>
      </c>
      <c r="D95" s="56">
        <v>1</v>
      </c>
      <c r="E95" s="57"/>
      <c r="F95" s="61" t="s">
        <v>192</v>
      </c>
      <c r="G95" s="61" t="s">
        <v>193</v>
      </c>
      <c r="H95" s="58" t="s">
        <v>161</v>
      </c>
      <c r="I95" s="59">
        <v>2</v>
      </c>
      <c r="J95" s="59">
        <v>0</v>
      </c>
    </row>
    <row r="96" spans="1:10" ht="21" customHeight="1" x14ac:dyDescent="0.15">
      <c r="A96" s="53" t="str">
        <f t="shared" si="1"/>
        <v>30023_0</v>
      </c>
      <c r="B96" s="54">
        <v>30023</v>
      </c>
      <c r="C96" s="55" t="str">
        <f ca="1">VLOOKUP($B96,OFFSET([2]quests!$A$1,0,0,COUNTA([2]quests!$A:$A),MATCH(C$1,[2]quests!$1:$1,0)-MATCH($B$1,[2]quests!$1:$1,0)+1),MATCH(C$1,[2]quests!$1:$1,0)-MATCH($B$1,[2]quests!$1:$1,0)+1,FALSE)</f>
        <v>隔離からのエスケイプ</v>
      </c>
      <c r="D96" s="56">
        <v>0</v>
      </c>
      <c r="E96" s="57"/>
      <c r="F96" s="61" t="s">
        <v>194</v>
      </c>
      <c r="G96" s="61" t="s">
        <v>195</v>
      </c>
      <c r="H96" s="58" t="s">
        <v>196</v>
      </c>
      <c r="I96" s="59">
        <v>1.5</v>
      </c>
      <c r="J96" s="59">
        <v>0</v>
      </c>
    </row>
    <row r="97" spans="1:10" ht="21" customHeight="1" x14ac:dyDescent="0.15">
      <c r="A97" s="53" t="str">
        <f t="shared" si="1"/>
        <v>40008_0</v>
      </c>
      <c r="B97" s="54">
        <v>40008</v>
      </c>
      <c r="C97" s="55" t="str">
        <f ca="1">VLOOKUP($B97,OFFSET([2]quests!$A$1,0,0,COUNTA([2]quests!$A:$A),MATCH(C$1,[2]quests!$1:$1,0)-MATCH($B$1,[2]quests!$1:$1,0)+1),MATCH(C$1,[2]quests!$1:$1,0)-MATCH($B$1,[2]quests!$1:$1,0)+1,FALSE)</f>
        <v>Gスター襲来！</v>
      </c>
      <c r="D97" s="56">
        <v>0</v>
      </c>
      <c r="E97" s="57" t="str">
        <f ca="1">VLOOKUP($D97,OFFSET([4]periods!$A$1,0,0,COUNTA([4]periods!$A:$A),MATCH(E$1,[4]periods!$1:$1,0)-MATCH($D$1,[4]periods!$1:$1,0)+1),MATCH(E$1,[4]periods!$1:$1,0)-MATCH($D$1,[4]periods!$1:$1,0)+1,FALSE)</f>
        <v>無期限</v>
      </c>
      <c r="F97" s="61" t="s">
        <v>216</v>
      </c>
      <c r="G97" s="61" t="s">
        <v>217</v>
      </c>
      <c r="H97" s="58" t="s">
        <v>160</v>
      </c>
      <c r="I97" s="59">
        <v>2</v>
      </c>
      <c r="J97" s="59">
        <v>0</v>
      </c>
    </row>
    <row r="98" spans="1:10" ht="21" customHeight="1" x14ac:dyDescent="0.15">
      <c r="A98" s="53" t="str">
        <f t="shared" si="1"/>
        <v>40008_1</v>
      </c>
      <c r="B98" s="54">
        <v>40008</v>
      </c>
      <c r="C98" s="55" t="str">
        <f ca="1">VLOOKUP($B98,OFFSET([2]quests!$A$1,0,0,COUNTA([2]quests!$A:$A),MATCH(C$1,[2]quests!$1:$1,0)-MATCH($B$1,[2]quests!$1:$1,0)+1),MATCH(C$1,[2]quests!$1:$1,0)-MATCH($B$1,[2]quests!$1:$1,0)+1,FALSE)</f>
        <v>Gスター襲来！</v>
      </c>
      <c r="D98" s="56">
        <v>1</v>
      </c>
      <c r="E98" s="57"/>
      <c r="F98" s="61" t="s">
        <v>223</v>
      </c>
      <c r="G98" s="61" t="s">
        <v>224</v>
      </c>
      <c r="H98" s="58" t="s">
        <v>160</v>
      </c>
      <c r="I98" s="59">
        <v>2</v>
      </c>
      <c r="J98" s="59">
        <v>0</v>
      </c>
    </row>
    <row r="99" spans="1:10" ht="21" customHeight="1" x14ac:dyDescent="0.15">
      <c r="A99" s="53" t="str">
        <f t="shared" si="1"/>
        <v>39001_0</v>
      </c>
      <c r="B99" s="54">
        <v>39001</v>
      </c>
      <c r="C99" s="55" t="str">
        <f ca="1">VLOOKUP($B99,OFFSET([2]quests!$A$1,0,0,COUNTA([2]quests!$A:$A),MATCH(C$1,[2]quests!$1:$1,0)-MATCH($B$1,[2]quests!$1:$1,0)+1),MATCH(C$1,[2]quests!$1:$1,0)-MATCH($B$1,[2]quests!$1:$1,0)+1,FALSE)</f>
        <v>雪の歌姫</v>
      </c>
      <c r="D99" s="56">
        <v>0</v>
      </c>
      <c r="E99" s="57"/>
      <c r="F99" s="61" t="s">
        <v>203</v>
      </c>
      <c r="G99" s="61" t="s">
        <v>204</v>
      </c>
      <c r="H99" s="58" t="s">
        <v>160</v>
      </c>
      <c r="I99" s="59">
        <v>2</v>
      </c>
      <c r="J99" s="59">
        <v>0</v>
      </c>
    </row>
    <row r="100" spans="1:10" ht="21" customHeight="1" x14ac:dyDescent="0.15">
      <c r="A100" s="53" t="str">
        <f t="shared" ref="A100:A105" si="2">B100&amp;"_"&amp;D100</f>
        <v>39001_1</v>
      </c>
      <c r="B100" s="54">
        <v>39001</v>
      </c>
      <c r="C100" s="55" t="str">
        <f ca="1">VLOOKUP($B100,OFFSET([2]quests!$A$1,0,0,COUNTA([2]quests!$A:$A),MATCH(C$1,[2]quests!$1:$1,0)-MATCH($B$1,[2]quests!$1:$1,0)+1),MATCH(C$1,[2]quests!$1:$1,0)-MATCH($B$1,[2]quests!$1:$1,0)+1,FALSE)</f>
        <v>雪の歌姫</v>
      </c>
      <c r="D100" s="56">
        <v>1</v>
      </c>
      <c r="E100" s="57"/>
      <c r="F100" s="61" t="s">
        <v>205</v>
      </c>
      <c r="G100" s="61" t="s">
        <v>206</v>
      </c>
      <c r="H100" s="58" t="s">
        <v>166</v>
      </c>
      <c r="I100" s="59">
        <v>0.5</v>
      </c>
      <c r="J100" s="59">
        <v>0</v>
      </c>
    </row>
    <row r="101" spans="1:10" ht="21" customHeight="1" x14ac:dyDescent="0.15">
      <c r="A101" s="53" t="str">
        <f t="shared" si="2"/>
        <v>39001_2</v>
      </c>
      <c r="B101" s="54">
        <v>39001</v>
      </c>
      <c r="C101" s="55" t="str">
        <f ca="1">VLOOKUP($B101,OFFSET([2]quests!$A$1,0,0,COUNTA([2]quests!$A:$A),MATCH(C$1,[2]quests!$1:$1,0)-MATCH($B$1,[2]quests!$1:$1,0)+1),MATCH(C$1,[2]quests!$1:$1,0)-MATCH($B$1,[2]quests!$1:$1,0)+1,FALSE)</f>
        <v>雪の歌姫</v>
      </c>
      <c r="D101" s="56">
        <v>2</v>
      </c>
      <c r="E101" s="57"/>
      <c r="F101" s="61" t="s">
        <v>207</v>
      </c>
      <c r="G101" s="61" t="s">
        <v>208</v>
      </c>
      <c r="H101" s="58" t="s">
        <v>160</v>
      </c>
      <c r="I101" s="59">
        <v>2</v>
      </c>
      <c r="J101" s="59">
        <v>0</v>
      </c>
    </row>
    <row r="102" spans="1:10" ht="21" customHeight="1" x14ac:dyDescent="0.15">
      <c r="A102" s="53" t="str">
        <f t="shared" si="2"/>
        <v>39001_3</v>
      </c>
      <c r="B102" s="54">
        <v>39001</v>
      </c>
      <c r="C102" s="55" t="str">
        <f ca="1">VLOOKUP($B102,OFFSET([2]quests!$A$1,0,0,COUNTA([2]quests!$A:$A),MATCH(C$1,[2]quests!$1:$1,0)-MATCH($B$1,[2]quests!$1:$1,0)+1),MATCH(C$1,[2]quests!$1:$1,0)-MATCH($B$1,[2]quests!$1:$1,0)+1,FALSE)</f>
        <v>雪の歌姫</v>
      </c>
      <c r="D102" s="56">
        <v>3</v>
      </c>
      <c r="E102" s="57"/>
      <c r="F102" s="61" t="s">
        <v>209</v>
      </c>
      <c r="G102" s="61" t="s">
        <v>210</v>
      </c>
      <c r="H102" s="58" t="s">
        <v>166</v>
      </c>
      <c r="I102" s="59">
        <v>0.5</v>
      </c>
      <c r="J102" s="59">
        <v>0</v>
      </c>
    </row>
    <row r="103" spans="1:10" ht="21" customHeight="1" x14ac:dyDescent="0.15">
      <c r="A103" s="53" t="str">
        <f t="shared" si="2"/>
        <v>39001_4</v>
      </c>
      <c r="B103" s="54">
        <v>39001</v>
      </c>
      <c r="C103" s="55" t="str">
        <f ca="1">VLOOKUP($B103,OFFSET([2]quests!$A$1,0,0,COUNTA([2]quests!$A:$A),MATCH(C$1,[2]quests!$1:$1,0)-MATCH($B$1,[2]quests!$1:$1,0)+1),MATCH(C$1,[2]quests!$1:$1,0)-MATCH($B$1,[2]quests!$1:$1,0)+1,FALSE)</f>
        <v>雪の歌姫</v>
      </c>
      <c r="D103" s="56">
        <v>4</v>
      </c>
      <c r="E103" s="57"/>
      <c r="F103" s="61" t="s">
        <v>211</v>
      </c>
      <c r="G103" s="61" t="s">
        <v>197</v>
      </c>
      <c r="H103" s="58" t="s">
        <v>160</v>
      </c>
      <c r="I103" s="59">
        <v>2</v>
      </c>
      <c r="J103" s="59">
        <v>0</v>
      </c>
    </row>
    <row r="104" spans="1:10" ht="21" customHeight="1" x14ac:dyDescent="0.15">
      <c r="A104" s="53" t="str">
        <f t="shared" si="2"/>
        <v>39001_5</v>
      </c>
      <c r="B104" s="54">
        <v>39001</v>
      </c>
      <c r="C104" s="55" t="str">
        <f ca="1">VLOOKUP($B104,OFFSET([2]quests!$A$1,0,0,COUNTA([2]quests!$A:$A),MATCH(C$1,[2]quests!$1:$1,0)-MATCH($B$1,[2]quests!$1:$1,0)+1),MATCH(C$1,[2]quests!$1:$1,0)-MATCH($B$1,[2]quests!$1:$1,0)+1,FALSE)</f>
        <v>雪の歌姫</v>
      </c>
      <c r="D104" s="56">
        <v>5</v>
      </c>
      <c r="E104" s="57"/>
      <c r="F104" s="61" t="s">
        <v>212</v>
      </c>
      <c r="G104" s="61" t="s">
        <v>213</v>
      </c>
      <c r="H104" s="58" t="s">
        <v>166</v>
      </c>
      <c r="I104" s="59">
        <v>0.5</v>
      </c>
      <c r="J104" s="59">
        <v>0</v>
      </c>
    </row>
    <row r="105" spans="1:10" ht="21" customHeight="1" x14ac:dyDescent="0.15">
      <c r="A105" s="53" t="str">
        <f t="shared" si="2"/>
        <v>39001_6</v>
      </c>
      <c r="B105" s="54">
        <v>39001</v>
      </c>
      <c r="C105" s="55" t="str">
        <f ca="1">VLOOKUP($B105,OFFSET([2]quests!$A$1,0,0,COUNTA([2]quests!$A:$A),MATCH(C$1,[2]quests!$1:$1,0)-MATCH($B$1,[2]quests!$1:$1,0)+1),MATCH(C$1,[2]quests!$1:$1,0)-MATCH($B$1,[2]quests!$1:$1,0)+1,FALSE)</f>
        <v>雪の歌姫</v>
      </c>
      <c r="D105" s="56">
        <v>6</v>
      </c>
      <c r="E105" s="57"/>
      <c r="F105" s="61" t="s">
        <v>214</v>
      </c>
      <c r="G105" s="61" t="s">
        <v>215</v>
      </c>
      <c r="H105" s="58" t="s">
        <v>160</v>
      </c>
      <c r="I105" s="59">
        <v>2</v>
      </c>
      <c r="J105" s="59">
        <v>0</v>
      </c>
    </row>
    <row r="106" spans="1:10" ht="21" customHeight="1" x14ac:dyDescent="0.15">
      <c r="A106" s="53" t="str">
        <f t="shared" ref="A106:A108" si="3">B106&amp;"_"&amp;D106</f>
        <v>30024_0</v>
      </c>
      <c r="B106" s="54">
        <v>30024</v>
      </c>
      <c r="C106" s="55" t="str">
        <f ca="1">VLOOKUP($B106,OFFSET([2]quests!$A$1,0,0,COUNTA([2]quests!$A:$A),MATCH(C$1,[2]quests!$1:$1,0)-MATCH($B$1,[2]quests!$1:$1,0)+1),MATCH(C$1,[2]quests!$1:$1,0)-MATCH($B$1,[2]quests!$1:$1,0)+1,FALSE)</f>
        <v>雷鎚の選定</v>
      </c>
      <c r="D106" s="56">
        <v>0</v>
      </c>
      <c r="E106" s="57"/>
      <c r="F106" s="61" t="s">
        <v>218</v>
      </c>
      <c r="G106" s="61" t="s">
        <v>213</v>
      </c>
      <c r="H106" s="58" t="s">
        <v>163</v>
      </c>
      <c r="I106" s="59">
        <v>1.5</v>
      </c>
      <c r="J106" s="59">
        <v>0</v>
      </c>
    </row>
    <row r="107" spans="1:10" ht="21" customHeight="1" x14ac:dyDescent="0.15">
      <c r="A107" s="53" t="str">
        <f t="shared" si="3"/>
        <v>40009_0</v>
      </c>
      <c r="B107" s="54">
        <v>40009</v>
      </c>
      <c r="C107" s="55" t="str">
        <f ca="1">VLOOKUP($B107,OFFSET([2]quests!$A$1,0,0,COUNTA([2]quests!$A:$A),MATCH(C$1,[2]quests!$1:$1,0)-MATCH($B$1,[2]quests!$1:$1,0)+1),MATCH(C$1,[2]quests!$1:$1,0)-MATCH($B$1,[2]quests!$1:$1,0)+1,FALSE)</f>
        <v>フギンとムニン襲来！</v>
      </c>
      <c r="D107" s="56">
        <v>0</v>
      </c>
      <c r="E107" s="57" t="str">
        <f ca="1">VLOOKUP($D107,OFFSET([4]periods!$A$1,0,0,COUNTA([4]periods!$A:$A),MATCH(E$1,[4]periods!$1:$1,0)-MATCH($D$1,[4]periods!$1:$1,0)+1),MATCH(E$1,[4]periods!$1:$1,0)-MATCH($D$1,[4]periods!$1:$1,0)+1,FALSE)</f>
        <v>無期限</v>
      </c>
      <c r="F107" s="61" t="s">
        <v>221</v>
      </c>
      <c r="G107" s="61" t="s">
        <v>222</v>
      </c>
      <c r="H107" s="58" t="s">
        <v>160</v>
      </c>
      <c r="I107" s="59">
        <v>2</v>
      </c>
      <c r="J107" s="59">
        <v>0</v>
      </c>
    </row>
    <row r="108" spans="1:10" ht="21" customHeight="1" x14ac:dyDescent="0.15">
      <c r="A108" s="53" t="str">
        <f t="shared" si="3"/>
        <v>40009_1</v>
      </c>
      <c r="B108" s="54">
        <v>40009</v>
      </c>
      <c r="C108" s="55" t="str">
        <f ca="1">VLOOKUP($B108,OFFSET([2]quests!$A$1,0,0,COUNTA([2]quests!$A:$A),MATCH(C$1,[2]quests!$1:$1,0)-MATCH($B$1,[2]quests!$1:$1,0)+1),MATCH(C$1,[2]quests!$1:$1,0)-MATCH($B$1,[2]quests!$1:$1,0)+1,FALSE)</f>
        <v>フギンとムニン襲来！</v>
      </c>
      <c r="D108" s="56">
        <v>1</v>
      </c>
      <c r="E108" s="57"/>
      <c r="F108" s="61" t="s">
        <v>223</v>
      </c>
      <c r="G108" s="61" t="s">
        <v>224</v>
      </c>
      <c r="H108" s="58" t="s">
        <v>160</v>
      </c>
      <c r="I108" s="59">
        <v>2</v>
      </c>
      <c r="J108" s="59">
        <v>0</v>
      </c>
    </row>
    <row r="109" spans="1:10" ht="21" customHeight="1" x14ac:dyDescent="0.15">
      <c r="A109" s="53" t="str">
        <f t="shared" ref="A109" si="4">B109&amp;"_"&amp;D109</f>
        <v>30025_0</v>
      </c>
      <c r="B109" s="54">
        <v>30025</v>
      </c>
      <c r="C109" s="55" t="str">
        <f ca="1">VLOOKUP($B109,OFFSET([2]quests!$A$1,0,0,COUNTA([2]quests!$A:$A),MATCH(C$1,[2]quests!$1:$1,0)-MATCH($B$1,[2]quests!$1:$1,0)+1),MATCH(C$1,[2]quests!$1:$1,0)-MATCH($B$1,[2]quests!$1:$1,0)+1,FALSE)</f>
        <v>真実の探求者</v>
      </c>
      <c r="D109" s="56">
        <v>0</v>
      </c>
      <c r="E109" s="57"/>
      <c r="F109" s="61" t="s">
        <v>226</v>
      </c>
      <c r="G109" s="61" t="s">
        <v>227</v>
      </c>
      <c r="H109" s="58" t="s">
        <v>160</v>
      </c>
      <c r="I109" s="59">
        <v>1.5</v>
      </c>
      <c r="J109" s="59">
        <v>0</v>
      </c>
    </row>
    <row r="110" spans="1:10" ht="21" customHeight="1" x14ac:dyDescent="0.15">
      <c r="A110" s="53" t="str">
        <f t="shared" ref="A110:A113" si="5">B110&amp;"_"&amp;D110</f>
        <v>30026_0</v>
      </c>
      <c r="B110" s="54">
        <v>30026</v>
      </c>
      <c r="C110" s="55" t="str">
        <f ca="1">VLOOKUP($B110,OFFSET([2]quests!$A$1,0,0,COUNTA([2]quests!$A:$A),MATCH(C$1,[2]quests!$1:$1,0)-MATCH($B$1,[2]quests!$1:$1,0)+1),MATCH(C$1,[2]quests!$1:$1,0)-MATCH($B$1,[2]quests!$1:$1,0)+1,FALSE)</f>
        <v>道を阻む妖精夫婦</v>
      </c>
      <c r="D110" s="56">
        <v>0</v>
      </c>
      <c r="E110" s="57"/>
      <c r="F110" s="61" t="s">
        <v>229</v>
      </c>
      <c r="G110" s="61" t="s">
        <v>230</v>
      </c>
      <c r="H110" s="58" t="s">
        <v>160</v>
      </c>
      <c r="I110" s="59">
        <v>1.5</v>
      </c>
      <c r="J110" s="59">
        <v>0</v>
      </c>
    </row>
    <row r="111" spans="1:10" ht="21" customHeight="1" x14ac:dyDescent="0.15">
      <c r="A111" s="53" t="str">
        <f t="shared" si="5"/>
        <v>40010_0</v>
      </c>
      <c r="B111" s="54">
        <v>40010</v>
      </c>
      <c r="C111" s="55" t="str">
        <f ca="1">VLOOKUP($B111,OFFSET([2]quests!$A$1,0,0,COUNTA([2]quests!$A:$A),MATCH(C$1,[2]quests!$1:$1,0)-MATCH($B$1,[2]quests!$1:$1,0)+1),MATCH(C$1,[2]quests!$1:$1,0)-MATCH($B$1,[2]quests!$1:$1,0)+1,FALSE)</f>
        <v>フレイ襲来！</v>
      </c>
      <c r="D111" s="56">
        <v>0</v>
      </c>
      <c r="E111" s="57" t="str">
        <f ca="1">VLOOKUP($D111,OFFSET([4]periods!$A$1,0,0,COUNTA([4]periods!$A:$A),MATCH(E$1,[4]periods!$1:$1,0)-MATCH($D$1,[4]periods!$1:$1,0)+1),MATCH(E$1,[4]periods!$1:$1,0)-MATCH($D$1,[4]periods!$1:$1,0)+1,FALSE)</f>
        <v>無期限</v>
      </c>
      <c r="F111" s="61" t="s">
        <v>235</v>
      </c>
      <c r="G111" s="61" t="s">
        <v>236</v>
      </c>
      <c r="H111" s="58" t="s">
        <v>160</v>
      </c>
      <c r="I111" s="59">
        <v>2</v>
      </c>
      <c r="J111" s="59">
        <v>0</v>
      </c>
    </row>
    <row r="112" spans="1:10" ht="21" customHeight="1" x14ac:dyDescent="0.15">
      <c r="A112" s="53" t="str">
        <f t="shared" si="5"/>
        <v>40010_1</v>
      </c>
      <c r="B112" s="54">
        <v>40010</v>
      </c>
      <c r="C112" s="55" t="str">
        <f ca="1">VLOOKUP($B112,OFFSET([2]quests!$A$1,0,0,COUNTA([2]quests!$A:$A),MATCH(C$1,[2]quests!$1:$1,0)-MATCH($B$1,[2]quests!$1:$1,0)+1),MATCH(C$1,[2]quests!$1:$1,0)-MATCH($B$1,[2]quests!$1:$1,0)+1,FALSE)</f>
        <v>フレイ襲来！</v>
      </c>
      <c r="D112" s="56">
        <v>1</v>
      </c>
      <c r="E112" s="57"/>
      <c r="F112" s="61" t="s">
        <v>237</v>
      </c>
      <c r="G112" s="61" t="s">
        <v>238</v>
      </c>
      <c r="H112" s="58" t="s">
        <v>160</v>
      </c>
      <c r="I112" s="59">
        <v>2</v>
      </c>
      <c r="J112" s="59">
        <v>0</v>
      </c>
    </row>
    <row r="113" spans="1:10" ht="21" customHeight="1" x14ac:dyDescent="0.15">
      <c r="A113" s="53" t="str">
        <f t="shared" si="5"/>
        <v>30027_0</v>
      </c>
      <c r="B113" s="54">
        <v>30027</v>
      </c>
      <c r="C113" s="55" t="str">
        <f ca="1">VLOOKUP($B113,OFFSET([2]quests!$A$1,0,0,COUNTA([2]quests!$A:$A),MATCH(C$1,[2]quests!$1:$1,0)-MATCH($B$1,[2]quests!$1:$1,0)+1),MATCH(C$1,[2]quests!$1:$1,0)-MATCH($B$1,[2]quests!$1:$1,0)+1,FALSE)</f>
        <v>凍りつくまで愛してあげる</v>
      </c>
      <c r="D113" s="56">
        <v>0</v>
      </c>
      <c r="E113" s="57"/>
      <c r="F113" s="61" t="s">
        <v>239</v>
      </c>
      <c r="G113" s="61" t="s">
        <v>240</v>
      </c>
      <c r="H113" s="58" t="s">
        <v>160</v>
      </c>
      <c r="I113" s="59">
        <v>1.5</v>
      </c>
      <c r="J113" s="59">
        <v>0</v>
      </c>
    </row>
    <row r="114" spans="1:10" ht="21" customHeight="1" x14ac:dyDescent="0.15">
      <c r="A114" s="53" t="str">
        <f t="shared" ref="A114:A116" si="6">B114&amp;"_"&amp;D114</f>
        <v>40011_0</v>
      </c>
      <c r="B114" s="54">
        <v>40011</v>
      </c>
      <c r="C114" s="55" t="str">
        <f ca="1">VLOOKUP($B114,OFFSET([2]quests!$A$1,0,0,COUNTA([2]quests!$A:$A),MATCH(C$1,[2]quests!$1:$1,0)-MATCH($B$1,[2]quests!$1:$1,0)+1),MATCH(C$1,[2]quests!$1:$1,0)-MATCH($B$1,[2]quests!$1:$1,0)+1,FALSE)</f>
        <v>ヨミ襲来！</v>
      </c>
      <c r="D114" s="56">
        <v>0</v>
      </c>
      <c r="E114" s="57" t="str">
        <f ca="1">VLOOKUP($D114,OFFSET([4]periods!$A$1,0,0,COUNTA([4]periods!$A:$A),MATCH(E$1,[4]periods!$1:$1,0)-MATCH($D$1,[4]periods!$1:$1,0)+1),MATCH(E$1,[4]periods!$1:$1,0)-MATCH($D$1,[4]periods!$1:$1,0)+1,FALSE)</f>
        <v>無期限</v>
      </c>
      <c r="F114" s="61" t="s">
        <v>253</v>
      </c>
      <c r="G114" s="61" t="s">
        <v>254</v>
      </c>
      <c r="H114" s="58" t="s">
        <v>160</v>
      </c>
      <c r="I114" s="59">
        <v>2</v>
      </c>
      <c r="J114" s="59">
        <v>0</v>
      </c>
    </row>
    <row r="115" spans="1:10" ht="21" customHeight="1" x14ac:dyDescent="0.15">
      <c r="A115" s="53" t="str">
        <f t="shared" si="6"/>
        <v>40011_1</v>
      </c>
      <c r="B115" s="54">
        <v>40011</v>
      </c>
      <c r="C115" s="55" t="str">
        <f ca="1">VLOOKUP($B115,OFFSET([2]quests!$A$1,0,0,COUNTA([2]quests!$A:$A),MATCH(C$1,[2]quests!$1:$1,0)-MATCH($B$1,[2]quests!$1:$1,0)+1),MATCH(C$1,[2]quests!$1:$1,0)-MATCH($B$1,[2]quests!$1:$1,0)+1,FALSE)</f>
        <v>ヨミ襲来！</v>
      </c>
      <c r="D115" s="56">
        <v>1</v>
      </c>
      <c r="E115" s="57"/>
      <c r="F115" s="61" t="s">
        <v>255</v>
      </c>
      <c r="G115" s="61" t="s">
        <v>256</v>
      </c>
      <c r="H115" s="58" t="s">
        <v>160</v>
      </c>
      <c r="I115" s="59">
        <v>2</v>
      </c>
      <c r="J115" s="59">
        <v>0</v>
      </c>
    </row>
    <row r="116" spans="1:10" ht="21" customHeight="1" x14ac:dyDescent="0.15">
      <c r="A116" s="53" t="str">
        <f t="shared" si="6"/>
        <v>30028_0</v>
      </c>
      <c r="B116" s="54">
        <v>30028</v>
      </c>
      <c r="C116" s="55" t="str">
        <f ca="1">VLOOKUP($B116,OFFSET([2]quests!$A$1,0,0,COUNTA([2]quests!$A:$A),MATCH(C$1,[2]quests!$1:$1,0)-MATCH($B$1,[2]quests!$1:$1,0)+1),MATCH(C$1,[2]quests!$1:$1,0)-MATCH($B$1,[2]quests!$1:$1,0)+1,FALSE)</f>
        <v>最悪の刺客</v>
      </c>
      <c r="D116" s="56">
        <v>0</v>
      </c>
      <c r="E116" s="57"/>
      <c r="F116" s="61" t="s">
        <v>257</v>
      </c>
      <c r="G116" s="61" t="s">
        <v>258</v>
      </c>
      <c r="H116" s="58" t="s">
        <v>160</v>
      </c>
      <c r="I116" s="59">
        <v>1.5</v>
      </c>
      <c r="J116" s="59">
        <v>0</v>
      </c>
    </row>
    <row r="117" spans="1:10" ht="21" customHeight="1" x14ac:dyDescent="0.15">
      <c r="A117" s="53" t="str">
        <f t="shared" ref="A117:A119" si="7">B117&amp;"_"&amp;D117</f>
        <v>40012_0</v>
      </c>
      <c r="B117" s="54">
        <v>40012</v>
      </c>
      <c r="C117" s="55" t="str">
        <f ca="1">VLOOKUP($B117,OFFSET([2]quests!$A$1,0,0,COUNTA([2]quests!$A:$A),MATCH(C$1,[2]quests!$1:$1,0)-MATCH($B$1,[2]quests!$1:$1,0)+1),MATCH(C$1,[2]quests!$1:$1,0)-MATCH($B$1,[2]quests!$1:$1,0)+1,FALSE)</f>
        <v>ショウキ襲来！</v>
      </c>
      <c r="D117" s="56">
        <v>0</v>
      </c>
      <c r="E117" s="57" t="str">
        <f ca="1">VLOOKUP($D117,OFFSET([4]periods!$A$1,0,0,COUNTA([4]periods!$A:$A),MATCH(E$1,[4]periods!$1:$1,0)-MATCH($D$1,[4]periods!$1:$1,0)+1),MATCH(E$1,[4]periods!$1:$1,0)-MATCH($D$1,[4]periods!$1:$1,0)+1,FALSE)</f>
        <v>無期限</v>
      </c>
      <c r="F117" s="61" t="s">
        <v>272</v>
      </c>
      <c r="G117" s="61" t="s">
        <v>273</v>
      </c>
      <c r="H117" s="58" t="s">
        <v>160</v>
      </c>
      <c r="I117" s="59">
        <v>2</v>
      </c>
      <c r="J117" s="59">
        <v>0</v>
      </c>
    </row>
    <row r="118" spans="1:10" ht="21" customHeight="1" x14ac:dyDescent="0.15">
      <c r="A118" s="53" t="str">
        <f t="shared" si="7"/>
        <v>40012_1</v>
      </c>
      <c r="B118" s="54">
        <v>40012</v>
      </c>
      <c r="C118" s="55" t="str">
        <f ca="1">VLOOKUP($B118,OFFSET([2]quests!$A$1,0,0,COUNTA([2]quests!$A:$A),MATCH(C$1,[2]quests!$1:$1,0)-MATCH($B$1,[2]quests!$1:$1,0)+1),MATCH(C$1,[2]quests!$1:$1,0)-MATCH($B$1,[2]quests!$1:$1,0)+1,FALSE)</f>
        <v>ショウキ襲来！</v>
      </c>
      <c r="D118" s="56">
        <v>1</v>
      </c>
      <c r="E118" s="57"/>
      <c r="F118" s="61" t="s">
        <v>274</v>
      </c>
      <c r="G118" s="61" t="s">
        <v>275</v>
      </c>
      <c r="H118" s="58" t="s">
        <v>160</v>
      </c>
      <c r="I118" s="59">
        <v>2</v>
      </c>
      <c r="J118" s="59">
        <v>0</v>
      </c>
    </row>
    <row r="119" spans="1:10" ht="21" customHeight="1" x14ac:dyDescent="0.15">
      <c r="A119" s="53" t="str">
        <f t="shared" si="7"/>
        <v>30029_0</v>
      </c>
      <c r="B119" s="54">
        <v>30029</v>
      </c>
      <c r="C119" s="55" t="str">
        <f ca="1">VLOOKUP($B119,OFFSET([2]quests!$A$1,0,0,COUNTA([2]quests!$A:$A),MATCH(C$1,[2]quests!$1:$1,0)-MATCH($B$1,[2]quests!$1:$1,0)+1),MATCH(C$1,[2]quests!$1:$1,0)-MATCH($B$1,[2]quests!$1:$1,0)+1,FALSE)</f>
        <v>全ては主のために</v>
      </c>
      <c r="D119" s="56">
        <v>0</v>
      </c>
      <c r="E119" s="57"/>
      <c r="F119" s="61" t="s">
        <v>276</v>
      </c>
      <c r="G119" s="61" t="s">
        <v>277</v>
      </c>
      <c r="H119" s="58" t="s">
        <v>160</v>
      </c>
      <c r="I119" s="59">
        <v>1.5</v>
      </c>
      <c r="J119" s="59">
        <v>0</v>
      </c>
    </row>
    <row r="120" spans="1:10" ht="21" customHeight="1" x14ac:dyDescent="0.15">
      <c r="A120" s="53" t="str">
        <f t="shared" ref="A120:A122" si="8">B120&amp;"_"&amp;D120</f>
        <v>40014_0</v>
      </c>
      <c r="B120" s="54">
        <v>40014</v>
      </c>
      <c r="C120" s="55" t="str">
        <f ca="1">VLOOKUP($B120,OFFSET([2]quests!$A$1,0,0,COUNTA([2]quests!$A:$A),MATCH(C$1,[2]quests!$1:$1,0)-MATCH($B$1,[2]quests!$1:$1,0)+1),MATCH(C$1,[2]quests!$1:$1,0)-MATCH($B$1,[2]quests!$1:$1,0)+1,FALSE)</f>
        <v>シヴァ襲来！</v>
      </c>
      <c r="D120" s="56">
        <v>0</v>
      </c>
      <c r="E120" s="57" t="str">
        <f ca="1">VLOOKUP($D120,OFFSET([4]periods!$A$1,0,0,COUNTA([4]periods!$A:$A),MATCH(E$1,[4]periods!$1:$1,0)-MATCH($D$1,[4]periods!$1:$1,0)+1),MATCH(E$1,[4]periods!$1:$1,0)-MATCH($D$1,[4]periods!$1:$1,0)+1,FALSE)</f>
        <v>無期限</v>
      </c>
      <c r="F120" s="61" t="s">
        <v>283</v>
      </c>
      <c r="G120" s="61" t="s">
        <v>284</v>
      </c>
      <c r="H120" s="58" t="s">
        <v>160</v>
      </c>
      <c r="I120" s="59">
        <v>2</v>
      </c>
      <c r="J120" s="59">
        <v>0</v>
      </c>
    </row>
    <row r="121" spans="1:10" ht="21" customHeight="1" x14ac:dyDescent="0.15">
      <c r="A121" s="53" t="str">
        <f t="shared" si="8"/>
        <v>40014_1</v>
      </c>
      <c r="B121" s="54">
        <v>40014</v>
      </c>
      <c r="C121" s="55" t="str">
        <f ca="1">VLOOKUP($B121,OFFSET([2]quests!$A$1,0,0,COUNTA([2]quests!$A:$A),MATCH(C$1,[2]quests!$1:$1,0)-MATCH($B$1,[2]quests!$1:$1,0)+1),MATCH(C$1,[2]quests!$1:$1,0)-MATCH($B$1,[2]quests!$1:$1,0)+1,FALSE)</f>
        <v>シヴァ襲来！</v>
      </c>
      <c r="D121" s="56">
        <v>1</v>
      </c>
      <c r="E121" s="57"/>
      <c r="F121" s="61" t="s">
        <v>285</v>
      </c>
      <c r="G121" s="61" t="s">
        <v>286</v>
      </c>
      <c r="H121" s="58" t="s">
        <v>160</v>
      </c>
      <c r="I121" s="59">
        <v>2</v>
      </c>
      <c r="J121" s="59">
        <v>0</v>
      </c>
    </row>
    <row r="122" spans="1:10" ht="21" customHeight="1" x14ac:dyDescent="0.15">
      <c r="A122" s="53" t="str">
        <f t="shared" si="8"/>
        <v>30030_0</v>
      </c>
      <c r="B122" s="54">
        <v>30030</v>
      </c>
      <c r="C122" s="55" t="str">
        <f ca="1">VLOOKUP($B122,OFFSET([2]quests!$A$1,0,0,COUNTA([2]quests!$A:$A),MATCH(C$1,[2]quests!$1:$1,0)-MATCH($B$1,[2]quests!$1:$1,0)+1),MATCH(C$1,[2]quests!$1:$1,0)-MATCH($B$1,[2]quests!$1:$1,0)+1,FALSE)</f>
        <v>ここは誰の箱庭じゃ？</v>
      </c>
      <c r="D122" s="56">
        <v>0</v>
      </c>
      <c r="E122" s="57"/>
      <c r="F122" s="61" t="s">
        <v>287</v>
      </c>
      <c r="G122" s="61" t="s">
        <v>288</v>
      </c>
      <c r="H122" s="58" t="s">
        <v>160</v>
      </c>
      <c r="I122" s="59">
        <v>1.5</v>
      </c>
      <c r="J122" s="59">
        <v>0</v>
      </c>
    </row>
    <row r="123" spans="1:10" ht="21" customHeight="1" x14ac:dyDescent="0.15">
      <c r="A123" s="53" t="str">
        <f t="shared" ref="A123:A125" si="9">B123&amp;"_"&amp;D123</f>
        <v>40013_0</v>
      </c>
      <c r="B123" s="54">
        <v>40013</v>
      </c>
      <c r="C123" s="55" t="str">
        <f ca="1">VLOOKUP($B123,OFFSET([2]quests!$A$1,0,0,COUNTA([2]quests!$A:$A),MATCH(C$1,[2]quests!$1:$1,0)-MATCH($B$1,[2]quests!$1:$1,0)+1),MATCH(C$1,[2]quests!$1:$1,0)-MATCH($B$1,[2]quests!$1:$1,0)+1,FALSE)</f>
        <v>カーマ襲来！</v>
      </c>
      <c r="D123" s="56">
        <v>0</v>
      </c>
      <c r="E123" s="57" t="str">
        <f ca="1">VLOOKUP($D123,OFFSET([4]periods!$A$1,0,0,COUNTA([4]periods!$A:$A),MATCH(E$1,[4]periods!$1:$1,0)-MATCH($D$1,[4]periods!$1:$1,0)+1),MATCH(E$1,[4]periods!$1:$1,0)-MATCH($D$1,[4]periods!$1:$1,0)+1,FALSE)</f>
        <v>無期限</v>
      </c>
      <c r="F123" s="61" t="s">
        <v>296</v>
      </c>
      <c r="G123" s="61" t="s">
        <v>297</v>
      </c>
      <c r="H123" s="58" t="s">
        <v>160</v>
      </c>
      <c r="I123" s="59">
        <v>2</v>
      </c>
      <c r="J123" s="59">
        <v>0</v>
      </c>
    </row>
    <row r="124" spans="1:10" ht="21" customHeight="1" x14ac:dyDescent="0.15">
      <c r="A124" s="53" t="str">
        <f t="shared" si="9"/>
        <v>40013_1</v>
      </c>
      <c r="B124" s="54">
        <v>40013</v>
      </c>
      <c r="C124" s="55" t="str">
        <f ca="1">VLOOKUP($B124,OFFSET([2]quests!$A$1,0,0,COUNTA([2]quests!$A:$A),MATCH(C$1,[2]quests!$1:$1,0)-MATCH($B$1,[2]quests!$1:$1,0)+1),MATCH(C$1,[2]quests!$1:$1,0)-MATCH($B$1,[2]quests!$1:$1,0)+1,FALSE)</f>
        <v>カーマ襲来！</v>
      </c>
      <c r="D124" s="56">
        <v>1</v>
      </c>
      <c r="E124" s="57"/>
      <c r="F124" s="61" t="s">
        <v>298</v>
      </c>
      <c r="G124" s="61" t="s">
        <v>299</v>
      </c>
      <c r="H124" s="58" t="s">
        <v>160</v>
      </c>
      <c r="I124" s="59">
        <v>2</v>
      </c>
      <c r="J124" s="59">
        <v>0</v>
      </c>
    </row>
    <row r="125" spans="1:10" ht="21" customHeight="1" x14ac:dyDescent="0.15">
      <c r="A125" s="53" t="str">
        <f t="shared" si="9"/>
        <v>30031_0</v>
      </c>
      <c r="B125" s="54">
        <v>30031</v>
      </c>
      <c r="C125" s="55" t="str">
        <f ca="1">VLOOKUP($B125,OFFSET([2]quests!$A$1,0,0,COUNTA([2]quests!$A:$A),MATCH(C$1,[2]quests!$1:$1,0)-MATCH($B$1,[2]quests!$1:$1,0)+1),MATCH(C$1,[2]quests!$1:$1,0)-MATCH($B$1,[2]quests!$1:$1,0)+1,FALSE)</f>
        <v>力への羨望</v>
      </c>
      <c r="D125" s="56">
        <v>0</v>
      </c>
      <c r="E125" s="57"/>
      <c r="F125" s="61" t="s">
        <v>300</v>
      </c>
      <c r="G125" s="61" t="s">
        <v>301</v>
      </c>
      <c r="H125" s="58" t="s">
        <v>160</v>
      </c>
      <c r="I125" s="59">
        <v>1.5</v>
      </c>
      <c r="J125" s="59">
        <v>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mypage_banners</vt:lpstr>
      <vt:lpstr>quest_banners</vt:lpstr>
      <vt:lpstr>mypage_tips</vt:lpstr>
      <vt:lpstr>enhance_bonuses</vt:lpstr>
      <vt:lpstr>quest_helper_links</vt:lpstr>
      <vt:lpstr>quest_bonuses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2017-03-09T09:39:50Z</dcterms:modified>
</cp:coreProperties>
</file>