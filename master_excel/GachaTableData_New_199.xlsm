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9９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gacha_19９_base!$A$42:$B$68</definedName>
    <definedName name="_xlnm._FilterDatabase" localSheetId="4" hidden="1">gacha_bonus_tables!$B$1:$G$1</definedName>
    <definedName name="_xlnm._FilterDatabase" localSheetId="2" hidden="1">gacha_select_tables!$A$1:$S$407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04" l="1"/>
  <c r="B4" i="104"/>
  <c r="B5" i="104"/>
  <c r="B6" i="104"/>
  <c r="B7" i="104"/>
  <c r="B8" i="104"/>
  <c r="B9" i="104"/>
  <c r="B10" i="104"/>
  <c r="B11" i="104"/>
  <c r="B2" i="104"/>
  <c r="L11" i="96"/>
  <c r="L10" i="96"/>
  <c r="L9" i="96"/>
  <c r="L7" i="96"/>
  <c r="L6" i="96"/>
  <c r="G9" i="96"/>
  <c r="H9" i="96"/>
  <c r="C9" i="96"/>
  <c r="F9" i="96"/>
  <c r="I9" i="96"/>
  <c r="J9" i="96"/>
  <c r="K9" i="96"/>
  <c r="M9" i="96"/>
  <c r="N9" i="96"/>
  <c r="O9" i="96"/>
  <c r="P9" i="96"/>
  <c r="Q9" i="96"/>
  <c r="R9" i="96"/>
  <c r="G6" i="96"/>
  <c r="H6" i="96"/>
  <c r="C6" i="96"/>
  <c r="F6" i="96"/>
  <c r="I6" i="96"/>
  <c r="J6" i="96"/>
  <c r="K6" i="96"/>
  <c r="M6" i="96"/>
  <c r="N6" i="96"/>
  <c r="O6" i="96"/>
  <c r="P6" i="96"/>
  <c r="Q6" i="96"/>
  <c r="R6" i="96"/>
  <c r="L8" i="96"/>
  <c r="L5" i="96"/>
  <c r="L4" i="96"/>
  <c r="L3" i="96"/>
  <c r="L2" i="9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2" i="82"/>
  <c r="G7" i="96"/>
  <c r="H7" i="96"/>
  <c r="C7" i="96"/>
  <c r="G8" i="96"/>
  <c r="H8" i="96"/>
  <c r="C8" i="96"/>
  <c r="G10" i="96"/>
  <c r="H10" i="96"/>
  <c r="C10" i="96"/>
  <c r="G11" i="96"/>
  <c r="H11" i="96"/>
  <c r="C11" i="96"/>
  <c r="F7" i="96"/>
  <c r="I7" i="96"/>
  <c r="J7" i="96"/>
  <c r="K7" i="96"/>
  <c r="M7" i="96"/>
  <c r="N7" i="96"/>
  <c r="O7" i="96"/>
  <c r="P7" i="96"/>
  <c r="Q7" i="96"/>
  <c r="R7" i="96"/>
  <c r="F8" i="96"/>
  <c r="I8" i="96"/>
  <c r="J8" i="96"/>
  <c r="K8" i="96"/>
  <c r="M8" i="96"/>
  <c r="N8" i="96"/>
  <c r="O8" i="96"/>
  <c r="P8" i="96"/>
  <c r="Q8" i="96"/>
  <c r="R8" i="96"/>
  <c r="F10" i="96"/>
  <c r="I10" i="96"/>
  <c r="J10" i="96"/>
  <c r="K10" i="96"/>
  <c r="M10" i="96"/>
  <c r="N10" i="96"/>
  <c r="O10" i="96"/>
  <c r="P10" i="96"/>
  <c r="Q10" i="96"/>
  <c r="R10" i="96"/>
  <c r="F11" i="96"/>
  <c r="I11" i="96"/>
  <c r="J11" i="96"/>
  <c r="K11" i="96"/>
  <c r="M11" i="96"/>
  <c r="N11" i="96"/>
  <c r="O11" i="96"/>
  <c r="P11" i="96"/>
  <c r="Q11" i="96"/>
  <c r="R11" i="96"/>
  <c r="H409" i="82"/>
  <c r="I409" i="82"/>
  <c r="D409" i="82"/>
  <c r="H410" i="82"/>
  <c r="I410" i="82"/>
  <c r="D410" i="82"/>
  <c r="H411" i="82"/>
  <c r="I411" i="82"/>
  <c r="D411" i="82"/>
  <c r="H412" i="82"/>
  <c r="I412" i="82"/>
  <c r="D412" i="82"/>
  <c r="H413" i="82"/>
  <c r="I413" i="82"/>
  <c r="D413" i="82"/>
  <c r="H414" i="82"/>
  <c r="I414" i="82"/>
  <c r="D414" i="82"/>
  <c r="H415" i="82"/>
  <c r="I415" i="82"/>
  <c r="D415" i="82"/>
  <c r="H416" i="82"/>
  <c r="I416" i="82"/>
  <c r="D416" i="82"/>
  <c r="H417" i="82"/>
  <c r="I417" i="82"/>
  <c r="D417" i="82"/>
  <c r="H408" i="82"/>
  <c r="I408" i="82"/>
  <c r="D408" i="82"/>
  <c r="A6" i="94"/>
  <c r="H162" i="82"/>
  <c r="I162" i="82"/>
  <c r="D162" i="82"/>
  <c r="M162" i="82"/>
  <c r="A8" i="94"/>
  <c r="A11" i="94"/>
  <c r="A13" i="94"/>
  <c r="H167" i="82"/>
  <c r="I167" i="82"/>
  <c r="D167" i="82"/>
  <c r="M167" i="82"/>
  <c r="H166" i="82"/>
  <c r="I166" i="82"/>
  <c r="D166" i="82"/>
  <c r="M166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08" i="82"/>
  <c r="C408" i="82"/>
  <c r="G408" i="82"/>
  <c r="J408" i="82"/>
  <c r="K408" i="82"/>
  <c r="L408" i="82"/>
  <c r="A20" i="94"/>
  <c r="A24" i="94"/>
  <c r="M408" i="82"/>
  <c r="N408" i="82"/>
  <c r="O408" i="82"/>
  <c r="P408" i="82"/>
  <c r="Q408" i="82"/>
  <c r="R408" i="82"/>
  <c r="S408" i="82"/>
  <c r="A409" i="82"/>
  <c r="C409" i="82"/>
  <c r="G409" i="82"/>
  <c r="J409" i="82"/>
  <c r="K409" i="82"/>
  <c r="L409" i="82"/>
  <c r="A26" i="94"/>
  <c r="A29" i="94"/>
  <c r="M409" i="82"/>
  <c r="N409" i="82"/>
  <c r="O409" i="82"/>
  <c r="P409" i="82"/>
  <c r="Q409" i="82"/>
  <c r="R409" i="82"/>
  <c r="S409" i="82"/>
  <c r="A410" i="82"/>
  <c r="C410" i="82"/>
  <c r="G410" i="82"/>
  <c r="J410" i="82"/>
  <c r="K410" i="82"/>
  <c r="L410" i="82"/>
  <c r="M410" i="82"/>
  <c r="N410" i="82"/>
  <c r="O410" i="82"/>
  <c r="P410" i="82"/>
  <c r="Q410" i="82"/>
  <c r="R410" i="82"/>
  <c r="S410" i="82"/>
  <c r="A411" i="82"/>
  <c r="C411" i="82"/>
  <c r="G411" i="82"/>
  <c r="J411" i="82"/>
  <c r="K411" i="82"/>
  <c r="L411" i="82"/>
  <c r="M411" i="82"/>
  <c r="N411" i="82"/>
  <c r="O411" i="82"/>
  <c r="P411" i="82"/>
  <c r="Q411" i="82"/>
  <c r="R411" i="82"/>
  <c r="S411" i="82"/>
  <c r="A412" i="82"/>
  <c r="C412" i="82"/>
  <c r="G412" i="82"/>
  <c r="J412" i="82"/>
  <c r="K412" i="82"/>
  <c r="L412" i="82"/>
  <c r="M412" i="82"/>
  <c r="N412" i="82"/>
  <c r="O412" i="82"/>
  <c r="P412" i="82"/>
  <c r="Q412" i="82"/>
  <c r="R412" i="82"/>
  <c r="S412" i="82"/>
  <c r="A413" i="82"/>
  <c r="C413" i="82"/>
  <c r="G413" i="82"/>
  <c r="J413" i="82"/>
  <c r="K413" i="82"/>
  <c r="L413" i="82"/>
  <c r="M413" i="82"/>
  <c r="N413" i="82"/>
  <c r="O413" i="82"/>
  <c r="P413" i="82"/>
  <c r="Q413" i="82"/>
  <c r="R413" i="82"/>
  <c r="S413" i="82"/>
  <c r="A414" i="82"/>
  <c r="C414" i="82"/>
  <c r="G414" i="82"/>
  <c r="J414" i="82"/>
  <c r="K414" i="82"/>
  <c r="L414" i="82"/>
  <c r="M414" i="82"/>
  <c r="N414" i="82"/>
  <c r="O414" i="82"/>
  <c r="P414" i="82"/>
  <c r="Q414" i="82"/>
  <c r="R414" i="82"/>
  <c r="S414" i="82"/>
  <c r="A415" i="82"/>
  <c r="C415" i="82"/>
  <c r="G415" i="82"/>
  <c r="J415" i="82"/>
  <c r="K415" i="82"/>
  <c r="L415" i="82"/>
  <c r="M415" i="82"/>
  <c r="N415" i="82"/>
  <c r="O415" i="82"/>
  <c r="P415" i="82"/>
  <c r="Q415" i="82"/>
  <c r="R415" i="82"/>
  <c r="S415" i="82"/>
  <c r="A416" i="82"/>
  <c r="C416" i="82"/>
  <c r="G416" i="82"/>
  <c r="J416" i="82"/>
  <c r="K416" i="82"/>
  <c r="L416" i="82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M417" i="82"/>
  <c r="N417" i="82"/>
  <c r="O417" i="82"/>
  <c r="P417" i="82"/>
  <c r="Q417" i="82"/>
  <c r="R417" i="82"/>
  <c r="S417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3" i="82"/>
  <c r="I163" i="82"/>
  <c r="D163" i="82"/>
  <c r="H164" i="82"/>
  <c r="I164" i="82"/>
  <c r="D164" i="82"/>
  <c r="H165" i="82"/>
  <c r="I165" i="82"/>
  <c r="D165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A30" i="94"/>
  <c r="A31" i="94"/>
  <c r="A12" i="94"/>
  <c r="H5" i="105"/>
  <c r="G16" i="105"/>
  <c r="M2" i="96"/>
  <c r="M3" i="96"/>
  <c r="M4" i="96"/>
  <c r="M5" i="96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D13" i="105"/>
  <c r="B5" i="105"/>
  <c r="A13" i="105"/>
  <c r="D16" i="105"/>
  <c r="A16" i="105"/>
  <c r="R165" i="82"/>
  <c r="Q165" i="82"/>
  <c r="P165" i="82"/>
  <c r="O165" i="82"/>
  <c r="A3" i="94"/>
  <c r="A4" i="94"/>
  <c r="A5" i="94"/>
  <c r="A7" i="94"/>
  <c r="A9" i="94"/>
  <c r="A10" i="94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7" i="82"/>
  <c r="C397" i="82"/>
  <c r="G397" i="82"/>
  <c r="J397" i="82"/>
  <c r="K397" i="82"/>
  <c r="L397" i="82"/>
  <c r="A17" i="94"/>
  <c r="A18" i="94"/>
  <c r="A19" i="94"/>
  <c r="A21" i="94"/>
  <c r="A22" i="94"/>
  <c r="A23" i="94"/>
  <c r="A25" i="94"/>
  <c r="A27" i="94"/>
  <c r="A28" i="94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A404" i="82"/>
  <c r="C404" i="82"/>
  <c r="G404" i="82"/>
  <c r="J404" i="82"/>
  <c r="K404" i="82"/>
  <c r="L404" i="82"/>
  <c r="M404" i="82"/>
  <c r="O404" i="82"/>
  <c r="P404" i="82"/>
  <c r="Q404" i="82"/>
  <c r="R404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G5" i="96"/>
  <c r="G4" i="96"/>
  <c r="G3" i="96"/>
  <c r="G2" i="96"/>
  <c r="H4" i="96"/>
  <c r="C4" i="96"/>
  <c r="H5" i="96"/>
  <c r="C5" i="96"/>
  <c r="F4" i="96"/>
  <c r="I4" i="96"/>
  <c r="J4" i="96"/>
  <c r="K4" i="96"/>
  <c r="N4" i="96"/>
  <c r="O4" i="96"/>
  <c r="P4" i="96"/>
  <c r="Q4" i="96"/>
  <c r="R4" i="96"/>
  <c r="F5" i="96"/>
  <c r="I5" i="96"/>
  <c r="J5" i="96"/>
  <c r="K5" i="96"/>
  <c r="N5" i="96"/>
  <c r="O5" i="96"/>
  <c r="P5" i="96"/>
  <c r="Q5" i="96"/>
  <c r="R5" i="96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A7" i="105"/>
  <c r="N2" i="96"/>
  <c r="O2" i="96"/>
  <c r="P2" i="96"/>
  <c r="Q2" i="96"/>
  <c r="R2" i="96"/>
  <c r="N3" i="96"/>
  <c r="O3" i="96"/>
  <c r="P3" i="96"/>
  <c r="Q3" i="96"/>
  <c r="R3" i="96"/>
  <c r="F2" i="96"/>
  <c r="H2" i="96"/>
  <c r="I2" i="96"/>
  <c r="J2" i="96"/>
  <c r="K2" i="96"/>
  <c r="F3" i="96"/>
  <c r="H3" i="96"/>
  <c r="I3" i="96"/>
  <c r="J3" i="96"/>
  <c r="K3" i="96"/>
  <c r="C2" i="96"/>
  <c r="C3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<sst xmlns="http://schemas.openxmlformats.org/spreadsheetml/2006/main" count="174" uniqueCount="102">
  <si>
    <t>character_id</t>
  </si>
  <si>
    <t>character_id</t>
    <phoneticPr fontId="12"/>
  </si>
  <si>
    <t>unit_level</t>
    <phoneticPr fontId="12"/>
  </si>
  <si>
    <t>weight</t>
    <phoneticPr fontId="12"/>
  </si>
  <si>
    <t>rare</t>
    <phoneticPr fontId="12"/>
  </si>
  <si>
    <t>name</t>
    <phoneticPr fontId="12"/>
  </si>
  <si>
    <t>drop_label</t>
    <phoneticPr fontId="12"/>
  </si>
  <si>
    <t>color</t>
    <phoneticPr fontId="12"/>
  </si>
  <si>
    <t>character_type_id</t>
    <phoneticPr fontId="12"/>
  </si>
  <si>
    <t>character_tribe_id</t>
    <phoneticPr fontId="12"/>
  </si>
  <si>
    <t>temp_gacha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</si>
  <si>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</si>
  <si>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</si>
  <si>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</si>
  <si>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</si>
  <si>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</si>
  <si>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</si>
  <si>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</si>
  <si>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2"/>
  </si>
  <si>
    <t>pickup_flg</t>
    <phoneticPr fontId="12"/>
  </si>
  <si>
    <t>select_table_no</t>
    <phoneticPr fontId="12"/>
  </si>
  <si>
    <t>select_table_no</t>
    <phoneticPr fontId="12"/>
  </si>
  <si>
    <t>bonus_table_no</t>
    <phoneticPr fontId="12"/>
  </si>
  <si>
    <t>bonus_table_no</t>
    <phoneticPr fontId="12"/>
  </si>
  <si>
    <t>weight</t>
    <phoneticPr fontId="12"/>
  </si>
  <si>
    <t>gift_id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</si>
  <si>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</si>
  <si>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</si>
  <si>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</si>
  <si>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</si>
  <si>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</si>
  <si>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</si>
  <si>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</si>
  <si>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</si>
  <si>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gift_id</t>
    <phoneticPr fontId="12"/>
  </si>
  <si>
    <t>gift_value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</si>
  <si>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</si>
  <si>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</si>
  <si>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</si>
  <si>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</si>
  <si>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</si>
  <si>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</si>
  <si>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gift_type</t>
    <phoneticPr fontId="12"/>
  </si>
  <si>
    <t>備考</t>
    <rPh sb="0" eb="2">
      <t>ビコウ</t>
    </rPh>
    <phoneticPr fontId="12"/>
  </si>
  <si>
    <t>label</t>
    <phoneticPr fontId="12"/>
  </si>
  <si>
    <t>table_no</t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</si>
  <si>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</si>
  <si>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</si>
  <si>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</si>
  <si>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</si>
  <si>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</si>
  <si>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</si>
  <si>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</si>
  <si>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</si>
  <si>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</si>
  <si>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</si>
  <si>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</si>
  <si>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</si>
  <si>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</si>
  <si>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</si>
  <si>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.tmp</t>
    <phoneticPr fontId="46"/>
  </si>
  <si>
    <t>.tmp</t>
    <phoneticPr fontId="46"/>
  </si>
  <si>
    <t>gacha_select_tables</t>
    <phoneticPr fontId="46"/>
  </si>
  <si>
    <t>gacha_settle_tables</t>
    <phoneticPr fontId="46"/>
  </si>
  <si>
    <t>gacha_bonus_tables</t>
    <phoneticPr fontId="46"/>
  </si>
  <si>
    <t>gifts_tmp_</t>
    <phoneticPr fontId="12"/>
  </si>
  <si>
    <t>gifts_i18n_</t>
    <phoneticPr fontId="12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</si>
  <si>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</si>
  <si>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</si>
  <si>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</si>
  <si>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出力flg</t>
    <rPh sb="0" eb="2">
      <t>シュツリョク</t>
    </rPh>
    <phoneticPr fontId="46"/>
  </si>
  <si>
    <t>old</t>
    <phoneticPr fontId="12"/>
  </si>
  <si>
    <t>PremiumW</t>
  </si>
  <si>
    <t>PremiumN</t>
  </si>
  <si>
    <t>PremiumS</t>
  </si>
  <si>
    <t>PremiumSS</t>
  </si>
  <si>
    <t>label</t>
    <phoneticPr fontId="12"/>
  </si>
  <si>
    <t>color</t>
    <phoneticPr fontId="12"/>
  </si>
  <si>
    <t>rarity</t>
    <phoneticPr fontId="12"/>
  </si>
  <si>
    <t>rarity</t>
    <phoneticPr fontId="12"/>
  </si>
  <si>
    <t>name</t>
    <phoneticPr fontId="12"/>
  </si>
  <si>
    <t>バグ設定ユニット数</t>
    <rPh sb="2" eb="9">
      <t>セッテイy</t>
    </rPh>
    <phoneticPr fontId="12"/>
  </si>
  <si>
    <t>単発ガチャ</t>
    <rPh sb="0" eb="5">
      <t>タンパt</t>
    </rPh>
    <phoneticPr fontId="12"/>
  </si>
  <si>
    <t>unit_level</t>
    <phoneticPr fontId="12"/>
  </si>
  <si>
    <t>フェス限定キャラ数</t>
    <rPh sb="3" eb="8">
      <t>ゲン</t>
    </rPh>
    <rPh sb="8" eb="9">
      <t>シュt</t>
    </rPh>
    <phoneticPr fontId="12"/>
  </si>
  <si>
    <t>１０連ガチャ</t>
    <rPh sb="2" eb="6">
      <t>レン</t>
    </rPh>
    <phoneticPr fontId="12"/>
  </si>
  <si>
    <t>確定枠</t>
    <rPh sb="0" eb="3">
      <t>カクテ</t>
    </rPh>
    <phoneticPr fontId="12"/>
  </si>
  <si>
    <t>今回のガチャID</t>
    <rPh sb="0" eb="3">
      <t>コンカ</t>
    </rPh>
    <phoneticPr fontId="12"/>
  </si>
  <si>
    <t>other</t>
    <phoneticPr fontId="12"/>
  </si>
  <si>
    <t>総ユニット数</t>
    <rPh sb="0" eb="1">
      <t>ソウ</t>
    </rPh>
    <rPh sb="5" eb="6">
      <t>ス</t>
    </rPh>
    <phoneticPr fontId="12"/>
  </si>
  <si>
    <t>総ユニット数</t>
    <rPh sb="0" eb="6">
      <t>ソウユニッt</t>
    </rPh>
    <phoneticPr fontId="12"/>
  </si>
  <si>
    <t>レベル設定ユニット数</t>
    <rPh sb="3" eb="10">
      <t>セッテイy</t>
    </rPh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</si>
  <si>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</si>
  <si>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</si>
  <si>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</si>
  <si>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</si>
  <si>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</si>
  <si>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</si>
  <si>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skip</t>
    <phoneticPr fontId="12"/>
  </si>
  <si>
    <t>PremiumS</t>
    <phoneticPr fontId="12"/>
  </si>
  <si>
    <t>PremiumSS</t>
    <phoneticPr fontId="12"/>
  </si>
  <si>
    <t>PremiumSS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</si>
</sst>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75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3" fillId="6" borderId="2" applyNumberFormat="0" applyAlignment="0" applyProtection="0"/>
    <xf numFmtId="0" fontId="24" fillId="7" borderId="0" applyNumberFormat="0" applyBorder="0" applyAlignment="0" applyProtection="0"/>
    <xf numFmtId="0" fontId="25" fillId="8" borderId="3" applyNumberFormat="0" applyAlignment="0" applyProtection="0"/>
    <xf numFmtId="0" fontId="26" fillId="0" borderId="0" applyNumberFormat="0" applyFill="0" applyBorder="0" applyAlignment="0" applyProtection="0"/>
    <xf numFmtId="0" fontId="27" fillId="9" borderId="0" applyNumberFormat="0" applyBorder="0" applyAlignment="0" applyProtection="0"/>
    <xf numFmtId="0" fontId="28" fillId="10" borderId="4" applyNumberFormat="0" applyAlignment="0" applyProtection="0"/>
    <xf numFmtId="0" fontId="29" fillId="0" borderId="0" applyNumberFormat="0" applyFill="0" applyBorder="0" applyAlignment="0" applyProtection="0"/>
    <xf numFmtId="0" fontId="30" fillId="0" borderId="5" applyNumberFormat="0" applyFill="0" applyAlignment="0" applyProtection="0"/>
    <xf numFmtId="0" fontId="31" fillId="0" borderId="6" applyNumberFormat="0" applyFill="0" applyAlignment="0" applyProtection="0"/>
    <xf numFmtId="0" fontId="32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3" fillId="7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6" borderId="0" applyNumberFormat="0" applyBorder="0" applyAlignment="0" applyProtection="0"/>
    <xf numFmtId="0" fontId="3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5" borderId="0" applyNumberFormat="0" applyBorder="0" applyAlignment="0" applyProtection="0"/>
    <xf numFmtId="0" fontId="34" fillId="7" borderId="0" applyNumberFormat="0" applyBorder="0" applyAlignment="0" applyProtection="0"/>
    <xf numFmtId="0" fontId="26" fillId="0" borderId="0" applyNumberFormat="0" applyFill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1" borderId="0" applyNumberFormat="0" applyBorder="0" applyAlignment="0" applyProtection="0"/>
    <xf numFmtId="0" fontId="34" fillId="1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5" fillId="18" borderId="0" applyNumberFormat="0" applyBorder="0" applyAlignment="0" applyProtection="0"/>
    <xf numFmtId="0" fontId="24" fillId="7" borderId="0" applyNumberFormat="0" applyBorder="0" applyAlignment="0" applyProtection="0"/>
    <xf numFmtId="0" fontId="36" fillId="0" borderId="8" applyNumberFormat="0" applyFill="0" applyAlignment="0" applyProtection="0"/>
    <xf numFmtId="0" fontId="37" fillId="8" borderId="9" applyNumberFormat="0" applyAlignment="0" applyProtection="0"/>
    <xf numFmtId="0" fontId="37" fillId="19" borderId="9" applyNumberFormat="0" applyAlignment="0" applyProtection="0"/>
    <xf numFmtId="0" fontId="25" fillId="7" borderId="3" applyNumberFormat="0" applyAlignment="0" applyProtection="0"/>
    <xf numFmtId="0" fontId="38" fillId="0" borderId="10" applyNumberFormat="0" applyFill="0" applyAlignment="0" applyProtection="0"/>
    <xf numFmtId="0" fontId="39" fillId="19" borderId="3" applyNumberFormat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10" fillId="0" borderId="0"/>
    <xf numFmtId="0" fontId="44" fillId="21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" fillId="0" borderId="0"/>
    <xf numFmtId="0" fontId="47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5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22" fillId="5" borderId="0" xfId="2" applyFont="1" applyFill="1" applyAlignment="1">
      <alignment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4" borderId="12" xfId="2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8" fillId="3" borderId="1" xfId="0" applyFont="1" applyFill="1" applyBorder="1" applyAlignment="1">
      <alignment vertical="center"/>
    </xf>
    <xf numFmtId="0" fontId="0" fillId="4" borderId="1" xfId="0" applyFill="1" applyBorder="1"/>
    <xf numFmtId="0" fontId="17" fillId="2" borderId="1" xfId="2" applyFont="1" applyFill="1" applyBorder="1" applyAlignment="1">
      <alignment horizontal="left" vertical="center"/>
    </xf>
    <xf numFmtId="0" fontId="17" fillId="3" borderId="1" xfId="2" applyFont="1" applyFill="1" applyBorder="1" applyAlignment="1">
      <alignment horizontal="left" vertical="center"/>
    </xf>
    <xf numFmtId="0" fontId="17" fillId="5" borderId="0" xfId="2" applyFont="1" applyFill="1" applyAlignment="1">
      <alignment vertical="center"/>
    </xf>
    <xf numFmtId="0" fontId="45" fillId="22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3" borderId="1" xfId="2978" applyFont="1" applyFill="1" applyBorder="1"/>
    <xf numFmtId="0" fontId="5" fillId="23" borderId="1" xfId="2978" applyFill="1" applyBorder="1"/>
    <xf numFmtId="0" fontId="5" fillId="0" borderId="0" xfId="2978"/>
    <xf numFmtId="0" fontId="5" fillId="0" borderId="1" xfId="2978" applyBorder="1"/>
    <xf numFmtId="0" fontId="5" fillId="2" borderId="1" xfId="2978" applyFill="1" applyBorder="1"/>
    <xf numFmtId="0" fontId="9" fillId="2" borderId="1" xfId="19" applyFont="1" applyFill="1" applyBorder="1"/>
    <xf numFmtId="0" fontId="10" fillId="2" borderId="1" xfId="19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4" fillId="0" borderId="1" xfId="2978" applyFont="1" applyBorder="1"/>
    <xf numFmtId="0" fontId="19" fillId="23" borderId="1" xfId="0" applyFont="1" applyFill="1" applyBorder="1"/>
    <xf numFmtId="0" fontId="3" fillId="0" borderId="1" xfId="3036" applyFont="1" applyBorder="1"/>
    <xf numFmtId="0" fontId="17" fillId="0" borderId="0" xfId="2" applyFont="1" applyBorder="1" applyAlignment="1">
      <alignment vertical="center"/>
    </xf>
    <xf numFmtId="0" fontId="45" fillId="24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5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8" fillId="0" borderId="1" xfId="0" applyFont="1" applyFill="1" applyBorder="1" applyAlignment="1">
      <alignment vertical="center"/>
    </xf>
    <xf numFmtId="0" fontId="0" fillId="0" borderId="0" xfId="0" applyFill="1"/>
    <xf numFmtId="0" fontId="45" fillId="25" borderId="1" xfId="0" applyFont="1" applyFill="1" applyBorder="1" applyAlignment="1">
      <alignment horizontal="right" vertical="center"/>
    </xf>
    <xf numFmtId="0" fontId="45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5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2" fillId="0" borderId="1" xfId="3036" applyFont="1" applyBorder="1"/>
    <xf numFmtId="0" fontId="45" fillId="27" borderId="1" xfId="0" applyFont="1" applyFill="1" applyBorder="1" applyAlignment="1">
      <alignment vertical="center"/>
    </xf>
  </cellXfs>
  <cellStyles count="357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L23" sqref="L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199</v>
      </c>
      <c r="D2" s="25" t="s">
        <v>60</v>
      </c>
      <c r="E2" s="23" t="str">
        <f ca="1">B2&amp;C2&amp;D2</f>
        <v>gacha_select_tables_199.tmp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199</v>
      </c>
      <c r="D3" s="25" t="s">
        <v>61</v>
      </c>
      <c r="E3" s="23" t="str">
        <f ca="1">B3&amp;C3&amp;D3</f>
        <v>gacha_settle_tables_199.tmp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98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199</v>
      </c>
      <c r="D4" s="25" t="s">
        <v>61</v>
      </c>
      <c r="E4" s="23" t="str">
        <f ca="1">B4&amp;C4&amp;D4</f>
        <v>gacha_bonus_tables_199.tmp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98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199</v>
      </c>
      <c r="D5" s="25" t="s">
        <v>61</v>
      </c>
      <c r="E5" s="23" t="str">
        <f ca="1">B5&amp;C5&amp;D5</f>
        <v>gifts_tmp_199.tmp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98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199</v>
      </c>
      <c r="D6" s="25" t="s">
        <v>61</v>
      </c>
      <c r="E6" s="23" t="str">
        <f ca="1">B6&amp;C6&amp;D6</f>
        <v>gifts_i18n_199.tmp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H14" sqref="H14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3" si="0">0&amp;C3&amp;D3&amp;E3</f>
        <v>0PremiumW4</v>
      </c>
      <c r="B3">
        <v>7500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14115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14115</v>
      </c>
      <c r="C5" s="52" t="s">
        <v>74</v>
      </c>
      <c r="D5">
        <v>4</v>
      </c>
    </row>
    <row r="6" spans="1:5">
      <c r="A6" s="15" t="str">
        <f t="shared" si="0"/>
        <v>0PremiumS4new</v>
      </c>
      <c r="B6">
        <v>28230</v>
      </c>
      <c r="C6" s="52" t="s">
        <v>99</v>
      </c>
      <c r="D6">
        <v>4</v>
      </c>
      <c r="E6" t="s">
        <v>92</v>
      </c>
    </row>
    <row r="7" spans="1:5">
      <c r="A7" s="15" t="str">
        <f t="shared" si="0"/>
        <v>0PremiumSS4</v>
      </c>
      <c r="B7">
        <v>1283</v>
      </c>
      <c r="C7" s="52" t="s">
        <v>75</v>
      </c>
      <c r="D7">
        <v>4</v>
      </c>
    </row>
    <row r="8" spans="1:5">
      <c r="A8" s="15" t="str">
        <f t="shared" si="0"/>
        <v>0PremiumSS4new</v>
      </c>
      <c r="B8">
        <v>4705</v>
      </c>
      <c r="C8" s="52" t="s">
        <v>100</v>
      </c>
      <c r="D8">
        <v>4</v>
      </c>
      <c r="E8" t="s">
        <v>92</v>
      </c>
    </row>
    <row r="9" spans="1:5">
      <c r="A9" s="15" t="str">
        <f t="shared" si="0"/>
        <v>0PremiumN5</v>
      </c>
      <c r="B9">
        <v>885</v>
      </c>
      <c r="C9" s="52" t="s">
        <v>73</v>
      </c>
      <c r="D9">
        <v>5</v>
      </c>
    </row>
    <row r="10" spans="1:5">
      <c r="A10" s="15" t="str">
        <f t="shared" si="0"/>
        <v>0PremiumS5</v>
      </c>
      <c r="B10">
        <v>885</v>
      </c>
      <c r="C10" s="61" t="s">
        <v>74</v>
      </c>
      <c r="D10">
        <v>5</v>
      </c>
    </row>
    <row r="11" spans="1:5">
      <c r="A11" s="15" t="str">
        <f t="shared" si="0"/>
        <v>0PremiumS5new</v>
      </c>
      <c r="B11">
        <v>1770</v>
      </c>
      <c r="C11" s="61" t="s">
        <v>99</v>
      </c>
      <c r="D11">
        <v>5</v>
      </c>
      <c r="E11" t="s">
        <v>93</v>
      </c>
    </row>
    <row r="12" spans="1:5">
      <c r="A12" s="15" t="str">
        <f t="shared" si="0"/>
        <v>0PremiumSS5</v>
      </c>
      <c r="B12">
        <v>80</v>
      </c>
      <c r="C12" s="51" t="s">
        <v>75</v>
      </c>
      <c r="D12">
        <v>5</v>
      </c>
    </row>
    <row r="13" spans="1:5">
      <c r="A13" s="15" t="str">
        <f t="shared" si="0"/>
        <v>0PremiumSS5new</v>
      </c>
      <c r="B13">
        <v>295</v>
      </c>
      <c r="C13" s="52" t="s">
        <v>100</v>
      </c>
      <c r="D13">
        <v>5</v>
      </c>
      <c r="E13" t="s">
        <v>94</v>
      </c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31" si="1">1&amp;C17&amp;D17&amp;E17</f>
        <v>1PremiumW3</v>
      </c>
      <c r="B17">
        <v>4737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7105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7105</v>
      </c>
      <c r="C19" s="51" t="s">
        <v>74</v>
      </c>
      <c r="D19">
        <v>3</v>
      </c>
    </row>
    <row r="20" spans="1:9">
      <c r="A20" s="15" t="str">
        <f t="shared" si="1"/>
        <v>1PremiumS3new</v>
      </c>
      <c r="B20">
        <v>15000</v>
      </c>
      <c r="C20" s="51" t="s">
        <v>99</v>
      </c>
      <c r="D20">
        <v>3</v>
      </c>
      <c r="E20" t="s">
        <v>95</v>
      </c>
    </row>
    <row r="21" spans="1:9">
      <c r="A21" s="15" t="str">
        <f t="shared" si="1"/>
        <v>1PremiumW4</v>
      </c>
      <c r="B21">
        <v>4737</v>
      </c>
      <c r="C21" s="51" t="s">
        <v>72</v>
      </c>
      <c r="D21">
        <v>4</v>
      </c>
    </row>
    <row r="22" spans="1:9">
      <c r="A22" s="15" t="str">
        <f t="shared" si="1"/>
        <v>1PremiumN4</v>
      </c>
      <c r="B22">
        <v>6224</v>
      </c>
      <c r="C22" s="51" t="s">
        <v>73</v>
      </c>
      <c r="D22">
        <v>4</v>
      </c>
      <c r="H22" s="50"/>
      <c r="I22" s="50"/>
    </row>
    <row r="23" spans="1:9">
      <c r="A23" s="15" t="str">
        <f t="shared" si="1"/>
        <v>1PremiumS4</v>
      </c>
      <c r="B23">
        <v>6224</v>
      </c>
      <c r="C23" s="51" t="s">
        <v>74</v>
      </c>
      <c r="D23">
        <v>4</v>
      </c>
    </row>
    <row r="24" spans="1:9">
      <c r="A24" s="15" t="str">
        <f t="shared" si="1"/>
        <v>1PremiumS4new</v>
      </c>
      <c r="B24">
        <v>13140</v>
      </c>
      <c r="C24" s="51" t="s">
        <v>99</v>
      </c>
      <c r="D24">
        <v>4</v>
      </c>
      <c r="E24" t="s">
        <v>92</v>
      </c>
    </row>
    <row r="25" spans="1:9">
      <c r="A25" s="15" t="str">
        <f t="shared" si="1"/>
        <v>1PremiumSS4</v>
      </c>
      <c r="B25">
        <v>853</v>
      </c>
      <c r="C25" s="52" t="s">
        <v>75</v>
      </c>
      <c r="D25">
        <v>4</v>
      </c>
    </row>
    <row r="26" spans="1:9">
      <c r="A26" s="15" t="str">
        <f t="shared" si="1"/>
        <v>1PremiumSS4new</v>
      </c>
      <c r="B26">
        <v>9380</v>
      </c>
      <c r="C26" s="52" t="s">
        <v>101</v>
      </c>
      <c r="D26">
        <v>4</v>
      </c>
      <c r="E26" t="s">
        <v>92</v>
      </c>
    </row>
    <row r="27" spans="1:9">
      <c r="A27" s="15" t="str">
        <f t="shared" si="1"/>
        <v>1PremiumN5</v>
      </c>
      <c r="B27">
        <v>881</v>
      </c>
      <c r="C27" s="52" t="s">
        <v>73</v>
      </c>
      <c r="D27">
        <v>5</v>
      </c>
    </row>
    <row r="28" spans="1:9">
      <c r="A28" s="15" t="str">
        <f t="shared" si="1"/>
        <v>1PremiumS5</v>
      </c>
      <c r="B28">
        <v>881</v>
      </c>
      <c r="C28" s="51" t="s">
        <v>74</v>
      </c>
      <c r="D28">
        <v>5</v>
      </c>
    </row>
    <row r="29" spans="1:9">
      <c r="A29" s="15" t="str">
        <f t="shared" si="1"/>
        <v>1PremiumS5new</v>
      </c>
      <c r="B29">
        <v>1860</v>
      </c>
      <c r="C29" s="51" t="s">
        <v>99</v>
      </c>
      <c r="D29">
        <v>5</v>
      </c>
      <c r="E29" t="s">
        <v>96</v>
      </c>
    </row>
    <row r="30" spans="1:9">
      <c r="A30" s="15" t="str">
        <f t="shared" si="1"/>
        <v>1PremiumSS5</v>
      </c>
      <c r="B30">
        <v>56</v>
      </c>
      <c r="C30" s="41" t="s">
        <v>75</v>
      </c>
      <c r="D30">
        <v>5</v>
      </c>
    </row>
    <row r="31" spans="1:9">
      <c r="A31" s="15" t="str">
        <f t="shared" si="1"/>
        <v>1PremiumSS5new</v>
      </c>
      <c r="B31">
        <v>620</v>
      </c>
      <c r="C31" s="41" t="s">
        <v>100</v>
      </c>
      <c r="D31">
        <v>5</v>
      </c>
      <c r="E31" t="s">
        <v>97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17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T14" sqref="T1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1990127</v>
      </c>
      <c r="B2" s="2" t="str">
        <f>199&amp;E2</f>
        <v>1990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VLOOKUP(D2,gacha_19９_base!A:B,2,FALSE)</f>
        <v>7500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1990129</v>
      </c>
      <c r="B3" s="2" t="str">
        <f t="shared" ref="B3:B66" si="3">199&amp;E3</f>
        <v>1990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VLOOKUP(D3,gacha_19９_base!A:B,2,FALSE)</f>
        <v>7500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1990131</v>
      </c>
      <c r="B4" s="2" t="str">
        <f t="shared" si="3"/>
        <v>1990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VLOOKUP(D4,gacha_19９_base!A:B,2,FALSE)</f>
        <v>7500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1990133</v>
      </c>
      <c r="B5" s="2" t="str">
        <f t="shared" si="3"/>
        <v>1990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VLOOKUP(D5,gacha_19９_base!A:B,2,FALSE)</f>
        <v>7500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1990135</v>
      </c>
      <c r="B6" s="2" t="str">
        <f t="shared" si="3"/>
        <v>1990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VLOOKUP(D6,gacha_19９_base!A:B,2,FALSE)</f>
        <v>7500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1990137</v>
      </c>
      <c r="B7" s="2" t="str">
        <f t="shared" si="3"/>
        <v>1990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VLOOKUP(D7,gacha_19９_base!A:B,2,FALSE)</f>
        <v>7500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1990139</v>
      </c>
      <c r="B8" s="2" t="str">
        <f t="shared" si="3"/>
        <v>1990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VLOOKUP(D8,gacha_19９_base!A:B,2,FALSE)</f>
        <v>7500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1990141</v>
      </c>
      <c r="B9" s="2" t="str">
        <f t="shared" si="3"/>
        <v>1990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VLOOKUP(D9,gacha_19９_base!A:B,2,FALSE)</f>
        <v>7500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1990143</v>
      </c>
      <c r="B10" s="2" t="str">
        <f t="shared" si="3"/>
        <v>1990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VLOOKUP(D10,gacha_19９_base!A:B,2,FALSE)</f>
        <v>7500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1990145</v>
      </c>
      <c r="B11" s="2" t="str">
        <f t="shared" si="3"/>
        <v>1990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VLOOKUP(D11,gacha_19９_base!A:B,2,FALSE)</f>
        <v>7500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1990147</v>
      </c>
      <c r="B12" s="2" t="str">
        <f t="shared" si="3"/>
        <v>1990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VLOOKUP(D12,gacha_19９_base!A:B,2,FALSE)</f>
        <v>7500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1990149</v>
      </c>
      <c r="B13" s="2" t="str">
        <f t="shared" si="3"/>
        <v>1990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VLOOKUP(D13,gacha_19９_base!A:B,2,FALSE)</f>
        <v>7500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1990151</v>
      </c>
      <c r="B14" s="2" t="str">
        <f t="shared" si="3"/>
        <v>1990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VLOOKUP(D14,gacha_19９_base!A:B,2,FALSE)</f>
        <v>7500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1990153</v>
      </c>
      <c r="B15" s="2" t="str">
        <f t="shared" si="3"/>
        <v>1990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VLOOKUP(D15,gacha_19９_base!A:B,2,FALSE)</f>
        <v>7500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1990155</v>
      </c>
      <c r="B16" s="2" t="str">
        <f t="shared" si="3"/>
        <v>1990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VLOOKUP(D16,gacha_19９_base!A:B,2,FALSE)</f>
        <v>7500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1990157</v>
      </c>
      <c r="B17" s="2" t="str">
        <f t="shared" si="3"/>
        <v>1990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VLOOKUP(D17,gacha_19９_base!A:B,2,FALSE)</f>
        <v>7500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1990159</v>
      </c>
      <c r="B18" s="2" t="str">
        <f t="shared" si="3"/>
        <v>1990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VLOOKUP(D18,gacha_19９_base!A:B,2,FALSE)</f>
        <v>7500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1990161</v>
      </c>
      <c r="B19" s="2" t="str">
        <f t="shared" si="3"/>
        <v>1990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VLOOKUP(D19,gacha_19９_base!A:B,2,FALSE)</f>
        <v>7500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1990163</v>
      </c>
      <c r="B20" s="2" t="str">
        <f t="shared" si="3"/>
        <v>1990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VLOOKUP(D20,gacha_19９_base!A:B,2,FALSE)</f>
        <v>7500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1990165</v>
      </c>
      <c r="B21" s="2" t="str">
        <f t="shared" si="3"/>
        <v>1990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VLOOKUP(D21,gacha_19９_base!A:B,2,FALSE)</f>
        <v>7500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1990167</v>
      </c>
      <c r="B22" s="2" t="str">
        <f t="shared" si="3"/>
        <v>1990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VLOOKUP(D22,gacha_19９_base!A:B,2,FALSE)</f>
        <v>14115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1990168</v>
      </c>
      <c r="B23" s="2" t="str">
        <f t="shared" si="3"/>
        <v>1990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VLOOKUP(D23,gacha_19９_base!A:B,2,FALSE)</f>
        <v>885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1990170</v>
      </c>
      <c r="B24" s="2" t="str">
        <f t="shared" si="3"/>
        <v>1990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VLOOKUP(D24,gacha_19９_base!A:B,2,FALSE)</f>
        <v>14115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1990171</v>
      </c>
      <c r="B25" s="2" t="str">
        <f t="shared" si="3"/>
        <v>1990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VLOOKUP(D25,gacha_19９_base!A:B,2,FALSE)</f>
        <v>885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1990173</v>
      </c>
      <c r="B26" s="2" t="str">
        <f t="shared" si="3"/>
        <v>1990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VLOOKUP(D26,gacha_19９_base!A:B,2,FALSE)</f>
        <v>14115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1990174</v>
      </c>
      <c r="B27" s="2" t="str">
        <f t="shared" si="3"/>
        <v>1990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VLOOKUP(D27,gacha_19９_base!A:B,2,FALSE)</f>
        <v>885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1990176</v>
      </c>
      <c r="B28" s="2" t="str">
        <f t="shared" si="3"/>
        <v>1990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VLOOKUP(D28,gacha_19９_base!A:B,2,FALSE)</f>
        <v>14115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1990177</v>
      </c>
      <c r="B29" s="2" t="str">
        <f t="shared" si="3"/>
        <v>1990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VLOOKUP(D29,gacha_19９_base!A:B,2,FALSE)</f>
        <v>885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1990179</v>
      </c>
      <c r="B30" s="2" t="str">
        <f t="shared" si="3"/>
        <v>1990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VLOOKUP(D30,gacha_19９_base!A:B,2,FALSE)</f>
        <v>14115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1990180</v>
      </c>
      <c r="B31" s="2" t="str">
        <f t="shared" si="3"/>
        <v>1990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VLOOKUP(D31,gacha_19９_base!A:B,2,FALSE)</f>
        <v>885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1990182</v>
      </c>
      <c r="B32" s="2" t="str">
        <f t="shared" si="3"/>
        <v>1990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VLOOKUP(D32,gacha_19９_base!A:B,2,FALSE)</f>
        <v>14115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1990183</v>
      </c>
      <c r="B33" s="2" t="str">
        <f t="shared" si="3"/>
        <v>1990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VLOOKUP(D33,gacha_19９_base!A:B,2,FALSE)</f>
        <v>885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1990185</v>
      </c>
      <c r="B34" s="2" t="str">
        <f t="shared" si="3"/>
        <v>1990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VLOOKUP(D34,gacha_19９_base!A:B,2,FALSE)</f>
        <v>14115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1990186</v>
      </c>
      <c r="B35" s="2" t="str">
        <f t="shared" si="3"/>
        <v>1990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VLOOKUP(D35,gacha_19９_base!A:B,2,FALSE)</f>
        <v>885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1990188</v>
      </c>
      <c r="B36" s="2" t="str">
        <f t="shared" si="3"/>
        <v>1990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VLOOKUP(D36,gacha_19９_base!A:B,2,FALSE)</f>
        <v>14115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1990189</v>
      </c>
      <c r="B37" s="2" t="str">
        <f t="shared" si="3"/>
        <v>1990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VLOOKUP(D37,gacha_19９_base!A:B,2,FALSE)</f>
        <v>885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1990191</v>
      </c>
      <c r="B38" s="2" t="str">
        <f t="shared" si="3"/>
        <v>1990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VLOOKUP(D38,gacha_19９_base!A:B,2,FALSE)</f>
        <v>14115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1990192</v>
      </c>
      <c r="B39" s="2" t="str">
        <f t="shared" si="3"/>
        <v>1990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VLOOKUP(D39,gacha_19９_base!A:B,2,FALSE)</f>
        <v>885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1990194</v>
      </c>
      <c r="B40" s="2" t="str">
        <f t="shared" si="3"/>
        <v>1990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VLOOKUP(D40,gacha_19９_base!A:B,2,FALSE)</f>
        <v>14115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1990195</v>
      </c>
      <c r="B41" s="2" t="str">
        <f t="shared" si="3"/>
        <v>1990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VLOOKUP(D41,gacha_19９_base!A:B,2,FALSE)</f>
        <v>885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1990197</v>
      </c>
      <c r="B42" s="2" t="str">
        <f t="shared" si="3"/>
        <v>1990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VLOOKUP(D42,gacha_19９_base!A:B,2,FALSE)</f>
        <v>14115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1990198</v>
      </c>
      <c r="B43" s="2" t="str">
        <f t="shared" si="3"/>
        <v>1990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VLOOKUP(D43,gacha_19９_base!A:B,2,FALSE)</f>
        <v>885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1990200</v>
      </c>
      <c r="B44" s="2" t="str">
        <f t="shared" si="3"/>
        <v>1990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VLOOKUP(D44,gacha_19９_base!A:B,2,FALSE)</f>
        <v>14115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1990201</v>
      </c>
      <c r="B45" s="2" t="str">
        <f t="shared" si="3"/>
        <v>1990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VLOOKUP(D45,gacha_19９_base!A:B,2,FALSE)</f>
        <v>885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1990203</v>
      </c>
      <c r="B46" s="2" t="str">
        <f t="shared" si="3"/>
        <v>1990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VLOOKUP(D46,gacha_19９_base!A:B,2,FALSE)</f>
        <v>14115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1990204</v>
      </c>
      <c r="B47" s="2" t="str">
        <f t="shared" si="3"/>
        <v>1990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VLOOKUP(D47,gacha_19９_base!A:B,2,FALSE)</f>
        <v>885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1990206</v>
      </c>
      <c r="B48" s="2" t="str">
        <f t="shared" si="3"/>
        <v>1990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VLOOKUP(D48,gacha_19９_base!A:B,2,FALSE)</f>
        <v>14115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1990207</v>
      </c>
      <c r="B49" s="2" t="str">
        <f t="shared" si="3"/>
        <v>1990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VLOOKUP(D49,gacha_19９_base!A:B,2,FALSE)</f>
        <v>885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1990209</v>
      </c>
      <c r="B50" s="2" t="str">
        <f t="shared" si="3"/>
        <v>1990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VLOOKUP(D50,gacha_19９_base!A:B,2,FALSE)</f>
        <v>14115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1990210</v>
      </c>
      <c r="B51" s="2" t="str">
        <f t="shared" si="3"/>
        <v>1990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VLOOKUP(D51,gacha_19９_base!A:B,2,FALSE)</f>
        <v>885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1990212</v>
      </c>
      <c r="B52" s="2" t="str">
        <f t="shared" si="3"/>
        <v>1990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VLOOKUP(D52,gacha_19９_base!A:B,2,FALSE)</f>
        <v>14115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1990213</v>
      </c>
      <c r="B53" s="2" t="str">
        <f t="shared" si="3"/>
        <v>1990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VLOOKUP(D53,gacha_19９_base!A:B,2,FALSE)</f>
        <v>885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1990215</v>
      </c>
      <c r="B54" s="2" t="str">
        <f t="shared" si="3"/>
        <v>1990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VLOOKUP(D54,gacha_19９_base!A:B,2,FALSE)</f>
        <v>14115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1990216</v>
      </c>
      <c r="B55" s="2" t="str">
        <f t="shared" si="3"/>
        <v>1990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VLOOKUP(D55,gacha_19９_base!A:B,2,FALSE)</f>
        <v>885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1990218</v>
      </c>
      <c r="B56" s="2" t="str">
        <f t="shared" si="3"/>
        <v>1990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VLOOKUP(D56,gacha_19９_base!A:B,2,FALSE)</f>
        <v>14115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1990219</v>
      </c>
      <c r="B57" s="2" t="str">
        <f t="shared" si="3"/>
        <v>1990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VLOOKUP(D57,gacha_19９_base!A:B,2,FALSE)</f>
        <v>885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1990221</v>
      </c>
      <c r="B58" s="2" t="str">
        <f t="shared" si="3"/>
        <v>1990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VLOOKUP(D58,gacha_19９_base!A:B,2,FALSE)</f>
        <v>14115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1990222</v>
      </c>
      <c r="B59" s="2" t="str">
        <f t="shared" si="3"/>
        <v>1990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VLOOKUP(D59,gacha_19９_base!A:B,2,FALSE)</f>
        <v>885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1990224</v>
      </c>
      <c r="B60" s="2" t="str">
        <f t="shared" si="3"/>
        <v>1990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VLOOKUP(D60,gacha_19９_base!A:B,2,FALSE)</f>
        <v>14115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1990225</v>
      </c>
      <c r="B61" s="2" t="str">
        <f t="shared" si="3"/>
        <v>1990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VLOOKUP(D61,gacha_19９_base!A:B,2,FALSE)</f>
        <v>885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1990227</v>
      </c>
      <c r="B62" s="2" t="str">
        <f t="shared" si="3"/>
        <v>1990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VLOOKUP(D62,gacha_19９_base!A:B,2,FALSE)</f>
        <v>14115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1990228</v>
      </c>
      <c r="B63" s="2" t="str">
        <f t="shared" si="3"/>
        <v>1990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VLOOKUP(D63,gacha_19９_base!A:B,2,FALSE)</f>
        <v>885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1990230</v>
      </c>
      <c r="B64" s="2" t="str">
        <f t="shared" si="3"/>
        <v>1990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VLOOKUP(D64,gacha_19９_base!A:B,2,FALSE)</f>
        <v>14115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1990231</v>
      </c>
      <c r="B65" s="2" t="str">
        <f t="shared" si="3"/>
        <v>1990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VLOOKUP(D65,gacha_19９_base!A:B,2,FALSE)</f>
        <v>885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1990233</v>
      </c>
      <c r="B66" s="2" t="str">
        <f t="shared" si="3"/>
        <v>1990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VLOOKUP(D66,gacha_19９_base!A:B,2,FALSE)</f>
        <v>14115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1990234</v>
      </c>
      <c r="B67" s="2" t="str">
        <f t="shared" ref="B67:B130" si="7">199&amp;E67</f>
        <v>1990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VLOOKUP(D67,gacha_19９_base!A:B,2,FALSE)</f>
        <v>885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1990236</v>
      </c>
      <c r="B68" s="2" t="str">
        <f t="shared" si="7"/>
        <v>1990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VLOOKUP(D68,gacha_19９_base!A:B,2,FALSE)</f>
        <v>14115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1990237</v>
      </c>
      <c r="B69" s="2" t="str">
        <f t="shared" si="7"/>
        <v>1990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VLOOKUP(D69,gacha_19９_base!A:B,2,FALSE)</f>
        <v>885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1990239</v>
      </c>
      <c r="B70" s="2" t="str">
        <f t="shared" si="7"/>
        <v>1990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VLOOKUP(D70,gacha_19９_base!A:B,2,FALSE)</f>
        <v>14115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1990240</v>
      </c>
      <c r="B71" s="2" t="str">
        <f t="shared" si="7"/>
        <v>1990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VLOOKUP(D71,gacha_19９_base!A:B,2,FALSE)</f>
        <v>885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1990242</v>
      </c>
      <c r="B72" s="2" t="str">
        <f t="shared" si="7"/>
        <v>1990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VLOOKUP(D72,gacha_19９_base!A:B,2,FALSE)</f>
        <v>14115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1990243</v>
      </c>
      <c r="B73" s="2" t="str">
        <f t="shared" si="7"/>
        <v>1990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VLOOKUP(D73,gacha_19９_base!A:B,2,FALSE)</f>
        <v>885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1990245</v>
      </c>
      <c r="B74" s="2" t="str">
        <f t="shared" si="7"/>
        <v>1990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VLOOKUP(D74,gacha_19９_base!A:B,2,FALSE)</f>
        <v>14115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1990246</v>
      </c>
      <c r="B75" s="2" t="str">
        <f t="shared" si="7"/>
        <v>1990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VLOOKUP(D75,gacha_19９_base!A:B,2,FALSE)</f>
        <v>885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1990248</v>
      </c>
      <c r="B76" s="2" t="str">
        <f t="shared" si="7"/>
        <v>1990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VLOOKUP(D76,gacha_19９_base!A:B,2,FALSE)</f>
        <v>14115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1990249</v>
      </c>
      <c r="B77" s="2" t="str">
        <f t="shared" si="7"/>
        <v>1990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VLOOKUP(D77,gacha_19９_base!A:B,2,FALSE)</f>
        <v>885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1990251</v>
      </c>
      <c r="B78" s="2" t="str">
        <f t="shared" si="7"/>
        <v>1990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VLOOKUP(D78,gacha_19９_base!A:B,2,FALSE)</f>
        <v>14115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1990252</v>
      </c>
      <c r="B79" s="2" t="str">
        <f t="shared" si="7"/>
        <v>1990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VLOOKUP(D79,gacha_19９_base!A:B,2,FALSE)</f>
        <v>885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1990254</v>
      </c>
      <c r="B80" s="2" t="str">
        <f t="shared" si="7"/>
        <v>1990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VLOOKUP(D80,gacha_19９_base!A:B,2,FALSE)</f>
        <v>14115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1990255</v>
      </c>
      <c r="B81" s="2" t="str">
        <f t="shared" si="7"/>
        <v>1990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VLOOKUP(D81,gacha_19９_base!A:B,2,FALSE)</f>
        <v>885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1990257</v>
      </c>
      <c r="B82" s="2" t="str">
        <f t="shared" si="7"/>
        <v>1990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VLOOKUP(D82,gacha_19９_base!A:B,2,FALSE)</f>
        <v>14115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1990258</v>
      </c>
      <c r="B83" s="2" t="str">
        <f t="shared" si="7"/>
        <v>1990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VLOOKUP(D83,gacha_19９_base!A:B,2,FALSE)</f>
        <v>885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1990260</v>
      </c>
      <c r="B84" s="2" t="str">
        <f t="shared" si="7"/>
        <v>1990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VLOOKUP(D84,gacha_19９_base!A:B,2,FALSE)</f>
        <v>14115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1990261</v>
      </c>
      <c r="B85" s="2" t="str">
        <f t="shared" si="7"/>
        <v>1990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VLOOKUP(D85,gacha_19９_base!A:B,2,FALSE)</f>
        <v>885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1990320</v>
      </c>
      <c r="B86" s="2" t="str">
        <f t="shared" si="7"/>
        <v>1990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VLOOKUP(D86,gacha_19９_base!A:B,2,FALSE)</f>
        <v>1283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1990321</v>
      </c>
      <c r="B87" s="2" t="str">
        <f t="shared" si="7"/>
        <v>1990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VLOOKUP(D87,gacha_19９_base!A:B,2,FALSE)</f>
        <v>80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1990322</v>
      </c>
      <c r="B88" s="2" t="str">
        <f t="shared" si="7"/>
        <v>1990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VLOOKUP(D88,gacha_19９_base!A:B,2,FALSE)</f>
        <v>1283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1990323</v>
      </c>
      <c r="B89" s="2" t="str">
        <f t="shared" si="7"/>
        <v>1990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VLOOKUP(D89,gacha_19９_base!A:B,2,FALSE)</f>
        <v>80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1990324</v>
      </c>
      <c r="B90" s="2" t="str">
        <f t="shared" si="7"/>
        <v>1990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VLOOKUP(D90,gacha_19９_base!A:B,2,FALSE)</f>
        <v>1283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1990325</v>
      </c>
      <c r="B91" s="2" t="str">
        <f t="shared" si="7"/>
        <v>1990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VLOOKUP(D91,gacha_19９_base!A:B,2,FALSE)</f>
        <v>80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1990326</v>
      </c>
      <c r="B92" s="2" t="str">
        <f t="shared" si="7"/>
        <v>1990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VLOOKUP(D92,gacha_19９_base!A:B,2,FALSE)</f>
        <v>1283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1990327</v>
      </c>
      <c r="B93" s="2" t="str">
        <f t="shared" si="7"/>
        <v>1990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VLOOKUP(D93,gacha_19９_base!A:B,2,FALSE)</f>
        <v>80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1990381</v>
      </c>
      <c r="B94" s="2" t="str">
        <f t="shared" si="7"/>
        <v>1990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VLOOKUP(D94,gacha_19９_base!A:B,2,FALSE)</f>
        <v>14115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1990382</v>
      </c>
      <c r="B95" s="2" t="str">
        <f t="shared" si="7"/>
        <v>1990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VLOOKUP(D95,gacha_19９_base!A:B,2,FALSE)</f>
        <v>885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1990383</v>
      </c>
      <c r="B96" s="2" t="str">
        <f t="shared" si="7"/>
        <v>1990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VLOOKUP(D96,gacha_19９_base!A:B,2,FALSE)</f>
        <v>1283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1990384</v>
      </c>
      <c r="B97" s="2" t="str">
        <f t="shared" si="7"/>
        <v>1990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VLOOKUP(D97,gacha_19９_base!A:B,2,FALSE)</f>
        <v>80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1990385</v>
      </c>
      <c r="B98" s="2" t="str">
        <f t="shared" si="7"/>
        <v>1990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VLOOKUP(D98,gacha_19９_base!A:B,2,FALSE)</f>
        <v>1283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1990386</v>
      </c>
      <c r="B99" s="2" t="str">
        <f t="shared" si="7"/>
        <v>1990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VLOOKUP(D99,gacha_19９_base!A:B,2,FALSE)</f>
        <v>80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1990388</v>
      </c>
      <c r="B100" s="2" t="str">
        <f t="shared" si="7"/>
        <v>1990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VLOOKUP(D100,gacha_19９_base!A:B,2,FALSE)</f>
        <v>14115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1990389</v>
      </c>
      <c r="B101" s="2" t="str">
        <f t="shared" si="7"/>
        <v>1990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VLOOKUP(D101,gacha_19９_base!A:B,2,FALSE)</f>
        <v>885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1990390</v>
      </c>
      <c r="B102" s="2" t="str">
        <f t="shared" si="7"/>
        <v>1990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VLOOKUP(D102,gacha_19９_base!A:B,2,FALSE)</f>
        <v>1283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1990391</v>
      </c>
      <c r="B103" s="2" t="str">
        <f t="shared" si="7"/>
        <v>1990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VLOOKUP(D103,gacha_19９_base!A:B,2,FALSE)</f>
        <v>80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1990393</v>
      </c>
      <c r="B104" s="2" t="str">
        <f t="shared" si="7"/>
        <v>1990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VLOOKUP(D104,gacha_19９_base!A:B,2,FALSE)</f>
        <v>14115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1990394</v>
      </c>
      <c r="B105" s="2" t="str">
        <f t="shared" si="7"/>
        <v>1990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VLOOKUP(D105,gacha_19９_base!A:B,2,FALSE)</f>
        <v>885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1990396</v>
      </c>
      <c r="B106" s="2" t="str">
        <f t="shared" si="7"/>
        <v>1990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VLOOKUP(D106,gacha_19９_base!A:B,2,FALSE)</f>
        <v>14115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1990397</v>
      </c>
      <c r="B107" s="2" t="str">
        <f t="shared" si="7"/>
        <v>1990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VLOOKUP(D107,gacha_19９_base!A:B,2,FALSE)</f>
        <v>885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1990398</v>
      </c>
      <c r="B108" s="2" t="str">
        <f t="shared" si="7"/>
        <v>1990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VLOOKUP(D108,gacha_19９_base!A:B,2,FALSE)</f>
        <v>1283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1990399</v>
      </c>
      <c r="B109" s="2" t="str">
        <f t="shared" si="7"/>
        <v>1990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VLOOKUP(D109,gacha_19９_base!A:B,2,FALSE)</f>
        <v>80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1990401</v>
      </c>
      <c r="B110" s="2" t="str">
        <f t="shared" si="7"/>
        <v>1990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VLOOKUP(D110,gacha_19９_base!A:B,2,FALSE)</f>
        <v>14115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1990402</v>
      </c>
      <c r="B111" s="2" t="str">
        <f t="shared" si="7"/>
        <v>1990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VLOOKUP(D111,gacha_19９_base!A:B,2,FALSE)</f>
        <v>885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1990403</v>
      </c>
      <c r="B112" s="2" t="str">
        <f t="shared" si="7"/>
        <v>1990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VLOOKUP(D112,gacha_19９_base!A:B,2,FALSE)</f>
        <v>1283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1990404</v>
      </c>
      <c r="B113" s="2" t="str">
        <f t="shared" si="7"/>
        <v>1990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VLOOKUP(D113,gacha_19９_base!A:B,2,FALSE)</f>
        <v>80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1990406</v>
      </c>
      <c r="B114" s="2" t="str">
        <f t="shared" si="7"/>
        <v>1990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VLOOKUP(D114,gacha_19９_base!A:B,2,FALSE)</f>
        <v>14115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1990407</v>
      </c>
      <c r="B115" s="2" t="str">
        <f t="shared" si="7"/>
        <v>1990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VLOOKUP(D115,gacha_19９_base!A:B,2,FALSE)</f>
        <v>885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1990408</v>
      </c>
      <c r="B116" s="2" t="str">
        <f t="shared" si="7"/>
        <v>1990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VLOOKUP(D116,gacha_19９_base!A:B,2,FALSE)</f>
        <v>1283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1990409</v>
      </c>
      <c r="B117" s="2" t="str">
        <f t="shared" si="7"/>
        <v>1990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VLOOKUP(D117,gacha_19９_base!A:B,2,FALSE)</f>
        <v>80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1990434</v>
      </c>
      <c r="B118" s="2" t="str">
        <f t="shared" si="7"/>
        <v>1990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VLOOKUP(D118,gacha_19９_base!A:B,2,FALSE)</f>
        <v>1283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1990435</v>
      </c>
      <c r="B119" s="2" t="str">
        <f t="shared" si="7"/>
        <v>1990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VLOOKUP(D119,gacha_19９_base!A:B,2,FALSE)</f>
        <v>80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1990437</v>
      </c>
      <c r="B120" s="2" t="str">
        <f t="shared" si="7"/>
        <v>1990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VLOOKUP(D120,gacha_19９_base!A:B,2,FALSE)</f>
        <v>14115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1990438</v>
      </c>
      <c r="B121" s="2" t="str">
        <f t="shared" si="7"/>
        <v>1990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VLOOKUP(D121,gacha_19９_base!A:B,2,FALSE)</f>
        <v>885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1990440</v>
      </c>
      <c r="B122" s="2" t="str">
        <f t="shared" si="7"/>
        <v>1990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VLOOKUP(D122,gacha_19９_base!A:B,2,FALSE)</f>
        <v>14115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1990441</v>
      </c>
      <c r="B123" s="2" t="str">
        <f t="shared" si="7"/>
        <v>1990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VLOOKUP(D123,gacha_19９_base!A:B,2,FALSE)</f>
        <v>885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1990442</v>
      </c>
      <c r="B124" s="2" t="str">
        <f t="shared" si="7"/>
        <v>1990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VLOOKUP(D124,gacha_19９_base!A:B,2,FALSE)</f>
        <v>1283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1990443</v>
      </c>
      <c r="B125" s="2" t="str">
        <f t="shared" si="7"/>
        <v>1990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VLOOKUP(D125,gacha_19９_base!A:B,2,FALSE)</f>
        <v>80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1990463</v>
      </c>
      <c r="B126" s="2" t="str">
        <f t="shared" si="7"/>
        <v>1990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VLOOKUP(D126,gacha_19９_base!A:B,2,FALSE)</f>
        <v>14115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1990464</v>
      </c>
      <c r="B127" s="2" t="str">
        <f t="shared" si="7"/>
        <v>1990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VLOOKUP(D127,gacha_19９_base!A:B,2,FALSE)</f>
        <v>885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1990465</v>
      </c>
      <c r="B128" s="2" t="str">
        <f t="shared" si="7"/>
        <v>1990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VLOOKUP(D128,gacha_19９_base!A:B,2,FALSE)</f>
        <v>1283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1990466</v>
      </c>
      <c r="B129" s="2" t="str">
        <f t="shared" si="7"/>
        <v>1990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VLOOKUP(D129,gacha_19９_base!A:B,2,FALSE)</f>
        <v>80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1990467</v>
      </c>
      <c r="B130" s="2" t="str">
        <f t="shared" si="7"/>
        <v>1990</v>
      </c>
      <c r="C130" s="8" t="str">
        <f t="shared" si="8"/>
        <v>0PremiumSS4</v>
      </c>
      <c r="D130" s="8" t="str">
        <f t="shared" ref="D130:D201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VLOOKUP(D130,gacha_19９_base!A:B,2,FALSE)</f>
        <v>1283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1990468</v>
      </c>
      <c r="B131" s="2" t="str">
        <f t="shared" ref="B131:B194" si="11">199&amp;E131</f>
        <v>1990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VLOOKUP(D131,gacha_19９_base!A:B,2,FALSE)</f>
        <v>80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1990470</v>
      </c>
      <c r="B132" s="2" t="str">
        <f t="shared" si="11"/>
        <v>1990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VLOOKUP(D132,gacha_19９_base!A:B,2,FALSE)</f>
        <v>14115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1990471</v>
      </c>
      <c r="B133" s="2" t="str">
        <f t="shared" si="11"/>
        <v>1990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VLOOKUP(D133,gacha_19９_base!A:B,2,FALSE)</f>
        <v>885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1990474</v>
      </c>
      <c r="B134" s="2" t="str">
        <f t="shared" si="11"/>
        <v>1990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VLOOKUP(D134,gacha_19９_base!A:B,2,FALSE)</f>
        <v>1283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1990475</v>
      </c>
      <c r="B135" s="2" t="str">
        <f t="shared" si="11"/>
        <v>1990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VLOOKUP(D135,gacha_19９_base!A:B,2,FALSE)</f>
        <v>80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1990477</v>
      </c>
      <c r="B136" s="2" t="str">
        <f t="shared" si="11"/>
        <v>1990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VLOOKUP(D136,gacha_19９_base!A:B,2,FALSE)</f>
        <v>14115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1990478</v>
      </c>
      <c r="B137" s="2" t="str">
        <f t="shared" si="11"/>
        <v>1990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VLOOKUP(D137,gacha_19９_base!A:B,2,FALSE)</f>
        <v>885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1990479</v>
      </c>
      <c r="B138" s="2" t="str">
        <f t="shared" si="11"/>
        <v>1990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VLOOKUP(D138,gacha_19９_base!A:B,2,FALSE)</f>
        <v>1283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1990480</v>
      </c>
      <c r="B139" s="2" t="str">
        <f t="shared" si="11"/>
        <v>1990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VLOOKUP(D139,gacha_19９_base!A:B,2,FALSE)</f>
        <v>80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1990482</v>
      </c>
      <c r="B140" s="2" t="str">
        <f t="shared" si="11"/>
        <v>1990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VLOOKUP(D140,gacha_19９_base!A:B,2,FALSE)</f>
        <v>14115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1990483</v>
      </c>
      <c r="B141" s="2" t="str">
        <f t="shared" si="11"/>
        <v>1990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VLOOKUP(D141,gacha_19９_base!A:B,2,FALSE)</f>
        <v>885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1990492</v>
      </c>
      <c r="B142" s="2" t="str">
        <f t="shared" si="11"/>
        <v>1990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VLOOKUP(D142,gacha_19９_base!A:B,2,FALSE)</f>
        <v>1283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1990493</v>
      </c>
      <c r="B143" s="2" t="str">
        <f t="shared" si="11"/>
        <v>1990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VLOOKUP(D143,gacha_19９_base!A:B,2,FALSE)</f>
        <v>80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1990494</v>
      </c>
      <c r="B144" s="2" t="str">
        <f t="shared" si="11"/>
        <v>1990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VLOOKUP(D144,gacha_19９_base!A:B,2,FALSE)</f>
        <v>1283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1990495</v>
      </c>
      <c r="B145" s="2" t="str">
        <f t="shared" si="11"/>
        <v>1990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VLOOKUP(D145,gacha_19９_base!A:B,2,FALSE)</f>
        <v>80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1990497</v>
      </c>
      <c r="B146" s="2" t="str">
        <f t="shared" si="11"/>
        <v>1990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VLOOKUP(D146,gacha_19９_base!A:B,2,FALSE)</f>
        <v>14115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1990498</v>
      </c>
      <c r="B147" s="2" t="str">
        <f t="shared" si="11"/>
        <v>1990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VLOOKUP(D147,gacha_19９_base!A:B,2,FALSE)</f>
        <v>885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1990499</v>
      </c>
      <c r="B148" s="2" t="str">
        <f t="shared" si="11"/>
        <v>1990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VLOOKUP(D148,gacha_19９_base!A:B,2,FALSE)</f>
        <v>1283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1990500</v>
      </c>
      <c r="B149" s="2" t="str">
        <f t="shared" si="11"/>
        <v>1990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VLOOKUP(D149,gacha_19９_base!A:B,2,FALSE)</f>
        <v>80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1990586</v>
      </c>
      <c r="B150" s="2" t="str">
        <f t="shared" si="11"/>
        <v>1990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VLOOKUP(D150,gacha_19９_base!A:B,2,FALSE)</f>
        <v>1283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1990587</v>
      </c>
      <c r="B151" s="2" t="str">
        <f t="shared" si="11"/>
        <v>1990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VLOOKUP(D151,gacha_19９_base!A:B,2,FALSE)</f>
        <v>80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1990589</v>
      </c>
      <c r="B152" s="2" t="str">
        <f t="shared" si="11"/>
        <v>1990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VLOOKUP(D152,gacha_19９_base!A:B,2,FALSE)</f>
        <v>14115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1990590</v>
      </c>
      <c r="B153" s="2" t="str">
        <f t="shared" si="11"/>
        <v>1990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VLOOKUP(D153,gacha_19９_base!A:B,2,FALSE)</f>
        <v>885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1990592</v>
      </c>
      <c r="B154" s="2" t="str">
        <f t="shared" si="11"/>
        <v>1990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VLOOKUP(D154,gacha_19９_base!A:B,2,FALSE)</f>
        <v>14115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1990593</v>
      </c>
      <c r="B155" s="2" t="str">
        <f t="shared" si="11"/>
        <v>1990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VLOOKUP(D155,gacha_19９_base!A:B,2,FALSE)</f>
        <v>885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1990594</v>
      </c>
      <c r="B156" s="2" t="str">
        <f t="shared" si="11"/>
        <v>1990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VLOOKUP(D156,gacha_19９_base!A:B,2,FALSE)</f>
        <v>1283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1990595</v>
      </c>
      <c r="B157" s="2" t="str">
        <f t="shared" si="11"/>
        <v>1990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VLOOKUP(D157,gacha_19９_base!A:B,2,FALSE)</f>
        <v>80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1990597</v>
      </c>
      <c r="B158" s="2" t="str">
        <f t="shared" si="11"/>
        <v>1990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VLOOKUP(D158,gacha_19９_base!A:B,2,FALSE)</f>
        <v>14115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1990598</v>
      </c>
      <c r="B159" s="2" t="str">
        <f t="shared" si="11"/>
        <v>1990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VLOOKUP(D159,gacha_19９_base!A:B,2,FALSE)</f>
        <v>885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1990600</v>
      </c>
      <c r="B160" s="2" t="str">
        <f t="shared" si="11"/>
        <v>1990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VLOOKUP(D160,gacha_19９_base!A:B,2,FALSE)</f>
        <v>14115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1990601</v>
      </c>
      <c r="B161" s="2" t="str">
        <f t="shared" si="11"/>
        <v>1990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VLOOKUP(D161,gacha_19９_base!A:B,2,FALSE)</f>
        <v>885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1990602</v>
      </c>
      <c r="B162" s="2" t="str">
        <f t="shared" si="11"/>
        <v>1990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VLOOKUP(D162,gacha_19９_base!A:B,2,FALSE)</f>
        <v>1283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1990603</v>
      </c>
      <c r="B163" s="2" t="str">
        <f t="shared" si="11"/>
        <v>1990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VLOOKUP(D163,gacha_19９_base!A:B,2,FALSE)</f>
        <v>80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1990605</v>
      </c>
      <c r="B164" s="2" t="str">
        <f t="shared" si="11"/>
        <v>1990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VLOOKUP(D164,gacha_19９_base!A:B,2,FALSE)</f>
        <v>14115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1990606</v>
      </c>
      <c r="B165" s="2" t="str">
        <f t="shared" si="11"/>
        <v>1990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VLOOKUP(D165,gacha_19９_base!A:B,2,FALSE)</f>
        <v>885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1990658</v>
      </c>
      <c r="B166" s="2" t="str">
        <f t="shared" si="11"/>
        <v>1990</v>
      </c>
      <c r="C166" s="8" t="str">
        <f t="shared" si="16"/>
        <v>0PremiumSS4</v>
      </c>
      <c r="D166" s="8" t="str">
        <f>E166&amp;H166&amp;I166&amp;"new"</f>
        <v>0PremiumSS4new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VLOOKUP(D166,gacha_19９_base!A:B,2,FALSE)</f>
        <v>4705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1990659</v>
      </c>
      <c r="B167" s="2" t="str">
        <f t="shared" si="11"/>
        <v>1990</v>
      </c>
      <c r="C167" s="8" t="str">
        <f t="shared" si="16"/>
        <v>0PremiumSS5</v>
      </c>
      <c r="D167" s="8" t="str">
        <f t="shared" ref="D167:D173" si="17">E167&amp;H167&amp;I167&amp;"new"</f>
        <v>0PremiumSS5new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VLOOKUP(D167,gacha_19９_base!A:B,2,FALSE)</f>
        <v>295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1990660</v>
      </c>
      <c r="B168" s="2" t="str">
        <f t="shared" si="11"/>
        <v>1990</v>
      </c>
      <c r="C168" s="8" t="str">
        <f t="shared" si="16"/>
        <v>0PremiumSS4</v>
      </c>
      <c r="D168" s="8" t="str">
        <f t="shared" si="17"/>
        <v>0PremiumSS4new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VLOOKUP(D168,gacha_19９_base!A:B,2,FALSE)</f>
        <v>4705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1990661</v>
      </c>
      <c r="B169" s="2" t="str">
        <f t="shared" si="11"/>
        <v>1990</v>
      </c>
      <c r="C169" s="8" t="str">
        <f t="shared" si="16"/>
        <v>0PremiumSS5</v>
      </c>
      <c r="D169" s="8" t="str">
        <f t="shared" si="17"/>
        <v>0PremiumSS5new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VLOOKUP(D169,gacha_19９_base!A:B,2,FALSE)</f>
        <v>295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1990663</v>
      </c>
      <c r="B170" s="2" t="str">
        <f t="shared" si="11"/>
        <v>1990</v>
      </c>
      <c r="C170" s="8" t="str">
        <f t="shared" si="16"/>
        <v>0PremiumS4</v>
      </c>
      <c r="D170" s="8" t="str">
        <f t="shared" si="17"/>
        <v>0PremiumS4new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VLOOKUP(D170,gacha_19９_base!A:B,2,FALSE)</f>
        <v>28230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1990664</v>
      </c>
      <c r="B171" s="2" t="str">
        <f t="shared" si="11"/>
        <v>1990</v>
      </c>
      <c r="C171" s="8" t="str">
        <f t="shared" si="16"/>
        <v>0PremiumS5</v>
      </c>
      <c r="D171" s="8" t="str">
        <f t="shared" si="17"/>
        <v>0PremiumS5new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VLOOKUP(D171,gacha_19９_base!A:B,2,FALSE)</f>
        <v>1770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1990666</v>
      </c>
      <c r="B172" s="2" t="str">
        <f t="shared" si="11"/>
        <v>1990</v>
      </c>
      <c r="C172" s="8" t="str">
        <f t="shared" si="16"/>
        <v>0PremiumS4</v>
      </c>
      <c r="D172" s="8" t="str">
        <f t="shared" si="17"/>
        <v>0PremiumS4new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VLOOKUP(D172,gacha_19９_base!A:B,2,FALSE)</f>
        <v>28230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1990667</v>
      </c>
      <c r="B173" s="2" t="str">
        <f t="shared" si="11"/>
        <v>1990</v>
      </c>
      <c r="C173" s="8" t="str">
        <f t="shared" si="16"/>
        <v>0PremiumS5</v>
      </c>
      <c r="D173" s="8" t="str">
        <f t="shared" si="17"/>
        <v>0PremiumS5new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VLOOKUP(D173,gacha_19９_base!A:B,2,FALSE)</f>
        <v>1770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>B174&amp;F174</f>
        <v>1991126</v>
      </c>
      <c r="B174" s="2" t="str">
        <f t="shared" si="11"/>
        <v>1991</v>
      </c>
      <c r="C174" s="8" t="str">
        <f t="shared" ref="C174:C237" si="18">E174&amp;H174&amp;I174</f>
        <v>1PremiumW3</v>
      </c>
      <c r="D174" s="8" t="str">
        <f t="shared" si="10"/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VLOOKUP(D174,gacha_19９_base!A:B,2,FALSE)</f>
        <v>4737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ref="A175:A238" si="19">B175&amp;F175</f>
        <v>1991127</v>
      </c>
      <c r="B175" s="2" t="str">
        <f t="shared" si="11"/>
        <v>1991</v>
      </c>
      <c r="C175" s="8" t="str">
        <f t="shared" si="18"/>
        <v>1PremiumW4</v>
      </c>
      <c r="D175" s="8" t="str">
        <f t="shared" si="10"/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VLOOKUP(D175,gacha_19９_base!A:B,2,FALSE)</f>
        <v>4737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9"/>
        <v>1991128</v>
      </c>
      <c r="B176" s="2" t="str">
        <f t="shared" si="11"/>
        <v>1991</v>
      </c>
      <c r="C176" s="8" t="str">
        <f t="shared" si="18"/>
        <v>1PremiumW3</v>
      </c>
      <c r="D176" s="8" t="str">
        <f t="shared" si="10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VLOOKUP(D176,gacha_19９_base!A:B,2,FALSE)</f>
        <v>4737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9"/>
        <v>1991129</v>
      </c>
      <c r="B177" s="2" t="str">
        <f t="shared" si="11"/>
        <v>1991</v>
      </c>
      <c r="C177" s="8" t="str">
        <f t="shared" si="18"/>
        <v>1PremiumW4</v>
      </c>
      <c r="D177" s="8" t="str">
        <f t="shared" si="10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VLOOKUP(D177,gacha_19９_base!A:B,2,FALSE)</f>
        <v>4737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9"/>
        <v>1991130</v>
      </c>
      <c r="B178" s="2" t="str">
        <f t="shared" si="11"/>
        <v>1991</v>
      </c>
      <c r="C178" s="8" t="str">
        <f t="shared" si="18"/>
        <v>1PremiumW3</v>
      </c>
      <c r="D178" s="8" t="str">
        <f t="shared" si="10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16">
        <f>VLOOKUP(D178,gacha_19９_base!A:B,2,FALSE)</f>
        <v>4737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9"/>
        <v>1991131</v>
      </c>
      <c r="B179" s="2" t="str">
        <f t="shared" si="11"/>
        <v>1991</v>
      </c>
      <c r="C179" s="8" t="str">
        <f t="shared" si="18"/>
        <v>1PremiumW4</v>
      </c>
      <c r="D179" s="8" t="str">
        <f t="shared" si="10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VLOOKUP(D179,gacha_19９_base!A:B,2,FALSE)</f>
        <v>4737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9"/>
        <v>1991132</v>
      </c>
      <c r="B180" s="2" t="str">
        <f t="shared" si="11"/>
        <v>1991</v>
      </c>
      <c r="C180" s="8" t="str">
        <f t="shared" si="18"/>
        <v>1PremiumW3</v>
      </c>
      <c r="D180" s="8" t="str">
        <f t="shared" si="10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VLOOKUP(D180,gacha_19９_base!A:B,2,FALSE)</f>
        <v>4737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9"/>
        <v>1991133</v>
      </c>
      <c r="B181" s="2" t="str">
        <f t="shared" si="11"/>
        <v>1991</v>
      </c>
      <c r="C181" s="8" t="str">
        <f t="shared" si="18"/>
        <v>1PremiumW4</v>
      </c>
      <c r="D181" s="8" t="str">
        <f t="shared" si="10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VLOOKUP(D181,gacha_19９_base!A:B,2,FALSE)</f>
        <v>4737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9"/>
        <v>1991134</v>
      </c>
      <c r="B182" s="2" t="str">
        <f t="shared" si="11"/>
        <v>1991</v>
      </c>
      <c r="C182" s="8" t="str">
        <f t="shared" si="18"/>
        <v>1PremiumW3</v>
      </c>
      <c r="D182" s="8" t="str">
        <f t="shared" si="10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VLOOKUP(D182,gacha_19９_base!A:B,2,FALSE)</f>
        <v>4737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9"/>
        <v>1991135</v>
      </c>
      <c r="B183" s="2" t="str">
        <f t="shared" si="11"/>
        <v>1991</v>
      </c>
      <c r="C183" s="8" t="str">
        <f t="shared" si="18"/>
        <v>1PremiumW4</v>
      </c>
      <c r="D183" s="8" t="str">
        <f t="shared" si="10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VLOOKUP(D183,gacha_19９_base!A:B,2,FALSE)</f>
        <v>4737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9"/>
        <v>1991136</v>
      </c>
      <c r="B184" s="2" t="str">
        <f t="shared" si="11"/>
        <v>1991</v>
      </c>
      <c r="C184" s="8" t="str">
        <f t="shared" si="18"/>
        <v>1PremiumW3</v>
      </c>
      <c r="D184" s="8" t="str">
        <f t="shared" si="10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VLOOKUP(D184,gacha_19９_base!A:B,2,FALSE)</f>
        <v>4737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9"/>
        <v>1991137</v>
      </c>
      <c r="B185" s="2" t="str">
        <f t="shared" si="11"/>
        <v>1991</v>
      </c>
      <c r="C185" s="8" t="str">
        <f t="shared" si="18"/>
        <v>1PremiumW4</v>
      </c>
      <c r="D185" s="8" t="str">
        <f t="shared" si="10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VLOOKUP(D185,gacha_19９_base!A:B,2,FALSE)</f>
        <v>4737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9"/>
        <v>1991138</v>
      </c>
      <c r="B186" s="2" t="str">
        <f t="shared" si="11"/>
        <v>1991</v>
      </c>
      <c r="C186" s="8" t="str">
        <f t="shared" si="18"/>
        <v>1PremiumW3</v>
      </c>
      <c r="D186" s="8" t="str">
        <f t="shared" si="10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VLOOKUP(D186,gacha_19９_base!A:B,2,FALSE)</f>
        <v>4737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9"/>
        <v>1991139</v>
      </c>
      <c r="B187" s="2" t="str">
        <f t="shared" si="11"/>
        <v>1991</v>
      </c>
      <c r="C187" s="8" t="str">
        <f t="shared" si="18"/>
        <v>1PremiumW4</v>
      </c>
      <c r="D187" s="8" t="str">
        <f t="shared" si="10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VLOOKUP(D187,gacha_19９_base!A:B,2,FALSE)</f>
        <v>4737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9"/>
        <v>1991140</v>
      </c>
      <c r="B188" s="2" t="str">
        <f t="shared" si="11"/>
        <v>1991</v>
      </c>
      <c r="C188" s="8" t="str">
        <f t="shared" si="18"/>
        <v>1PremiumW3</v>
      </c>
      <c r="D188" s="8" t="str">
        <f t="shared" si="10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16">
        <f>VLOOKUP(D188,gacha_19９_base!A:B,2,FALSE)</f>
        <v>4737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9"/>
        <v>1991141</v>
      </c>
      <c r="B189" s="2" t="str">
        <f t="shared" si="11"/>
        <v>1991</v>
      </c>
      <c r="C189" s="8" t="str">
        <f t="shared" si="18"/>
        <v>1PremiumW4</v>
      </c>
      <c r="D189" s="8" t="str">
        <f t="shared" si="10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VLOOKUP(D189,gacha_19９_base!A:B,2,FALSE)</f>
        <v>4737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9"/>
        <v>1991142</v>
      </c>
      <c r="B190" s="2" t="str">
        <f t="shared" si="11"/>
        <v>1991</v>
      </c>
      <c r="C190" s="8" t="str">
        <f t="shared" si="18"/>
        <v>1PremiumW3</v>
      </c>
      <c r="D190" s="8" t="str">
        <f t="shared" si="10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VLOOKUP(D190,gacha_19９_base!A:B,2,FALSE)</f>
        <v>4737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s="14" customFormat="1" ht="21" customHeight="1" thickBot="1">
      <c r="A191" s="7" t="str">
        <f t="shared" si="19"/>
        <v>1991143</v>
      </c>
      <c r="B191" s="2" t="str">
        <f t="shared" si="11"/>
        <v>1991</v>
      </c>
      <c r="C191" s="8" t="str">
        <f t="shared" si="18"/>
        <v>1PremiumW4</v>
      </c>
      <c r="D191" s="8" t="str">
        <f t="shared" si="10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VLOOKUP(D191,gacha_19９_base!A:B,2,FALSE)</f>
        <v>4737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9"/>
        <v>1991144</v>
      </c>
      <c r="B192" s="2" t="str">
        <f t="shared" si="11"/>
        <v>1991</v>
      </c>
      <c r="C192" s="8" t="str">
        <f t="shared" si="18"/>
        <v>1PremiumW3</v>
      </c>
      <c r="D192" s="8" t="str">
        <f t="shared" si="10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16">
        <f>VLOOKUP(D192,gacha_19９_base!A:B,2,FALSE)</f>
        <v>4737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9"/>
        <v>1991145</v>
      </c>
      <c r="B193" s="2" t="str">
        <f t="shared" si="11"/>
        <v>1991</v>
      </c>
      <c r="C193" s="8" t="str">
        <f t="shared" si="18"/>
        <v>1PremiumW4</v>
      </c>
      <c r="D193" s="8" t="str">
        <f t="shared" si="10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VLOOKUP(D193,gacha_19９_base!A:B,2,FALSE)</f>
        <v>4737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9"/>
        <v>1991146</v>
      </c>
      <c r="B194" s="2" t="str">
        <f t="shared" si="11"/>
        <v>1991</v>
      </c>
      <c r="C194" s="8" t="str">
        <f t="shared" si="18"/>
        <v>1PremiumW3</v>
      </c>
      <c r="D194" s="8" t="str">
        <f t="shared" si="10"/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VLOOKUP(D194,gacha_19９_base!A:B,2,FALSE)</f>
        <v>4737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9"/>
        <v>1991147</v>
      </c>
      <c r="B195" s="2" t="str">
        <f t="shared" ref="B195:B258" si="20">199&amp;E195</f>
        <v>1991</v>
      </c>
      <c r="C195" s="8" t="str">
        <f t="shared" si="18"/>
        <v>1PremiumW4</v>
      </c>
      <c r="D195" s="8" t="str">
        <f t="shared" si="10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VLOOKUP(D195,gacha_19９_base!A:B,2,FALSE)</f>
        <v>4737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9"/>
        <v>1991148</v>
      </c>
      <c r="B196" s="2" t="str">
        <f t="shared" si="20"/>
        <v>1991</v>
      </c>
      <c r="C196" s="8" t="str">
        <f t="shared" si="18"/>
        <v>1PremiumW3</v>
      </c>
      <c r="D196" s="8" t="str">
        <f t="shared" si="10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VLOOKUP(D196,gacha_19９_base!A:B,2,FALSE)</f>
        <v>4737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9"/>
        <v>1991149</v>
      </c>
      <c r="B197" s="2" t="str">
        <f t="shared" si="20"/>
        <v>1991</v>
      </c>
      <c r="C197" s="8" t="str">
        <f t="shared" si="18"/>
        <v>1PremiumW4</v>
      </c>
      <c r="D197" s="8" t="str">
        <f t="shared" si="10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VLOOKUP(D197,gacha_19９_base!A:B,2,FALSE)</f>
        <v>4737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9"/>
        <v>1991150</v>
      </c>
      <c r="B198" s="2" t="str">
        <f t="shared" si="20"/>
        <v>1991</v>
      </c>
      <c r="C198" s="8" t="str">
        <f t="shared" si="18"/>
        <v>1PremiumW3</v>
      </c>
      <c r="D198" s="8" t="str">
        <f t="shared" si="10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16">
        <f>VLOOKUP(D198,gacha_19９_base!A:B,2,FALSE)</f>
        <v>4737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9"/>
        <v>1991151</v>
      </c>
      <c r="B199" s="2" t="str">
        <f t="shared" si="20"/>
        <v>1991</v>
      </c>
      <c r="C199" s="8" t="str">
        <f t="shared" si="18"/>
        <v>1PremiumW4</v>
      </c>
      <c r="D199" s="8" t="str">
        <f t="shared" si="10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VLOOKUP(D199,gacha_19９_base!A:B,2,FALSE)</f>
        <v>4737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9"/>
        <v>1991152</v>
      </c>
      <c r="B200" s="2" t="str">
        <f t="shared" si="20"/>
        <v>1991</v>
      </c>
      <c r="C200" s="8" t="str">
        <f t="shared" si="18"/>
        <v>1PremiumW3</v>
      </c>
      <c r="D200" s="8" t="str">
        <f t="shared" si="10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VLOOKUP(D200,gacha_19９_base!A:B,2,FALSE)</f>
        <v>4737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9"/>
        <v>1991153</v>
      </c>
      <c r="B201" s="2" t="str">
        <f t="shared" si="20"/>
        <v>1991</v>
      </c>
      <c r="C201" s="8" t="str">
        <f t="shared" si="18"/>
        <v>1PremiumW4</v>
      </c>
      <c r="D201" s="8" t="str">
        <f t="shared" si="10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VLOOKUP(D201,gacha_19９_base!A:B,2,FALSE)</f>
        <v>4737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9"/>
        <v>1991154</v>
      </c>
      <c r="B202" s="2" t="str">
        <f t="shared" si="20"/>
        <v>1991</v>
      </c>
      <c r="C202" s="8" t="str">
        <f t="shared" si="18"/>
        <v>1PremiumW3</v>
      </c>
      <c r="D202" s="8" t="str">
        <f t="shared" ref="D202:D265" si="21">E202&amp;H202&amp;I202</f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VLOOKUP(D202,gacha_19９_base!A:B,2,FALSE)</f>
        <v>4737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9"/>
        <v>1991155</v>
      </c>
      <c r="B203" s="2" t="str">
        <f t="shared" si="20"/>
        <v>1991</v>
      </c>
      <c r="C203" s="8" t="str">
        <f t="shared" si="18"/>
        <v>1PremiumW4</v>
      </c>
      <c r="D203" s="8" t="str">
        <f t="shared" si="21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VLOOKUP(D203,gacha_19９_base!A:B,2,FALSE)</f>
        <v>4737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9"/>
        <v>1991156</v>
      </c>
      <c r="B204" s="2" t="str">
        <f t="shared" si="20"/>
        <v>1991</v>
      </c>
      <c r="C204" s="8" t="str">
        <f t="shared" si="18"/>
        <v>1PremiumW3</v>
      </c>
      <c r="D204" s="8" t="str">
        <f t="shared" si="21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VLOOKUP(D204,gacha_19９_base!A:B,2,FALSE)</f>
        <v>4737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9"/>
        <v>1991157</v>
      </c>
      <c r="B205" s="2" t="str">
        <f t="shared" si="20"/>
        <v>1991</v>
      </c>
      <c r="C205" s="8" t="str">
        <f t="shared" si="18"/>
        <v>1PremiumW4</v>
      </c>
      <c r="D205" s="8" t="str">
        <f t="shared" si="21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VLOOKUP(D205,gacha_19９_base!A:B,2,FALSE)</f>
        <v>4737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9"/>
        <v>1991158</v>
      </c>
      <c r="B206" s="2" t="str">
        <f t="shared" si="20"/>
        <v>1991</v>
      </c>
      <c r="C206" s="8" t="str">
        <f t="shared" si="18"/>
        <v>1PremiumW3</v>
      </c>
      <c r="D206" s="8" t="str">
        <f t="shared" si="21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VLOOKUP(D206,gacha_19９_base!A:B,2,FALSE)</f>
        <v>4737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1991159</v>
      </c>
      <c r="B207" s="2" t="str">
        <f t="shared" si="20"/>
        <v>1991</v>
      </c>
      <c r="C207" s="8" t="str">
        <f t="shared" si="18"/>
        <v>1PremiumW4</v>
      </c>
      <c r="D207" s="8" t="str">
        <f t="shared" si="21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VLOOKUP(D207,gacha_19９_base!A:B,2,FALSE)</f>
        <v>4737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1991160</v>
      </c>
      <c r="B208" s="2" t="str">
        <f t="shared" si="20"/>
        <v>1991</v>
      </c>
      <c r="C208" s="8" t="str">
        <f t="shared" si="18"/>
        <v>1PremiumW3</v>
      </c>
      <c r="D208" s="8" t="str">
        <f t="shared" si="21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VLOOKUP(D208,gacha_19９_base!A:B,2,FALSE)</f>
        <v>4737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1991161</v>
      </c>
      <c r="B209" s="2" t="str">
        <f t="shared" si="20"/>
        <v>1991</v>
      </c>
      <c r="C209" s="8" t="str">
        <f t="shared" si="18"/>
        <v>1PremiumW4</v>
      </c>
      <c r="D209" s="8" t="str">
        <f t="shared" si="21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VLOOKUP(D209,gacha_19９_base!A:B,2,FALSE)</f>
        <v>4737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9"/>
        <v>1991162</v>
      </c>
      <c r="B210" s="2" t="str">
        <f t="shared" si="20"/>
        <v>1991</v>
      </c>
      <c r="C210" s="8" t="str">
        <f t="shared" si="18"/>
        <v>1PremiumW3</v>
      </c>
      <c r="D210" s="8" t="str">
        <f t="shared" si="21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VLOOKUP(D210,gacha_19９_base!A:B,2,FALSE)</f>
        <v>4737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1991163</v>
      </c>
      <c r="B211" s="2" t="str">
        <f t="shared" si="20"/>
        <v>1991</v>
      </c>
      <c r="C211" s="8" t="str">
        <f t="shared" si="18"/>
        <v>1PremiumW4</v>
      </c>
      <c r="D211" s="8" t="str">
        <f t="shared" si="21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VLOOKUP(D211,gacha_19９_base!A:B,2,FALSE)</f>
        <v>4737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1991164</v>
      </c>
      <c r="B212" s="2" t="str">
        <f t="shared" si="20"/>
        <v>1991</v>
      </c>
      <c r="C212" s="8" t="str">
        <f t="shared" si="18"/>
        <v>1PremiumW3</v>
      </c>
      <c r="D212" s="8" t="str">
        <f t="shared" si="21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16">
        <f>VLOOKUP(D212,gacha_19９_base!A:B,2,FALSE)</f>
        <v>4737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1991165</v>
      </c>
      <c r="B213" s="2" t="str">
        <f t="shared" si="20"/>
        <v>1991</v>
      </c>
      <c r="C213" s="8" t="str">
        <f t="shared" si="18"/>
        <v>1PremiumW4</v>
      </c>
      <c r="D213" s="8" t="str">
        <f t="shared" si="21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VLOOKUP(D213,gacha_19９_base!A:B,2,FALSE)</f>
        <v>4737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1991166</v>
      </c>
      <c r="B214" s="2" t="str">
        <f t="shared" si="20"/>
        <v>1991</v>
      </c>
      <c r="C214" s="8" t="str">
        <f t="shared" si="18"/>
        <v>1PremiumN3</v>
      </c>
      <c r="D214" s="8" t="str">
        <f t="shared" si="21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VLOOKUP(D214,gacha_19９_base!A:B,2,FALSE)</f>
        <v>7105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9"/>
        <v>1991167</v>
      </c>
      <c r="B215" s="2" t="str">
        <f t="shared" si="20"/>
        <v>1991</v>
      </c>
      <c r="C215" s="8" t="str">
        <f t="shared" si="18"/>
        <v>1PremiumN4</v>
      </c>
      <c r="D215" s="8" t="str">
        <f t="shared" si="21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VLOOKUP(D215,gacha_19９_base!A:B,2,FALSE)</f>
        <v>6224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9"/>
        <v>1991168</v>
      </c>
      <c r="B216" s="2" t="str">
        <f t="shared" si="20"/>
        <v>1991</v>
      </c>
      <c r="C216" s="8" t="str">
        <f t="shared" si="18"/>
        <v>1PremiumN5</v>
      </c>
      <c r="D216" s="8" t="str">
        <f t="shared" si="21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VLOOKUP(D216,gacha_19９_base!A:B,2,FALSE)</f>
        <v>881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9"/>
        <v>1991169</v>
      </c>
      <c r="B217" s="2" t="str">
        <f t="shared" si="20"/>
        <v>1991</v>
      </c>
      <c r="C217" s="8" t="str">
        <f t="shared" si="18"/>
        <v>1PremiumN3</v>
      </c>
      <c r="D217" s="8" t="str">
        <f t="shared" si="21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VLOOKUP(D217,gacha_19９_base!A:B,2,FALSE)</f>
        <v>7105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9"/>
        <v>1991170</v>
      </c>
      <c r="B218" s="2" t="str">
        <f t="shared" si="20"/>
        <v>1991</v>
      </c>
      <c r="C218" s="8" t="str">
        <f t="shared" si="18"/>
        <v>1PremiumN4</v>
      </c>
      <c r="D218" s="8" t="str">
        <f t="shared" si="21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VLOOKUP(D218,gacha_19９_base!A:B,2,FALSE)</f>
        <v>6224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9"/>
        <v>1991171</v>
      </c>
      <c r="B219" s="2" t="str">
        <f t="shared" si="20"/>
        <v>1991</v>
      </c>
      <c r="C219" s="8" t="str">
        <f t="shared" si="18"/>
        <v>1PremiumN5</v>
      </c>
      <c r="D219" s="8" t="str">
        <f t="shared" si="21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VLOOKUP(D219,gacha_19９_base!A:B,2,FALSE)</f>
        <v>881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9"/>
        <v>1991172</v>
      </c>
      <c r="B220" s="2" t="str">
        <f t="shared" si="20"/>
        <v>1991</v>
      </c>
      <c r="C220" s="8" t="str">
        <f t="shared" si="18"/>
        <v>1PremiumN3</v>
      </c>
      <c r="D220" s="8" t="str">
        <f t="shared" si="21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VLOOKUP(D220,gacha_19９_base!A:B,2,FALSE)</f>
        <v>7105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9"/>
        <v>1991173</v>
      </c>
      <c r="B221" s="2" t="str">
        <f t="shared" si="20"/>
        <v>1991</v>
      </c>
      <c r="C221" s="8" t="str">
        <f t="shared" si="18"/>
        <v>1PremiumN4</v>
      </c>
      <c r="D221" s="8" t="str">
        <f t="shared" si="21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VLOOKUP(D221,gacha_19９_base!A:B,2,FALSE)</f>
        <v>6224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9"/>
        <v>1991174</v>
      </c>
      <c r="B222" s="2" t="str">
        <f t="shared" si="20"/>
        <v>1991</v>
      </c>
      <c r="C222" s="8" t="str">
        <f t="shared" si="18"/>
        <v>1PremiumN5</v>
      </c>
      <c r="D222" s="8" t="str">
        <f t="shared" si="21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VLOOKUP(D222,gacha_19９_base!A:B,2,FALSE)</f>
        <v>881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9"/>
        <v>1991175</v>
      </c>
      <c r="B223" s="2" t="str">
        <f t="shared" si="20"/>
        <v>1991</v>
      </c>
      <c r="C223" s="8" t="str">
        <f t="shared" si="18"/>
        <v>1PremiumN3</v>
      </c>
      <c r="D223" s="8" t="str">
        <f t="shared" si="21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VLOOKUP(D223,gacha_19９_base!A:B,2,FALSE)</f>
        <v>7105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9"/>
        <v>1991176</v>
      </c>
      <c r="B224" s="2" t="str">
        <f t="shared" si="20"/>
        <v>1991</v>
      </c>
      <c r="C224" s="8" t="str">
        <f t="shared" si="18"/>
        <v>1PremiumN4</v>
      </c>
      <c r="D224" s="8" t="str">
        <f t="shared" si="21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VLOOKUP(D224,gacha_19９_base!A:B,2,FALSE)</f>
        <v>6224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9"/>
        <v>1991177</v>
      </c>
      <c r="B225" s="2" t="str">
        <f t="shared" si="20"/>
        <v>1991</v>
      </c>
      <c r="C225" s="8" t="str">
        <f t="shared" si="18"/>
        <v>1PremiumN5</v>
      </c>
      <c r="D225" s="8" t="str">
        <f t="shared" si="21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VLOOKUP(D225,gacha_19９_base!A:B,2,FALSE)</f>
        <v>881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9"/>
        <v>1991178</v>
      </c>
      <c r="B226" s="2" t="str">
        <f t="shared" si="20"/>
        <v>1991</v>
      </c>
      <c r="C226" s="8" t="str">
        <f t="shared" si="18"/>
        <v>1PremiumN3</v>
      </c>
      <c r="D226" s="8" t="str">
        <f t="shared" si="21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16">
        <f>VLOOKUP(D226,gacha_19９_base!A:B,2,FALSE)</f>
        <v>7105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9"/>
        <v>1991179</v>
      </c>
      <c r="B227" s="2" t="str">
        <f t="shared" si="20"/>
        <v>1991</v>
      </c>
      <c r="C227" s="8" t="str">
        <f t="shared" si="18"/>
        <v>1PremiumN4</v>
      </c>
      <c r="D227" s="8" t="str">
        <f t="shared" si="21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VLOOKUP(D227,gacha_19９_base!A:B,2,FALSE)</f>
        <v>6224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9"/>
        <v>1991180</v>
      </c>
      <c r="B228" s="2" t="str">
        <f t="shared" si="20"/>
        <v>1991</v>
      </c>
      <c r="C228" s="8" t="str">
        <f t="shared" si="18"/>
        <v>1PremiumN5</v>
      </c>
      <c r="D228" s="8" t="str">
        <f t="shared" si="21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VLOOKUP(D228,gacha_19９_base!A:B,2,FALSE)</f>
        <v>881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9"/>
        <v>1991181</v>
      </c>
      <c r="B229" s="2" t="str">
        <f t="shared" si="20"/>
        <v>1991</v>
      </c>
      <c r="C229" s="8" t="str">
        <f t="shared" si="18"/>
        <v>1PremiumN3</v>
      </c>
      <c r="D229" s="8" t="str">
        <f t="shared" si="21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16">
        <f>VLOOKUP(D229,gacha_19９_base!A:B,2,FALSE)</f>
        <v>7105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19"/>
        <v>1991182</v>
      </c>
      <c r="B230" s="2" t="str">
        <f t="shared" si="20"/>
        <v>1991</v>
      </c>
      <c r="C230" s="8" t="str">
        <f t="shared" si="18"/>
        <v>1PremiumN4</v>
      </c>
      <c r="D230" s="8" t="str">
        <f t="shared" si="21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VLOOKUP(D230,gacha_19９_base!A:B,2,FALSE)</f>
        <v>6224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19"/>
        <v>1991183</v>
      </c>
      <c r="B231" s="2" t="str">
        <f t="shared" si="20"/>
        <v>1991</v>
      </c>
      <c r="C231" s="8" t="str">
        <f t="shared" si="18"/>
        <v>1PremiumN5</v>
      </c>
      <c r="D231" s="8" t="str">
        <f t="shared" si="21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VLOOKUP(D231,gacha_19９_base!A:B,2,FALSE)</f>
        <v>881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19"/>
        <v>1991184</v>
      </c>
      <c r="B232" s="2" t="str">
        <f t="shared" si="20"/>
        <v>1991</v>
      </c>
      <c r="C232" s="8" t="str">
        <f t="shared" si="18"/>
        <v>1PremiumN3</v>
      </c>
      <c r="D232" s="8" t="str">
        <f t="shared" si="21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VLOOKUP(D232,gacha_19９_base!A:B,2,FALSE)</f>
        <v>7105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19"/>
        <v>1991185</v>
      </c>
      <c r="B233" s="2" t="str">
        <f t="shared" si="20"/>
        <v>1991</v>
      </c>
      <c r="C233" s="8" t="str">
        <f t="shared" si="18"/>
        <v>1PremiumN4</v>
      </c>
      <c r="D233" s="8" t="str">
        <f t="shared" si="21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VLOOKUP(D233,gacha_19９_base!A:B,2,FALSE)</f>
        <v>6224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19"/>
        <v>1991186</v>
      </c>
      <c r="B234" s="2" t="str">
        <f t="shared" si="20"/>
        <v>1991</v>
      </c>
      <c r="C234" s="8" t="str">
        <f t="shared" si="18"/>
        <v>1PremiumN5</v>
      </c>
      <c r="D234" s="8" t="str">
        <f t="shared" si="21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VLOOKUP(D234,gacha_19９_base!A:B,2,FALSE)</f>
        <v>881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19"/>
        <v>1991187</v>
      </c>
      <c r="B235" s="2" t="str">
        <f t="shared" si="20"/>
        <v>1991</v>
      </c>
      <c r="C235" s="8" t="str">
        <f t="shared" si="18"/>
        <v>1PremiumN3</v>
      </c>
      <c r="D235" s="8" t="str">
        <f t="shared" si="21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VLOOKUP(D235,gacha_19９_base!A:B,2,FALSE)</f>
        <v>7105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19"/>
        <v>1991188</v>
      </c>
      <c r="B236" s="2" t="str">
        <f t="shared" si="20"/>
        <v>1991</v>
      </c>
      <c r="C236" s="8" t="str">
        <f t="shared" si="18"/>
        <v>1PremiumN4</v>
      </c>
      <c r="D236" s="8" t="str">
        <f t="shared" si="21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VLOOKUP(D236,gacha_19９_base!A:B,2,FALSE)</f>
        <v>6224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19"/>
        <v>1991189</v>
      </c>
      <c r="B237" s="2" t="str">
        <f t="shared" si="20"/>
        <v>1991</v>
      </c>
      <c r="C237" s="8" t="str">
        <f t="shared" si="18"/>
        <v>1PremiumN5</v>
      </c>
      <c r="D237" s="8" t="str">
        <f t="shared" si="21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VLOOKUP(D237,gacha_19９_base!A:B,2,FALSE)</f>
        <v>881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s="11" customFormat="1" ht="21" customHeight="1" thickBot="1">
      <c r="A238" s="7" t="str">
        <f t="shared" si="19"/>
        <v>1991190</v>
      </c>
      <c r="B238" s="2" t="str">
        <f t="shared" si="20"/>
        <v>1991</v>
      </c>
      <c r="C238" s="8" t="str">
        <f t="shared" ref="C238:C301" si="22">E238&amp;H238&amp;I238</f>
        <v>1PremiumN3</v>
      </c>
      <c r="D238" s="8" t="str">
        <f t="shared" si="21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VLOOKUP(D238,gacha_19９_base!A:B,2,FALSE)</f>
        <v>7105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ref="A239:A302" si="23">B239&amp;F239</f>
        <v>1991191</v>
      </c>
      <c r="B239" s="2" t="str">
        <f t="shared" si="20"/>
        <v>1991</v>
      </c>
      <c r="C239" s="8" t="str">
        <f t="shared" si="22"/>
        <v>1PremiumN4</v>
      </c>
      <c r="D239" s="8" t="str">
        <f t="shared" si="21"/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VLOOKUP(D239,gacha_19９_base!A:B,2,FALSE)</f>
        <v>6224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3"/>
        <v>1991192</v>
      </c>
      <c r="B240" s="2" t="str">
        <f t="shared" si="20"/>
        <v>1991</v>
      </c>
      <c r="C240" s="8" t="str">
        <f t="shared" si="22"/>
        <v>1PremiumN5</v>
      </c>
      <c r="D240" s="8" t="str">
        <f t="shared" si="21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VLOOKUP(D240,gacha_19９_base!A:B,2,FALSE)</f>
        <v>881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3"/>
        <v>1991193</v>
      </c>
      <c r="B241" s="2" t="str">
        <f t="shared" si="20"/>
        <v>1991</v>
      </c>
      <c r="C241" s="8" t="str">
        <f t="shared" si="22"/>
        <v>1PremiumN3</v>
      </c>
      <c r="D241" s="8" t="str">
        <f t="shared" si="21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VLOOKUP(D241,gacha_19９_base!A:B,2,FALSE)</f>
        <v>7105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3"/>
        <v>1991194</v>
      </c>
      <c r="B242" s="2" t="str">
        <f t="shared" si="20"/>
        <v>1991</v>
      </c>
      <c r="C242" s="8" t="str">
        <f t="shared" si="22"/>
        <v>1PremiumN4</v>
      </c>
      <c r="D242" s="8" t="str">
        <f t="shared" si="21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VLOOKUP(D242,gacha_19９_base!A:B,2,FALSE)</f>
        <v>6224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3"/>
        <v>1991195</v>
      </c>
      <c r="B243" s="2" t="str">
        <f t="shared" si="20"/>
        <v>1991</v>
      </c>
      <c r="C243" s="8" t="str">
        <f t="shared" si="22"/>
        <v>1PremiumN5</v>
      </c>
      <c r="D243" s="8" t="str">
        <f t="shared" si="21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VLOOKUP(D243,gacha_19９_base!A:B,2,FALSE)</f>
        <v>881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3"/>
        <v>1991196</v>
      </c>
      <c r="B244" s="2" t="str">
        <f t="shared" si="20"/>
        <v>1991</v>
      </c>
      <c r="C244" s="8" t="str">
        <f t="shared" si="22"/>
        <v>1PremiumN3</v>
      </c>
      <c r="D244" s="8" t="str">
        <f t="shared" si="21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VLOOKUP(D244,gacha_19９_base!A:B,2,FALSE)</f>
        <v>7105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3"/>
        <v>1991197</v>
      </c>
      <c r="B245" s="2" t="str">
        <f t="shared" si="20"/>
        <v>1991</v>
      </c>
      <c r="C245" s="8" t="str">
        <f t="shared" si="22"/>
        <v>1PremiumN4</v>
      </c>
      <c r="D245" s="8" t="str">
        <f t="shared" si="21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VLOOKUP(D245,gacha_19９_base!A:B,2,FALSE)</f>
        <v>6224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3"/>
        <v>1991198</v>
      </c>
      <c r="B246" s="2" t="str">
        <f t="shared" si="20"/>
        <v>1991</v>
      </c>
      <c r="C246" s="8" t="str">
        <f t="shared" si="22"/>
        <v>1PremiumN5</v>
      </c>
      <c r="D246" s="8" t="str">
        <f t="shared" si="21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VLOOKUP(D246,gacha_19９_base!A:B,2,FALSE)</f>
        <v>881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3"/>
        <v>1991199</v>
      </c>
      <c r="B247" s="2" t="str">
        <f t="shared" si="20"/>
        <v>1991</v>
      </c>
      <c r="C247" s="8" t="str">
        <f t="shared" si="22"/>
        <v>1PremiumN3</v>
      </c>
      <c r="D247" s="8" t="str">
        <f t="shared" si="21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VLOOKUP(D247,gacha_19９_base!A:B,2,FALSE)</f>
        <v>7105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3"/>
        <v>1991200</v>
      </c>
      <c r="B248" s="2" t="str">
        <f t="shared" si="20"/>
        <v>1991</v>
      </c>
      <c r="C248" s="8" t="str">
        <f t="shared" si="22"/>
        <v>1PremiumN4</v>
      </c>
      <c r="D248" s="8" t="str">
        <f t="shared" si="21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VLOOKUP(D248,gacha_19９_base!A:B,2,FALSE)</f>
        <v>6224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3"/>
        <v>1991201</v>
      </c>
      <c r="B249" s="2" t="str">
        <f t="shared" si="20"/>
        <v>1991</v>
      </c>
      <c r="C249" s="8" t="str">
        <f t="shared" si="22"/>
        <v>1PremiumN5</v>
      </c>
      <c r="D249" s="8" t="str">
        <f t="shared" si="21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VLOOKUP(D249,gacha_19９_base!A:B,2,FALSE)</f>
        <v>881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3"/>
        <v>1991202</v>
      </c>
      <c r="B250" s="2" t="str">
        <f t="shared" si="20"/>
        <v>1991</v>
      </c>
      <c r="C250" s="8" t="str">
        <f t="shared" si="22"/>
        <v>1PremiumN3</v>
      </c>
      <c r="D250" s="8" t="str">
        <f t="shared" si="21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VLOOKUP(D250,gacha_19９_base!A:B,2,FALSE)</f>
        <v>7105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3"/>
        <v>1991203</v>
      </c>
      <c r="B251" s="2" t="str">
        <f t="shared" si="20"/>
        <v>1991</v>
      </c>
      <c r="C251" s="8" t="str">
        <f t="shared" si="22"/>
        <v>1PremiumN4</v>
      </c>
      <c r="D251" s="8" t="str">
        <f t="shared" si="21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VLOOKUP(D251,gacha_19９_base!A:B,2,FALSE)</f>
        <v>6224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3"/>
        <v>1991204</v>
      </c>
      <c r="B252" s="2" t="str">
        <f t="shared" si="20"/>
        <v>1991</v>
      </c>
      <c r="C252" s="8" t="str">
        <f t="shared" si="22"/>
        <v>1PremiumN5</v>
      </c>
      <c r="D252" s="8" t="str">
        <f t="shared" si="21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VLOOKUP(D252,gacha_19９_base!A:B,2,FALSE)</f>
        <v>881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3"/>
        <v>1991205</v>
      </c>
      <c r="B253" s="2" t="str">
        <f t="shared" si="20"/>
        <v>1991</v>
      </c>
      <c r="C253" s="8" t="str">
        <f t="shared" si="22"/>
        <v>1PremiumN3</v>
      </c>
      <c r="D253" s="8" t="str">
        <f t="shared" si="21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VLOOKUP(D253,gacha_19９_base!A:B,2,FALSE)</f>
        <v>7105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3"/>
        <v>1991206</v>
      </c>
      <c r="B254" s="2" t="str">
        <f t="shared" si="20"/>
        <v>1991</v>
      </c>
      <c r="C254" s="8" t="str">
        <f t="shared" si="22"/>
        <v>1PremiumN4</v>
      </c>
      <c r="D254" s="8" t="str">
        <f t="shared" si="21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VLOOKUP(D254,gacha_19９_base!A:B,2,FALSE)</f>
        <v>6224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3"/>
        <v>1991207</v>
      </c>
      <c r="B255" s="2" t="str">
        <f t="shared" si="20"/>
        <v>1991</v>
      </c>
      <c r="C255" s="8" t="str">
        <f t="shared" si="22"/>
        <v>1PremiumN5</v>
      </c>
      <c r="D255" s="8" t="str">
        <f t="shared" si="21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VLOOKUP(D255,gacha_19９_base!A:B,2,FALSE)</f>
        <v>881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3"/>
        <v>1991208</v>
      </c>
      <c r="B256" s="2" t="str">
        <f t="shared" si="20"/>
        <v>1991</v>
      </c>
      <c r="C256" s="8" t="str">
        <f t="shared" si="22"/>
        <v>1PremiumN3</v>
      </c>
      <c r="D256" s="8" t="str">
        <f t="shared" si="21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VLOOKUP(D256,gacha_19９_base!A:B,2,FALSE)</f>
        <v>7105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3"/>
        <v>1991209</v>
      </c>
      <c r="B257" s="2" t="str">
        <f t="shared" si="20"/>
        <v>1991</v>
      </c>
      <c r="C257" s="8" t="str">
        <f t="shared" si="22"/>
        <v>1PremiumN4</v>
      </c>
      <c r="D257" s="8" t="str">
        <f t="shared" si="21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VLOOKUP(D257,gacha_19９_base!A:B,2,FALSE)</f>
        <v>6224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3"/>
        <v>1991210</v>
      </c>
      <c r="B258" s="2" t="str">
        <f t="shared" si="20"/>
        <v>1991</v>
      </c>
      <c r="C258" s="8" t="str">
        <f t="shared" si="22"/>
        <v>1PremiumN5</v>
      </c>
      <c r="D258" s="8" t="str">
        <f t="shared" si="21"/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VLOOKUP(D258,gacha_19９_base!A:B,2,FALSE)</f>
        <v>881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3"/>
        <v>1991211</v>
      </c>
      <c r="B259" s="2" t="str">
        <f t="shared" ref="B259:B322" si="24">199&amp;E259</f>
        <v>1991</v>
      </c>
      <c r="C259" s="8" t="str">
        <f t="shared" si="22"/>
        <v>1PremiumN3</v>
      </c>
      <c r="D259" s="8" t="str">
        <f t="shared" si="21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VLOOKUP(D259,gacha_19９_base!A:B,2,FALSE)</f>
        <v>7105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3"/>
        <v>1991212</v>
      </c>
      <c r="B260" s="2" t="str">
        <f t="shared" si="24"/>
        <v>1991</v>
      </c>
      <c r="C260" s="8" t="str">
        <f t="shared" si="22"/>
        <v>1PremiumN4</v>
      </c>
      <c r="D260" s="8" t="str">
        <f t="shared" si="21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VLOOKUP(D260,gacha_19９_base!A:B,2,FALSE)</f>
        <v>6224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3"/>
        <v>1991213</v>
      </c>
      <c r="B261" s="2" t="str">
        <f t="shared" si="24"/>
        <v>1991</v>
      </c>
      <c r="C261" s="8" t="str">
        <f t="shared" si="22"/>
        <v>1PremiumN5</v>
      </c>
      <c r="D261" s="8" t="str">
        <f t="shared" si="21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VLOOKUP(D261,gacha_19９_base!A:B,2,FALSE)</f>
        <v>881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3"/>
        <v>1991214</v>
      </c>
      <c r="B262" s="2" t="str">
        <f t="shared" si="24"/>
        <v>1991</v>
      </c>
      <c r="C262" s="8" t="str">
        <f t="shared" si="22"/>
        <v>1PremiumN3</v>
      </c>
      <c r="D262" s="8" t="str">
        <f t="shared" si="21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VLOOKUP(D262,gacha_19９_base!A:B,2,FALSE)</f>
        <v>7105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3"/>
        <v>1991215</v>
      </c>
      <c r="B263" s="2" t="str">
        <f t="shared" si="24"/>
        <v>1991</v>
      </c>
      <c r="C263" s="8" t="str">
        <f t="shared" si="22"/>
        <v>1PremiumN4</v>
      </c>
      <c r="D263" s="8" t="str">
        <f t="shared" si="21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VLOOKUP(D263,gacha_19９_base!A:B,2,FALSE)</f>
        <v>6224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3"/>
        <v>1991216</v>
      </c>
      <c r="B264" s="2" t="str">
        <f t="shared" si="24"/>
        <v>1991</v>
      </c>
      <c r="C264" s="8" t="str">
        <f t="shared" si="22"/>
        <v>1PremiumN5</v>
      </c>
      <c r="D264" s="8" t="str">
        <f t="shared" si="21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VLOOKUP(D264,gacha_19９_base!A:B,2,FALSE)</f>
        <v>881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3"/>
        <v>1991217</v>
      </c>
      <c r="B265" s="2" t="str">
        <f t="shared" si="24"/>
        <v>1991</v>
      </c>
      <c r="C265" s="8" t="str">
        <f t="shared" si="22"/>
        <v>1PremiumN3</v>
      </c>
      <c r="D265" s="8" t="str">
        <f t="shared" si="21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VLOOKUP(D265,gacha_19９_base!A:B,2,FALSE)</f>
        <v>7105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3"/>
        <v>1991218</v>
      </c>
      <c r="B266" s="2" t="str">
        <f t="shared" si="24"/>
        <v>1991</v>
      </c>
      <c r="C266" s="8" t="str">
        <f t="shared" si="22"/>
        <v>1PremiumN4</v>
      </c>
      <c r="D266" s="8" t="str">
        <f t="shared" ref="D266:D329" si="25">E266&amp;H266&amp;I266</f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VLOOKUP(D266,gacha_19９_base!A:B,2,FALSE)</f>
        <v>6224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3"/>
        <v>1991219</v>
      </c>
      <c r="B267" s="2" t="str">
        <f t="shared" si="24"/>
        <v>1991</v>
      </c>
      <c r="C267" s="8" t="str">
        <f t="shared" si="22"/>
        <v>1PremiumN5</v>
      </c>
      <c r="D267" s="8" t="str">
        <f t="shared" si="25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VLOOKUP(D267,gacha_19９_base!A:B,2,FALSE)</f>
        <v>881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3"/>
        <v>1991220</v>
      </c>
      <c r="B268" s="2" t="str">
        <f t="shared" si="24"/>
        <v>1991</v>
      </c>
      <c r="C268" s="8" t="str">
        <f t="shared" si="22"/>
        <v>1PremiumN3</v>
      </c>
      <c r="D268" s="8" t="str">
        <f t="shared" si="25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VLOOKUP(D268,gacha_19９_base!A:B,2,FALSE)</f>
        <v>7105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3"/>
        <v>1991221</v>
      </c>
      <c r="B269" s="2" t="str">
        <f t="shared" si="24"/>
        <v>1991</v>
      </c>
      <c r="C269" s="8" t="str">
        <f t="shared" si="22"/>
        <v>1PremiumN4</v>
      </c>
      <c r="D269" s="8" t="str">
        <f t="shared" si="25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VLOOKUP(D269,gacha_19９_base!A:B,2,FALSE)</f>
        <v>6224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3"/>
        <v>1991222</v>
      </c>
      <c r="B270" s="2" t="str">
        <f t="shared" si="24"/>
        <v>1991</v>
      </c>
      <c r="C270" s="8" t="str">
        <f t="shared" si="22"/>
        <v>1PremiumN5</v>
      </c>
      <c r="D270" s="8" t="str">
        <f t="shared" si="25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VLOOKUP(D270,gacha_19９_base!A:B,2,FALSE)</f>
        <v>881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3"/>
        <v>1991223</v>
      </c>
      <c r="B271" s="2" t="str">
        <f t="shared" si="24"/>
        <v>1991</v>
      </c>
      <c r="C271" s="8" t="str">
        <f t="shared" si="22"/>
        <v>1PremiumN3</v>
      </c>
      <c r="D271" s="8" t="str">
        <f t="shared" si="25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VLOOKUP(D271,gacha_19９_base!A:B,2,FALSE)</f>
        <v>7105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3"/>
        <v>1991224</v>
      </c>
      <c r="B272" s="2" t="str">
        <f t="shared" si="24"/>
        <v>1991</v>
      </c>
      <c r="C272" s="8" t="str">
        <f t="shared" si="22"/>
        <v>1PremiumN4</v>
      </c>
      <c r="D272" s="8" t="str">
        <f t="shared" si="25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VLOOKUP(D272,gacha_19９_base!A:B,2,FALSE)</f>
        <v>6224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3"/>
        <v>1991225</v>
      </c>
      <c r="B273" s="2" t="str">
        <f t="shared" si="24"/>
        <v>1991</v>
      </c>
      <c r="C273" s="8" t="str">
        <f t="shared" si="22"/>
        <v>1PremiumN5</v>
      </c>
      <c r="D273" s="8" t="str">
        <f t="shared" si="25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VLOOKUP(D273,gacha_19９_base!A:B,2,FALSE)</f>
        <v>881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3"/>
        <v>1991226</v>
      </c>
      <c r="B274" s="2" t="str">
        <f t="shared" si="24"/>
        <v>1991</v>
      </c>
      <c r="C274" s="8" t="str">
        <f t="shared" si="22"/>
        <v>1PremiumS3</v>
      </c>
      <c r="D274" s="8" t="str">
        <f t="shared" si="25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VLOOKUP(D274,gacha_19９_base!A:B,2,FALSE)</f>
        <v>7105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3"/>
        <v>1991227</v>
      </c>
      <c r="B275" s="2" t="str">
        <f t="shared" si="24"/>
        <v>1991</v>
      </c>
      <c r="C275" s="8" t="str">
        <f t="shared" si="22"/>
        <v>1PremiumS4</v>
      </c>
      <c r="D275" s="8" t="str">
        <f t="shared" si="25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VLOOKUP(D275,gacha_19９_base!A:B,2,FALSE)</f>
        <v>6224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3"/>
        <v>1991228</v>
      </c>
      <c r="B276" s="2" t="str">
        <f t="shared" si="24"/>
        <v>1991</v>
      </c>
      <c r="C276" s="8" t="str">
        <f t="shared" si="22"/>
        <v>1PremiumS5</v>
      </c>
      <c r="D276" s="8" t="str">
        <f t="shared" si="25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VLOOKUP(D276,gacha_19９_base!A:B,2,FALSE)</f>
        <v>881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3"/>
        <v>1991229</v>
      </c>
      <c r="B277" s="2" t="str">
        <f t="shared" si="24"/>
        <v>1991</v>
      </c>
      <c r="C277" s="8" t="str">
        <f t="shared" si="22"/>
        <v>1PremiumS3</v>
      </c>
      <c r="D277" s="8" t="str">
        <f t="shared" si="25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VLOOKUP(D277,gacha_19９_base!A:B,2,FALSE)</f>
        <v>7105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3"/>
        <v>1991230</v>
      </c>
      <c r="B278" s="2" t="str">
        <f t="shared" si="24"/>
        <v>1991</v>
      </c>
      <c r="C278" s="8" t="str">
        <f t="shared" si="22"/>
        <v>1PremiumS4</v>
      </c>
      <c r="D278" s="8" t="str">
        <f t="shared" si="25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VLOOKUP(D278,gacha_19９_base!A:B,2,FALSE)</f>
        <v>6224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3"/>
        <v>1991231</v>
      </c>
      <c r="B279" s="2" t="str">
        <f t="shared" si="24"/>
        <v>1991</v>
      </c>
      <c r="C279" s="8" t="str">
        <f t="shared" si="22"/>
        <v>1PremiumS5</v>
      </c>
      <c r="D279" s="8" t="str">
        <f t="shared" si="25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VLOOKUP(D279,gacha_19９_base!A:B,2,FALSE)</f>
        <v>881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3"/>
        <v>1991232</v>
      </c>
      <c r="B280" s="2" t="str">
        <f t="shared" si="24"/>
        <v>1991</v>
      </c>
      <c r="C280" s="8" t="str">
        <f t="shared" si="22"/>
        <v>1PremiumS3</v>
      </c>
      <c r="D280" s="8" t="str">
        <f t="shared" si="25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VLOOKUP(D280,gacha_19９_base!A:B,2,FALSE)</f>
        <v>7105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3"/>
        <v>1991233</v>
      </c>
      <c r="B281" s="2" t="str">
        <f t="shared" si="24"/>
        <v>1991</v>
      </c>
      <c r="C281" s="8" t="str">
        <f t="shared" si="22"/>
        <v>1PremiumS4</v>
      </c>
      <c r="D281" s="8" t="str">
        <f t="shared" si="25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VLOOKUP(D281,gacha_19９_base!A:B,2,FALSE)</f>
        <v>6224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3"/>
        <v>1991234</v>
      </c>
      <c r="B282" s="2" t="str">
        <f t="shared" si="24"/>
        <v>1991</v>
      </c>
      <c r="C282" s="8" t="str">
        <f t="shared" si="22"/>
        <v>1PremiumS5</v>
      </c>
      <c r="D282" s="8" t="str">
        <f t="shared" si="25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VLOOKUP(D282,gacha_19９_base!A:B,2,FALSE)</f>
        <v>881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3"/>
        <v>1991235</v>
      </c>
      <c r="B283" s="2" t="str">
        <f t="shared" si="24"/>
        <v>1991</v>
      </c>
      <c r="C283" s="8" t="str">
        <f t="shared" si="22"/>
        <v>1PremiumS3</v>
      </c>
      <c r="D283" s="8" t="str">
        <f t="shared" si="25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VLOOKUP(D283,gacha_19９_base!A:B,2,FALSE)</f>
        <v>7105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3"/>
        <v>1991236</v>
      </c>
      <c r="B284" s="2" t="str">
        <f t="shared" si="24"/>
        <v>1991</v>
      </c>
      <c r="C284" s="8" t="str">
        <f t="shared" si="22"/>
        <v>1PremiumS4</v>
      </c>
      <c r="D284" s="8" t="str">
        <f t="shared" si="25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VLOOKUP(D284,gacha_19９_base!A:B,2,FALSE)</f>
        <v>6224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3"/>
        <v>1991237</v>
      </c>
      <c r="B285" s="2" t="str">
        <f t="shared" si="24"/>
        <v>1991</v>
      </c>
      <c r="C285" s="8" t="str">
        <f t="shared" si="22"/>
        <v>1PremiumS5</v>
      </c>
      <c r="D285" s="8" t="str">
        <f t="shared" si="25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VLOOKUP(D285,gacha_19９_base!A:B,2,FALSE)</f>
        <v>881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3"/>
        <v>1991238</v>
      </c>
      <c r="B286" s="2" t="str">
        <f t="shared" si="24"/>
        <v>1991</v>
      </c>
      <c r="C286" s="8" t="str">
        <f t="shared" si="22"/>
        <v>1PremiumS3</v>
      </c>
      <c r="D286" s="8" t="str">
        <f t="shared" si="25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16">
        <f>VLOOKUP(D286,gacha_19９_base!A:B,2,FALSE)</f>
        <v>7105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3"/>
        <v>1991239</v>
      </c>
      <c r="B287" s="2" t="str">
        <f t="shared" si="24"/>
        <v>1991</v>
      </c>
      <c r="C287" s="8" t="str">
        <f t="shared" si="22"/>
        <v>1PremiumS4</v>
      </c>
      <c r="D287" s="8" t="str">
        <f t="shared" si="25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VLOOKUP(D287,gacha_19９_base!A:B,2,FALSE)</f>
        <v>6224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3"/>
        <v>1991240</v>
      </c>
      <c r="B288" s="2" t="str">
        <f t="shared" si="24"/>
        <v>1991</v>
      </c>
      <c r="C288" s="8" t="str">
        <f t="shared" si="22"/>
        <v>1PremiumS5</v>
      </c>
      <c r="D288" s="8" t="str">
        <f t="shared" si="25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VLOOKUP(D288,gacha_19９_base!A:B,2,FALSE)</f>
        <v>881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3"/>
        <v>1991241</v>
      </c>
      <c r="B289" s="2" t="str">
        <f t="shared" si="24"/>
        <v>1991</v>
      </c>
      <c r="C289" s="8" t="str">
        <f t="shared" si="22"/>
        <v>1PremiumS3</v>
      </c>
      <c r="D289" s="8" t="str">
        <f t="shared" si="25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VLOOKUP(D289,gacha_19９_base!A:B,2,FALSE)</f>
        <v>7105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3"/>
        <v>1991242</v>
      </c>
      <c r="B290" s="2" t="str">
        <f t="shared" si="24"/>
        <v>1991</v>
      </c>
      <c r="C290" s="8" t="str">
        <f t="shared" si="22"/>
        <v>1PremiumS4</v>
      </c>
      <c r="D290" s="8" t="str">
        <f t="shared" si="25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VLOOKUP(D290,gacha_19９_base!A:B,2,FALSE)</f>
        <v>6224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3"/>
        <v>1991243</v>
      </c>
      <c r="B291" s="2" t="str">
        <f t="shared" si="24"/>
        <v>1991</v>
      </c>
      <c r="C291" s="8" t="str">
        <f t="shared" si="22"/>
        <v>1PremiumS5</v>
      </c>
      <c r="D291" s="8" t="str">
        <f t="shared" si="25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VLOOKUP(D291,gacha_19９_base!A:B,2,FALSE)</f>
        <v>881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3"/>
        <v>1991244</v>
      </c>
      <c r="B292" s="2" t="str">
        <f t="shared" si="24"/>
        <v>1991</v>
      </c>
      <c r="C292" s="8" t="str">
        <f t="shared" si="22"/>
        <v>1PremiumS3</v>
      </c>
      <c r="D292" s="8" t="str">
        <f t="shared" si="25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VLOOKUP(D292,gacha_19９_base!A:B,2,FALSE)</f>
        <v>7105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3"/>
        <v>1991245</v>
      </c>
      <c r="B293" s="2" t="str">
        <f t="shared" si="24"/>
        <v>1991</v>
      </c>
      <c r="C293" s="8" t="str">
        <f t="shared" si="22"/>
        <v>1PremiumS4</v>
      </c>
      <c r="D293" s="8" t="str">
        <f t="shared" si="25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VLOOKUP(D293,gacha_19９_base!A:B,2,FALSE)</f>
        <v>6224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3"/>
        <v>1991246</v>
      </c>
      <c r="B294" s="2" t="str">
        <f t="shared" si="24"/>
        <v>1991</v>
      </c>
      <c r="C294" s="8" t="str">
        <f t="shared" si="22"/>
        <v>1PremiumS5</v>
      </c>
      <c r="D294" s="8" t="str">
        <f t="shared" si="25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VLOOKUP(D294,gacha_19９_base!A:B,2,FALSE)</f>
        <v>881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3"/>
        <v>1991247</v>
      </c>
      <c r="B295" s="2" t="str">
        <f t="shared" si="24"/>
        <v>1991</v>
      </c>
      <c r="C295" s="8" t="str">
        <f t="shared" si="22"/>
        <v>1PremiumS3</v>
      </c>
      <c r="D295" s="8" t="str">
        <f t="shared" si="25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16">
        <f>VLOOKUP(D295,gacha_19９_base!A:B,2,FALSE)</f>
        <v>7105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3"/>
        <v>1991248</v>
      </c>
      <c r="B296" s="2" t="str">
        <f t="shared" si="24"/>
        <v>1991</v>
      </c>
      <c r="C296" s="8" t="str">
        <f t="shared" si="22"/>
        <v>1PremiumS4</v>
      </c>
      <c r="D296" s="8" t="str">
        <f t="shared" si="25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VLOOKUP(D296,gacha_19９_base!A:B,2,FALSE)</f>
        <v>6224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3"/>
        <v>1991249</v>
      </c>
      <c r="B297" s="2" t="str">
        <f t="shared" si="24"/>
        <v>1991</v>
      </c>
      <c r="C297" s="8" t="str">
        <f t="shared" si="22"/>
        <v>1PremiumS5</v>
      </c>
      <c r="D297" s="8" t="str">
        <f t="shared" si="25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VLOOKUP(D297,gacha_19９_base!A:B,2,FALSE)</f>
        <v>881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3"/>
        <v>1991250</v>
      </c>
      <c r="B298" s="2" t="str">
        <f t="shared" si="24"/>
        <v>1991</v>
      </c>
      <c r="C298" s="8" t="str">
        <f t="shared" si="22"/>
        <v>1PremiumS3</v>
      </c>
      <c r="D298" s="8" t="str">
        <f t="shared" si="25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VLOOKUP(D298,gacha_19９_base!A:B,2,FALSE)</f>
        <v>7105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3"/>
        <v>1991251</v>
      </c>
      <c r="B299" s="2" t="str">
        <f t="shared" si="24"/>
        <v>1991</v>
      </c>
      <c r="C299" s="8" t="str">
        <f t="shared" si="22"/>
        <v>1PremiumS4</v>
      </c>
      <c r="D299" s="8" t="str">
        <f t="shared" si="25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VLOOKUP(D299,gacha_19９_base!A:B,2,FALSE)</f>
        <v>6224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3"/>
        <v>1991252</v>
      </c>
      <c r="B300" s="2" t="str">
        <f t="shared" si="24"/>
        <v>1991</v>
      </c>
      <c r="C300" s="8" t="str">
        <f t="shared" si="22"/>
        <v>1PremiumS5</v>
      </c>
      <c r="D300" s="8" t="str">
        <f t="shared" si="25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VLOOKUP(D300,gacha_19９_base!A:B,2,FALSE)</f>
        <v>881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3"/>
        <v>1991253</v>
      </c>
      <c r="B301" s="2" t="str">
        <f t="shared" si="24"/>
        <v>1991</v>
      </c>
      <c r="C301" s="8" t="str">
        <f t="shared" si="22"/>
        <v>1PremiumS3</v>
      </c>
      <c r="D301" s="8" t="str">
        <f t="shared" si="25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16">
        <f>VLOOKUP(D301,gacha_19９_base!A:B,2,FALSE)</f>
        <v>7105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3"/>
        <v>1991254</v>
      </c>
      <c r="B302" s="2" t="str">
        <f t="shared" si="24"/>
        <v>1991</v>
      </c>
      <c r="C302" s="8" t="str">
        <f t="shared" ref="C302:C365" si="26">E302&amp;H302&amp;I302</f>
        <v>1PremiumS4</v>
      </c>
      <c r="D302" s="8" t="str">
        <f t="shared" si="25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VLOOKUP(D302,gacha_19９_base!A:B,2,FALSE)</f>
        <v>6224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ref="A303:A366" si="27">B303&amp;F303</f>
        <v>1991255</v>
      </c>
      <c r="B303" s="2" t="str">
        <f t="shared" si="24"/>
        <v>1991</v>
      </c>
      <c r="C303" s="8" t="str">
        <f t="shared" si="26"/>
        <v>1PremiumS5</v>
      </c>
      <c r="D303" s="8" t="str">
        <f t="shared" si="25"/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VLOOKUP(D303,gacha_19９_base!A:B,2,FALSE)</f>
        <v>881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7"/>
        <v>1991256</v>
      </c>
      <c r="B304" s="2" t="str">
        <f t="shared" si="24"/>
        <v>1991</v>
      </c>
      <c r="C304" s="8" t="str">
        <f t="shared" si="26"/>
        <v>1PremiumS3</v>
      </c>
      <c r="D304" s="8" t="str">
        <f t="shared" si="25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VLOOKUP(D304,gacha_19９_base!A:B,2,FALSE)</f>
        <v>7105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7"/>
        <v>1991257</v>
      </c>
      <c r="B305" s="2" t="str">
        <f t="shared" si="24"/>
        <v>1991</v>
      </c>
      <c r="C305" s="8" t="str">
        <f t="shared" si="26"/>
        <v>1PremiumS4</v>
      </c>
      <c r="D305" s="8" t="str">
        <f t="shared" si="25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VLOOKUP(D305,gacha_19９_base!A:B,2,FALSE)</f>
        <v>6224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7"/>
        <v>1991258</v>
      </c>
      <c r="B306" s="2" t="str">
        <f t="shared" si="24"/>
        <v>1991</v>
      </c>
      <c r="C306" s="8" t="str">
        <f t="shared" si="26"/>
        <v>1PremiumS5</v>
      </c>
      <c r="D306" s="8" t="str">
        <f t="shared" si="25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VLOOKUP(D306,gacha_19９_base!A:B,2,FALSE)</f>
        <v>881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7"/>
        <v>1991259</v>
      </c>
      <c r="B307" s="2" t="str">
        <f t="shared" si="24"/>
        <v>1991</v>
      </c>
      <c r="C307" s="8" t="str">
        <f t="shared" si="26"/>
        <v>1PremiumS3</v>
      </c>
      <c r="D307" s="8" t="str">
        <f t="shared" si="25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VLOOKUP(D307,gacha_19９_base!A:B,2,FALSE)</f>
        <v>7105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7"/>
        <v>1991260</v>
      </c>
      <c r="B308" s="2" t="str">
        <f t="shared" si="24"/>
        <v>1991</v>
      </c>
      <c r="C308" s="8" t="str">
        <f t="shared" si="26"/>
        <v>1PremiumS4</v>
      </c>
      <c r="D308" s="8" t="str">
        <f t="shared" si="25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VLOOKUP(D308,gacha_19９_base!A:B,2,FALSE)</f>
        <v>6224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7"/>
        <v>1991261</v>
      </c>
      <c r="B309" s="2" t="str">
        <f t="shared" si="24"/>
        <v>1991</v>
      </c>
      <c r="C309" s="8" t="str">
        <f t="shared" si="26"/>
        <v>1PremiumS5</v>
      </c>
      <c r="D309" s="8" t="str">
        <f t="shared" si="25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VLOOKUP(D309,gacha_19９_base!A:B,2,FALSE)</f>
        <v>881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7"/>
        <v>1991320</v>
      </c>
      <c r="B310" s="2" t="str">
        <f t="shared" si="24"/>
        <v>1991</v>
      </c>
      <c r="C310" s="8" t="str">
        <f t="shared" si="26"/>
        <v>1PremiumSS4</v>
      </c>
      <c r="D310" s="8" t="str">
        <f t="shared" si="25"/>
        <v>1PremiumSS4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VLOOKUP(D310,gacha_19９_base!A:B,2,FALSE)</f>
        <v>853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7"/>
        <v>1991321</v>
      </c>
      <c r="B311" s="2" t="str">
        <f t="shared" si="24"/>
        <v>1991</v>
      </c>
      <c r="C311" s="8" t="str">
        <f t="shared" si="26"/>
        <v>1PremiumSS5</v>
      </c>
      <c r="D311" s="8" t="str">
        <f t="shared" si="25"/>
        <v>1PremiumSS5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VLOOKUP(D311,gacha_19９_base!A:B,2,FALSE)</f>
        <v>56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7"/>
        <v>1991322</v>
      </c>
      <c r="B312" s="2" t="str">
        <f t="shared" si="24"/>
        <v>1991</v>
      </c>
      <c r="C312" s="8" t="str">
        <f t="shared" si="26"/>
        <v>1PremiumSS4</v>
      </c>
      <c r="D312" s="8" t="str">
        <f t="shared" si="25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VLOOKUP(D312,gacha_19９_base!A:B,2,FALSE)</f>
        <v>853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7"/>
        <v>1991323</v>
      </c>
      <c r="B313" s="2" t="str">
        <f t="shared" si="24"/>
        <v>1991</v>
      </c>
      <c r="C313" s="8" t="str">
        <f t="shared" si="26"/>
        <v>1PremiumSS5</v>
      </c>
      <c r="D313" s="8" t="str">
        <f t="shared" si="25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VLOOKUP(D313,gacha_19９_base!A:B,2,FALSE)</f>
        <v>56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7"/>
        <v>1991324</v>
      </c>
      <c r="B314" s="2" t="str">
        <f t="shared" si="24"/>
        <v>1991</v>
      </c>
      <c r="C314" s="8" t="str">
        <f t="shared" si="26"/>
        <v>1PremiumSS4</v>
      </c>
      <c r="D314" s="8" t="str">
        <f t="shared" si="25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VLOOKUP(D314,gacha_19９_base!A:B,2,FALSE)</f>
        <v>853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s="14" customFormat="1" ht="21" customHeight="1" thickBot="1">
      <c r="A315" s="7" t="str">
        <f t="shared" si="27"/>
        <v>1991325</v>
      </c>
      <c r="B315" s="2" t="str">
        <f t="shared" si="24"/>
        <v>1991</v>
      </c>
      <c r="C315" s="8" t="str">
        <f t="shared" si="26"/>
        <v>1PremiumSS5</v>
      </c>
      <c r="D315" s="8" t="str">
        <f t="shared" si="25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VLOOKUP(D315,gacha_19９_base!A:B,2,FALSE)</f>
        <v>56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7"/>
        <v>1991326</v>
      </c>
      <c r="B316" s="2" t="str">
        <f t="shared" si="24"/>
        <v>1991</v>
      </c>
      <c r="C316" s="8" t="str">
        <f t="shared" si="26"/>
        <v>1PremiumSS4</v>
      </c>
      <c r="D316" s="8" t="str">
        <f t="shared" si="25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VLOOKUP(D316,gacha_19９_base!A:B,2,FALSE)</f>
        <v>853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7"/>
        <v>1991327</v>
      </c>
      <c r="B317" s="2" t="str">
        <f t="shared" si="24"/>
        <v>1991</v>
      </c>
      <c r="C317" s="8" t="str">
        <f t="shared" si="26"/>
        <v>1PremiumSS5</v>
      </c>
      <c r="D317" s="8" t="str">
        <f t="shared" si="25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VLOOKUP(D317,gacha_19９_base!A:B,2,FALSE)</f>
        <v>56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7"/>
        <v>1991380</v>
      </c>
      <c r="B318" s="2" t="str">
        <f t="shared" si="24"/>
        <v>1991</v>
      </c>
      <c r="C318" s="8" t="str">
        <f t="shared" si="26"/>
        <v>1PremiumS3</v>
      </c>
      <c r="D318" s="8" t="str">
        <f t="shared" si="25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VLOOKUP(D318,gacha_19９_base!A:B,2,FALSE)</f>
        <v>7105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7"/>
        <v>1991381</v>
      </c>
      <c r="B319" s="2" t="str">
        <f t="shared" si="24"/>
        <v>1991</v>
      </c>
      <c r="C319" s="8" t="str">
        <f t="shared" si="26"/>
        <v>1PremiumS4</v>
      </c>
      <c r="D319" s="8" t="str">
        <f t="shared" si="25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VLOOKUP(D319,gacha_19９_base!A:B,2,FALSE)</f>
        <v>6224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7"/>
        <v>1991382</v>
      </c>
      <c r="B320" s="2" t="str">
        <f t="shared" si="24"/>
        <v>1991</v>
      </c>
      <c r="C320" s="8" t="str">
        <f t="shared" si="26"/>
        <v>1PremiumS5</v>
      </c>
      <c r="D320" s="8" t="str">
        <f t="shared" si="25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VLOOKUP(D320,gacha_19９_base!A:B,2,FALSE)</f>
        <v>881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7"/>
        <v>1991383</v>
      </c>
      <c r="B321" s="2" t="str">
        <f t="shared" si="24"/>
        <v>1991</v>
      </c>
      <c r="C321" s="8" t="str">
        <f t="shared" si="26"/>
        <v>1PremiumSS4</v>
      </c>
      <c r="D321" s="8" t="str">
        <f t="shared" si="25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16">
        <f>VLOOKUP(D321,gacha_19９_base!A:B,2,FALSE)</f>
        <v>853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7"/>
        <v>1991384</v>
      </c>
      <c r="B322" s="2" t="str">
        <f t="shared" si="24"/>
        <v>1991</v>
      </c>
      <c r="C322" s="8" t="str">
        <f t="shared" si="26"/>
        <v>1PremiumSS5</v>
      </c>
      <c r="D322" s="8" t="str">
        <f t="shared" si="25"/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VLOOKUP(D322,gacha_19９_base!A:B,2,FALSE)</f>
        <v>56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7"/>
        <v>1991385</v>
      </c>
      <c r="B323" s="2" t="str">
        <f t="shared" ref="B323:B386" si="28">199&amp;E323</f>
        <v>1991</v>
      </c>
      <c r="C323" s="8" t="str">
        <f t="shared" si="26"/>
        <v>1PremiumSS4</v>
      </c>
      <c r="D323" s="8" t="str">
        <f t="shared" si="25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16">
        <f>VLOOKUP(D323,gacha_19９_base!A:B,2,FALSE)</f>
        <v>853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7"/>
        <v>1991386</v>
      </c>
      <c r="B324" s="2" t="str">
        <f t="shared" si="28"/>
        <v>1991</v>
      </c>
      <c r="C324" s="8" t="str">
        <f t="shared" si="26"/>
        <v>1PremiumSS5</v>
      </c>
      <c r="D324" s="8" t="str">
        <f t="shared" si="25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VLOOKUP(D324,gacha_19９_base!A:B,2,FALSE)</f>
        <v>56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7"/>
        <v>1991387</v>
      </c>
      <c r="B325" s="2" t="str">
        <f t="shared" si="28"/>
        <v>1991</v>
      </c>
      <c r="C325" s="8" t="str">
        <f t="shared" si="26"/>
        <v>1PremiumS3</v>
      </c>
      <c r="D325" s="8" t="str">
        <f t="shared" si="25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16">
        <f>VLOOKUP(D325,gacha_19９_base!A:B,2,FALSE)</f>
        <v>7105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7"/>
        <v>1991388</v>
      </c>
      <c r="B326" s="2" t="str">
        <f t="shared" si="28"/>
        <v>1991</v>
      </c>
      <c r="C326" s="8" t="str">
        <f t="shared" si="26"/>
        <v>1PremiumS4</v>
      </c>
      <c r="D326" s="8" t="str">
        <f t="shared" si="25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VLOOKUP(D326,gacha_19９_base!A:B,2,FALSE)</f>
        <v>6224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7"/>
        <v>1991389</v>
      </c>
      <c r="B327" s="2" t="str">
        <f t="shared" si="28"/>
        <v>1991</v>
      </c>
      <c r="C327" s="8" t="str">
        <f t="shared" si="26"/>
        <v>1PremiumS5</v>
      </c>
      <c r="D327" s="8" t="str">
        <f t="shared" si="25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VLOOKUP(D327,gacha_19９_base!A:B,2,FALSE)</f>
        <v>881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7"/>
        <v>1991390</v>
      </c>
      <c r="B328" s="2" t="str">
        <f t="shared" si="28"/>
        <v>1991</v>
      </c>
      <c r="C328" s="8" t="str">
        <f t="shared" si="26"/>
        <v>1PremiumSS4</v>
      </c>
      <c r="D328" s="8" t="str">
        <f t="shared" si="25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16">
        <f>VLOOKUP(D328,gacha_19９_base!A:B,2,FALSE)</f>
        <v>853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7"/>
        <v>1991391</v>
      </c>
      <c r="B329" s="2" t="str">
        <f t="shared" si="28"/>
        <v>1991</v>
      </c>
      <c r="C329" s="8" t="str">
        <f t="shared" si="26"/>
        <v>1PremiumSS5</v>
      </c>
      <c r="D329" s="8" t="str">
        <f t="shared" si="25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VLOOKUP(D329,gacha_19９_base!A:B,2,FALSE)</f>
        <v>56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7"/>
        <v>1991392</v>
      </c>
      <c r="B330" s="2" t="str">
        <f t="shared" si="28"/>
        <v>1991</v>
      </c>
      <c r="C330" s="8" t="str">
        <f t="shared" si="26"/>
        <v>1PremiumS3</v>
      </c>
      <c r="D330" s="8" t="str">
        <f t="shared" ref="D330:D393" si="29">E330&amp;H330&amp;I330</f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16">
        <f>VLOOKUP(D330,gacha_19９_base!A:B,2,FALSE)</f>
        <v>7105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7"/>
        <v>1991393</v>
      </c>
      <c r="B331" s="2" t="str">
        <f t="shared" si="28"/>
        <v>1991</v>
      </c>
      <c r="C331" s="8" t="str">
        <f t="shared" si="26"/>
        <v>1PremiumS4</v>
      </c>
      <c r="D331" s="8" t="str">
        <f t="shared" si="29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VLOOKUP(D331,gacha_19９_base!A:B,2,FALSE)</f>
        <v>6224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7"/>
        <v>1991394</v>
      </c>
      <c r="B332" s="2" t="str">
        <f t="shared" si="28"/>
        <v>1991</v>
      </c>
      <c r="C332" s="8" t="str">
        <f t="shared" si="26"/>
        <v>1PremiumS5</v>
      </c>
      <c r="D332" s="8" t="str">
        <f t="shared" si="29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VLOOKUP(D332,gacha_19９_base!A:B,2,FALSE)</f>
        <v>881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7"/>
        <v>1991395</v>
      </c>
      <c r="B333" s="2" t="str">
        <f t="shared" si="28"/>
        <v>1991</v>
      </c>
      <c r="C333" s="8" t="str">
        <f t="shared" si="26"/>
        <v>1PremiumS3</v>
      </c>
      <c r="D333" s="8" t="str">
        <f t="shared" si="29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VLOOKUP(D333,gacha_19９_base!A:B,2,FALSE)</f>
        <v>7105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7"/>
        <v>1991396</v>
      </c>
      <c r="B334" s="2" t="str">
        <f t="shared" si="28"/>
        <v>1991</v>
      </c>
      <c r="C334" s="8" t="str">
        <f t="shared" si="26"/>
        <v>1PremiumS4</v>
      </c>
      <c r="D334" s="8" t="str">
        <f t="shared" si="29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VLOOKUP(D334,gacha_19９_base!A:B,2,FALSE)</f>
        <v>6224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7"/>
        <v>1991397</v>
      </c>
      <c r="B335" s="2" t="str">
        <f t="shared" si="28"/>
        <v>1991</v>
      </c>
      <c r="C335" s="8" t="str">
        <f t="shared" si="26"/>
        <v>1PremiumS5</v>
      </c>
      <c r="D335" s="8" t="str">
        <f t="shared" si="29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VLOOKUP(D335,gacha_19９_base!A:B,2,FALSE)</f>
        <v>881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7"/>
        <v>1991398</v>
      </c>
      <c r="B336" s="2" t="str">
        <f t="shared" si="28"/>
        <v>1991</v>
      </c>
      <c r="C336" s="8" t="str">
        <f t="shared" si="26"/>
        <v>1PremiumSS4</v>
      </c>
      <c r="D336" s="8" t="str">
        <f t="shared" si="29"/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VLOOKUP(D336,gacha_19９_base!A:B,2,FALSE)</f>
        <v>853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7"/>
        <v>1991399</v>
      </c>
      <c r="B337" s="2" t="str">
        <f t="shared" si="28"/>
        <v>1991</v>
      </c>
      <c r="C337" s="8" t="str">
        <f t="shared" si="26"/>
        <v>1PremiumSS5</v>
      </c>
      <c r="D337" s="8" t="str">
        <f t="shared" si="29"/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VLOOKUP(D337,gacha_19９_base!A:B,2,FALSE)</f>
        <v>56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7"/>
        <v>1991400</v>
      </c>
      <c r="B338" s="2" t="str">
        <f t="shared" si="28"/>
        <v>1991</v>
      </c>
      <c r="C338" s="8" t="str">
        <f t="shared" si="26"/>
        <v>1PremiumS3</v>
      </c>
      <c r="D338" s="8" t="str">
        <f t="shared" si="29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16">
        <f>VLOOKUP(D338,gacha_19９_base!A:B,2,FALSE)</f>
        <v>7105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7"/>
        <v>1991401</v>
      </c>
      <c r="B339" s="2" t="str">
        <f t="shared" si="28"/>
        <v>1991</v>
      </c>
      <c r="C339" s="8" t="str">
        <f t="shared" si="26"/>
        <v>1PremiumS4</v>
      </c>
      <c r="D339" s="8" t="str">
        <f t="shared" si="29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VLOOKUP(D339,gacha_19９_base!A:B,2,FALSE)</f>
        <v>6224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7"/>
        <v>1991402</v>
      </c>
      <c r="B340" s="2" t="str">
        <f t="shared" si="28"/>
        <v>1991</v>
      </c>
      <c r="C340" s="8" t="str">
        <f t="shared" si="26"/>
        <v>1PremiumS5</v>
      </c>
      <c r="D340" s="8" t="str">
        <f t="shared" si="29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VLOOKUP(D340,gacha_19９_base!A:B,2,FALSE)</f>
        <v>881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7"/>
        <v>1991403</v>
      </c>
      <c r="B341" s="2" t="str">
        <f t="shared" si="28"/>
        <v>1991</v>
      </c>
      <c r="C341" s="8" t="str">
        <f t="shared" si="26"/>
        <v>1PremiumSS4</v>
      </c>
      <c r="D341" s="8" t="str">
        <f t="shared" si="29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16">
        <f>VLOOKUP(D341,gacha_19９_base!A:B,2,FALSE)</f>
        <v>853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7"/>
        <v>1991404</v>
      </c>
      <c r="B342" s="2" t="str">
        <f t="shared" si="28"/>
        <v>1991</v>
      </c>
      <c r="C342" s="8" t="str">
        <f t="shared" si="26"/>
        <v>1PremiumSS5</v>
      </c>
      <c r="D342" s="8" t="str">
        <f t="shared" si="29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VLOOKUP(D342,gacha_19９_base!A:B,2,FALSE)</f>
        <v>56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7"/>
        <v>1991405</v>
      </c>
      <c r="B343" s="2" t="str">
        <f t="shared" si="28"/>
        <v>1991</v>
      </c>
      <c r="C343" s="8" t="str">
        <f t="shared" si="26"/>
        <v>1PremiumS3</v>
      </c>
      <c r="D343" s="8" t="str">
        <f t="shared" si="29"/>
        <v>1PremiumS3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16">
        <f>VLOOKUP(D343,gacha_19９_base!A:B,2,FALSE)</f>
        <v>7105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7"/>
        <v>1991406</v>
      </c>
      <c r="B344" s="2" t="str">
        <f t="shared" si="28"/>
        <v>1991</v>
      </c>
      <c r="C344" s="8" t="str">
        <f t="shared" si="26"/>
        <v>1PremiumS4</v>
      </c>
      <c r="D344" s="8" t="str">
        <f t="shared" si="29"/>
        <v>1PremiumS4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VLOOKUP(D344,gacha_19９_base!A:B,2,FALSE)</f>
        <v>6224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7"/>
        <v>1991407</v>
      </c>
      <c r="B345" s="2" t="str">
        <f t="shared" si="28"/>
        <v>1991</v>
      </c>
      <c r="C345" s="8" t="str">
        <f t="shared" si="26"/>
        <v>1PremiumS5</v>
      </c>
      <c r="D345" s="8" t="str">
        <f t="shared" si="29"/>
        <v>1PremiumS5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VLOOKUP(D345,gacha_19９_base!A:B,2,FALSE)</f>
        <v>881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7"/>
        <v>1991408</v>
      </c>
      <c r="B346" s="2" t="str">
        <f t="shared" si="28"/>
        <v>1991</v>
      </c>
      <c r="C346" s="8" t="str">
        <f t="shared" si="26"/>
        <v>1PremiumSS4</v>
      </c>
      <c r="D346" s="8" t="str">
        <f t="shared" si="29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16">
        <f>VLOOKUP(D346,gacha_19９_base!A:B,2,FALSE)</f>
        <v>853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7"/>
        <v>1991409</v>
      </c>
      <c r="B347" s="2" t="str">
        <f t="shared" si="28"/>
        <v>1991</v>
      </c>
      <c r="C347" s="8" t="str">
        <f t="shared" si="26"/>
        <v>1PremiumSS5</v>
      </c>
      <c r="D347" s="8" t="str">
        <f t="shared" si="29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VLOOKUP(D347,gacha_19９_base!A:B,2,FALSE)</f>
        <v>56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7"/>
        <v>1991434</v>
      </c>
      <c r="B348" s="2" t="str">
        <f t="shared" si="28"/>
        <v>1991</v>
      </c>
      <c r="C348" s="8" t="str">
        <f t="shared" si="26"/>
        <v>1PremiumSS4</v>
      </c>
      <c r="D348" s="8" t="str">
        <f t="shared" si="29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16">
        <f>VLOOKUP(D348,gacha_19９_base!A:B,2,FALSE)</f>
        <v>853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7"/>
        <v>1991435</v>
      </c>
      <c r="B349" s="2" t="str">
        <f t="shared" si="28"/>
        <v>1991</v>
      </c>
      <c r="C349" s="8" t="str">
        <f t="shared" si="26"/>
        <v>1PremiumSS5</v>
      </c>
      <c r="D349" s="8" t="str">
        <f t="shared" si="29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VLOOKUP(D349,gacha_19９_base!A:B,2,FALSE)</f>
        <v>56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7"/>
        <v>1991436</v>
      </c>
      <c r="B350" s="2" t="str">
        <f t="shared" si="28"/>
        <v>1991</v>
      </c>
      <c r="C350" s="8" t="str">
        <f t="shared" si="26"/>
        <v>1PremiumS3</v>
      </c>
      <c r="D350" s="8" t="str">
        <f t="shared" si="29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16">
        <f>VLOOKUP(D350,gacha_19９_base!A:B,2,FALSE)</f>
        <v>7105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7"/>
        <v>1991437</v>
      </c>
      <c r="B351" s="2" t="str">
        <f t="shared" si="28"/>
        <v>1991</v>
      </c>
      <c r="C351" s="8" t="str">
        <f t="shared" si="26"/>
        <v>1PremiumS4</v>
      </c>
      <c r="D351" s="8" t="str">
        <f t="shared" si="29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VLOOKUP(D351,gacha_19９_base!A:B,2,FALSE)</f>
        <v>6224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7"/>
        <v>1991438</v>
      </c>
      <c r="B352" s="2" t="str">
        <f t="shared" si="28"/>
        <v>1991</v>
      </c>
      <c r="C352" s="8" t="str">
        <f t="shared" si="26"/>
        <v>1PremiumS5</v>
      </c>
      <c r="D352" s="8" t="str">
        <f t="shared" si="29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VLOOKUP(D352,gacha_19９_base!A:B,2,FALSE)</f>
        <v>881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7"/>
        <v>1991439</v>
      </c>
      <c r="B353" s="2" t="str">
        <f t="shared" si="28"/>
        <v>1991</v>
      </c>
      <c r="C353" s="8" t="str">
        <f t="shared" si="26"/>
        <v>1PremiumS3</v>
      </c>
      <c r="D353" s="8" t="str">
        <f t="shared" si="29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VLOOKUP(D353,gacha_19９_base!A:B,2,FALSE)</f>
        <v>7105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7"/>
        <v>1991440</v>
      </c>
      <c r="B354" s="2" t="str">
        <f t="shared" si="28"/>
        <v>1991</v>
      </c>
      <c r="C354" s="8" t="str">
        <f t="shared" si="26"/>
        <v>1PremiumS4</v>
      </c>
      <c r="D354" s="8" t="str">
        <f t="shared" si="29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VLOOKUP(D354,gacha_19９_base!A:B,2,FALSE)</f>
        <v>6224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7"/>
        <v>1991441</v>
      </c>
      <c r="B355" s="2" t="str">
        <f t="shared" si="28"/>
        <v>1991</v>
      </c>
      <c r="C355" s="8" t="str">
        <f t="shared" si="26"/>
        <v>1PremiumS5</v>
      </c>
      <c r="D355" s="8" t="str">
        <f t="shared" si="29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VLOOKUP(D355,gacha_19９_base!A:B,2,FALSE)</f>
        <v>881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7"/>
        <v>1991442</v>
      </c>
      <c r="B356" s="2" t="str">
        <f t="shared" si="28"/>
        <v>1991</v>
      </c>
      <c r="C356" s="8" t="str">
        <f t="shared" si="26"/>
        <v>1PremiumSS4</v>
      </c>
      <c r="D356" s="8" t="str">
        <f t="shared" si="29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VLOOKUP(D356,gacha_19９_base!A:B,2,FALSE)</f>
        <v>853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7"/>
        <v>1991443</v>
      </c>
      <c r="B357" s="2" t="str">
        <f t="shared" si="28"/>
        <v>1991</v>
      </c>
      <c r="C357" s="8" t="str">
        <f t="shared" si="26"/>
        <v>1PremiumSS5</v>
      </c>
      <c r="D357" s="8" t="str">
        <f t="shared" si="29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VLOOKUP(D357,gacha_19９_base!A:B,2,FALSE)</f>
        <v>56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7"/>
        <v>1991462</v>
      </c>
      <c r="B358" s="2" t="str">
        <f t="shared" si="28"/>
        <v>1991</v>
      </c>
      <c r="C358" s="8" t="str">
        <f t="shared" si="26"/>
        <v>1PremiumS3</v>
      </c>
      <c r="D358" s="8" t="str">
        <f t="shared" si="29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VLOOKUP(D358,gacha_19９_base!A:B,2,FALSE)</f>
        <v>7105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7"/>
        <v>1991463</v>
      </c>
      <c r="B359" s="2" t="str">
        <f t="shared" si="28"/>
        <v>1991</v>
      </c>
      <c r="C359" s="8" t="str">
        <f t="shared" si="26"/>
        <v>1PremiumS4</v>
      </c>
      <c r="D359" s="8" t="str">
        <f t="shared" si="29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VLOOKUP(D359,gacha_19９_base!A:B,2,FALSE)</f>
        <v>6224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7"/>
        <v>1991464</v>
      </c>
      <c r="B360" s="2" t="str">
        <f t="shared" si="28"/>
        <v>1991</v>
      </c>
      <c r="C360" s="8" t="str">
        <f t="shared" si="26"/>
        <v>1PremiumS5</v>
      </c>
      <c r="D360" s="8" t="str">
        <f t="shared" si="29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VLOOKUP(D360,gacha_19９_base!A:B,2,FALSE)</f>
        <v>881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7"/>
        <v>1991465</v>
      </c>
      <c r="B361" s="2" t="str">
        <f t="shared" si="28"/>
        <v>1991</v>
      </c>
      <c r="C361" s="8" t="str">
        <f t="shared" si="26"/>
        <v>1PremiumSS4</v>
      </c>
      <c r="D361" s="8" t="str">
        <f t="shared" si="29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VLOOKUP(D361,gacha_19９_base!A:B,2,FALSE)</f>
        <v>853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s="11" customFormat="1" ht="21" customHeight="1" thickBot="1">
      <c r="A362" s="7" t="str">
        <f t="shared" si="27"/>
        <v>1991466</v>
      </c>
      <c r="B362" s="2" t="str">
        <f t="shared" si="28"/>
        <v>1991</v>
      </c>
      <c r="C362" s="8" t="str">
        <f t="shared" si="26"/>
        <v>1PremiumSS5</v>
      </c>
      <c r="D362" s="8" t="str">
        <f t="shared" si="29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VLOOKUP(D362,gacha_19９_base!A:B,2,FALSE)</f>
        <v>56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27"/>
        <v>1991467</v>
      </c>
      <c r="B363" s="2" t="str">
        <f t="shared" si="28"/>
        <v>1991</v>
      </c>
      <c r="C363" s="8" t="str">
        <f t="shared" si="26"/>
        <v>1PremiumSS4</v>
      </c>
      <c r="D363" s="8" t="str">
        <f t="shared" si="29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16">
        <f>VLOOKUP(D363,gacha_19９_base!A:B,2,FALSE)</f>
        <v>853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27"/>
        <v>1991468</v>
      </c>
      <c r="B364" s="2" t="str">
        <f t="shared" si="28"/>
        <v>1991</v>
      </c>
      <c r="C364" s="8" t="str">
        <f t="shared" si="26"/>
        <v>1PremiumSS5</v>
      </c>
      <c r="D364" s="8" t="str">
        <f t="shared" si="29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VLOOKUP(D364,gacha_19９_base!A:B,2,FALSE)</f>
        <v>56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27"/>
        <v>1991469</v>
      </c>
      <c r="B365" s="2" t="str">
        <f t="shared" si="28"/>
        <v>1991</v>
      </c>
      <c r="C365" s="8" t="str">
        <f t="shared" si="26"/>
        <v>1PremiumS3</v>
      </c>
      <c r="D365" s="8" t="str">
        <f t="shared" si="29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16">
        <f>VLOOKUP(D365,gacha_19９_base!A:B,2,FALSE)</f>
        <v>7105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27"/>
        <v>1991470</v>
      </c>
      <c r="B366" s="2" t="str">
        <f t="shared" si="28"/>
        <v>1991</v>
      </c>
      <c r="C366" s="8" t="str">
        <f t="shared" ref="C366:C396" si="30">E366&amp;H366&amp;I366</f>
        <v>1PremiumS4</v>
      </c>
      <c r="D366" s="8" t="str">
        <f t="shared" si="29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VLOOKUP(D366,gacha_19９_base!A:B,2,FALSE)</f>
        <v>6224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ref="A367:A396" si="31">B367&amp;F367</f>
        <v>1991471</v>
      </c>
      <c r="B367" s="2" t="str">
        <f t="shared" si="28"/>
        <v>1991</v>
      </c>
      <c r="C367" s="8" t="str">
        <f t="shared" si="30"/>
        <v>1PremiumS5</v>
      </c>
      <c r="D367" s="8" t="str">
        <f t="shared" si="29"/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VLOOKUP(D367,gacha_19９_base!A:B,2,FALSE)</f>
        <v>881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1"/>
        <v>1991474</v>
      </c>
      <c r="B368" s="2" t="str">
        <f t="shared" si="28"/>
        <v>1991</v>
      </c>
      <c r="C368" s="8" t="str">
        <f t="shared" si="30"/>
        <v>1PremiumSS4</v>
      </c>
      <c r="D368" s="8" t="str">
        <f t="shared" si="29"/>
        <v>1PremiumSS4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VLOOKUP(D368,gacha_19９_base!A:B,2,FALSE)</f>
        <v>853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1"/>
        <v>1991475</v>
      </c>
      <c r="B369" s="2" t="str">
        <f t="shared" si="28"/>
        <v>1991</v>
      </c>
      <c r="C369" s="8" t="str">
        <f t="shared" si="30"/>
        <v>1PremiumSS5</v>
      </c>
      <c r="D369" s="8" t="str">
        <f t="shared" si="29"/>
        <v>1PremiumSS5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VLOOKUP(D369,gacha_19９_base!A:B,2,FALSE)</f>
        <v>56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1"/>
        <v>1991476</v>
      </c>
      <c r="B370" s="2" t="str">
        <f t="shared" si="28"/>
        <v>1991</v>
      </c>
      <c r="C370" s="8" t="str">
        <f t="shared" si="30"/>
        <v>1PremiumS3</v>
      </c>
      <c r="D370" s="8" t="str">
        <f t="shared" si="29"/>
        <v>1PremiumS3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VLOOKUP(D370,gacha_19９_base!A:B,2,FALSE)</f>
        <v>7105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1"/>
        <v>1991477</v>
      </c>
      <c r="B371" s="2" t="str">
        <f t="shared" si="28"/>
        <v>1991</v>
      </c>
      <c r="C371" s="8" t="str">
        <f t="shared" si="30"/>
        <v>1PremiumS4</v>
      </c>
      <c r="D371" s="8" t="str">
        <f t="shared" si="29"/>
        <v>1PremiumS4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VLOOKUP(D371,gacha_19９_base!A:B,2,FALSE)</f>
        <v>6224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1"/>
        <v>1991478</v>
      </c>
      <c r="B372" s="2" t="str">
        <f t="shared" si="28"/>
        <v>1991</v>
      </c>
      <c r="C372" s="8" t="str">
        <f t="shared" si="30"/>
        <v>1PremiumS5</v>
      </c>
      <c r="D372" s="8" t="str">
        <f t="shared" si="29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VLOOKUP(D372,gacha_19９_base!A:B,2,FALSE)</f>
        <v>881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1"/>
        <v>1991479</v>
      </c>
      <c r="B373" s="2" t="str">
        <f t="shared" si="28"/>
        <v>1991</v>
      </c>
      <c r="C373" s="8" t="str">
        <f t="shared" si="30"/>
        <v>1PremiumSS4</v>
      </c>
      <c r="D373" s="8" t="str">
        <f t="shared" si="29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VLOOKUP(D373,gacha_19９_base!A:B,2,FALSE)</f>
        <v>853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1"/>
        <v>1991480</v>
      </c>
      <c r="B374" s="2" t="str">
        <f t="shared" si="28"/>
        <v>1991</v>
      </c>
      <c r="C374" s="8" t="str">
        <f t="shared" si="30"/>
        <v>1PremiumSS5</v>
      </c>
      <c r="D374" s="8" t="str">
        <f t="shared" si="29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VLOOKUP(D374,gacha_19９_base!A:B,2,FALSE)</f>
        <v>56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1"/>
        <v>1991481</v>
      </c>
      <c r="B375" s="2" t="str">
        <f t="shared" si="28"/>
        <v>1991</v>
      </c>
      <c r="C375" s="8" t="str">
        <f t="shared" si="30"/>
        <v>1PremiumS3</v>
      </c>
      <c r="D375" s="8" t="str">
        <f t="shared" si="29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VLOOKUP(D375,gacha_19９_base!A:B,2,FALSE)</f>
        <v>7105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1"/>
        <v>1991482</v>
      </c>
      <c r="B376" s="2" t="str">
        <f t="shared" si="28"/>
        <v>1991</v>
      </c>
      <c r="C376" s="8" t="str">
        <f t="shared" si="30"/>
        <v>1PremiumS4</v>
      </c>
      <c r="D376" s="8" t="str">
        <f t="shared" si="29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VLOOKUP(D376,gacha_19９_base!A:B,2,FALSE)</f>
        <v>6224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1"/>
        <v>1991483</v>
      </c>
      <c r="B377" s="2" t="str">
        <f t="shared" si="28"/>
        <v>1991</v>
      </c>
      <c r="C377" s="8" t="str">
        <f t="shared" si="30"/>
        <v>1PremiumS5</v>
      </c>
      <c r="D377" s="8" t="str">
        <f t="shared" si="29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VLOOKUP(D377,gacha_19９_base!A:B,2,FALSE)</f>
        <v>881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1"/>
        <v>1991492</v>
      </c>
      <c r="B378" s="2" t="str">
        <f t="shared" si="28"/>
        <v>1991</v>
      </c>
      <c r="C378" s="8" t="str">
        <f t="shared" si="30"/>
        <v>1PremiumSS4</v>
      </c>
      <c r="D378" s="8" t="str">
        <f t="shared" si="29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VLOOKUP(D378,gacha_19９_base!A:B,2,FALSE)</f>
        <v>853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1"/>
        <v>1991493</v>
      </c>
      <c r="B379" s="2" t="str">
        <f t="shared" si="28"/>
        <v>1991</v>
      </c>
      <c r="C379" s="8" t="str">
        <f t="shared" si="30"/>
        <v>1PremiumSS5</v>
      </c>
      <c r="D379" s="8" t="str">
        <f t="shared" si="29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VLOOKUP(D379,gacha_19９_base!A:B,2,FALSE)</f>
        <v>56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1"/>
        <v>1991494</v>
      </c>
      <c r="B380" s="2" t="str">
        <f t="shared" si="28"/>
        <v>1991</v>
      </c>
      <c r="C380" s="8" t="str">
        <f t="shared" si="30"/>
        <v>1PremiumSS4</v>
      </c>
      <c r="D380" s="8" t="str">
        <f t="shared" si="29"/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VLOOKUP(D380,gacha_19９_base!A:B,2,FALSE)</f>
        <v>853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1"/>
        <v>1991495</v>
      </c>
      <c r="B381" s="2" t="str">
        <f t="shared" si="28"/>
        <v>1991</v>
      </c>
      <c r="C381" s="8" t="str">
        <f t="shared" si="30"/>
        <v>1PremiumSS5</v>
      </c>
      <c r="D381" s="8" t="str">
        <f t="shared" si="29"/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VLOOKUP(D381,gacha_19９_base!A:B,2,FALSE)</f>
        <v>56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1"/>
        <v>1991496</v>
      </c>
      <c r="B382" s="2" t="str">
        <f t="shared" si="28"/>
        <v>1991</v>
      </c>
      <c r="C382" s="8" t="str">
        <f t="shared" si="30"/>
        <v>1PremiumS3</v>
      </c>
      <c r="D382" s="8" t="str">
        <f t="shared" si="29"/>
        <v>1PremiumS3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VLOOKUP(D382,gacha_19９_base!A:B,2,FALSE)</f>
        <v>7105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1"/>
        <v>1991497</v>
      </c>
      <c r="B383" s="2" t="str">
        <f t="shared" si="28"/>
        <v>1991</v>
      </c>
      <c r="C383" s="8" t="str">
        <f t="shared" si="30"/>
        <v>1PremiumS4</v>
      </c>
      <c r="D383" s="8" t="str">
        <f t="shared" si="29"/>
        <v>1PremiumS4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VLOOKUP(D383,gacha_19９_base!A:B,2,FALSE)</f>
        <v>6224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1"/>
        <v>1991498</v>
      </c>
      <c r="B384" s="2" t="str">
        <f t="shared" si="28"/>
        <v>1991</v>
      </c>
      <c r="C384" s="8" t="str">
        <f t="shared" si="30"/>
        <v>1PremiumS5</v>
      </c>
      <c r="D384" s="8" t="str">
        <f t="shared" si="29"/>
        <v>1PremiumS5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VLOOKUP(D384,gacha_19９_base!A:B,2,FALSE)</f>
        <v>881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1"/>
        <v>1991499</v>
      </c>
      <c r="B385" s="2" t="str">
        <f t="shared" si="28"/>
        <v>1991</v>
      </c>
      <c r="C385" s="8" t="str">
        <f t="shared" si="30"/>
        <v>1PremiumSS4</v>
      </c>
      <c r="D385" s="8" t="str">
        <f t="shared" si="29"/>
        <v>1PremiumSS4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VLOOKUP(D385,gacha_19９_base!A:B,2,FALSE)</f>
        <v>853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1"/>
        <v>1991500</v>
      </c>
      <c r="B386" s="2" t="str">
        <f t="shared" si="28"/>
        <v>1991</v>
      </c>
      <c r="C386" s="8" t="str">
        <f t="shared" si="30"/>
        <v>1PremiumSS5</v>
      </c>
      <c r="D386" s="8" t="str">
        <f t="shared" si="29"/>
        <v>1PremiumSS5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VLOOKUP(D386,gacha_19９_base!A:B,2,FALSE)</f>
        <v>56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1"/>
        <v>1991586</v>
      </c>
      <c r="B387" s="2" t="str">
        <f t="shared" ref="B387:B417" si="32">199&amp;E387</f>
        <v>1991</v>
      </c>
      <c r="C387" s="8" t="str">
        <f t="shared" si="30"/>
        <v>1PremiumSS4</v>
      </c>
      <c r="D387" s="8" t="str">
        <f t="shared" si="29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VLOOKUP(D387,gacha_19９_base!A:B,2,FALSE)</f>
        <v>853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1"/>
        <v>1991587</v>
      </c>
      <c r="B388" s="2" t="str">
        <f t="shared" si="32"/>
        <v>1991</v>
      </c>
      <c r="C388" s="8" t="str">
        <f t="shared" si="30"/>
        <v>1PremiumSS5</v>
      </c>
      <c r="D388" s="8" t="str">
        <f t="shared" si="29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VLOOKUP(D388,gacha_19９_base!A:B,2,FALSE)</f>
        <v>56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1"/>
        <v>1991588</v>
      </c>
      <c r="B389" s="2" t="str">
        <f t="shared" si="32"/>
        <v>1991</v>
      </c>
      <c r="C389" s="8" t="str">
        <f t="shared" si="30"/>
        <v>1PremiumS3</v>
      </c>
      <c r="D389" s="8" t="str">
        <f t="shared" si="29"/>
        <v>1PremiumS3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VLOOKUP(D389,gacha_19９_base!A:B,2,FALSE)</f>
        <v>7105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1"/>
        <v>1991589</v>
      </c>
      <c r="B390" s="2" t="str">
        <f t="shared" si="32"/>
        <v>1991</v>
      </c>
      <c r="C390" s="8" t="str">
        <f t="shared" si="30"/>
        <v>1PremiumS4</v>
      </c>
      <c r="D390" s="8" t="str">
        <f t="shared" si="29"/>
        <v>1PremiumS4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VLOOKUP(D390,gacha_19９_base!A:B,2,FALSE)</f>
        <v>6224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1"/>
        <v>1991590</v>
      </c>
      <c r="B391" s="2" t="str">
        <f t="shared" si="32"/>
        <v>1991</v>
      </c>
      <c r="C391" s="8" t="str">
        <f t="shared" si="30"/>
        <v>1PremiumS5</v>
      </c>
      <c r="D391" s="8" t="str">
        <f t="shared" si="29"/>
        <v>1PremiumS5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VLOOKUP(D391,gacha_19９_base!A:B,2,FALSE)</f>
        <v>881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1"/>
        <v>1991591</v>
      </c>
      <c r="B392" s="2" t="str">
        <f t="shared" si="32"/>
        <v>1991</v>
      </c>
      <c r="C392" s="8" t="str">
        <f t="shared" si="30"/>
        <v>1PremiumS3</v>
      </c>
      <c r="D392" s="8" t="str">
        <f t="shared" si="29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16">
        <f>VLOOKUP(D392,gacha_19９_base!A:B,2,FALSE)</f>
        <v>7105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1"/>
        <v>1991592</v>
      </c>
      <c r="B393" s="2" t="str">
        <f t="shared" si="32"/>
        <v>1991</v>
      </c>
      <c r="C393" s="8" t="str">
        <f t="shared" si="30"/>
        <v>1PremiumS4</v>
      </c>
      <c r="D393" s="8" t="str">
        <f t="shared" si="29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VLOOKUP(D393,gacha_19９_base!A:B,2,FALSE)</f>
        <v>6224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1"/>
        <v>1991593</v>
      </c>
      <c r="B394" s="2" t="str">
        <f t="shared" si="32"/>
        <v>1991</v>
      </c>
      <c r="C394" s="8" t="str">
        <f t="shared" si="30"/>
        <v>1PremiumS5</v>
      </c>
      <c r="D394" s="8" t="str">
        <f t="shared" ref="D394:D407" si="33">E394&amp;H394&amp;I394</f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VLOOKUP(D394,gacha_19９_base!A:B,2,FALSE)</f>
        <v>881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1"/>
        <v>1991594</v>
      </c>
      <c r="B395" s="2" t="str">
        <f t="shared" si="32"/>
        <v>1991</v>
      </c>
      <c r="C395" s="8" t="str">
        <f t="shared" si="30"/>
        <v>1PremiumSS4</v>
      </c>
      <c r="D395" s="8" t="str">
        <f t="shared" si="33"/>
        <v>1PremiumSS4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VLOOKUP(D395,gacha_19９_base!A:B,2,FALSE)</f>
        <v>853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1"/>
        <v>1991595</v>
      </c>
      <c r="B396" s="2" t="str">
        <f t="shared" si="32"/>
        <v>1991</v>
      </c>
      <c r="C396" s="8" t="str">
        <f t="shared" si="30"/>
        <v>1PremiumSS5</v>
      </c>
      <c r="D396" s="8" t="str">
        <f t="shared" si="33"/>
        <v>1PremiumSS5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VLOOKUP(D396,gacha_19９_base!A:B,2,FALSE)</f>
        <v>56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ref="A397:A407" si="34">B397&amp;F397</f>
        <v>1991596</v>
      </c>
      <c r="B397" s="2" t="str">
        <f t="shared" si="32"/>
        <v>1991</v>
      </c>
      <c r="C397" s="8" t="str">
        <f t="shared" ref="C397:C407" si="35">E397&amp;H397&amp;I397</f>
        <v>1PremiumS3</v>
      </c>
      <c r="D397" s="8" t="str">
        <f t="shared" si="33"/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VLOOKUP(D397,gacha_19９_base!A:B,2,FALSE)</f>
        <v>7105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4"/>
        <v>1991597</v>
      </c>
      <c r="B398" s="2" t="str">
        <f t="shared" si="32"/>
        <v>1991</v>
      </c>
      <c r="C398" s="8" t="str">
        <f t="shared" si="35"/>
        <v>1PremiumS4</v>
      </c>
      <c r="D398" s="8" t="str">
        <f t="shared" si="33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VLOOKUP(D398,gacha_19９_base!A:B,2,FALSE)</f>
        <v>6224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4"/>
        <v>1991598</v>
      </c>
      <c r="B399" s="2" t="str">
        <f t="shared" si="32"/>
        <v>1991</v>
      </c>
      <c r="C399" s="8" t="str">
        <f t="shared" si="35"/>
        <v>1PremiumS5</v>
      </c>
      <c r="D399" s="8" t="str">
        <f t="shared" si="33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VLOOKUP(D399,gacha_19９_base!A:B,2,FALSE)</f>
        <v>881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4"/>
        <v>1991599</v>
      </c>
      <c r="B400" s="2" t="str">
        <f t="shared" si="32"/>
        <v>1991</v>
      </c>
      <c r="C400" s="8" t="str">
        <f t="shared" si="35"/>
        <v>1PremiumS3</v>
      </c>
      <c r="D400" s="8" t="str">
        <f t="shared" si="33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16">
        <f>VLOOKUP(D400,gacha_19９_base!A:B,2,FALSE)</f>
        <v>7105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4"/>
        <v>1991600</v>
      </c>
      <c r="B401" s="2" t="str">
        <f t="shared" si="32"/>
        <v>1991</v>
      </c>
      <c r="C401" s="8" t="str">
        <f t="shared" si="35"/>
        <v>1PremiumS4</v>
      </c>
      <c r="D401" s="8" t="str">
        <f t="shared" si="33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VLOOKUP(D401,gacha_19９_base!A:B,2,FALSE)</f>
        <v>6224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4"/>
        <v>1991601</v>
      </c>
      <c r="B402" s="2" t="str">
        <f t="shared" si="32"/>
        <v>1991</v>
      </c>
      <c r="C402" s="8" t="str">
        <f t="shared" si="35"/>
        <v>1PremiumS5</v>
      </c>
      <c r="D402" s="8" t="str">
        <f t="shared" si="33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VLOOKUP(D402,gacha_19９_base!A:B,2,FALSE)</f>
        <v>881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4"/>
        <v>1991602</v>
      </c>
      <c r="B403" s="2" t="str">
        <f t="shared" si="32"/>
        <v>1991</v>
      </c>
      <c r="C403" s="8" t="str">
        <f t="shared" si="35"/>
        <v>1PremiumSS4</v>
      </c>
      <c r="D403" s="8" t="str">
        <f t="shared" si="33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16">
        <f>VLOOKUP(D403,gacha_19９_base!A:B,2,FALSE)</f>
        <v>853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4"/>
        <v>1991603</v>
      </c>
      <c r="B404" s="2" t="str">
        <f t="shared" si="32"/>
        <v>1991</v>
      </c>
      <c r="C404" s="8" t="str">
        <f t="shared" si="35"/>
        <v>1PremiumSS5</v>
      </c>
      <c r="D404" s="8" t="str">
        <f t="shared" si="33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VLOOKUP(D404,gacha_19９_base!A:B,2,FALSE)</f>
        <v>56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4"/>
        <v>1991604</v>
      </c>
      <c r="B405" s="2" t="str">
        <f t="shared" si="32"/>
        <v>1991</v>
      </c>
      <c r="C405" s="8" t="str">
        <f t="shared" si="35"/>
        <v>1PremiumS3</v>
      </c>
      <c r="D405" s="8" t="str">
        <f t="shared" si="33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16">
        <f>VLOOKUP(D405,gacha_19９_base!A:B,2,FALSE)</f>
        <v>7105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4"/>
        <v>1991605</v>
      </c>
      <c r="B406" s="2" t="str">
        <f t="shared" si="32"/>
        <v>1991</v>
      </c>
      <c r="C406" s="8" t="str">
        <f t="shared" si="35"/>
        <v>1PremiumS4</v>
      </c>
      <c r="D406" s="8" t="str">
        <f t="shared" si="33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VLOOKUP(D406,gacha_19９_base!A:B,2,FALSE)</f>
        <v>6224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4"/>
        <v>1991606</v>
      </c>
      <c r="B407" s="2" t="str">
        <f t="shared" si="32"/>
        <v>1991</v>
      </c>
      <c r="C407" s="8" t="str">
        <f t="shared" si="35"/>
        <v>1PremiumS5</v>
      </c>
      <c r="D407" s="8" t="str">
        <f t="shared" si="33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VLOOKUP(D407,gacha_19９_base!A:B,2,FALSE)</f>
        <v>881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ref="A408:A417" si="36">B408&amp;F408</f>
        <v>1991658</v>
      </c>
      <c r="B408" s="2" t="str">
        <f t="shared" si="32"/>
        <v>1991</v>
      </c>
      <c r="C408" s="8" t="str">
        <f t="shared" ref="C408:C417" si="37">E408&amp;H408&amp;I408</f>
        <v>1PremiumSS4</v>
      </c>
      <c r="D408" s="8" t="str">
        <f>E408&amp;H408&amp;I408&amp;"new"</f>
        <v>1PremiumSS4new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16">
        <f>VLOOKUP(D408,gacha_19９_base!A:B,2,FALSE)</f>
        <v>9380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6"/>
        <v>1991659</v>
      </c>
      <c r="B409" s="2" t="str">
        <f t="shared" si="32"/>
        <v>1991</v>
      </c>
      <c r="C409" s="8" t="str">
        <f t="shared" si="37"/>
        <v>1PremiumSS5</v>
      </c>
      <c r="D409" s="8" t="str">
        <f t="shared" ref="D409:D417" si="38">E409&amp;H409&amp;I409&amp;"new"</f>
        <v>1PremiumSS5new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VLOOKUP(D409,gacha_19９_base!A:B,2,FALSE)</f>
        <v>620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6"/>
        <v>1991660</v>
      </c>
      <c r="B410" s="2" t="str">
        <f t="shared" si="32"/>
        <v>1991</v>
      </c>
      <c r="C410" s="8" t="str">
        <f t="shared" si="37"/>
        <v>1PremiumSS4</v>
      </c>
      <c r="D410" s="8" t="str">
        <f t="shared" si="38"/>
        <v>1PremiumSS4new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16">
        <f>VLOOKUP(D410,gacha_19９_base!A:B,2,FALSE)</f>
        <v>9380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6"/>
        <v>1991661</v>
      </c>
      <c r="B411" s="2" t="str">
        <f t="shared" si="32"/>
        <v>1991</v>
      </c>
      <c r="C411" s="8" t="str">
        <f t="shared" si="37"/>
        <v>1PremiumSS5</v>
      </c>
      <c r="D411" s="8" t="str">
        <f t="shared" si="38"/>
        <v>1PremiumSS5new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VLOOKUP(D411,gacha_19９_base!A:B,2,FALSE)</f>
        <v>620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6"/>
        <v>1991662</v>
      </c>
      <c r="B412" s="2" t="str">
        <f t="shared" si="32"/>
        <v>1991</v>
      </c>
      <c r="C412" s="8" t="str">
        <f t="shared" si="37"/>
        <v>1PremiumS3</v>
      </c>
      <c r="D412" s="8" t="str">
        <f t="shared" si="38"/>
        <v>1PremiumS3new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16">
        <f>VLOOKUP(D412,gacha_19９_base!A:B,2,FALSE)</f>
        <v>15000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6"/>
        <v>1991663</v>
      </c>
      <c r="B413" s="2" t="str">
        <f t="shared" si="32"/>
        <v>1991</v>
      </c>
      <c r="C413" s="8" t="str">
        <f t="shared" si="37"/>
        <v>1PremiumS4</v>
      </c>
      <c r="D413" s="8" t="str">
        <f t="shared" si="38"/>
        <v>1PremiumS4new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VLOOKUP(D413,gacha_19９_base!A:B,2,FALSE)</f>
        <v>13140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6"/>
        <v>1991664</v>
      </c>
      <c r="B414" s="2" t="str">
        <f t="shared" si="32"/>
        <v>1991</v>
      </c>
      <c r="C414" s="8" t="str">
        <f t="shared" si="37"/>
        <v>1PremiumS5</v>
      </c>
      <c r="D414" s="8" t="str">
        <f t="shared" si="38"/>
        <v>1PremiumS5new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VLOOKUP(D414,gacha_19９_base!A:B,2,FALSE)</f>
        <v>1860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6"/>
        <v>1991665</v>
      </c>
      <c r="B415" s="2" t="str">
        <f t="shared" si="32"/>
        <v>1991</v>
      </c>
      <c r="C415" s="8" t="str">
        <f t="shared" si="37"/>
        <v>1PremiumS3</v>
      </c>
      <c r="D415" s="8" t="str">
        <f t="shared" si="38"/>
        <v>1PremiumS3new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16">
        <f>VLOOKUP(D415,gacha_19９_base!A:B,2,FALSE)</f>
        <v>15000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36"/>
        <v>1991666</v>
      </c>
      <c r="B416" s="2" t="str">
        <f t="shared" si="32"/>
        <v>1991</v>
      </c>
      <c r="C416" s="8" t="str">
        <f t="shared" si="37"/>
        <v>1PremiumS4</v>
      </c>
      <c r="D416" s="8" t="str">
        <f t="shared" si="38"/>
        <v>1PremiumS4new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VLOOKUP(D416,gacha_19９_base!A:B,2,FALSE)</f>
        <v>13140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6"/>
        <v>1991667</v>
      </c>
      <c r="B417" s="2" t="str">
        <f t="shared" si="32"/>
        <v>1991</v>
      </c>
      <c r="C417" s="8" t="str">
        <f t="shared" si="37"/>
        <v>1PremiumS5</v>
      </c>
      <c r="D417" s="8" t="str">
        <f t="shared" si="38"/>
        <v>1PremiumS5new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VLOOKUP(D417,gacha_19９_base!A:B,2,FALSE)</f>
        <v>1860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</sheetData>
  <autoFilter ref="A1:S407"/>
  <sortState ref="A2:S189">
    <sortCondition ref="B2:B189"/>
    <sortCondition ref="F2:F189"/>
  </sortState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E11" sqref="E2:E1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1993</v>
      </c>
      <c r="C2" s="8" t="str">
        <f t="shared" ref="C2:C3" si="0">D2&amp;G2&amp;H2</f>
        <v>PremiumSS4</v>
      </c>
      <c r="E2" s="6">
        <v>658</v>
      </c>
      <c r="F2" s="8" t="str">
        <f>VLOOKUP(E2,[1]characters!$A:$C,3,FALSE)</f>
        <v>猫又 クルミ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animal</v>
      </c>
      <c r="L2" s="36">
        <f>5*95</f>
        <v>475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1993</v>
      </c>
      <c r="C3" s="8" t="str">
        <f t="shared" si="0"/>
        <v>PremiumSS5</v>
      </c>
      <c r="E3" s="6">
        <v>659</v>
      </c>
      <c r="F3" s="8" t="str">
        <f>VLOOKUP(E3,[1]characters!$A:$C,3,FALSE)</f>
        <v>跳梁する化猫 クルミ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attack</v>
      </c>
      <c r="K3" s="8" t="str">
        <f>VLOOKUP(E3,[1]characters!$A:$M,13,FALSE)</f>
        <v>animal</v>
      </c>
      <c r="L3" s="36">
        <f>5*5</f>
        <v>25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1993</v>
      </c>
      <c r="C4" s="8" t="str">
        <f t="shared" ref="C4:C5" si="1">D4&amp;G4&amp;H4</f>
        <v>PremiumSS4</v>
      </c>
      <c r="E4" s="6">
        <v>660</v>
      </c>
      <c r="F4" s="8" t="str">
        <f>VLOOKUP(E4,[1]characters!$A:$C,3,FALSE)</f>
        <v>烏天狗 フウガ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balance</v>
      </c>
      <c r="K4" s="8" t="str">
        <f>VLOOKUP(E4,[1]characters!$A:$M,13,FALSE)</f>
        <v>animal</v>
      </c>
      <c r="L4" s="36">
        <f>5*95</f>
        <v>475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1993</v>
      </c>
      <c r="C5" s="8" t="str">
        <f t="shared" si="1"/>
        <v>PremiumSS5</v>
      </c>
      <c r="E5" s="6">
        <v>661</v>
      </c>
      <c r="F5" s="8" t="str">
        <f>VLOOKUP(E5,[1]characters!$A:$C,3,FALSE)</f>
        <v>疾風の天狗礫 フウガ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balance</v>
      </c>
      <c r="K5" s="8" t="str">
        <f>VLOOKUP(E5,[1]characters!$A:$M,13,FALSE)</f>
        <v>animal</v>
      </c>
      <c r="L5" s="36">
        <f>5*5</f>
        <v>25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1993</v>
      </c>
      <c r="C6" s="8" t="str">
        <f t="shared" ref="C6:C11" si="2">D6&amp;G6&amp;H6</f>
        <v>PremiumS3</v>
      </c>
      <c r="E6" s="6">
        <v>662</v>
      </c>
      <c r="F6" s="8" t="str">
        <f>VLOOKUP(E6,[1]characters!$A:$C,3,FALSE)</f>
        <v>ダイダラ</v>
      </c>
      <c r="G6" s="8" t="str">
        <f>VLOOKUP(E6,[1]characters!$A:$J,10,FALSE)</f>
        <v>PremiumS</v>
      </c>
      <c r="H6" s="8">
        <f>VLOOKUP(E6,[1]characters!$A:$I,9,FALSE)</f>
        <v>3</v>
      </c>
      <c r="I6" s="8" t="str">
        <f>VLOOKUP(E6,[1]characters!$A:$H,8,FALSE)</f>
        <v>blue</v>
      </c>
      <c r="J6" s="8" t="str">
        <f>VLOOKUP(E6,[1]characters!$A:$K,11,FALSE)</f>
        <v>hp</v>
      </c>
      <c r="K6" s="8" t="str">
        <f>VLOOKUP(E6,[1]characters!$A:$M,13,FALSE)</f>
        <v>unknown</v>
      </c>
      <c r="L6" s="36">
        <f>45*76</f>
        <v>3420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1993</v>
      </c>
      <c r="C7" s="8" t="str">
        <f t="shared" si="2"/>
        <v>PremiumS4</v>
      </c>
      <c r="E7" s="6">
        <v>663</v>
      </c>
      <c r="F7" s="8" t="str">
        <f>VLOOKUP(E7,[1]characters!$A:$C,3,FALSE)</f>
        <v>都揺らす地響き ダイダラ</v>
      </c>
      <c r="G7" s="8" t="str">
        <f>VLOOKUP(E7,[1]characters!$A:$J,10,FALSE)</f>
        <v>PremiumS</v>
      </c>
      <c r="H7" s="8">
        <f>VLOOKUP(E7,[1]characters!$A:$I,9,FALSE)</f>
        <v>4</v>
      </c>
      <c r="I7" s="8" t="str">
        <f>VLOOKUP(E7,[1]characters!$A:$H,8,FALSE)</f>
        <v>blue</v>
      </c>
      <c r="J7" s="8" t="str">
        <f>VLOOKUP(E7,[1]characters!$A:$K,11,FALSE)</f>
        <v>hp</v>
      </c>
      <c r="K7" s="8" t="str">
        <f>VLOOKUP(E7,[1]characters!$A:$M,13,FALSE)</f>
        <v>unknown</v>
      </c>
      <c r="L7" s="36">
        <f>45*19</f>
        <v>855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1993</v>
      </c>
      <c r="C8" s="8" t="str">
        <f t="shared" si="2"/>
        <v>PremiumS5</v>
      </c>
      <c r="E8" s="6">
        <v>664</v>
      </c>
      <c r="F8" s="8" t="str">
        <f>VLOOKUP(E8,[1]characters!$A:$C,3,FALSE)</f>
        <v>山掴み国造り ダイダラ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hp</v>
      </c>
      <c r="K8" s="8" t="str">
        <f>VLOOKUP(E8,[1]characters!$A:$M,13,FALSE)</f>
        <v>unknown</v>
      </c>
      <c r="L8" s="36">
        <f>45*5</f>
        <v>225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1993</v>
      </c>
      <c r="C9" s="8" t="str">
        <f t="shared" si="2"/>
        <v>PremiumS3</v>
      </c>
      <c r="E9" s="6">
        <v>665</v>
      </c>
      <c r="F9" s="8" t="str">
        <f>VLOOKUP(E9,[1]characters!$A:$C,3,FALSE)</f>
        <v>座敷童子 テマリ</v>
      </c>
      <c r="G9" s="8" t="str">
        <f>VLOOKUP(E9,[1]characters!$A:$J,10,FALSE)</f>
        <v>PremiumS</v>
      </c>
      <c r="H9" s="8">
        <f>VLOOKUP(E9,[1]characters!$A:$I,9,FALSE)</f>
        <v>3</v>
      </c>
      <c r="I9" s="8" t="str">
        <f>VLOOKUP(E9,[1]characters!$A:$H,8,FALSE)</f>
        <v>yellow</v>
      </c>
      <c r="J9" s="8" t="str">
        <f>VLOOKUP(E9,[1]characters!$A:$K,11,FALSE)</f>
        <v>balance</v>
      </c>
      <c r="K9" s="8" t="str">
        <f>VLOOKUP(E9,[1]characters!$A:$M,13,FALSE)</f>
        <v>unknown</v>
      </c>
      <c r="L9" s="36">
        <f>45*76</f>
        <v>3420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1993</v>
      </c>
      <c r="C10" s="8" t="str">
        <f t="shared" si="2"/>
        <v>PremiumS4</v>
      </c>
      <c r="E10" s="6">
        <v>666</v>
      </c>
      <c r="F10" s="8" t="str">
        <f>VLOOKUP(E10,[1]characters!$A:$C,3,FALSE)</f>
        <v>拡散する幸福 テマリ</v>
      </c>
      <c r="G10" s="8" t="str">
        <f>VLOOKUP(E10,[1]characters!$A:$J,10,FALSE)</f>
        <v>PremiumS</v>
      </c>
      <c r="H10" s="8">
        <f>VLOOKUP(E10,[1]characters!$A:$I,9,FALSE)</f>
        <v>4</v>
      </c>
      <c r="I10" s="8" t="str">
        <f>VLOOKUP(E10,[1]characters!$A:$H,8,FALSE)</f>
        <v>yellow</v>
      </c>
      <c r="J10" s="8" t="str">
        <f>VLOOKUP(E10,[1]characters!$A:$K,11,FALSE)</f>
        <v>balance</v>
      </c>
      <c r="K10" s="8" t="str">
        <f>VLOOKUP(E10,[1]characters!$A:$M,13,FALSE)</f>
        <v>unknown</v>
      </c>
      <c r="L10" s="36">
        <f>45*19</f>
        <v>855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1993</v>
      </c>
      <c r="C11" s="8" t="str">
        <f t="shared" si="2"/>
        <v>PremiumS5</v>
      </c>
      <c r="E11" s="6">
        <v>667</v>
      </c>
      <c r="F11" s="8" t="str">
        <f>VLOOKUP(E11,[1]characters!$A:$C,3,FALSE)</f>
        <v>最幸運の妖童 テマリ</v>
      </c>
      <c r="G11" s="8" t="str">
        <f>VLOOKUP(E11,[1]characters!$A:$J,10,FALSE)</f>
        <v>PremiumS</v>
      </c>
      <c r="H11" s="8">
        <f>VLOOKUP(E11,[1]characters!$A:$I,9,FALSE)</f>
        <v>5</v>
      </c>
      <c r="I11" s="8" t="str">
        <f>VLOOKUP(E11,[1]characters!$A:$H,8,FALSE)</f>
        <v>yellow</v>
      </c>
      <c r="J11" s="8" t="str">
        <f>VLOOKUP(E11,[1]characters!$A:$K,11,FALSE)</f>
        <v>balance</v>
      </c>
      <c r="K11" s="8" t="str">
        <f>VLOOKUP(E11,[1]characters!$A:$M,13,FALSE)</f>
        <v>unknown</v>
      </c>
      <c r="L11" s="36">
        <f>45*5</f>
        <v>225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C30" sqref="C3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19" sqref="C19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199</v>
      </c>
    </row>
    <row r="5" spans="1:8">
      <c r="A5" s="42" t="s">
        <v>82</v>
      </c>
      <c r="B5" s="43" t="str">
        <f>$A$3 &amp; "1"</f>
        <v>1991</v>
      </c>
      <c r="C5" s="62"/>
      <c r="D5" s="42" t="s">
        <v>85</v>
      </c>
      <c r="E5" s="43" t="str">
        <f>$A$3 &amp; "0"</f>
        <v>1990</v>
      </c>
      <c r="F5" s="62"/>
      <c r="G5" s="42" t="s">
        <v>86</v>
      </c>
      <c r="H5" s="43" t="str">
        <f>$A$3 &amp; "3"</f>
        <v>1993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244</v>
      </c>
      <c r="B16" s="46"/>
      <c r="C16" s="62"/>
      <c r="D16" s="48">
        <f>COUNTIF(gacha_select_tables!$B:$B,E5)</f>
        <v>172</v>
      </c>
      <c r="E16" s="46"/>
      <c r="F16" s="62"/>
      <c r="G16" s="48">
        <f>COUNTIF(gacha_settle_tables!B:B,H5)</f>
        <v>10</v>
      </c>
      <c r="H16" s="46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gacha_19９_base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2016-03-03T09:49:25Z</dcterms:modified>
</cp:coreProperties>
</file>