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9"/>
  </bookViews>
  <sheets>
    <sheet name="確率の考え方" sheetId="110" r:id="rId1"/>
    <sheet name="Sheet1" sheetId="107" r:id="rId2"/>
    <sheet name="output" sheetId="103" r:id="rId3"/>
    <sheet name="input_508010" sheetId="157" r:id="rId4"/>
    <sheet name="tables_508010" sheetId="158" r:id="rId5"/>
    <sheet name="input_508100" sheetId="153" r:id="rId6"/>
    <sheet name="tables_508100" sheetId="154" r:id="rId7"/>
    <sheet name="input_settle_508100" sheetId="160" r:id="rId8"/>
    <sheet name="tables_settle_508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tables_508010!$A$1:$V$294</definedName>
    <definedName name="_xlnm._FilterDatabase" localSheetId="6" hidden="1">tables_508100!$A$1:$V$294</definedName>
    <definedName name="_xlnm._FilterDatabase" localSheetId="8" hidden="1">tables_settle_508100!$A$1:$V$294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53" l="1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23" i="153"/>
  <c r="E26" i="153"/>
  <c r="B26" i="153"/>
  <c r="F5" i="153"/>
  <c r="E5" i="153"/>
  <c r="E28" i="153"/>
  <c r="B28" i="153"/>
  <c r="E29" i="153"/>
  <c r="B29" i="153"/>
  <c r="B31" i="153"/>
  <c r="B21" i="153"/>
  <c r="E20" i="153"/>
  <c r="B6" i="153"/>
  <c r="B20" i="153"/>
  <c r="B6" i="157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10" i="160"/>
  <c r="F6" i="160"/>
  <c r="E6" i="160"/>
  <c r="B23" i="160"/>
  <c r="E26" i="160"/>
  <c r="B26" i="160"/>
  <c r="F5" i="160"/>
  <c r="E5" i="160"/>
  <c r="E28" i="160"/>
  <c r="B28" i="160"/>
  <c r="E29" i="160"/>
  <c r="B29" i="160"/>
  <c r="B31" i="160"/>
  <c r="B21" i="160"/>
  <c r="A2" i="160"/>
  <c r="A36" i="160"/>
  <c r="G31" i="160"/>
  <c r="E31" i="160"/>
  <c r="H31" i="160"/>
  <c r="O347" i="161"/>
  <c r="E19" i="160"/>
  <c r="B19" i="160"/>
  <c r="E24" i="160"/>
  <c r="B24" i="160"/>
  <c r="B17" i="160"/>
  <c r="G17" i="160"/>
  <c r="E17" i="160"/>
  <c r="H17" i="160"/>
  <c r="O2" i="161"/>
  <c r="E20" i="160"/>
  <c r="B20" i="160"/>
  <c r="E22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E22" i="153"/>
  <c r="B22" i="153"/>
  <c r="E25" i="153"/>
  <c r="B25" i="153"/>
  <c r="E27" i="153"/>
  <c r="B27" i="153"/>
  <c r="B18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18" i="153"/>
  <c r="E19" i="153"/>
  <c r="B19" i="153"/>
  <c r="E24" i="153"/>
  <c r="B24" i="153"/>
  <c r="B17" i="153"/>
  <c r="E26" i="157"/>
  <c r="B26" i="157"/>
  <c r="E28" i="157"/>
  <c r="B28" i="157"/>
  <c r="E29" i="157"/>
  <c r="B29" i="157"/>
  <c r="B31" i="157"/>
  <c r="B21" i="157"/>
  <c r="E18" i="157"/>
  <c r="H343" i="158"/>
  <c r="K343" i="158"/>
  <c r="L343" i="158"/>
  <c r="M343" i="158"/>
  <c r="N343" i="158"/>
  <c r="A2" i="157"/>
  <c r="A36" i="157"/>
  <c r="G22" i="157"/>
  <c r="H22" i="157"/>
  <c r="O34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G31" i="157"/>
  <c r="E31" i="157"/>
  <c r="H31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A2" i="153"/>
  <c r="A36" i="153"/>
  <c r="G29" i="153"/>
  <c r="H29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G31" i="153"/>
  <c r="E31" i="153"/>
  <c r="H31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<sst xmlns="http://schemas.openxmlformats.org/spreadsheetml/2006/main" count="632" uniqueCount="264">
  <si>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</si>
  <si>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</si>
  <si>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</si>
  <si>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</si>
  <si>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</si>
  <si>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</si>
  <si>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</si>
  <si>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</si>
  <si>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</si>
  <si>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</si>
  <si>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</si>
  <si>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</si>
  <si>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</si>
  <si>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</si>
  <si>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</si>
  <si>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</si>
  <si>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</si>
  <si>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</si>
  <si>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</si>
  <si>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</si>
  <si>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</si>
  <si>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</si>
  <si>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</si>
  <si>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</si>
  <si>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</si>
  <si>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</si>
  <si>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</si>
  <si>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</si>
  <si>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</si>
  <si>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</si>
  <si>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</si>
  <si>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</si>
  <si>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</si>
  <si>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</si>
  <si>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</si>
  <si>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</si>
  <si>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</si>
  <si>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</si>
  <si>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</si>
  <si>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</si>
  <si>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</si>
  <si>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</si>
  <si>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</si>
  <si>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</si>
  <si>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</si>
  <si>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</si>
  <si>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</si>
  <si>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</si>
  <si>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</si>
  <si>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</si>
  <si>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</si>
  <si>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</si>
  <si>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</si>
  <si>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</si>
  <si>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</si>
  <si>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</si>
  <si>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</si>
  <si>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</si>
  <si>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</si>
  <si>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</si>
  <si>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</si>
  <si>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</si>
  <si>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</si>
  <si>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</si>
  <si>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</si>
  <si>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</si>
  <si>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</si>
  <si>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</si>
  <si>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</si>
  <si>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</si>
  <si>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</si>
  <si>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</si>
  <si>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</si>
  <si>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</si>
  <si>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</si>
  <si>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</si>
  <si>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</si>
  <si>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</si>
  <si>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</si>
  <si>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</si>
  <si>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</si>
  <si>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</si>
  <si>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</si>
  <si>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</si>
  <si>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</si>
  <si>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</si>
  <si>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</si>
  <si>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</si>
  <si>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</si>
  <si>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</si>
  <si>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</si>
  <si>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</si>
  <si>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</si>
  <si>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</si>
  <si>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</si>
  <si>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</si>
  <si>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</si>
  <si>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</si>
  <si>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</si>
  <si>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</si>
  <si>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</si>
  <si>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</si>
  <si>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</si>
  <si>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</si>
  <si>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</si>
  <si>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</si>
  <si>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</si>
  <si>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</si>
  <si>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</si>
  <si>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</si>
  <si>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</si>
  <si>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</si>
  <si>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</si>
  <si>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</si>
  <si>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</si>
  <si>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</si>
  <si>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</si>
  <si>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</si>
  <si>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</si>
  <si>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</si>
  <si>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</si>
  <si>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</si>
  <si>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</si>
  <si>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</si>
  <si>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</si>
  <si>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</si>
  <si>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</si>
  <si>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</si>
  <si>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</si>
  <si>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</si>
  <si>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</si>
  <si>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</si>
  <si>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</si>
  <si>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</si>
  <si>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</si>
  <si>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</si>
  <si>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</si>
  <si>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</si>
  <si>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</si>
  <si>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</si>
  <si>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</si>
  <si>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</si>
  <si>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</si>
  <si>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</si>
  <si>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</si>
  <si>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</si>
  <si>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</si>
  <si>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</si>
  <si>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</si>
  <si>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</si>
  <si>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</si>
  <si>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</si>
  <si>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</si>
  <si>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</si>
  <si>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</si>
  <si>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</si>
  <si>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</si>
  <si>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</si>
  <si>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</si>
  <si>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</si>
  <si>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</si>
  <si>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</si>
  <si>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</si>
  <si>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</si>
  <si>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</si>
  <si>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</si>
  <si>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</si>
  <si>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</si>
  <si>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</si>
  <si>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</si>
  <si>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</si>
  <si>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</si>
  <si>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</si>
  <si>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</si>
  <si>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</si>
  <si>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</si>
  <si>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</si>
  <si>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</si>
  <si>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</si>
  <si>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</si>
  <si>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</si>
  <si>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</si>
  <si>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</si>
  <si>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</si>
  <si>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</si>
  <si>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</si>
  <si>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</si>
  <si>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</si>
  <si>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</si>
  <si>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</si>
  <si>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</si>
  <si>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</si>
  <si>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</si>
  <si>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</si>
  <si>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</si>
  <si>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</si>
  <si>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</si>
  <si>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</si>
  <si>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</si>
  <si>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</si>
  <si>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</si>
  <si>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</si>
  <si>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</si>
  <si>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</si>
  <si>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</si>
  <si>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</si>
  <si>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</si>
  <si>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</si>
  <si>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</si>
  <si>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</si>
  <si>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</si>
  <si>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</si>
  <si>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</si>
  <si>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</si>
  <si>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</si>
  <si>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</si>
  <si>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</si>
  <si>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</si>
  <si>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</si>
  <si>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</si>
  <si>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</si>
  <si>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</si>
  <si>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</si>
  <si>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</si>
  <si>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</si>
  <si>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</si>
  <si>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</si>
  <si>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</si>
  <si>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</si>
  <si>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</si>
  <si>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</si>
  <si>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</si>
  <si>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</si>
  <si>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</si>
  <si>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</si>
  <si>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</si>
  <si>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</si>
  <si>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</si>
  <si>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</si>
  <si>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</si>
  <si>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</si>
  <si>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</si>
  <si>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</si>
  <si>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</si>
  <si>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</si>
  <si>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</si>
  <si>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</si>
  <si>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</si>
  <si>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</si>
  <si>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</si>
  <si>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</si>
  <si>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フェス確率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</si>
  <si>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</si>
  <si>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</si>
  <si>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</si>
  <si>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</si>
  <si>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</si>
  <si>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</si>
  <si>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</si>
  <si>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</si>
  <si>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tables_508100</t>
    <phoneticPr fontId="22"/>
  </si>
  <si>
    <t>tables_508010</t>
    <phoneticPr fontId="22"/>
  </si>
  <si>
    <t>tables_settle_508100</t>
    <phoneticPr fontId="22"/>
  </si>
  <si>
    <t>5回目の特典として「★6覚醒可能ユニットチケット」を1枚プレゼント！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</si>
</sst>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6" sqref="F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508100</v>
      </c>
      <c r="D2" s="19" t="s">
        <v>45</v>
      </c>
      <c r="E2" s="17" t="str">
        <f t="shared" ref="E2" si="1">B2&amp;C2&amp;D2</f>
        <v>gacha_select_tables_508100.tmp</v>
      </c>
      <c r="F2" s="101" t="s">
        <v>260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508010</v>
      </c>
      <c r="D3" s="19" t="s">
        <v>45</v>
      </c>
      <c r="E3" s="17" t="str">
        <f t="shared" ref="E3:E10" si="3">B3&amp;C3&amp;D3</f>
        <v>gacha_select_tables_508010.tmp</v>
      </c>
      <c r="F3" s="101" t="s">
        <v>261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5" t="s">
        <v>247</v>
      </c>
      <c r="C4" s="96" t="str">
        <f t="shared" si="2"/>
        <v>508100</v>
      </c>
      <c r="D4" s="19" t="s">
        <v>248</v>
      </c>
      <c r="E4" s="17" t="str">
        <f t="shared" si="3"/>
        <v>gacha_settle_tables_508100.tmp</v>
      </c>
      <c r="F4" s="101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253</v>
      </c>
      <c r="B8" s="27" t="s">
        <v>50</v>
      </c>
      <c r="C8" s="32">
        <v>508</v>
      </c>
      <c r="D8" s="19" t="s">
        <v>46</v>
      </c>
      <c r="E8" s="17" t="str">
        <f t="shared" si="3"/>
        <v>gacha_bonus_tables_508.tmp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258</v>
      </c>
      <c r="B9" s="19" t="s">
        <v>48</v>
      </c>
      <c r="C9" s="32">
        <v>508</v>
      </c>
      <c r="D9" s="19" t="s">
        <v>46</v>
      </c>
      <c r="E9" s="17" t="str">
        <f t="shared" si="3"/>
        <v>gifts_tmp_508.tmp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259</v>
      </c>
      <c r="B10" s="19" t="s">
        <v>49</v>
      </c>
      <c r="C10" s="32">
        <v>508</v>
      </c>
      <c r="D10" s="19" t="s">
        <v>46</v>
      </c>
      <c r="E10" s="17" t="str">
        <f t="shared" si="3"/>
        <v>gifts_i18n_508.tmp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2" workbookViewId="0">
      <selection activeCell="D40" sqref="D4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VLOOKUP(L3,tables_508010!B:C,2,FALSE)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VLOOKUP(L4,tables_508010!B:C,2,FALSE)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7.5757575757575758E-4</v>
      </c>
      <c r="F5">
        <f>(COUNTIF(tables_508010!C:C,input_508010!A28)+COUNTIF(tables_508010!C:C,input_508010!A29))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0.47500000000000003</v>
      </c>
      <c r="D6" t="s">
        <v>202</v>
      </c>
      <c r="E6" s="76">
        <f>(B10-H6)/(F6-I6)</f>
        <v>0.01</v>
      </c>
      <c r="F6">
        <f>(COUNTIF(tables_508010!C:C,input_508010!A25)+COUNTIF(tables_508010!C:C,input_508010!A18)+COUNTIF(tables_508010!C:C,input_508010!A20)+COUNTIF(tables_508010!C:C,input_508010!A22))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0.19800000000000001</v>
      </c>
      <c r="C17" s="85">
        <f t="shared" ref="C17:C31" si="2">SUMIF(Q:Q,A17,N:N)</f>
        <v>0</v>
      </c>
      <c r="D17" s="74">
        <f t="shared" ref="D17:D32" si="3">B17-C17</f>
        <v>0.19800000000000001</v>
      </c>
      <c r="E17">
        <f>COUNTIF(tables_508010!C:C,input_508010!A17)-COUNTIF(Q:Q,A17)</f>
        <v>20</v>
      </c>
      <c r="F17" s="43">
        <f>IFERROR(B17/E17,0)</f>
        <v>9.9000000000000008E-3</v>
      </c>
      <c r="G17">
        <f t="shared" ref="G17:G31" si="4">A$36*B17</f>
        <v>12283920</v>
      </c>
      <c r="H17">
        <f t="shared" ref="H17:H31" si="5">IFERROR(ROUND(G17/E17,5),0)</f>
        <v>614196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2.7378787878787877E-2</v>
      </c>
      <c r="C18" s="85">
        <f t="shared" si="2"/>
        <v>0</v>
      </c>
      <c r="D18" s="74">
        <f t="shared" si="3"/>
        <v>2.7378787878787877E-2</v>
      </c>
      <c r="E18">
        <f>COUNTIF(tables_508010!C:C,input_508010!A18)-COUNTIF(Q:Q,A18)</f>
        <v>20</v>
      </c>
      <c r="F18" s="43">
        <f>IFERROR(B18/E18,0)</f>
        <v>1.3689393939393939E-3</v>
      </c>
      <c r="G18">
        <f t="shared" si="4"/>
        <v>1698580</v>
      </c>
      <c r="H18">
        <f t="shared" si="5"/>
        <v>84929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0.23400000000000001</v>
      </c>
      <c r="C19" s="85">
        <f t="shared" si="2"/>
        <v>0</v>
      </c>
      <c r="D19" s="74">
        <f t="shared" si="3"/>
        <v>0.23400000000000001</v>
      </c>
      <c r="E19">
        <f>COUNTIF(tables_508010!C:C,input_508010!A19)-COUNTIF(Q:Q,A19)</f>
        <v>52</v>
      </c>
      <c r="F19" s="43">
        <f t="shared" ref="F19:F31" si="8">IFERROR(B19/E19,0)</f>
        <v>4.5000000000000005E-3</v>
      </c>
      <c r="G19">
        <f t="shared" si="4"/>
        <v>14517360</v>
      </c>
      <c r="H19">
        <f t="shared" si="5"/>
        <v>279180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0.24700000000000003</v>
      </c>
      <c r="C20" s="85">
        <f t="shared" si="2"/>
        <v>0</v>
      </c>
      <c r="D20" s="74">
        <f t="shared" si="3"/>
        <v>0.24700000000000003</v>
      </c>
      <c r="E20">
        <f>COUNTIF(tables_508010!C:C,input_508010!A20)-COUNTIF(Q:Q,A20)</f>
        <v>52</v>
      </c>
      <c r="F20" s="43">
        <f t="shared" si="8"/>
        <v>4.7500000000000007E-3</v>
      </c>
      <c r="G20">
        <f t="shared" si="4"/>
        <v>15323880.000000002</v>
      </c>
      <c r="H20">
        <f t="shared" si="5"/>
        <v>294690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COUNTIF(tables_508010!C:C,input_508010!A21)-COUNTIF(Q:Q,A21)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COUNTIF(tables_508010!C:C,input_508010!A22)-COUNTIF(Q:Q,A22)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COUNTIF(tables_508010!C:C,input_508010!A23)-COUNTIF(Q:Q,A23)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1.8000000000000002E-2</v>
      </c>
      <c r="C24" s="85">
        <f t="shared" si="2"/>
        <v>0</v>
      </c>
      <c r="D24" s="74">
        <f t="shared" si="3"/>
        <v>1.8000000000000002E-2</v>
      </c>
      <c r="E24">
        <f>COUNTIF(tables_508010!C:C,input_508010!A24)-COUNTIF(Q:Q,A24)</f>
        <v>4</v>
      </c>
      <c r="F24" s="43">
        <f t="shared" si="8"/>
        <v>4.5000000000000005E-3</v>
      </c>
      <c r="G24">
        <f t="shared" si="4"/>
        <v>1116720.0000000002</v>
      </c>
      <c r="H24">
        <f t="shared" si="5"/>
        <v>279180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1.9000000000000003E-2</v>
      </c>
      <c r="C25" s="85">
        <f t="shared" si="2"/>
        <v>0</v>
      </c>
      <c r="D25" s="74">
        <f t="shared" si="3"/>
        <v>1.9000000000000003E-2</v>
      </c>
      <c r="E25">
        <f>COUNTIF(tables_508010!C:C,input_508010!A25)-COUNTIF(Q:Q,A25)</f>
        <v>4</v>
      </c>
      <c r="F25" s="43">
        <f t="shared" si="8"/>
        <v>4.7500000000000007E-3</v>
      </c>
      <c r="G25">
        <f t="shared" si="4"/>
        <v>1178760.0000000002</v>
      </c>
      <c r="H25">
        <f t="shared" si="5"/>
        <v>294690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COUNTIF(tables_508010!C:C,input_508010!A26)-COUNTIF(Q:Q,A26)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COUNTIF(tables_508010!C:C,input_508010!A27)-COUNTIF(Q:Q,A27)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COUNTIF(tables_508010!C:C,input_508010!A28)-COUNTIF(Q:Q,A28)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COUNTIF(tables_508010!C:C,input_508010!A29)-COUNTIF(Q:Q,A29)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COUNTIF(tables_508010!C:C,input_508010!A30)-COUNTIF(Q:Q,A30)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COUNTIF(tables_508010!C:C,input_508010!A31)-COUNTIF(Q:Q,A31)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SUMIF(tables_508010!C:C,input_508010!A40,tables_508010!O:O)</f>
        <v>14517360</v>
      </c>
      <c r="C40" s="54">
        <f t="shared" ref="C40:C46" ca="1" si="9">B40/B$47</f>
        <v>0.45363489498908743</v>
      </c>
      <c r="E40">
        <v>3</v>
      </c>
      <c r="F40">
        <f ca="1">SUMIF(tables_508010!J:J,input_508010!E40,tables_508010!O:O)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SUMIF(tables_508010!C:C,input_508010!A41,tables_508010!O:O)</f>
        <v>15323880</v>
      </c>
      <c r="C41" s="54">
        <f t="shared" ca="1" si="9"/>
        <v>0.47883683359959228</v>
      </c>
      <c r="E41">
        <v>4</v>
      </c>
      <c r="F41">
        <f ca="1">SUMIF(tables_508010!J:J,input_508010!E41,tables_508010!O:O)</f>
        <v>29469000</v>
      </c>
      <c r="G41">
        <f ca="1">F41/A36</f>
        <v>0.47499999999999998</v>
      </c>
    </row>
    <row r="42" spans="1:7" x14ac:dyDescent="0.15">
      <c r="A42" s="33" t="s">
        <v>106</v>
      </c>
      <c r="B42">
        <f ca="1">SUMIF(tables_508010!C:C,input_508010!A42,tables_508010!O:O)</f>
        <v>1217300</v>
      </c>
      <c r="C42" s="54">
        <f t="shared" ca="1" si="9"/>
        <v>3.8037891026344743E-2</v>
      </c>
      <c r="E42">
        <v>5</v>
      </c>
      <c r="F42">
        <f ca="1">SUMIF(tables_508010!J:J,input_508010!E42,tables_508010!O:O)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SUMIF(tables_508010!C:C,input_508010!A43,tables_508010!O:O)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SUMIF(tables_508010!C:C,input_508010!A44,tables_508010!O:O)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SUMIF(tables_508010!C:C,input_508010!A45,tables_508010!O:O)</f>
        <v>98700</v>
      </c>
      <c r="C45" s="54">
        <f t="shared" ca="1" si="9"/>
        <v>3.0841533264603848E-3</v>
      </c>
      <c r="E45" t="s">
        <v>204</v>
      </c>
      <c r="F45" s="55">
        <f ca="1">SUMIF(tables_508010!I:I,input_508010!E45,tables_508010!P:P)</f>
        <v>0.22987878787804714</v>
      </c>
    </row>
    <row r="46" spans="1:7" x14ac:dyDescent="0.15">
      <c r="A46" s="33" t="s">
        <v>108</v>
      </c>
      <c r="B46">
        <f>SUMIF(tables_508010!C:C,input_508010!A46,tables_508010!O:O)</f>
        <v>0</v>
      </c>
      <c r="C46" s="54">
        <f t="shared" ca="1" si="9"/>
        <v>0</v>
      </c>
      <c r="E46" t="s">
        <v>205</v>
      </c>
      <c r="F46" s="55">
        <f ca="1">SUMIF(tables_508010!I:I,input_508010!E46,tables_508010!P:P)</f>
        <v>0.19170308857852469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0.99999999999999989</v>
      </c>
      <c r="E47" t="s">
        <v>206</v>
      </c>
      <c r="F47" s="55">
        <f ca="1">SUMIF(tables_508010!I:I,input_508010!E47,tables_508010!P:P)</f>
        <v>0.51841812354362282</v>
      </c>
    </row>
    <row r="48" spans="1:7" x14ac:dyDescent="0.15">
      <c r="E48" t="s">
        <v>207</v>
      </c>
      <c r="F48" s="55">
        <f ca="1">SUMIF(tables_508010!I:I,input_508010!E48,tables_508010!P:P)</f>
        <v>4.4696969696825607E-2</v>
      </c>
      <c r="G48" s="55">
        <f ca="1">0.05-F48-F49</f>
        <v>1.6118096440864704E-13</v>
      </c>
    </row>
    <row r="49" spans="5:7" x14ac:dyDescent="0.15">
      <c r="E49" t="s">
        <v>249</v>
      </c>
      <c r="F49" s="55">
        <f ca="1">SUMIF(tables_508010!I:I,input_508010!E49,tables_508010!P:P)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5" activePane="bottomLeft" state="frozen"/>
      <selection activeCell="H276" sqref="H276"/>
      <selection pane="bottomLeft" activeCell="G347" sqref="G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input_508010!A$2</f>
        <v>508010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IFERROR(VLOOKUP(B2,input_508010!L:R,7,FALSE),VLOOKUP(tables_508010!C2,input_508010!A:H,8,FALSE))</f>
        <v>614196</v>
      </c>
      <c r="P2" s="46">
        <f t="shared" ref="P2:P65" ca="1" si="1">O2/SUM(O:O)</f>
        <v>9.8999999999680958E-3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input_508010!A$2</f>
        <v>508010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IFERROR(VLOOKUP(B3,input_508010!L:R,7,FALSE),VLOOKUP(tables_508010!C3,input_508010!A:H,8,FALSE))</f>
        <v>84929</v>
      </c>
      <c r="P3" s="46">
        <f t="shared" ca="1" si="1"/>
        <v>1.3689393939349825E-3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input_508010!A$2</f>
        <v>508010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IFERROR(VLOOKUP(B4,input_508010!L:R,7,FALSE),VLOOKUP(tables_508010!C4,input_508010!A:H,8,FALSE))</f>
        <v>614196</v>
      </c>
      <c r="P4" s="46">
        <f t="shared" ca="1" si="1"/>
        <v>9.8999999999680958E-3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input_508010!A$2</f>
        <v>508010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IFERROR(VLOOKUP(B5,input_508010!L:R,7,FALSE),VLOOKUP(tables_508010!C5,input_508010!A:H,8,FALSE))</f>
        <v>84929</v>
      </c>
      <c r="P5" s="46">
        <f t="shared" ca="1" si="1"/>
        <v>1.3689393939349825E-3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input_508010!A$2</f>
        <v>508010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IFERROR(VLOOKUP(B6,input_508010!L:R,7,FALSE),VLOOKUP(tables_508010!C6,input_508010!A:H,8,FALSE))</f>
        <v>614196</v>
      </c>
      <c r="P6" s="46">
        <f t="shared" ca="1" si="1"/>
        <v>9.8999999999680958E-3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input_508010!A$2</f>
        <v>508010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IFERROR(VLOOKUP(B7,input_508010!L:R,7,FALSE),VLOOKUP(tables_508010!C7,input_508010!A:H,8,FALSE))</f>
        <v>84929</v>
      </c>
      <c r="P7" s="46">
        <f t="shared" ca="1" si="1"/>
        <v>1.3689393939349825E-3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input_508010!A$2</f>
        <v>508010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IFERROR(VLOOKUP(B8,input_508010!L:R,7,FALSE),VLOOKUP(tables_508010!C8,input_508010!A:H,8,FALSE))</f>
        <v>614196</v>
      </c>
      <c r="P8" s="46">
        <f t="shared" ca="1" si="1"/>
        <v>9.8999999999680958E-3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input_508010!A$2</f>
        <v>508010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IFERROR(VLOOKUP(B9,input_508010!L:R,7,FALSE),VLOOKUP(tables_508010!C9,input_508010!A:H,8,FALSE))</f>
        <v>84929</v>
      </c>
      <c r="P9" s="46">
        <f t="shared" ca="1" si="1"/>
        <v>1.3689393939349825E-3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input_508010!A$2</f>
        <v>508010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IFERROR(VLOOKUP(B10,input_508010!L:R,7,FALSE),VLOOKUP(tables_508010!C10,input_508010!A:H,8,FALSE))</f>
        <v>614196</v>
      </c>
      <c r="P10" s="46">
        <f t="shared" ca="1" si="1"/>
        <v>9.8999999999680958E-3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input_508010!A$2</f>
        <v>508010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IFERROR(VLOOKUP(B11,input_508010!L:R,7,FALSE),VLOOKUP(tables_508010!C11,input_508010!A:H,8,FALSE))</f>
        <v>84929</v>
      </c>
      <c r="P11" s="46">
        <f t="shared" ca="1" si="1"/>
        <v>1.3689393939349825E-3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input_508010!A$2</f>
        <v>508010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IFERROR(VLOOKUP(B12,input_508010!L:R,7,FALSE),VLOOKUP(tables_508010!C12,input_508010!A:H,8,FALSE))</f>
        <v>614196</v>
      </c>
      <c r="P12" s="46">
        <f t="shared" ca="1" si="1"/>
        <v>9.8999999999680958E-3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input_508010!A$2</f>
        <v>508010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IFERROR(VLOOKUP(B13,input_508010!L:R,7,FALSE),VLOOKUP(tables_508010!C13,input_508010!A:H,8,FALSE))</f>
        <v>84929</v>
      </c>
      <c r="P13" s="46">
        <f t="shared" ca="1" si="1"/>
        <v>1.3689393939349825E-3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input_508010!A$2</f>
        <v>508010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IFERROR(VLOOKUP(B14,input_508010!L:R,7,FALSE),VLOOKUP(tables_508010!C14,input_508010!A:H,8,FALSE))</f>
        <v>614196</v>
      </c>
      <c r="P14" s="46">
        <f t="shared" ca="1" si="1"/>
        <v>9.8999999999680958E-3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input_508010!A$2</f>
        <v>508010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IFERROR(VLOOKUP(B15,input_508010!L:R,7,FALSE),VLOOKUP(tables_508010!C15,input_508010!A:H,8,FALSE))</f>
        <v>84929</v>
      </c>
      <c r="P15" s="46">
        <f t="shared" ca="1" si="1"/>
        <v>1.3689393939349825E-3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input_508010!A$2</f>
        <v>508010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IFERROR(VLOOKUP(B16,input_508010!L:R,7,FALSE),VLOOKUP(tables_508010!C16,input_508010!A:H,8,FALSE))</f>
        <v>614196</v>
      </c>
      <c r="P16" s="46">
        <f t="shared" ca="1" si="1"/>
        <v>9.8999999999680958E-3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input_508010!A$2</f>
        <v>508010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IFERROR(VLOOKUP(B17,input_508010!L:R,7,FALSE),VLOOKUP(tables_508010!C17,input_508010!A:H,8,FALSE))</f>
        <v>84929</v>
      </c>
      <c r="P17" s="46">
        <f t="shared" ca="1" si="1"/>
        <v>1.3689393939349825E-3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input_508010!A$2</f>
        <v>508010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IFERROR(VLOOKUP(B18,input_508010!L:R,7,FALSE),VLOOKUP(tables_508010!C18,input_508010!A:H,8,FALSE))</f>
        <v>614196</v>
      </c>
      <c r="P18" s="46">
        <f t="shared" ca="1" si="1"/>
        <v>9.8999999999680958E-3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input_508010!A$2</f>
        <v>508010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IFERROR(VLOOKUP(B19,input_508010!L:R,7,FALSE),VLOOKUP(tables_508010!C19,input_508010!A:H,8,FALSE))</f>
        <v>84929</v>
      </c>
      <c r="P19" s="46">
        <f t="shared" ca="1" si="1"/>
        <v>1.3689393939349825E-3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input_508010!A$2</f>
        <v>508010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IFERROR(VLOOKUP(B20,input_508010!L:R,7,FALSE),VLOOKUP(tables_508010!C20,input_508010!A:H,8,FALSE))</f>
        <v>614196</v>
      </c>
      <c r="P20" s="46">
        <f t="shared" ca="1" si="1"/>
        <v>9.8999999999680958E-3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input_508010!A$2</f>
        <v>508010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IFERROR(VLOOKUP(B21,input_508010!L:R,7,FALSE),VLOOKUP(tables_508010!C21,input_508010!A:H,8,FALSE))</f>
        <v>84929</v>
      </c>
      <c r="P21" s="46">
        <f t="shared" ca="1" si="1"/>
        <v>1.3689393939349825E-3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input_508010!A$2</f>
        <v>508010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IFERROR(VLOOKUP(B22,input_508010!L:R,7,FALSE),VLOOKUP(tables_508010!C22,input_508010!A:H,8,FALSE))</f>
        <v>614196</v>
      </c>
      <c r="P22" s="46">
        <f t="shared" ca="1" si="1"/>
        <v>9.8999999999680958E-3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input_508010!A$2</f>
        <v>508010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IFERROR(VLOOKUP(B23,input_508010!L:R,7,FALSE),VLOOKUP(tables_508010!C23,input_508010!A:H,8,FALSE))</f>
        <v>84929</v>
      </c>
      <c r="P23" s="46">
        <f t="shared" ca="1" si="1"/>
        <v>1.3689393939349825E-3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input_508010!A$2</f>
        <v>508010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IFERROR(VLOOKUP(B24,input_508010!L:R,7,FALSE),VLOOKUP(tables_508010!C24,input_508010!A:H,8,FALSE))</f>
        <v>614196</v>
      </c>
      <c r="P24" s="46">
        <f t="shared" ca="1" si="1"/>
        <v>9.8999999999680958E-3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input_508010!A$2</f>
        <v>508010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IFERROR(VLOOKUP(B25,input_508010!L:R,7,FALSE),VLOOKUP(tables_508010!C25,input_508010!A:H,8,FALSE))</f>
        <v>84929</v>
      </c>
      <c r="P25" s="46">
        <f t="shared" ca="1" si="1"/>
        <v>1.3689393939349825E-3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input_508010!A$2</f>
        <v>508010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IFERROR(VLOOKUP(B26,input_508010!L:R,7,FALSE),VLOOKUP(tables_508010!C26,input_508010!A:H,8,FALSE))</f>
        <v>614196</v>
      </c>
      <c r="P26" s="46">
        <f t="shared" ca="1" si="1"/>
        <v>9.8999999999680958E-3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input_508010!A$2</f>
        <v>508010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IFERROR(VLOOKUP(B27,input_508010!L:R,7,FALSE),VLOOKUP(tables_508010!C27,input_508010!A:H,8,FALSE))</f>
        <v>84929</v>
      </c>
      <c r="P27" s="46">
        <f t="shared" ca="1" si="1"/>
        <v>1.3689393939349825E-3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input_508010!A$2</f>
        <v>508010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IFERROR(VLOOKUP(B28,input_508010!L:R,7,FALSE),VLOOKUP(tables_508010!C28,input_508010!A:H,8,FALSE))</f>
        <v>614196</v>
      </c>
      <c r="P28" s="46">
        <f t="shared" ca="1" si="1"/>
        <v>9.8999999999680958E-3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input_508010!A$2</f>
        <v>508010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IFERROR(VLOOKUP(B29,input_508010!L:R,7,FALSE),VLOOKUP(tables_508010!C29,input_508010!A:H,8,FALSE))</f>
        <v>84929</v>
      </c>
      <c r="P29" s="46">
        <f t="shared" ca="1" si="1"/>
        <v>1.3689393939349825E-3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input_508010!A$2</f>
        <v>508010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IFERROR(VLOOKUP(B30,input_508010!L:R,7,FALSE),VLOOKUP(tables_508010!C30,input_508010!A:H,8,FALSE))</f>
        <v>614196</v>
      </c>
      <c r="P30" s="46">
        <f t="shared" ca="1" si="1"/>
        <v>9.8999999999680958E-3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input_508010!A$2</f>
        <v>508010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IFERROR(VLOOKUP(B31,input_508010!L:R,7,FALSE),VLOOKUP(tables_508010!C31,input_508010!A:H,8,FALSE))</f>
        <v>84929</v>
      </c>
      <c r="P31" s="46">
        <f t="shared" ca="1" si="1"/>
        <v>1.3689393939349825E-3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input_508010!A$2</f>
        <v>508010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IFERROR(VLOOKUP(B32,input_508010!L:R,7,FALSE),VLOOKUP(tables_508010!C32,input_508010!A:H,8,FALSE))</f>
        <v>614196</v>
      </c>
      <c r="P32" s="46">
        <f t="shared" ca="1" si="1"/>
        <v>9.8999999999680958E-3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input_508010!A$2</f>
        <v>508010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IFERROR(VLOOKUP(B33,input_508010!L:R,7,FALSE),VLOOKUP(tables_508010!C33,input_508010!A:H,8,FALSE))</f>
        <v>84929</v>
      </c>
      <c r="P33" s="46">
        <f t="shared" ca="1" si="1"/>
        <v>1.3689393939349825E-3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input_508010!A$2</f>
        <v>508010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IFERROR(VLOOKUP(B34,input_508010!L:R,7,FALSE),VLOOKUP(tables_508010!C34,input_508010!A:H,8,FALSE))</f>
        <v>614196</v>
      </c>
      <c r="P34" s="46">
        <f t="shared" ca="1" si="1"/>
        <v>9.8999999999680958E-3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input_508010!A$2</f>
        <v>508010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IFERROR(VLOOKUP(B35,input_508010!L:R,7,FALSE),VLOOKUP(tables_508010!C35,input_508010!A:H,8,FALSE))</f>
        <v>84929</v>
      </c>
      <c r="P35" s="46">
        <f t="shared" ca="1" si="1"/>
        <v>1.3689393939349825E-3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input_508010!A$2</f>
        <v>508010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IFERROR(VLOOKUP(B36,input_508010!L:R,7,FALSE),VLOOKUP(tables_508010!C36,input_508010!A:H,8,FALSE))</f>
        <v>614196</v>
      </c>
      <c r="P36" s="46">
        <f t="shared" ca="1" si="1"/>
        <v>9.8999999999680958E-3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input_508010!A$2</f>
        <v>508010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IFERROR(VLOOKUP(B37,input_508010!L:R,7,FALSE),VLOOKUP(tables_508010!C37,input_508010!A:H,8,FALSE))</f>
        <v>84929</v>
      </c>
      <c r="P37" s="46">
        <f t="shared" ca="1" si="1"/>
        <v>1.3689393939349825E-3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input_508010!A$2</f>
        <v>508010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IFERROR(VLOOKUP(B38,input_508010!L:R,7,FALSE),VLOOKUP(tables_508010!C38,input_508010!A:H,8,FALSE))</f>
        <v>614196</v>
      </c>
      <c r="P38" s="46">
        <f t="shared" ca="1" si="1"/>
        <v>9.8999999999680958E-3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input_508010!A$2</f>
        <v>508010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IFERROR(VLOOKUP(B39,input_508010!L:R,7,FALSE),VLOOKUP(tables_508010!C39,input_508010!A:H,8,FALSE))</f>
        <v>84929</v>
      </c>
      <c r="P39" s="46">
        <f t="shared" ca="1" si="1"/>
        <v>1.3689393939349825E-3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input_508010!A$2</f>
        <v>508010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IFERROR(VLOOKUP(B40,input_508010!L:R,7,FALSE),VLOOKUP(tables_508010!C40,input_508010!A:H,8,FALSE))</f>
        <v>614196</v>
      </c>
      <c r="P40" s="46">
        <f t="shared" ca="1" si="1"/>
        <v>9.8999999999680958E-3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input_508010!A$2</f>
        <v>508010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IFERROR(VLOOKUP(B41,input_508010!L:R,7,FALSE),VLOOKUP(tables_508010!C41,input_508010!A:H,8,FALSE))</f>
        <v>84929</v>
      </c>
      <c r="P41" s="46">
        <f t="shared" ca="1" si="1"/>
        <v>1.3689393939349825E-3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input_508010!A$2</f>
        <v>508010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IFERROR(VLOOKUP(B42,input_508010!L:R,7,FALSE),VLOOKUP(tables_508010!C42,input_508010!A:H,8,FALSE))</f>
        <v>279180</v>
      </c>
      <c r="P42" s="46">
        <f t="shared" ca="1" si="1"/>
        <v>4.4999999999854982E-3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input_508010!A$2</f>
        <v>508010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IFERROR(VLOOKUP(B43,input_508010!L:R,7,FALSE),VLOOKUP(tables_508010!C43,input_508010!A:H,8,FALSE))</f>
        <v>294690</v>
      </c>
      <c r="P43" s="46">
        <f t="shared" ca="1" si="1"/>
        <v>4.7499999999846927E-3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input_508010!A$2</f>
        <v>508010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IFERROR(VLOOKUP(B44,input_508010!L:R,7,FALSE),VLOOKUP(tables_508010!C44,input_508010!A:H,8,FALSE))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input_508010!A$2</f>
        <v>508010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IFERROR(VLOOKUP(B45,input_508010!L:R,7,FALSE),VLOOKUP(tables_508010!C45,input_508010!A:H,8,FALSE))</f>
        <v>279180</v>
      </c>
      <c r="P45" s="46">
        <f t="shared" ca="1" si="1"/>
        <v>4.4999999999854982E-3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input_508010!A$2</f>
        <v>508010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IFERROR(VLOOKUP(B46,input_508010!L:R,7,FALSE),VLOOKUP(tables_508010!C46,input_508010!A:H,8,FALSE))</f>
        <v>294690</v>
      </c>
      <c r="P46" s="46">
        <f t="shared" ca="1" si="1"/>
        <v>4.7499999999846927E-3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input_508010!A$2</f>
        <v>508010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IFERROR(VLOOKUP(B47,input_508010!L:R,7,FALSE),VLOOKUP(tables_508010!C47,input_508010!A:H,8,FALSE))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input_508010!A$2</f>
        <v>508010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IFERROR(VLOOKUP(B48,input_508010!L:R,7,FALSE),VLOOKUP(tables_508010!C48,input_508010!A:H,8,FALSE))</f>
        <v>279180</v>
      </c>
      <c r="P48" s="46">
        <f t="shared" ca="1" si="1"/>
        <v>4.4999999999854982E-3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input_508010!A$2</f>
        <v>508010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IFERROR(VLOOKUP(B49,input_508010!L:R,7,FALSE),VLOOKUP(tables_508010!C49,input_508010!A:H,8,FALSE))</f>
        <v>294690</v>
      </c>
      <c r="P49" s="46">
        <f t="shared" ca="1" si="1"/>
        <v>4.7499999999846927E-3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input_508010!A$2</f>
        <v>508010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IFERROR(VLOOKUP(B50,input_508010!L:R,7,FALSE),VLOOKUP(tables_508010!C50,input_508010!A:H,8,FALSE))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input_508010!A$2</f>
        <v>508010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IFERROR(VLOOKUP(B51,input_508010!L:R,7,FALSE),VLOOKUP(tables_508010!C51,input_508010!A:H,8,FALSE))</f>
        <v>279180</v>
      </c>
      <c r="P51" s="46">
        <f t="shared" ca="1" si="1"/>
        <v>4.4999999999854982E-3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input_508010!A$2</f>
        <v>508010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IFERROR(VLOOKUP(B52,input_508010!L:R,7,FALSE),VLOOKUP(tables_508010!C52,input_508010!A:H,8,FALSE))</f>
        <v>294690</v>
      </c>
      <c r="P52" s="46">
        <f t="shared" ca="1" si="1"/>
        <v>4.7499999999846927E-3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input_508010!A$2</f>
        <v>508010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IFERROR(VLOOKUP(B53,input_508010!L:R,7,FALSE),VLOOKUP(tables_508010!C53,input_508010!A:H,8,FALSE))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input_508010!A$2</f>
        <v>508010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IFERROR(VLOOKUP(B54,input_508010!L:R,7,FALSE),VLOOKUP(tables_508010!C54,input_508010!A:H,8,FALSE))</f>
        <v>279180</v>
      </c>
      <c r="P54" s="46">
        <f t="shared" ca="1" si="1"/>
        <v>4.4999999999854982E-3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input_508010!A$2</f>
        <v>508010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IFERROR(VLOOKUP(B55,input_508010!L:R,7,FALSE),VLOOKUP(tables_508010!C55,input_508010!A:H,8,FALSE))</f>
        <v>294690</v>
      </c>
      <c r="P55" s="46">
        <f t="shared" ca="1" si="1"/>
        <v>4.7499999999846927E-3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input_508010!A$2</f>
        <v>508010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IFERROR(VLOOKUP(B56,input_508010!L:R,7,FALSE),VLOOKUP(tables_508010!C56,input_508010!A:H,8,FALSE))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input_508010!A$2</f>
        <v>508010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IFERROR(VLOOKUP(B57,input_508010!L:R,7,FALSE),VLOOKUP(tables_508010!C57,input_508010!A:H,8,FALSE))</f>
        <v>279180</v>
      </c>
      <c r="P57" s="46">
        <f t="shared" ca="1" si="1"/>
        <v>4.4999999999854982E-3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input_508010!A$2</f>
        <v>508010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IFERROR(VLOOKUP(B58,input_508010!L:R,7,FALSE),VLOOKUP(tables_508010!C58,input_508010!A:H,8,FALSE))</f>
        <v>294690</v>
      </c>
      <c r="P58" s="46">
        <f t="shared" ca="1" si="1"/>
        <v>4.7499999999846927E-3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input_508010!A$2</f>
        <v>508010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IFERROR(VLOOKUP(B59,input_508010!L:R,7,FALSE),VLOOKUP(tables_508010!C59,input_508010!A:H,8,FALSE))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input_508010!A$2</f>
        <v>508010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IFERROR(VLOOKUP(B60,input_508010!L:R,7,FALSE),VLOOKUP(tables_508010!C60,input_508010!A:H,8,FALSE))</f>
        <v>279180</v>
      </c>
      <c r="P60" s="46">
        <f t="shared" ca="1" si="1"/>
        <v>4.4999999999854982E-3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input_508010!A$2</f>
        <v>508010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IFERROR(VLOOKUP(B61,input_508010!L:R,7,FALSE),VLOOKUP(tables_508010!C61,input_508010!A:H,8,FALSE))</f>
        <v>294690</v>
      </c>
      <c r="P61" s="46">
        <f t="shared" ca="1" si="1"/>
        <v>4.7499999999846927E-3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input_508010!A$2</f>
        <v>508010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IFERROR(VLOOKUP(B62,input_508010!L:R,7,FALSE),VLOOKUP(tables_508010!C62,input_508010!A:H,8,FALSE))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input_508010!A$2</f>
        <v>508010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IFERROR(VLOOKUP(B63,input_508010!L:R,7,FALSE),VLOOKUP(tables_508010!C63,input_508010!A:H,8,FALSE))</f>
        <v>279180</v>
      </c>
      <c r="P63" s="46">
        <f t="shared" ca="1" si="1"/>
        <v>4.4999999999854982E-3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input_508010!A$2</f>
        <v>508010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IFERROR(VLOOKUP(B64,input_508010!L:R,7,FALSE),VLOOKUP(tables_508010!C64,input_508010!A:H,8,FALSE))</f>
        <v>294690</v>
      </c>
      <c r="P64" s="46">
        <f t="shared" ca="1" si="1"/>
        <v>4.7499999999846927E-3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input_508010!A$2</f>
        <v>508010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IFERROR(VLOOKUP(B65,input_508010!L:R,7,FALSE),VLOOKUP(tables_508010!C65,input_508010!A:H,8,FALSE))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input_508010!A$2</f>
        <v>508010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IFERROR(VLOOKUP(B66,input_508010!L:R,7,FALSE),VLOOKUP(tables_508010!C66,input_508010!A:H,8,FALSE))</f>
        <v>279180</v>
      </c>
      <c r="P66" s="46">
        <f t="shared" ref="P66:P129" ca="1" si="4">O66/SUM(O:O)</f>
        <v>4.4999999999854982E-3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input_508010!A$2</f>
        <v>508010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IFERROR(VLOOKUP(B67,input_508010!L:R,7,FALSE),VLOOKUP(tables_508010!C67,input_508010!A:H,8,FALSE))</f>
        <v>294690</v>
      </c>
      <c r="P67" s="46">
        <f t="shared" ca="1" si="4"/>
        <v>4.7499999999846927E-3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input_508010!A$2</f>
        <v>508010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IFERROR(VLOOKUP(B68,input_508010!L:R,7,FALSE),VLOOKUP(tables_508010!C68,input_508010!A:H,8,FALSE))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input_508010!A$2</f>
        <v>508010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IFERROR(VLOOKUP(B69,input_508010!L:R,7,FALSE),VLOOKUP(tables_508010!C69,input_508010!A:H,8,FALSE))</f>
        <v>279180</v>
      </c>
      <c r="P69" s="46">
        <f t="shared" ca="1" si="4"/>
        <v>4.4999999999854982E-3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input_508010!A$2</f>
        <v>508010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IFERROR(VLOOKUP(B70,input_508010!L:R,7,FALSE),VLOOKUP(tables_508010!C70,input_508010!A:H,8,FALSE))</f>
        <v>294690</v>
      </c>
      <c r="P70" s="46">
        <f t="shared" ca="1" si="4"/>
        <v>4.7499999999846927E-3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input_508010!A$2</f>
        <v>508010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IFERROR(VLOOKUP(B71,input_508010!L:R,7,FALSE),VLOOKUP(tables_508010!C71,input_508010!A:H,8,FALSE))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input_508010!A$2</f>
        <v>508010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IFERROR(VLOOKUP(B72,input_508010!L:R,7,FALSE),VLOOKUP(tables_508010!C72,input_508010!A:H,8,FALSE))</f>
        <v>279180</v>
      </c>
      <c r="P72" s="46">
        <f t="shared" ca="1" si="4"/>
        <v>4.4999999999854982E-3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input_508010!A$2</f>
        <v>508010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IFERROR(VLOOKUP(B73,input_508010!L:R,7,FALSE),VLOOKUP(tables_508010!C73,input_508010!A:H,8,FALSE))</f>
        <v>294690</v>
      </c>
      <c r="P73" s="46">
        <f t="shared" ca="1" si="4"/>
        <v>4.7499999999846927E-3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input_508010!A$2</f>
        <v>508010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IFERROR(VLOOKUP(B74,input_508010!L:R,7,FALSE),VLOOKUP(tables_508010!C74,input_508010!A:H,8,FALSE))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input_508010!A$2</f>
        <v>508010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IFERROR(VLOOKUP(B75,input_508010!L:R,7,FALSE),VLOOKUP(tables_508010!C75,input_508010!A:H,8,FALSE))</f>
        <v>279180</v>
      </c>
      <c r="P75" s="46">
        <f t="shared" ca="1" si="4"/>
        <v>4.4999999999854982E-3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input_508010!A$2</f>
        <v>508010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IFERROR(VLOOKUP(B76,input_508010!L:R,7,FALSE),VLOOKUP(tables_508010!C76,input_508010!A:H,8,FALSE))</f>
        <v>294690</v>
      </c>
      <c r="P76" s="46">
        <f t="shared" ca="1" si="4"/>
        <v>4.7499999999846927E-3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input_508010!A$2</f>
        <v>508010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IFERROR(VLOOKUP(B77,input_508010!L:R,7,FALSE),VLOOKUP(tables_508010!C77,input_508010!A:H,8,FALSE))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input_508010!A$2</f>
        <v>508010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IFERROR(VLOOKUP(B78,input_508010!L:R,7,FALSE),VLOOKUP(tables_508010!C78,input_508010!A:H,8,FALSE))</f>
        <v>279180</v>
      </c>
      <c r="P78" s="46">
        <f t="shared" ca="1" si="4"/>
        <v>4.4999999999854982E-3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input_508010!A$2</f>
        <v>508010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IFERROR(VLOOKUP(B79,input_508010!L:R,7,FALSE),VLOOKUP(tables_508010!C79,input_508010!A:H,8,FALSE))</f>
        <v>294690</v>
      </c>
      <c r="P79" s="46">
        <f t="shared" ca="1" si="4"/>
        <v>4.7499999999846927E-3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input_508010!A$2</f>
        <v>508010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IFERROR(VLOOKUP(B80,input_508010!L:R,7,FALSE),VLOOKUP(tables_508010!C80,input_508010!A:H,8,FALSE))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input_508010!A$2</f>
        <v>508010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IFERROR(VLOOKUP(B81,input_508010!L:R,7,FALSE),VLOOKUP(tables_508010!C81,input_508010!A:H,8,FALSE))</f>
        <v>279180</v>
      </c>
      <c r="P81" s="46">
        <f t="shared" ca="1" si="4"/>
        <v>4.4999999999854982E-3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input_508010!A$2</f>
        <v>508010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IFERROR(VLOOKUP(B82,input_508010!L:R,7,FALSE),VLOOKUP(tables_508010!C82,input_508010!A:H,8,FALSE))</f>
        <v>294690</v>
      </c>
      <c r="P82" s="46">
        <f t="shared" ca="1" si="4"/>
        <v>4.7499999999846927E-3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input_508010!A$2</f>
        <v>508010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IFERROR(VLOOKUP(B83,input_508010!L:R,7,FALSE),VLOOKUP(tables_508010!C83,input_508010!A:H,8,FALSE))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input_508010!A$2</f>
        <v>508010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IFERROR(VLOOKUP(B84,input_508010!L:R,7,FALSE),VLOOKUP(tables_508010!C84,input_508010!A:H,8,FALSE))</f>
        <v>279180</v>
      </c>
      <c r="P84" s="46">
        <f t="shared" ca="1" si="4"/>
        <v>4.4999999999854982E-3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input_508010!A$2</f>
        <v>508010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IFERROR(VLOOKUP(B85,input_508010!L:R,7,FALSE),VLOOKUP(tables_508010!C85,input_508010!A:H,8,FALSE))</f>
        <v>294690</v>
      </c>
      <c r="P85" s="46">
        <f t="shared" ca="1" si="4"/>
        <v>4.7499999999846927E-3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input_508010!A$2</f>
        <v>508010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IFERROR(VLOOKUP(B86,input_508010!L:R,7,FALSE),VLOOKUP(tables_508010!C86,input_508010!A:H,8,FALSE))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input_508010!A$2</f>
        <v>508010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IFERROR(VLOOKUP(B87,input_508010!L:R,7,FALSE),VLOOKUP(tables_508010!C87,input_508010!A:H,8,FALSE))</f>
        <v>279180</v>
      </c>
      <c r="P87" s="46">
        <f t="shared" ca="1" si="4"/>
        <v>4.4999999999854982E-3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input_508010!A$2</f>
        <v>508010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IFERROR(VLOOKUP(B88,input_508010!L:R,7,FALSE),VLOOKUP(tables_508010!C88,input_508010!A:H,8,FALSE))</f>
        <v>294690</v>
      </c>
      <c r="P88" s="46">
        <f t="shared" ca="1" si="4"/>
        <v>4.7499999999846927E-3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input_508010!A$2</f>
        <v>508010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IFERROR(VLOOKUP(B89,input_508010!L:R,7,FALSE),VLOOKUP(tables_508010!C89,input_508010!A:H,8,FALSE))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input_508010!A$2</f>
        <v>508010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IFERROR(VLOOKUP(B90,input_508010!L:R,7,FALSE),VLOOKUP(tables_508010!C90,input_508010!A:H,8,FALSE))</f>
        <v>279180</v>
      </c>
      <c r="P90" s="46">
        <f t="shared" ca="1" si="4"/>
        <v>4.4999999999854982E-3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input_508010!A$2</f>
        <v>508010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IFERROR(VLOOKUP(B91,input_508010!L:R,7,FALSE),VLOOKUP(tables_508010!C91,input_508010!A:H,8,FALSE))</f>
        <v>294690</v>
      </c>
      <c r="P91" s="46">
        <f t="shared" ca="1" si="4"/>
        <v>4.7499999999846927E-3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input_508010!A$2</f>
        <v>508010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IFERROR(VLOOKUP(B92,input_508010!L:R,7,FALSE),VLOOKUP(tables_508010!C92,input_508010!A:H,8,FALSE))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input_508010!A$2</f>
        <v>508010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IFERROR(VLOOKUP(B93,input_508010!L:R,7,FALSE),VLOOKUP(tables_508010!C93,input_508010!A:H,8,FALSE))</f>
        <v>279180</v>
      </c>
      <c r="P93" s="46">
        <f t="shared" ca="1" si="4"/>
        <v>4.4999999999854982E-3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input_508010!A$2</f>
        <v>508010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IFERROR(VLOOKUP(B94,input_508010!L:R,7,FALSE),VLOOKUP(tables_508010!C94,input_508010!A:H,8,FALSE))</f>
        <v>294690</v>
      </c>
      <c r="P94" s="46">
        <f t="shared" ca="1" si="4"/>
        <v>4.7499999999846927E-3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input_508010!A$2</f>
        <v>508010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IFERROR(VLOOKUP(B95,input_508010!L:R,7,FALSE),VLOOKUP(tables_508010!C95,input_508010!A:H,8,FALSE))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input_508010!A$2</f>
        <v>508010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IFERROR(VLOOKUP(B96,input_508010!L:R,7,FALSE),VLOOKUP(tables_508010!C96,input_508010!A:H,8,FALSE))</f>
        <v>279180</v>
      </c>
      <c r="P96" s="46">
        <f t="shared" ca="1" si="4"/>
        <v>4.4999999999854982E-3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input_508010!A$2</f>
        <v>508010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IFERROR(VLOOKUP(B97,input_508010!L:R,7,FALSE),VLOOKUP(tables_508010!C97,input_508010!A:H,8,FALSE))</f>
        <v>294690</v>
      </c>
      <c r="P97" s="46">
        <f t="shared" ca="1" si="4"/>
        <v>4.7499999999846927E-3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input_508010!A$2</f>
        <v>508010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IFERROR(VLOOKUP(B98,input_508010!L:R,7,FALSE),VLOOKUP(tables_508010!C98,input_508010!A:H,8,FALSE))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input_508010!A$2</f>
        <v>508010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IFERROR(VLOOKUP(B99,input_508010!L:R,7,FALSE),VLOOKUP(tables_508010!C99,input_508010!A:H,8,FALSE))</f>
        <v>279180</v>
      </c>
      <c r="P99" s="46">
        <f t="shared" ca="1" si="4"/>
        <v>4.4999999999854982E-3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input_508010!A$2</f>
        <v>508010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IFERROR(VLOOKUP(B100,input_508010!L:R,7,FALSE),VLOOKUP(tables_508010!C100,input_508010!A:H,8,FALSE))</f>
        <v>294690</v>
      </c>
      <c r="P100" s="46">
        <f t="shared" ca="1" si="4"/>
        <v>4.7499999999846927E-3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input_508010!A$2</f>
        <v>508010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IFERROR(VLOOKUP(B101,input_508010!L:R,7,FALSE),VLOOKUP(tables_508010!C101,input_508010!A:H,8,FALSE))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input_508010!A$2</f>
        <v>508010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IFERROR(VLOOKUP(B102,input_508010!L:R,7,FALSE),VLOOKUP(tables_508010!C102,input_508010!A:H,8,FALSE))</f>
        <v>279180</v>
      </c>
      <c r="P102" s="46">
        <f t="shared" ca="1" si="4"/>
        <v>4.4999999999854982E-3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input_508010!A$2</f>
        <v>508010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IFERROR(VLOOKUP(B103,input_508010!L:R,7,FALSE),VLOOKUP(tables_508010!C103,input_508010!A:H,8,FALSE))</f>
        <v>294690</v>
      </c>
      <c r="P103" s="46">
        <f t="shared" ca="1" si="4"/>
        <v>4.7499999999846927E-3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input_508010!A$2</f>
        <v>508010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IFERROR(VLOOKUP(B104,input_508010!L:R,7,FALSE),VLOOKUP(tables_508010!C104,input_508010!A:H,8,FALSE))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input_508010!A$2</f>
        <v>508010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IFERROR(VLOOKUP(B105,input_508010!L:R,7,FALSE),VLOOKUP(tables_508010!C105,input_508010!A:H,8,FALSE))</f>
        <v>279180</v>
      </c>
      <c r="P105" s="46">
        <f t="shared" ca="1" si="4"/>
        <v>4.4999999999854982E-3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input_508010!A$2</f>
        <v>508010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IFERROR(VLOOKUP(B106,input_508010!L:R,7,FALSE),VLOOKUP(tables_508010!C106,input_508010!A:H,8,FALSE))</f>
        <v>294690</v>
      </c>
      <c r="P106" s="46">
        <f t="shared" ca="1" si="4"/>
        <v>4.7499999999846927E-3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input_508010!A$2</f>
        <v>508010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IFERROR(VLOOKUP(B107,input_508010!L:R,7,FALSE),VLOOKUP(tables_508010!C107,input_508010!A:H,8,FALSE))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input_508010!A$2</f>
        <v>508010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IFERROR(VLOOKUP(B108,input_508010!L:R,7,FALSE),VLOOKUP(tables_508010!C108,input_508010!A:H,8,FALSE))</f>
        <v>279180</v>
      </c>
      <c r="P108" s="46">
        <f t="shared" ca="1" si="4"/>
        <v>4.4999999999854982E-3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input_508010!A$2</f>
        <v>508010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IFERROR(VLOOKUP(B109,input_508010!L:R,7,FALSE),VLOOKUP(tables_508010!C109,input_508010!A:H,8,FALSE))</f>
        <v>294690</v>
      </c>
      <c r="P109" s="46">
        <f t="shared" ca="1" si="4"/>
        <v>4.7499999999846927E-3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input_508010!A$2</f>
        <v>508010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IFERROR(VLOOKUP(B110,input_508010!L:R,7,FALSE),VLOOKUP(tables_508010!C110,input_508010!A:H,8,FALSE))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input_508010!A$2</f>
        <v>508010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IFERROR(VLOOKUP(B111,input_508010!L:R,7,FALSE),VLOOKUP(tables_508010!C111,input_508010!A:H,8,FALSE))</f>
        <v>279180</v>
      </c>
      <c r="P111" s="46">
        <f t="shared" ca="1" si="4"/>
        <v>4.4999999999854982E-3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input_508010!A$2</f>
        <v>508010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IFERROR(VLOOKUP(B112,input_508010!L:R,7,FALSE),VLOOKUP(tables_508010!C112,input_508010!A:H,8,FALSE))</f>
        <v>294690</v>
      </c>
      <c r="P112" s="46">
        <f t="shared" ca="1" si="4"/>
        <v>4.7499999999846927E-3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input_508010!A$2</f>
        <v>508010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IFERROR(VLOOKUP(B113,input_508010!L:R,7,FALSE),VLOOKUP(tables_508010!C113,input_508010!A:H,8,FALSE))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input_508010!A$2</f>
        <v>508010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IFERROR(VLOOKUP(B114,input_508010!L:R,7,FALSE),VLOOKUP(tables_508010!C114,input_508010!A:H,8,FALSE))</f>
        <v>279180</v>
      </c>
      <c r="P114" s="46">
        <f t="shared" ca="1" si="4"/>
        <v>4.4999999999854982E-3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input_508010!A$2</f>
        <v>508010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IFERROR(VLOOKUP(B115,input_508010!L:R,7,FALSE),VLOOKUP(tables_508010!C115,input_508010!A:H,8,FALSE))</f>
        <v>294690</v>
      </c>
      <c r="P115" s="46">
        <f t="shared" ca="1" si="4"/>
        <v>4.7499999999846927E-3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input_508010!A$2</f>
        <v>508010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IFERROR(VLOOKUP(B116,input_508010!L:R,7,FALSE),VLOOKUP(tables_508010!C116,input_508010!A:H,8,FALSE))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input_508010!A$2</f>
        <v>508010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IFERROR(VLOOKUP(B117,input_508010!L:R,7,FALSE),VLOOKUP(tables_508010!C117,input_508010!A:H,8,FALSE))</f>
        <v>279180</v>
      </c>
      <c r="P117" s="46">
        <f t="shared" ca="1" si="4"/>
        <v>4.4999999999854982E-3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input_508010!A$2</f>
        <v>508010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IFERROR(VLOOKUP(B118,input_508010!L:R,7,FALSE),VLOOKUP(tables_508010!C118,input_508010!A:H,8,FALSE))</f>
        <v>294690</v>
      </c>
      <c r="P118" s="46">
        <f t="shared" ca="1" si="4"/>
        <v>4.7499999999846927E-3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input_508010!A$2</f>
        <v>508010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IFERROR(VLOOKUP(B119,input_508010!L:R,7,FALSE),VLOOKUP(tables_508010!C119,input_508010!A:H,8,FALSE))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input_508010!A$2</f>
        <v>508010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IFERROR(VLOOKUP(B120,input_508010!L:R,7,FALSE),VLOOKUP(tables_508010!C120,input_508010!A:H,8,FALSE))</f>
        <v>279180</v>
      </c>
      <c r="P120" s="46">
        <f t="shared" ca="1" si="4"/>
        <v>4.4999999999854982E-3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input_508010!A$2</f>
        <v>508010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IFERROR(VLOOKUP(B121,input_508010!L:R,7,FALSE),VLOOKUP(tables_508010!C121,input_508010!A:H,8,FALSE))</f>
        <v>294690</v>
      </c>
      <c r="P121" s="46">
        <f t="shared" ca="1" si="4"/>
        <v>4.7499999999846927E-3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input_508010!A$2</f>
        <v>508010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IFERROR(VLOOKUP(B122,input_508010!L:R,7,FALSE),VLOOKUP(tables_508010!C122,input_508010!A:H,8,FALSE))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input_508010!A$2</f>
        <v>508010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IFERROR(VLOOKUP(B123,input_508010!L:R,7,FALSE),VLOOKUP(tables_508010!C123,input_508010!A:H,8,FALSE))</f>
        <v>279180</v>
      </c>
      <c r="P123" s="46">
        <f t="shared" ca="1" si="4"/>
        <v>4.4999999999854982E-3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input_508010!A$2</f>
        <v>508010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IFERROR(VLOOKUP(B124,input_508010!L:R,7,FALSE),VLOOKUP(tables_508010!C124,input_508010!A:H,8,FALSE))</f>
        <v>294690</v>
      </c>
      <c r="P124" s="46">
        <f t="shared" ca="1" si="4"/>
        <v>4.7499999999846927E-3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input_508010!A$2</f>
        <v>508010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IFERROR(VLOOKUP(B125,input_508010!L:R,7,FALSE),VLOOKUP(tables_508010!C125,input_508010!A:H,8,FALSE))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input_508010!A$2</f>
        <v>508010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IFERROR(VLOOKUP(B126,input_508010!L:R,7,FALSE),VLOOKUP(tables_508010!C126,input_508010!A:H,8,FALSE))</f>
        <v>279180</v>
      </c>
      <c r="P126" s="46">
        <f t="shared" ca="1" si="4"/>
        <v>4.4999999999854982E-3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input_508010!A$2</f>
        <v>508010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IFERROR(VLOOKUP(B127,input_508010!L:R,7,FALSE),VLOOKUP(tables_508010!C127,input_508010!A:H,8,FALSE))</f>
        <v>294690</v>
      </c>
      <c r="P127" s="46">
        <f t="shared" ca="1" si="4"/>
        <v>4.7499999999846927E-3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input_508010!A$2</f>
        <v>508010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IFERROR(VLOOKUP(B128,input_508010!L:R,7,FALSE),VLOOKUP(tables_508010!C128,input_508010!A:H,8,FALSE))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input_508010!A$2</f>
        <v>508010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IFERROR(VLOOKUP(B129,input_508010!L:R,7,FALSE),VLOOKUP(tables_508010!C129,input_508010!A:H,8,FALSE))</f>
        <v>279180</v>
      </c>
      <c r="P129" s="46">
        <f t="shared" ca="1" si="4"/>
        <v>4.4999999999854982E-3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input_508010!A$2</f>
        <v>508010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IFERROR(VLOOKUP(B130,input_508010!L:R,7,FALSE),VLOOKUP(tables_508010!C130,input_508010!A:H,8,FALSE))</f>
        <v>294690</v>
      </c>
      <c r="P130" s="46">
        <f t="shared" ref="P130:P193" ca="1" si="7">O130/SUM(O:O)</f>
        <v>4.7499999999846927E-3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input_508010!A$2</f>
        <v>508010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IFERROR(VLOOKUP(B131,input_508010!L:R,7,FALSE),VLOOKUP(tables_508010!C131,input_508010!A:H,8,FALSE))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input_508010!A$2</f>
        <v>508010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IFERROR(VLOOKUP(B132,input_508010!L:R,7,FALSE),VLOOKUP(tables_508010!C132,input_508010!A:H,8,FALSE))</f>
        <v>279180</v>
      </c>
      <c r="P132" s="46">
        <f t="shared" ca="1" si="7"/>
        <v>4.4999999999854982E-3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input_508010!A$2</f>
        <v>508010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IFERROR(VLOOKUP(B133,input_508010!L:R,7,FALSE),VLOOKUP(tables_508010!C133,input_508010!A:H,8,FALSE))</f>
        <v>294690</v>
      </c>
      <c r="P133" s="46">
        <f t="shared" ca="1" si="7"/>
        <v>4.7499999999846927E-3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input_508010!A$2</f>
        <v>508010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IFERROR(VLOOKUP(B134,input_508010!L:R,7,FALSE),VLOOKUP(tables_508010!C134,input_508010!A:H,8,FALSE))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input_508010!A$2</f>
        <v>508010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IFERROR(VLOOKUP(B135,input_508010!L:R,7,FALSE),VLOOKUP(tables_508010!C135,input_508010!A:H,8,FALSE))</f>
        <v>279180</v>
      </c>
      <c r="P135" s="46">
        <f t="shared" ca="1" si="7"/>
        <v>4.4999999999854982E-3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input_508010!A$2</f>
        <v>508010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IFERROR(VLOOKUP(B136,input_508010!L:R,7,FALSE),VLOOKUP(tables_508010!C136,input_508010!A:H,8,FALSE))</f>
        <v>294690</v>
      </c>
      <c r="P136" s="46">
        <f t="shared" ca="1" si="7"/>
        <v>4.7499999999846927E-3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input_508010!A$2</f>
        <v>508010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IFERROR(VLOOKUP(B137,input_508010!L:R,7,FALSE),VLOOKUP(tables_508010!C137,input_508010!A:H,8,FALSE))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input_508010!A$2</f>
        <v>508010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IFERROR(VLOOKUP(B138,input_508010!L:R,7,FALSE),VLOOKUP(tables_508010!C138,input_508010!A:H,8,FALSE))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input_508010!A$2</f>
        <v>508010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IFERROR(VLOOKUP(B139,input_508010!L:R,7,FALSE),VLOOKUP(tables_508010!C139,input_508010!A:H,8,FALSE))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input_508010!A$2</f>
        <v>508010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IFERROR(VLOOKUP(B140,input_508010!L:R,7,FALSE),VLOOKUP(tables_508010!C140,input_508010!A:H,8,FALSE))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input_508010!A$2</f>
        <v>508010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IFERROR(VLOOKUP(B141,input_508010!L:R,7,FALSE),VLOOKUP(tables_508010!C141,input_508010!A:H,8,FALSE))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input_508010!A$2</f>
        <v>508010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IFERROR(VLOOKUP(B142,input_508010!L:R,7,FALSE),VLOOKUP(tables_508010!C142,input_508010!A:H,8,FALSE))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input_508010!A$2</f>
        <v>508010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IFERROR(VLOOKUP(B143,input_508010!L:R,7,FALSE),VLOOKUP(tables_508010!C143,input_508010!A:H,8,FALSE))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input_508010!A$2</f>
        <v>508010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IFERROR(VLOOKUP(B144,input_508010!L:R,7,FALSE),VLOOKUP(tables_508010!C144,input_508010!A:H,8,FALSE))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input_508010!A$2</f>
        <v>508010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IFERROR(VLOOKUP(B145,input_508010!L:R,7,FALSE),VLOOKUP(tables_508010!C145,input_508010!A:H,8,FALSE))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input_508010!A$2</f>
        <v>508010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IFERROR(VLOOKUP(B146,input_508010!L:R,7,FALSE),VLOOKUP(tables_508010!C146,input_508010!A:H,8,FALSE))</f>
        <v>279180</v>
      </c>
      <c r="P146" s="46">
        <f t="shared" ca="1" si="7"/>
        <v>4.4999999999854982E-3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input_508010!A$2</f>
        <v>508010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IFERROR(VLOOKUP(B147,input_508010!L:R,7,FALSE),VLOOKUP(tables_508010!C147,input_508010!A:H,8,FALSE))</f>
        <v>294690</v>
      </c>
      <c r="P147" s="46">
        <f t="shared" ca="1" si="7"/>
        <v>4.7499999999846927E-3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input_508010!A$2</f>
        <v>508010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IFERROR(VLOOKUP(B148,input_508010!L:R,7,FALSE),VLOOKUP(tables_508010!C148,input_508010!A:H,8,FALSE))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input_508010!A$2</f>
        <v>508010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IFERROR(VLOOKUP(B149,input_508010!L:R,7,FALSE),VLOOKUP(tables_508010!C149,input_508010!A:H,8,FALSE))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input_508010!A$2</f>
        <v>508010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IFERROR(VLOOKUP(B150,input_508010!L:R,7,FALSE),VLOOKUP(tables_508010!C150,input_508010!A:H,8,FALSE))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input_508010!A$2</f>
        <v>508010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IFERROR(VLOOKUP(B151,input_508010!L:R,7,FALSE),VLOOKUP(tables_508010!C151,input_508010!A:H,8,FALSE))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input_508010!A$2</f>
        <v>508010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IFERROR(VLOOKUP(B152,input_508010!L:R,7,FALSE),VLOOKUP(tables_508010!C152,input_508010!A:H,8,FALSE))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input_508010!A$2</f>
        <v>508010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IFERROR(VLOOKUP(B153,input_508010!L:R,7,FALSE),VLOOKUP(tables_508010!C153,input_508010!A:H,8,FALSE))</f>
        <v>279180</v>
      </c>
      <c r="P153" s="46">
        <f t="shared" ca="1" si="7"/>
        <v>4.4999999999854982E-3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input_508010!A$2</f>
        <v>508010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IFERROR(VLOOKUP(B154,input_508010!L:R,7,FALSE),VLOOKUP(tables_508010!C154,input_508010!A:H,8,FALSE))</f>
        <v>294690</v>
      </c>
      <c r="P154" s="46">
        <f t="shared" ca="1" si="7"/>
        <v>4.7499999999846927E-3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input_508010!A$2</f>
        <v>508010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IFERROR(VLOOKUP(B155,input_508010!L:R,7,FALSE),VLOOKUP(tables_508010!C155,input_508010!A:H,8,FALSE))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input_508010!A$2</f>
        <v>508010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IFERROR(VLOOKUP(B156,input_508010!L:R,7,FALSE),VLOOKUP(tables_508010!C156,input_508010!A:H,8,FALSE))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input_508010!A$2</f>
        <v>508010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IFERROR(VLOOKUP(B157,input_508010!L:R,7,FALSE),VLOOKUP(tables_508010!C157,input_508010!A:H,8,FALSE))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input_508010!A$2</f>
        <v>508010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IFERROR(VLOOKUP(B158,input_508010!L:R,7,FALSE),VLOOKUP(tables_508010!C158,input_508010!A:H,8,FALSE))</f>
        <v>279180</v>
      </c>
      <c r="P158" s="46">
        <f t="shared" ca="1" si="7"/>
        <v>4.4999999999854982E-3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input_508010!A$2</f>
        <v>508010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IFERROR(VLOOKUP(B159,input_508010!L:R,7,FALSE),VLOOKUP(tables_508010!C159,input_508010!A:H,8,FALSE))</f>
        <v>294690</v>
      </c>
      <c r="P159" s="46">
        <f t="shared" ca="1" si="7"/>
        <v>4.7499999999846927E-3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input_508010!A$2</f>
        <v>508010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IFERROR(VLOOKUP(B160,input_508010!L:R,7,FALSE),VLOOKUP(tables_508010!C160,input_508010!A:H,8,FALSE))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input_508010!A$2</f>
        <v>508010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IFERROR(VLOOKUP(B161,input_508010!L:R,7,FALSE),VLOOKUP(tables_508010!C161,input_508010!A:H,8,FALSE))</f>
        <v>279180</v>
      </c>
      <c r="P161" s="46">
        <f t="shared" ca="1" si="7"/>
        <v>4.4999999999854982E-3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input_508010!A$2</f>
        <v>508010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IFERROR(VLOOKUP(B162,input_508010!L:R,7,FALSE),VLOOKUP(tables_508010!C162,input_508010!A:H,8,FALSE))</f>
        <v>294690</v>
      </c>
      <c r="P162" s="46">
        <f t="shared" ca="1" si="7"/>
        <v>4.7499999999846927E-3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input_508010!A$2</f>
        <v>508010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IFERROR(VLOOKUP(B163,input_508010!L:R,7,FALSE),VLOOKUP(tables_508010!C163,input_508010!A:H,8,FALSE))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input_508010!A$2</f>
        <v>508010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IFERROR(VLOOKUP(B164,input_508010!L:R,7,FALSE),VLOOKUP(tables_508010!C164,input_508010!A:H,8,FALSE))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input_508010!A$2</f>
        <v>508010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IFERROR(VLOOKUP(B165,input_508010!L:R,7,FALSE),VLOOKUP(tables_508010!C165,input_508010!A:H,8,FALSE))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input_508010!A$2</f>
        <v>508010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IFERROR(VLOOKUP(B166,input_508010!L:R,7,FALSE),VLOOKUP(tables_508010!C166,input_508010!A:H,8,FALSE))</f>
        <v>279180</v>
      </c>
      <c r="P166" s="46">
        <f t="shared" ca="1" si="7"/>
        <v>4.4999999999854982E-3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input_508010!A$2</f>
        <v>508010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IFERROR(VLOOKUP(B167,input_508010!L:R,7,FALSE),VLOOKUP(tables_508010!C167,input_508010!A:H,8,FALSE))</f>
        <v>294690</v>
      </c>
      <c r="P167" s="46">
        <f t="shared" ca="1" si="7"/>
        <v>4.7499999999846927E-3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input_508010!A$2</f>
        <v>508010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IFERROR(VLOOKUP(B168,input_508010!L:R,7,FALSE),VLOOKUP(tables_508010!C168,input_508010!A:H,8,FALSE))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input_508010!A$2</f>
        <v>508010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IFERROR(VLOOKUP(B169,input_508010!L:R,7,FALSE),VLOOKUP(tables_508010!C169,input_508010!A:H,8,FALSE))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input_508010!A$2</f>
        <v>508010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IFERROR(VLOOKUP(B170,input_508010!L:R,7,FALSE),VLOOKUP(tables_508010!C170,input_508010!A:H,8,FALSE))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input_508010!A$2</f>
        <v>508010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IFERROR(VLOOKUP(B171,input_508010!L:R,7,FALSE),VLOOKUP(tables_508010!C171,input_508010!A:H,8,FALSE))</f>
        <v>279180</v>
      </c>
      <c r="P171" s="46">
        <f t="shared" ca="1" si="7"/>
        <v>4.4999999999854982E-3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input_508010!A$2</f>
        <v>508010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IFERROR(VLOOKUP(B172,input_508010!L:R,7,FALSE),VLOOKUP(tables_508010!C172,input_508010!A:H,8,FALSE))</f>
        <v>294690</v>
      </c>
      <c r="P172" s="46">
        <f t="shared" ca="1" si="7"/>
        <v>4.7499999999846927E-3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input_508010!A$2</f>
        <v>508010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IFERROR(VLOOKUP(B173,input_508010!L:R,7,FALSE),VLOOKUP(tables_508010!C173,input_508010!A:H,8,FALSE))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input_508010!A$2</f>
        <v>508010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IFERROR(VLOOKUP(B174,input_508010!L:R,7,FALSE),VLOOKUP(tables_508010!C174,input_508010!A:H,8,FALSE))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input_508010!A$2</f>
        <v>508010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IFERROR(VLOOKUP(B175,input_508010!L:R,7,FALSE),VLOOKUP(tables_508010!C175,input_508010!A:H,8,FALSE))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input_508010!A$2</f>
        <v>508010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IFERROR(VLOOKUP(B176,input_508010!L:R,7,FALSE),VLOOKUP(tables_508010!C176,input_508010!A:H,8,FALSE))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input_508010!A$2</f>
        <v>508010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IFERROR(VLOOKUP(B177,input_508010!L:R,7,FALSE),VLOOKUP(tables_508010!C177,input_508010!A:H,8,FALSE))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input_508010!A$2</f>
        <v>508010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IFERROR(VLOOKUP(B178,input_508010!L:R,7,FALSE),VLOOKUP(tables_508010!C178,input_508010!A:H,8,FALSE))</f>
        <v>279180</v>
      </c>
      <c r="P178" s="46">
        <f t="shared" ca="1" si="7"/>
        <v>4.4999999999854982E-3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input_508010!A$2</f>
        <v>508010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IFERROR(VLOOKUP(B179,input_508010!L:R,7,FALSE),VLOOKUP(tables_508010!C179,input_508010!A:H,8,FALSE))</f>
        <v>294690</v>
      </c>
      <c r="P179" s="46">
        <f t="shared" ca="1" si="7"/>
        <v>4.7499999999846927E-3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input_508010!A$2</f>
        <v>508010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IFERROR(VLOOKUP(B180,input_508010!L:R,7,FALSE),VLOOKUP(tables_508010!C180,input_508010!A:H,8,FALSE))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input_508010!A$2</f>
        <v>508010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IFERROR(VLOOKUP(B181,input_508010!L:R,7,FALSE),VLOOKUP(tables_508010!C181,input_508010!A:H,8,FALSE))</f>
        <v>279180</v>
      </c>
      <c r="P181" s="46">
        <f t="shared" ca="1" si="7"/>
        <v>4.4999999999854982E-3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input_508010!A$2</f>
        <v>508010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IFERROR(VLOOKUP(B182,input_508010!L:R,7,FALSE),VLOOKUP(tables_508010!C182,input_508010!A:H,8,FALSE))</f>
        <v>294690</v>
      </c>
      <c r="P182" s="46">
        <f t="shared" ca="1" si="7"/>
        <v>4.7499999999846927E-3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input_508010!A$2</f>
        <v>508010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IFERROR(VLOOKUP(B183,input_508010!L:R,7,FALSE),VLOOKUP(tables_508010!C183,input_508010!A:H,8,FALSE))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input_508010!A$2</f>
        <v>508010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IFERROR(VLOOKUP(B184,input_508010!L:R,7,FALSE),VLOOKUP(tables_508010!C184,input_508010!A:H,8,FALSE))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input_508010!A$2</f>
        <v>508010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IFERROR(VLOOKUP(B185,input_508010!L:R,7,FALSE),VLOOKUP(tables_508010!C185,input_508010!A:H,8,FALSE))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input_508010!A$2</f>
        <v>508010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IFERROR(VLOOKUP(B186,input_508010!L:R,7,FALSE),VLOOKUP(tables_508010!C186,input_508010!A:H,8,FALSE))</f>
        <v>279180</v>
      </c>
      <c r="P186" s="46">
        <f t="shared" ca="1" si="7"/>
        <v>4.4999999999854982E-3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input_508010!A$2</f>
        <v>508010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IFERROR(VLOOKUP(B187,input_508010!L:R,7,FALSE),VLOOKUP(tables_508010!C187,input_508010!A:H,8,FALSE))</f>
        <v>294690</v>
      </c>
      <c r="P187" s="46">
        <f t="shared" ca="1" si="7"/>
        <v>4.7499999999846927E-3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input_508010!A$2</f>
        <v>508010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IFERROR(VLOOKUP(B188,input_508010!L:R,7,FALSE),VLOOKUP(tables_508010!C188,input_508010!A:H,8,FALSE))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input_508010!A$2</f>
        <v>508010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IFERROR(VLOOKUP(B189,input_508010!L:R,7,FALSE),VLOOKUP(tables_508010!C189,input_508010!A:H,8,FALSE))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input_508010!A$2</f>
        <v>508010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IFERROR(VLOOKUP(B190,input_508010!L:R,7,FALSE),VLOOKUP(tables_508010!C190,input_508010!A:H,8,FALSE))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input_508010!A$2</f>
        <v>508010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IFERROR(VLOOKUP(B191,input_508010!L:R,7,FALSE),VLOOKUP(tables_508010!C191,input_508010!A:H,8,FALSE))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input_508010!A$2</f>
        <v>508010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IFERROR(VLOOKUP(B192,input_508010!L:R,7,FALSE),VLOOKUP(tables_508010!C192,input_508010!A:H,8,FALSE))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input_508010!A$2</f>
        <v>508010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IFERROR(VLOOKUP(B193,input_508010!L:R,7,FALSE),VLOOKUP(tables_508010!C193,input_508010!A:H,8,FALSE))</f>
        <v>279180</v>
      </c>
      <c r="P193" s="46">
        <f t="shared" ca="1" si="7"/>
        <v>4.4999999999854982E-3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input_508010!A$2</f>
        <v>508010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IFERROR(VLOOKUP(B194,input_508010!L:R,7,FALSE),VLOOKUP(tables_508010!C194,input_508010!A:H,8,FALSE))</f>
        <v>294690</v>
      </c>
      <c r="P194" s="46">
        <f t="shared" ref="P194:P257" ca="1" si="10">O194/SUM(O:O)</f>
        <v>4.7499999999846927E-3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input_508010!A$2</f>
        <v>508010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IFERROR(VLOOKUP(B195,input_508010!L:R,7,FALSE),VLOOKUP(tables_508010!C195,input_508010!A:H,8,FALSE))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input_508010!A$2</f>
        <v>508010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IFERROR(VLOOKUP(B196,input_508010!L:R,7,FALSE),VLOOKUP(tables_508010!C196,input_508010!A:H,8,FALSE))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input_508010!A$2</f>
        <v>508010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IFERROR(VLOOKUP(B197,input_508010!L:R,7,FALSE),VLOOKUP(tables_508010!C197,input_508010!A:H,8,FALSE))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input_508010!A$2</f>
        <v>508010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IFERROR(VLOOKUP(B198,input_508010!L:R,7,FALSE),VLOOKUP(tables_508010!C198,input_508010!A:H,8,FALSE))</f>
        <v>279180</v>
      </c>
      <c r="P198" s="46">
        <f t="shared" ca="1" si="10"/>
        <v>4.4999999999854982E-3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input_508010!A$2</f>
        <v>508010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IFERROR(VLOOKUP(B199,input_508010!L:R,7,FALSE),VLOOKUP(tables_508010!C199,input_508010!A:H,8,FALSE))</f>
        <v>294690</v>
      </c>
      <c r="P199" s="46">
        <f t="shared" ca="1" si="10"/>
        <v>4.7499999999846927E-3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input_508010!A$2</f>
        <v>508010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IFERROR(VLOOKUP(B200,input_508010!L:R,7,FALSE),VLOOKUP(tables_508010!C200,input_508010!A:H,8,FALSE))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input_508010!A$2</f>
        <v>508010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IFERROR(VLOOKUP(B201,input_508010!L:R,7,FALSE),VLOOKUP(tables_508010!C201,input_508010!A:H,8,FALSE))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input_508010!A$2</f>
        <v>508010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IFERROR(VLOOKUP(B202,input_508010!L:R,7,FALSE),VLOOKUP(tables_508010!C202,input_508010!A:H,8,FALSE))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input_508010!A$2</f>
        <v>508010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IFERROR(VLOOKUP(B203,input_508010!L:R,7,FALSE),VLOOKUP(tables_508010!C203,input_508010!A:H,8,FALSE))</f>
        <v>279180</v>
      </c>
      <c r="P203" s="46">
        <f t="shared" ca="1" si="10"/>
        <v>4.4999999999854982E-3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input_508010!A$2</f>
        <v>508010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IFERROR(VLOOKUP(B204,input_508010!L:R,7,FALSE),VLOOKUP(tables_508010!C204,input_508010!A:H,8,FALSE))</f>
        <v>294690</v>
      </c>
      <c r="P204" s="46">
        <f t="shared" ca="1" si="10"/>
        <v>4.7499999999846927E-3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input_508010!A$2</f>
        <v>508010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IFERROR(VLOOKUP(B205,input_508010!L:R,7,FALSE),VLOOKUP(tables_508010!C205,input_508010!A:H,8,FALSE))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input_508010!A$2</f>
        <v>508010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IFERROR(VLOOKUP(B206,input_508010!L:R,7,FALSE),VLOOKUP(tables_508010!C206,input_508010!A:H,8,FALSE))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input_508010!A$2</f>
        <v>508010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IFERROR(VLOOKUP(B207,input_508010!L:R,7,FALSE),VLOOKUP(tables_508010!C207,input_508010!A:H,8,FALSE))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input_508010!A$2</f>
        <v>508010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IFERROR(VLOOKUP(B208,input_508010!L:R,7,FALSE),VLOOKUP(tables_508010!C208,input_508010!A:H,8,FALSE))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input_508010!A$2</f>
        <v>508010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IFERROR(VLOOKUP(B209,input_508010!L:R,7,FALSE),VLOOKUP(tables_508010!C209,input_508010!A:H,8,FALSE))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input_508010!A$2</f>
        <v>508010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IFERROR(VLOOKUP(B210,input_508010!L:R,7,FALSE),VLOOKUP(tables_508010!C210,input_508010!A:H,8,FALSE))</f>
        <v>279180</v>
      </c>
      <c r="P210" s="46">
        <f t="shared" ca="1" si="10"/>
        <v>4.4999999999854982E-3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input_508010!A$2</f>
        <v>508010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IFERROR(VLOOKUP(B211,input_508010!L:R,7,FALSE),VLOOKUP(tables_508010!C211,input_508010!A:H,8,FALSE))</f>
        <v>294690</v>
      </c>
      <c r="P211" s="46">
        <f t="shared" ca="1" si="10"/>
        <v>4.7499999999846927E-3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input_508010!A$2</f>
        <v>508010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IFERROR(VLOOKUP(B212,input_508010!L:R,7,FALSE),VLOOKUP(tables_508010!C212,input_508010!A:H,8,FALSE))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input_508010!A$2</f>
        <v>508010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IFERROR(VLOOKUP(B213,input_508010!L:R,7,FALSE),VLOOKUP(tables_508010!C213,input_508010!A:H,8,FALSE))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input_508010!A$2</f>
        <v>508010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IFERROR(VLOOKUP(B214,input_508010!L:R,7,FALSE),VLOOKUP(tables_508010!C214,input_508010!A:H,8,FALSE))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input_508010!A$2</f>
        <v>508010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IFERROR(VLOOKUP(B215,input_508010!L:R,7,FALSE),VLOOKUP(tables_508010!C215,input_508010!A:H,8,FALSE))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input_508010!A$2</f>
        <v>508010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IFERROR(VLOOKUP(B216,input_508010!L:R,7,FALSE),VLOOKUP(tables_508010!C216,input_508010!A:H,8,FALSE))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input_508010!A$2</f>
        <v>508010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IFERROR(VLOOKUP(B217,input_508010!L:R,7,FALSE),VLOOKUP(tables_508010!C217,input_508010!A:H,8,FALSE))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input_508010!A$2</f>
        <v>508010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IFERROR(VLOOKUP(B218,input_508010!L:R,7,FALSE),VLOOKUP(tables_508010!C218,input_508010!A:H,8,FALSE))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input_508010!A$2</f>
        <v>508010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IFERROR(VLOOKUP(B219,input_508010!L:R,7,FALSE),VLOOKUP(tables_508010!C219,input_508010!A:H,8,FALSE))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input_508010!A$2</f>
        <v>508010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IFERROR(VLOOKUP(B220,input_508010!L:R,7,FALSE),VLOOKUP(tables_508010!C220,input_508010!A:H,8,FALSE))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input_508010!A$2</f>
        <v>508010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IFERROR(VLOOKUP(B221,input_508010!L:R,7,FALSE),VLOOKUP(tables_508010!C221,input_508010!A:H,8,FALSE))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input_508010!A$2</f>
        <v>508010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IFERROR(VLOOKUP(B222,input_508010!L:R,7,FALSE),VLOOKUP(tables_508010!C222,input_508010!A:H,8,FALSE))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input_508010!A$2</f>
        <v>508010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IFERROR(VLOOKUP(B223,input_508010!L:R,7,FALSE),VLOOKUP(tables_508010!C223,input_508010!A:H,8,FALSE))</f>
        <v>279180</v>
      </c>
      <c r="P223" s="46">
        <f t="shared" ca="1" si="10"/>
        <v>4.4999999999854982E-3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input_508010!A$2</f>
        <v>508010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IFERROR(VLOOKUP(B224,input_508010!L:R,7,FALSE),VLOOKUP(tables_508010!C224,input_508010!A:H,8,FALSE))</f>
        <v>294690</v>
      </c>
      <c r="P224" s="46">
        <f t="shared" ca="1" si="10"/>
        <v>4.7499999999846927E-3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input_508010!A$2</f>
        <v>508010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IFERROR(VLOOKUP(B225,input_508010!L:R,7,FALSE),VLOOKUP(tables_508010!C225,input_508010!A:H,8,FALSE))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input_508010!A$2</f>
        <v>508010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IFERROR(VLOOKUP(B226,input_508010!L:R,7,FALSE),VLOOKUP(tables_508010!C226,input_508010!A:H,8,FALSE))</f>
        <v>279180</v>
      </c>
      <c r="P226" s="46">
        <f t="shared" ca="1" si="10"/>
        <v>4.4999999999854982E-3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input_508010!A$2</f>
        <v>508010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IFERROR(VLOOKUP(B227,input_508010!L:R,7,FALSE),VLOOKUP(tables_508010!C227,input_508010!A:H,8,FALSE))</f>
        <v>294690</v>
      </c>
      <c r="P227" s="46">
        <f t="shared" ca="1" si="10"/>
        <v>4.7499999999846927E-3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input_508010!A$2</f>
        <v>508010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IFERROR(VLOOKUP(B228,input_508010!L:R,7,FALSE),VLOOKUP(tables_508010!C228,input_508010!A:H,8,FALSE))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input_508010!A$2</f>
        <v>508010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IFERROR(VLOOKUP(B229,input_508010!L:R,7,FALSE),VLOOKUP(tables_508010!C229,input_508010!A:H,8,FALSE))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input_508010!A$2</f>
        <v>508010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IFERROR(VLOOKUP(B230,input_508010!L:R,7,FALSE),VLOOKUP(tables_508010!C230,input_508010!A:H,8,FALSE))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input_508010!A$2</f>
        <v>508010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IFERROR(VLOOKUP(B231,input_508010!L:R,7,FALSE),VLOOKUP(tables_508010!C231,input_508010!A:H,8,FALSE))</f>
        <v>279180</v>
      </c>
      <c r="P231" s="46">
        <f t="shared" ca="1" si="10"/>
        <v>4.4999999999854982E-3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input_508010!A$2</f>
        <v>508010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IFERROR(VLOOKUP(B232,input_508010!L:R,7,FALSE),VLOOKUP(tables_508010!C232,input_508010!A:H,8,FALSE))</f>
        <v>294690</v>
      </c>
      <c r="P232" s="46">
        <f t="shared" ca="1" si="10"/>
        <v>4.7499999999846927E-3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input_508010!A$2</f>
        <v>508010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IFERROR(VLOOKUP(B233,input_508010!L:R,7,FALSE),VLOOKUP(tables_508010!C233,input_508010!A:H,8,FALSE))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input_508010!A$2</f>
        <v>508010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IFERROR(VLOOKUP(B234,input_508010!L:R,7,FALSE),VLOOKUP(tables_508010!C234,input_508010!A:H,8,FALSE))</f>
        <v>279180</v>
      </c>
      <c r="P234" s="46">
        <f t="shared" ca="1" si="10"/>
        <v>4.4999999999854982E-3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input_508010!A$2</f>
        <v>508010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IFERROR(VLOOKUP(B235,input_508010!L:R,7,FALSE),VLOOKUP(tables_508010!C235,input_508010!A:H,8,FALSE))</f>
        <v>294690</v>
      </c>
      <c r="P235" s="46">
        <f t="shared" ca="1" si="10"/>
        <v>4.7499999999846927E-3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input_508010!A$2</f>
        <v>508010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IFERROR(VLOOKUP(B236,input_508010!L:R,7,FALSE),VLOOKUP(tables_508010!C236,input_508010!A:H,8,FALSE))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input_508010!A$2</f>
        <v>508010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IFERROR(VLOOKUP(B237,input_508010!L:R,7,FALSE),VLOOKUP(tables_508010!C237,input_508010!A:H,8,FALSE))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input_508010!A$2</f>
        <v>508010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IFERROR(VLOOKUP(B238,input_508010!L:R,7,FALSE),VLOOKUP(tables_508010!C238,input_508010!A:H,8,FALSE))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input_508010!A$2</f>
        <v>508010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IFERROR(VLOOKUP(B239,input_508010!L:R,7,FALSE),VLOOKUP(tables_508010!C239,input_508010!A:H,8,FALSE))</f>
        <v>279180</v>
      </c>
      <c r="P239" s="46">
        <f t="shared" ca="1" si="10"/>
        <v>4.4999999999854982E-3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input_508010!A$2</f>
        <v>508010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IFERROR(VLOOKUP(B240,input_508010!L:R,7,FALSE),VLOOKUP(tables_508010!C240,input_508010!A:H,8,FALSE))</f>
        <v>294690</v>
      </c>
      <c r="P240" s="46">
        <f t="shared" ca="1" si="10"/>
        <v>4.7499999999846927E-3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input_508010!A$2</f>
        <v>508010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IFERROR(VLOOKUP(B241,input_508010!L:R,7,FALSE),VLOOKUP(tables_508010!C241,input_508010!A:H,8,FALSE))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input_508010!A$2</f>
        <v>508010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IFERROR(VLOOKUP(B242,input_508010!L:R,7,FALSE),VLOOKUP(tables_508010!C242,input_508010!A:H,8,FALSE))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input_508010!A$2</f>
        <v>508010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IFERROR(VLOOKUP(B243,input_508010!L:R,7,FALSE),VLOOKUP(tables_508010!C243,input_508010!A:H,8,FALSE))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input_508010!A$2</f>
        <v>508010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IFERROR(VLOOKUP(B244,input_508010!L:R,7,FALSE),VLOOKUP(tables_508010!C244,input_508010!A:H,8,FALSE))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input_508010!A$2</f>
        <v>508010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IFERROR(VLOOKUP(B245,input_508010!L:R,7,FALSE),VLOOKUP(tables_508010!C245,input_508010!A:H,8,FALSE))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input_508010!A$2</f>
        <v>508010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IFERROR(VLOOKUP(B246,input_508010!L:R,7,FALSE),VLOOKUP(tables_508010!C246,input_508010!A:H,8,FALSE))</f>
        <v>279180</v>
      </c>
      <c r="P246" s="46">
        <f t="shared" ca="1" si="10"/>
        <v>4.4999999999854982E-3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input_508010!A$2</f>
        <v>508010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IFERROR(VLOOKUP(B247,input_508010!L:R,7,FALSE),VLOOKUP(tables_508010!C247,input_508010!A:H,8,FALSE))</f>
        <v>294690</v>
      </c>
      <c r="P247" s="46">
        <f t="shared" ca="1" si="10"/>
        <v>4.7499999999846927E-3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input_508010!A$2</f>
        <v>508010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IFERROR(VLOOKUP(B248,input_508010!L:R,7,FALSE),VLOOKUP(tables_508010!C248,input_508010!A:H,8,FALSE))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input_508010!A$2</f>
        <v>508010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IFERROR(VLOOKUP(B249,input_508010!L:R,7,FALSE),VLOOKUP(tables_508010!C249,input_508010!A:H,8,FALSE))</f>
        <v>279180</v>
      </c>
      <c r="P249" s="46">
        <f t="shared" ca="1" si="10"/>
        <v>4.4999999999854982E-3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input_508010!A$2</f>
        <v>508010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IFERROR(VLOOKUP(B250,input_508010!L:R,7,FALSE),VLOOKUP(tables_508010!C250,input_508010!A:H,8,FALSE))</f>
        <v>294690</v>
      </c>
      <c r="P250" s="46">
        <f t="shared" ca="1" si="10"/>
        <v>4.7499999999846927E-3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input_508010!A$2</f>
        <v>508010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IFERROR(VLOOKUP(B251,input_508010!L:R,7,FALSE),VLOOKUP(tables_508010!C251,input_508010!A:H,8,FALSE))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input_508010!A$2</f>
        <v>508010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IFERROR(VLOOKUP(B252,input_508010!L:R,7,FALSE),VLOOKUP(tables_508010!C252,input_508010!A:H,8,FALSE))</f>
        <v>279180</v>
      </c>
      <c r="P252" s="46">
        <f t="shared" ca="1" si="10"/>
        <v>4.4999999999854982E-3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input_508010!A$2</f>
        <v>508010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IFERROR(VLOOKUP(B253,input_508010!L:R,7,FALSE),VLOOKUP(tables_508010!C253,input_508010!A:H,8,FALSE))</f>
        <v>294690</v>
      </c>
      <c r="P253" s="46">
        <f t="shared" ca="1" si="10"/>
        <v>4.7499999999846927E-3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input_508010!A$2</f>
        <v>508010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IFERROR(VLOOKUP(B254,input_508010!L:R,7,FALSE),VLOOKUP(tables_508010!C254,input_508010!A:H,8,FALSE))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input_508010!A$2</f>
        <v>508010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IFERROR(VLOOKUP(B255,input_508010!L:R,7,FALSE),VLOOKUP(tables_508010!C255,input_508010!A:H,8,FALSE))</f>
        <v>279180</v>
      </c>
      <c r="P255" s="46">
        <f t="shared" ca="1" si="10"/>
        <v>4.4999999999854982E-3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input_508010!A$2</f>
        <v>508010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IFERROR(VLOOKUP(B256,input_508010!L:R,7,FALSE),VLOOKUP(tables_508010!C256,input_508010!A:H,8,FALSE))</f>
        <v>294690</v>
      </c>
      <c r="P256" s="46">
        <f t="shared" ca="1" si="10"/>
        <v>4.7499999999846927E-3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input_508010!A$2</f>
        <v>508010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IFERROR(VLOOKUP(B257,input_508010!L:R,7,FALSE),VLOOKUP(tables_508010!C257,input_508010!A:H,8,FALSE))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input_508010!A$2</f>
        <v>508010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IFERROR(VLOOKUP(B258,input_508010!L:R,7,FALSE),VLOOKUP(tables_508010!C258,input_508010!A:H,8,FALSE))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input_508010!A$2</f>
        <v>508010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IFERROR(VLOOKUP(B259,input_508010!L:R,7,FALSE),VLOOKUP(tables_508010!C259,input_508010!A:H,8,FALSE))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input_508010!A$2</f>
        <v>508010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IFERROR(VLOOKUP(B260,input_508010!L:R,7,FALSE),VLOOKUP(tables_508010!C260,input_508010!A:H,8,FALSE))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input_508010!A$2</f>
        <v>508010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IFERROR(VLOOKUP(B261,input_508010!L:R,7,FALSE),VLOOKUP(tables_508010!C261,input_508010!A:H,8,FALSE))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input_508010!A$2</f>
        <v>508010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IFERROR(VLOOKUP(B262,input_508010!L:R,7,FALSE),VLOOKUP(tables_508010!C262,input_508010!A:H,8,FALSE))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input_508010!A$2</f>
        <v>508010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IFERROR(VLOOKUP(B263,input_508010!L:R,7,FALSE),VLOOKUP(tables_508010!C263,input_508010!A:H,8,FALSE))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input_508010!A$2</f>
        <v>508010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IFERROR(VLOOKUP(B264,input_508010!L:R,7,FALSE),VLOOKUP(tables_508010!C264,input_508010!A:H,8,FALSE))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input_508010!A$2</f>
        <v>508010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IFERROR(VLOOKUP(B265,input_508010!L:R,7,FALSE),VLOOKUP(tables_508010!C265,input_508010!A:H,8,FALSE))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input_508010!A$2</f>
        <v>508010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IFERROR(VLOOKUP(B266,input_508010!L:R,7,FALSE),VLOOKUP(tables_508010!C266,input_508010!A:H,8,FALSE))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input_508010!A$2</f>
        <v>508010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IFERROR(VLOOKUP(B267,input_508010!L:R,7,FALSE),VLOOKUP(tables_508010!C267,input_508010!A:H,8,FALSE))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input_508010!A$2</f>
        <v>508010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IFERROR(VLOOKUP(B268,input_508010!L:R,7,FALSE),VLOOKUP(tables_508010!C268,input_508010!A:H,8,FALSE))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input_508010!A$2</f>
        <v>508010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IFERROR(VLOOKUP(B269,input_508010!L:R,7,FALSE),VLOOKUP(tables_508010!C269,input_508010!A:H,8,FALSE))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input_508010!A$2</f>
        <v>508010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IFERROR(VLOOKUP(B270,input_508010!L:R,7,FALSE),VLOOKUP(tables_508010!C270,input_508010!A:H,8,FALSE))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input_508010!A$2</f>
        <v>508010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IFERROR(VLOOKUP(B271,input_508010!L:R,7,FALSE),VLOOKUP(tables_508010!C271,input_508010!A:H,8,FALSE))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input_508010!A$2</f>
        <v>508010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IFERROR(VLOOKUP(B272,input_508010!L:R,7,FALSE),VLOOKUP(tables_508010!C272,input_508010!A:H,8,FALSE))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input_508010!A$2</f>
        <v>508010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IFERROR(VLOOKUP(B273,input_508010!L:R,7,FALSE),VLOOKUP(tables_508010!C273,input_508010!A:H,8,FALSE))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input_508010!A$2</f>
        <v>508010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IFERROR(VLOOKUP(B274,input_508010!L:R,7,FALSE),VLOOKUP(tables_508010!C274,input_508010!A:H,8,FALSE))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input_508010!A$2</f>
        <v>508010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IFERROR(VLOOKUP(B275,input_508010!L:R,7,FALSE),VLOOKUP(tables_508010!C275,input_508010!A:H,8,FALSE))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input_508010!A$2</f>
        <v>508010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IFERROR(VLOOKUP(B276,input_508010!L:R,7,FALSE),VLOOKUP(tables_508010!C276,input_508010!A:H,8,FALSE))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input_508010!A$2</f>
        <v>508010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IFERROR(VLOOKUP(B277,input_508010!L:R,7,FALSE),VLOOKUP(tables_508010!C277,input_508010!A:H,8,FALSE))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input_508010!A$2</f>
        <v>508010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IFERROR(VLOOKUP(B278,input_508010!L:R,7,FALSE),VLOOKUP(tables_508010!C278,input_508010!A:H,8,FALSE))</f>
        <v>279180</v>
      </c>
      <c r="P278" s="46">
        <f t="shared" ca="1" si="13"/>
        <v>4.4999999999854982E-3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input_508010!A$2</f>
        <v>508010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IFERROR(VLOOKUP(B279,input_508010!L:R,7,FALSE),VLOOKUP(tables_508010!C279,input_508010!A:H,8,FALSE))</f>
        <v>294690</v>
      </c>
      <c r="P279" s="46">
        <f t="shared" ca="1" si="13"/>
        <v>4.7499999999846927E-3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input_508010!A$2</f>
        <v>508010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IFERROR(VLOOKUP(B280,input_508010!L:R,7,FALSE),VLOOKUP(tables_508010!C280,input_508010!A:H,8,FALSE))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input_508010!A$2</f>
        <v>508010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IFERROR(VLOOKUP(B281,input_508010!L:R,7,FALSE),VLOOKUP(tables_508010!C281,input_508010!A:H,8,FALSE))</f>
        <v>279180</v>
      </c>
      <c r="P281" s="46">
        <f t="shared" ca="1" si="13"/>
        <v>4.4999999999854982E-3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input_508010!A$2</f>
        <v>508010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IFERROR(VLOOKUP(B282,input_508010!L:R,7,FALSE),VLOOKUP(tables_508010!C282,input_508010!A:H,8,FALSE))</f>
        <v>294690</v>
      </c>
      <c r="P282" s="46">
        <f t="shared" ca="1" si="13"/>
        <v>4.7499999999846927E-3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input_508010!A$2</f>
        <v>508010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IFERROR(VLOOKUP(B283,input_508010!L:R,7,FALSE),VLOOKUP(tables_508010!C283,input_508010!A:H,8,FALSE))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input_508010!A$2</f>
        <v>508010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IFERROR(VLOOKUP(B284,input_508010!L:R,7,FALSE),VLOOKUP(tables_508010!C284,input_508010!A:H,8,FALSE))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input_508010!A$2</f>
        <v>508010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IFERROR(VLOOKUP(B285,input_508010!L:R,7,FALSE),VLOOKUP(tables_508010!C285,input_508010!A:H,8,FALSE))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input_508010!A$2</f>
        <v>508010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IFERROR(VLOOKUP(B286,input_508010!L:R,7,FALSE),VLOOKUP(tables_508010!C286,input_508010!A:H,8,FALSE))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input_508010!A$2</f>
        <v>508010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IFERROR(VLOOKUP(B287,input_508010!L:R,7,FALSE),VLOOKUP(tables_508010!C287,input_508010!A:H,8,FALSE))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input_508010!A$2</f>
        <v>508010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IFERROR(VLOOKUP(B288,input_508010!L:R,7,FALSE),VLOOKUP(tables_508010!C288,input_508010!A:H,8,FALSE))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input_508010!A$2</f>
        <v>508010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IFERROR(VLOOKUP(B289,input_508010!L:R,7,FALSE),VLOOKUP(tables_508010!C289,input_508010!A:H,8,FALSE))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input_508010!A$2</f>
        <v>508010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IFERROR(VLOOKUP(B290,input_508010!L:R,7,FALSE),VLOOKUP(tables_508010!C290,input_508010!A:H,8,FALSE))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input_508010!A$2</f>
        <v>508010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IFERROR(VLOOKUP(B291,input_508010!L:R,7,FALSE),VLOOKUP(tables_508010!C291,input_508010!A:H,8,FALSE))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input_508010!A$2</f>
        <v>508010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IFERROR(VLOOKUP(B292,input_508010!L:R,7,FALSE),VLOOKUP(tables_508010!C292,input_508010!A:H,8,FALSE))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input_508010!A$2</f>
        <v>508010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IFERROR(VLOOKUP(B293,input_508010!L:R,7,FALSE),VLOOKUP(tables_508010!C293,input_508010!A:H,8,FALSE))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input_508010!A$2</f>
        <v>508010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IFERROR(VLOOKUP(B294,input_508010!L:R,7,FALSE),VLOOKUP(tables_508010!C294,input_508010!A:H,8,FALSE))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input_508010!A$2</f>
        <v>508010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IFERROR(VLOOKUP(B295,input_508010!L:R,7,FALSE),VLOOKUP(tables_508010!C295,input_508010!A:H,8,FALSE))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input_508010!A$2</f>
        <v>508010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IFERROR(VLOOKUP(B296,input_508010!L:R,7,FALSE),VLOOKUP(tables_508010!C296,input_508010!A:H,8,FALSE))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input_508010!A$2</f>
        <v>508010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IFERROR(VLOOKUP(B297,input_508010!L:R,7,FALSE),VLOOKUP(tables_508010!C297,input_508010!A:H,8,FALSE))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input_508010!A$2</f>
        <v>508010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IFERROR(VLOOKUP(B298,input_508010!L:R,7,FALSE),VLOOKUP(tables_508010!C298,input_508010!A:H,8,FALSE))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input_508010!A$2</f>
        <v>508010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IFERROR(VLOOKUP(B299,input_508010!L:R,7,FALSE),VLOOKUP(tables_508010!C299,input_508010!A:H,8,FALSE))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input_508010!A$2</f>
        <v>508010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IFERROR(VLOOKUP(B300,input_508010!L:R,7,FALSE),VLOOKUP(tables_508010!C300,input_508010!A:H,8,FALSE))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input_508010!A$2</f>
        <v>508010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IFERROR(VLOOKUP(B301,input_508010!L:R,7,FALSE),VLOOKUP(tables_508010!C301,input_508010!A:H,8,FALSE))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input_508010!A$2</f>
        <v>508010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IFERROR(VLOOKUP(B302,input_508010!L:R,7,FALSE),VLOOKUP(tables_508010!C302,input_508010!A:H,8,FALSE))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input_508010!A$2</f>
        <v>508010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IFERROR(VLOOKUP(B303,input_508010!L:R,7,FALSE),VLOOKUP(tables_508010!C303,input_508010!A:H,8,FALSE))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input_508010!A$2</f>
        <v>508010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IFERROR(VLOOKUP(B304,input_508010!L:R,7,FALSE),VLOOKUP(tables_508010!C304,input_508010!A:H,8,FALSE))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input_508010!A$2</f>
        <v>508010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IFERROR(VLOOKUP(B305,input_508010!L:R,7,FALSE),VLOOKUP(tables_508010!C305,input_508010!A:H,8,FALSE))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input_508010!A$2</f>
        <v>508010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IFERROR(VLOOKUP(B306,input_508010!L:R,7,FALSE),VLOOKUP(tables_508010!C306,input_508010!A:H,8,FALSE))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input_508010!A$2</f>
        <v>508010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IFERROR(VLOOKUP(B307,input_508010!L:R,7,FALSE),VLOOKUP(tables_508010!C307,input_508010!A:H,8,FALSE))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input_508010!A$2</f>
        <v>508010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IFERROR(VLOOKUP(B308,input_508010!L:R,7,FALSE),VLOOKUP(tables_508010!C308,input_508010!A:H,8,FALSE))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input_508010!A$2</f>
        <v>508010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IFERROR(VLOOKUP(B309,input_508010!L:R,7,FALSE),VLOOKUP(tables_508010!C309,input_508010!A:H,8,FALSE))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input_508010!A$2</f>
        <v>508010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IFERROR(VLOOKUP(B310,input_508010!L:R,7,FALSE),VLOOKUP(tables_508010!C310,input_508010!A:H,8,FALSE))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input_508010!A$2</f>
        <v>508010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IFERROR(VLOOKUP(B311,input_508010!L:R,7,FALSE),VLOOKUP(tables_508010!C311,input_508010!A:H,8,FALSE))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input_508010!A$2</f>
        <v>508010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IFERROR(VLOOKUP(B312,input_508010!L:R,7,FALSE),VLOOKUP(tables_508010!C312,input_508010!A:H,8,FALSE))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input_508010!A$2</f>
        <v>508010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IFERROR(VLOOKUP(B313,input_508010!L:R,7,FALSE),VLOOKUP(tables_508010!C313,input_508010!A:H,8,FALSE))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input_508010!A$2</f>
        <v>508010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IFERROR(VLOOKUP(B314,input_508010!L:R,7,FALSE),VLOOKUP(tables_508010!C314,input_508010!A:H,8,FALSE))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input_508010!A$2</f>
        <v>508010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IFERROR(VLOOKUP(B315,input_508010!L:R,7,FALSE),VLOOKUP(tables_508010!C315,input_508010!A:H,8,FALSE))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input_508010!A$2</f>
        <v>508010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IFERROR(VLOOKUP(B316,input_508010!L:R,7,FALSE),VLOOKUP(tables_508010!C316,input_508010!A:H,8,FALSE))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input_508010!A$2</f>
        <v>508010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IFERROR(VLOOKUP(B317,input_508010!L:R,7,FALSE),VLOOKUP(tables_508010!C317,input_508010!A:H,8,FALSE))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input_508010!A$2</f>
        <v>508010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IFERROR(VLOOKUP(B318,input_508010!L:R,7,FALSE),VLOOKUP(tables_508010!C318,input_508010!A:H,8,FALSE))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input_508010!A$2</f>
        <v>508010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IFERROR(VLOOKUP(B319,input_508010!L:R,7,FALSE),VLOOKUP(tables_508010!C319,input_508010!A:H,8,FALSE))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input_508010!A$2</f>
        <v>508010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IFERROR(VLOOKUP(B320,input_508010!L:R,7,FALSE),VLOOKUP(tables_508010!C320,input_508010!A:H,8,FALSE))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input_508010!A$2</f>
        <v>508010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IFERROR(VLOOKUP(B321,input_508010!L:R,7,FALSE),VLOOKUP(tables_508010!C321,input_508010!A:H,8,FALSE))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input_508010!A$2</f>
        <v>508010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IFERROR(VLOOKUP(B322,input_508010!L:R,7,FALSE),VLOOKUP(tables_508010!C322,input_508010!A:H,8,FALSE))</f>
        <v>47000</v>
      </c>
      <c r="P322" s="46">
        <f t="shared" ref="P322:P330" ca="1" si="23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input_508010!A$2</f>
        <v>508010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IFERROR(VLOOKUP(B323,input_508010!L:R,7,FALSE),VLOOKUP(tables_508010!C323,input_508010!A:H,8,FALSE))</f>
        <v>47000</v>
      </c>
      <c r="P323" s="46">
        <f t="shared" ca="1" si="23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input_508010!A$2</f>
        <v>508010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IFERROR(VLOOKUP(B324,input_508010!L:R,7,FALSE),VLOOKUP(tables_508010!C324,input_508010!A:H,8,FALSE))</f>
        <v>558360</v>
      </c>
      <c r="P324" s="46">
        <f t="shared" ca="1" si="23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input_508010!A$2</f>
        <v>508010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IFERROR(VLOOKUP(B325,input_508010!L:R,7,FALSE),VLOOKUP(tables_508010!C325,input_508010!A:H,8,FALSE))</f>
        <v>46530</v>
      </c>
      <c r="P325" s="46">
        <f t="shared" ca="1" si="23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input_508010!A$2</f>
        <v>508010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IFERROR(VLOOKUP(B326,input_508010!L:R,7,FALSE),VLOOKUP(tables_508010!C326,input_508010!A:H,8,FALSE))</f>
        <v>558360</v>
      </c>
      <c r="P326" s="46">
        <f t="shared" ca="1" si="23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input_508010!A$2</f>
        <v>508010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IFERROR(VLOOKUP(B327,input_508010!L:R,7,FALSE),VLOOKUP(tables_508010!C327,input_508010!A:H,8,FALSE))</f>
        <v>46530</v>
      </c>
      <c r="P327" s="46">
        <f t="shared" ca="1" si="23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input_508010!A$2</f>
        <v>508010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IFERROR(VLOOKUP(B328,input_508010!L:R,7,FALSE),VLOOKUP(tables_508010!C328,input_508010!A:H,8,FALSE))</f>
        <v>47000</v>
      </c>
      <c r="P328" s="46">
        <f t="shared" ca="1" si="23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input_508010!A$2</f>
        <v>508010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IFERROR(VLOOKUP(B329,input_508010!L:R,7,FALSE),VLOOKUP(tables_508010!C329,input_508010!A:H,8,FALSE))</f>
        <v>47000</v>
      </c>
      <c r="P329" s="46">
        <f t="shared" ca="1" si="23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input_508010!A$2</f>
        <v>508010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IFERROR(VLOOKUP(B330,input_508010!L:R,7,FALSE),VLOOKUP(tables_508010!C330,input_508010!A:H,8,FALSE))</f>
        <v>47000</v>
      </c>
      <c r="P330" s="46">
        <f t="shared" ca="1" si="23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input_508010!A$2</f>
        <v>508010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IFERROR(VLOOKUP(B331,input_508010!L:R,7,FALSE),VLOOKUP(tables_508010!C331,input_508010!A:H,8,FALSE))</f>
        <v>47000</v>
      </c>
      <c r="P331" s="46">
        <f t="shared" ref="P331:P335" ca="1" si="28">O331/SUM(O:O)</f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input_508010!A$2</f>
        <v>508010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IFERROR(VLOOKUP(B332,input_508010!L:R,7,FALSE),VLOOKUP(tables_508010!C332,input_508010!A:H,8,FALSE))</f>
        <v>47000</v>
      </c>
      <c r="P332" s="46">
        <f t="shared" ca="1" si="28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input_508010!A$2</f>
        <v>508010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IFERROR(VLOOKUP(B333,input_508010!L:R,7,FALSE),VLOOKUP(tables_508010!C333,input_508010!A:H,8,FALSE))</f>
        <v>47000</v>
      </c>
      <c r="P333" s="46">
        <f t="shared" ca="1" si="28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input_508010!A$2</f>
        <v>508010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IFERROR(VLOOKUP(B334,input_508010!L:R,7,FALSE),VLOOKUP(tables_508010!C334,input_508010!A:H,8,FALSE))</f>
        <v>558360</v>
      </c>
      <c r="P334" s="46">
        <f t="shared" ca="1" si="28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input_508010!A$2</f>
        <v>508010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IFERROR(VLOOKUP(B335,input_508010!L:R,7,FALSE),VLOOKUP(tables_508010!C335,input_508010!A:H,8,FALSE))</f>
        <v>46530</v>
      </c>
      <c r="P335" s="46">
        <f t="shared" ca="1" si="28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input_508010!A$2</f>
        <v>508010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IFERROR(VLOOKUP(B336,input_508010!L:R,7,FALSE),VLOOKUP(tables_508010!C336,input_508010!A:H,8,FALSE))</f>
        <v>558360</v>
      </c>
      <c r="P336" s="46">
        <f t="shared" ref="P336:P340" ca="1" si="31">O336/SUM(O:O)</f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input_508010!A$2</f>
        <v>508010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IFERROR(VLOOKUP(B337,input_508010!L:R,7,FALSE),VLOOKUP(tables_508010!C337,input_508010!A:H,8,FALSE))</f>
        <v>46530</v>
      </c>
      <c r="P337" s="46">
        <f t="shared" ca="1" si="31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input_508010!A$2</f>
        <v>508010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IFERROR(VLOOKUP(B338,input_508010!L:R,7,FALSE),VLOOKUP(tables_508010!C338,input_508010!A:H,8,FALSE))</f>
        <v>47000</v>
      </c>
      <c r="P338" s="46">
        <f t="shared" ca="1" si="31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input_508010!A$2</f>
        <v>508010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IFERROR(VLOOKUP(B339,input_508010!L:R,7,FALSE),VLOOKUP(tables_508010!C339,input_508010!A:H,8,FALSE))</f>
        <v>47000</v>
      </c>
      <c r="P339" s="46">
        <f t="shared" ca="1" si="31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input_508010!A$2</f>
        <v>508010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IFERROR(VLOOKUP(B340,input_508010!L:R,7,FALSE),VLOOKUP(tables_508010!C340,input_508010!A:H,8,FALSE))</f>
        <v>47000</v>
      </c>
      <c r="P340" s="46">
        <f t="shared" ca="1" si="31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input_508010!A$2</f>
        <v>508010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IFERROR(VLOOKUP(B341,input_508010!L:R,7,FALSE),VLOOKUP(tables_508010!C341,input_508010!A:H,8,FALSE))</f>
        <v>47000</v>
      </c>
      <c r="P341" s="46">
        <f t="shared" ref="P341:P342" ca="1" si="34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input_508010!A$2</f>
        <v>508010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IFERROR(VLOOKUP(B342,input_508010!L:R,7,FALSE),VLOOKUP(tables_508010!C342,input_508010!A:H,8,FALSE))</f>
        <v>47000</v>
      </c>
      <c r="P342" s="46">
        <f t="shared" ca="1" si="34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input_508010!A$2</f>
        <v>508010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IFERROR(VLOOKUP(B343,input_508010!L:R,7,FALSE),VLOOKUP(tables_508010!C343,input_508010!A:H,8,FALSE))</f>
        <v>558360</v>
      </c>
      <c r="P343" s="46">
        <f t="shared" ref="P343:P347" ca="1" si="37">O343/SUM(O:O)</f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input_508010!A$2</f>
        <v>508010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IFERROR(VLOOKUP(B344,input_508010!L:R,7,FALSE),VLOOKUP(tables_508010!C344,input_508010!A:H,8,FALSE))</f>
        <v>46530</v>
      </c>
      <c r="P344" s="46">
        <f t="shared" ca="1" si="37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input_508010!A$2</f>
        <v>508010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IFERROR(VLOOKUP(B345,input_508010!L:R,7,FALSE),VLOOKUP(tables_508010!C345,input_508010!A:H,8,FALSE))</f>
        <v>47000</v>
      </c>
      <c r="P345" s="46">
        <f t="shared" ca="1" si="37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input_508010!A$2</f>
        <v>508010</v>
      </c>
      <c r="B346" s="1">
        <v>1340</v>
      </c>
      <c r="C346" s="7" t="str">
        <f t="shared" si="35"/>
        <v>PremiumSSS5R3less</v>
      </c>
      <c r="D346" s="97" t="str">
        <f t="shared" si="36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IFERROR(VLOOKUP(B346,input_508010!L:R,7,FALSE),VLOOKUP(tables_508010!C346,input_508010!A:H,8,FALSE))</f>
        <v>310200</v>
      </c>
      <c r="P346" s="46">
        <f t="shared" ca="1" si="37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input_508010!A$2</f>
        <v>508010</v>
      </c>
      <c r="B347" s="1">
        <v>790</v>
      </c>
      <c r="C347" s="7" t="str">
        <f t="shared" si="35"/>
        <v>PremiumSSS5R3less</v>
      </c>
      <c r="D347" s="97" t="str">
        <f t="shared" si="3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戦略級の才脳 ノイマン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attack</v>
      </c>
      <c r="M347" s="7" t="str">
        <f>VLOOKUP(B347,[1]characters!$A:$M,13,FALSE)</f>
        <v>machine</v>
      </c>
      <c r="N347" s="7" t="str">
        <f>VLOOKUP(B347,[1]characters!$A:$G,7,FALSE)</f>
        <v>女性</v>
      </c>
      <c r="O347" s="45">
        <f ca="1">IFERROR(VLOOKUP(B347,input_508010!L:R,7,FALSE),VLOOKUP(tables_508010!C347,input_508010!A:H,8,FALSE))</f>
        <v>310200</v>
      </c>
      <c r="P347" s="46">
        <f t="shared" ca="1" si="37"/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G16" sqref="G1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VLOOKUP(L3,tables_508100!B:C,2,FALSE)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(COUNTIF(tables_508100!C:C,input_508100!A28)+COUNTIF(tables_508100!C:C,input_508100!A29))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0.01</v>
      </c>
      <c r="F6">
        <f>(COUNTIF(tables_508100!C:C,input_508100!A25)+COUNTIF(tables_508100!C:C,input_508100!A18)+COUNTIF(tables_508100!C:C,input_508100!A20)+COUNTIF(tables_508100!C:C,input_508100!A22))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COUNTIF(tables_508100!C:C,input_508100!A17)-COUNTIF(Q:Q,A17)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0.22537878787878785</v>
      </c>
      <c r="C18" s="85">
        <f t="shared" si="2"/>
        <v>0</v>
      </c>
      <c r="D18" s="74">
        <f t="shared" si="3"/>
        <v>0.22537878787878785</v>
      </c>
      <c r="E18">
        <f>COUNTIF(tables_508100!C:C,input_508100!A18)-COUNTIF(Q:Q,A18)</f>
        <v>20</v>
      </c>
      <c r="F18" s="43">
        <f>IFERROR(B18/E18,0)</f>
        <v>1.1268939393939392E-2</v>
      </c>
      <c r="G18">
        <f t="shared" si="4"/>
        <v>13982499.999999998</v>
      </c>
      <c r="H18">
        <f t="shared" si="5"/>
        <v>699125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COUNTIF(tables_508100!C:C,input_508100!A19)-COUNTIF(Q:Q,A19)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0.48100000000000004</v>
      </c>
      <c r="C20" s="85">
        <f t="shared" si="2"/>
        <v>0</v>
      </c>
      <c r="D20" s="74">
        <f t="shared" si="3"/>
        <v>0.48100000000000004</v>
      </c>
      <c r="E20">
        <f>COUNTIF(tables_508100!C:C,input_508100!A20)-COUNTIF(Q:Q,A20)</f>
        <v>52</v>
      </c>
      <c r="F20" s="43">
        <f t="shared" si="8"/>
        <v>9.2500000000000013E-3</v>
      </c>
      <c r="G20">
        <f t="shared" si="4"/>
        <v>29841240.000000004</v>
      </c>
      <c r="H20">
        <f t="shared" si="5"/>
        <v>573870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COUNTIF(tables_508100!C:C,input_508100!A21)-COUNTIF(Q:Q,A21)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COUNTIF(tables_508100!C:C,input_508100!A22)-COUNTIF(Q:Q,A22)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COUNTIF(tables_508100!C:C,input_508100!A23)-COUNTIF(Q:Q,A23)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COUNTIF(tables_508100!C:C,input_508100!A24)-COUNTIF(Q:Q,A24)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5">
        <f t="shared" si="2"/>
        <v>0</v>
      </c>
      <c r="D25" s="74">
        <f t="shared" si="3"/>
        <v>3.7000000000000005E-2</v>
      </c>
      <c r="E25">
        <f>COUNTIF(tables_508100!C:C,input_508100!A25)-COUNTIF(Q:Q,A25)</f>
        <v>4</v>
      </c>
      <c r="F25" s="43">
        <f t="shared" si="8"/>
        <v>9.2500000000000013E-3</v>
      </c>
      <c r="G25">
        <f t="shared" si="4"/>
        <v>2295480.0000000005</v>
      </c>
      <c r="H25">
        <f t="shared" si="5"/>
        <v>573870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COUNTIF(tables_508100!C:C,input_508100!A26)-COUNTIF(Q:Q,A26)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COUNTIF(tables_508100!C:C,input_508100!A27)-COUNTIF(Q:Q,A27)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COUNTIF(tables_508100!C:C,input_508100!A28)-COUNTIF(Q:Q,A28)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COUNTIF(tables_508100!C:C,input_508100!A29)-COUNTIF(Q:Q,A29)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COUNTIF(tables_508100!C:C,input_508100!A30)-COUNTIF(Q:Q,A30)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COUNTIF(tables_508100!C:C,input_508100!A31)-COUNTIF(Q:Q,A31)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-0.47500000000000003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SUMIF(tables_508100!C:C,input_508100!A40,tables_508100!O:O)</f>
        <v>0</v>
      </c>
      <c r="C40" s="54">
        <f t="shared" ref="C40:C46" ca="1" si="9">B40/B$47</f>
        <v>0</v>
      </c>
      <c r="E40">
        <v>3</v>
      </c>
      <c r="F40">
        <f ca="1">SUMIF(tables_508100!J:J,input_508100!E40,tables_508100!O:O)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SUMIF(tables_508100!C:C,input_508100!A41,tables_508100!O:O)</f>
        <v>29841240</v>
      </c>
      <c r="C41" s="54">
        <f t="shared" ca="1" si="9"/>
        <v>0.93247172858867977</v>
      </c>
      <c r="E41">
        <v>4</v>
      </c>
      <c r="F41">
        <f ca="1">SUMIF(tables_508100!J:J,input_508100!E41,tables_508100!O:O)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SUMIF(tables_508100!C:C,input_508100!A42,tables_508100!O:O)</f>
        <v>1217300</v>
      </c>
      <c r="C42" s="54">
        <f t="shared" ca="1" si="9"/>
        <v>3.8037891026344743E-2</v>
      </c>
      <c r="E42">
        <v>5</v>
      </c>
      <c r="F42">
        <f ca="1">SUMIF(tables_508100!J:J,input_508100!E42,tables_508100!O:O)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SUMIF(tables_508100!C:C,input_508100!A43,tables_508100!O:O)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SUMIF(tables_508100!C:C,input_508100!A44,tables_508100!O:O)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SUMIF(tables_508100!C:C,input_508100!A45,tables_508100!O:O)</f>
        <v>98700</v>
      </c>
      <c r="C45" s="54">
        <f t="shared" ca="1" si="9"/>
        <v>3.0841533264603848E-3</v>
      </c>
      <c r="E45" t="s">
        <v>204</v>
      </c>
      <c r="F45" s="55">
        <f ca="1">SUMIF(tables_508100!I:I,input_508100!E45,tables_508100!P:P)</f>
        <v>0.22987878787804714</v>
      </c>
    </row>
    <row r="46" spans="1:7" x14ac:dyDescent="0.15">
      <c r="A46" s="33" t="s">
        <v>108</v>
      </c>
      <c r="B46">
        <f>SUMIF(tables_508100!C:C,input_508100!A46,tables_508100!O:O)</f>
        <v>0</v>
      </c>
      <c r="C46" s="54">
        <f t="shared" ca="1" si="9"/>
        <v>0</v>
      </c>
      <c r="E46" t="s">
        <v>205</v>
      </c>
      <c r="F46" s="55">
        <f ca="1">SUMIF(tables_508100!I:I,input_508100!E46,tables_508100!P:P)</f>
        <v>0.19170308857852481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1</v>
      </c>
      <c r="E47" t="s">
        <v>206</v>
      </c>
      <c r="F47" s="55">
        <f ca="1">SUMIF(tables_508100!I:I,input_508100!E47,tables_508100!P:P)</f>
        <v>0.5184181235436226</v>
      </c>
    </row>
    <row r="48" spans="1:7" x14ac:dyDescent="0.15">
      <c r="E48" t="s">
        <v>207</v>
      </c>
      <c r="F48" s="55">
        <f ca="1">SUMIF(tables_508100!I:I,input_508100!E48,tables_508100!P:P)</f>
        <v>4.4696969696825607E-2</v>
      </c>
      <c r="G48" s="55">
        <f ca="1">0.05-F48-F49</f>
        <v>1.6118096440864704E-13</v>
      </c>
    </row>
    <row r="49" spans="5:7" x14ac:dyDescent="0.15">
      <c r="E49" t="s">
        <v>250</v>
      </c>
      <c r="F49" s="55">
        <f ca="1">SUMIF(tables_508100!I:I,input_508100!E49,tables_508100!P:P)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48" sqref="B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input_508100!A$2</f>
        <v>508100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IFERROR(VLOOKUP(B2,input_508100!L:R,7,FALSE),VLOOKUP(tables_508100!C2,input_508100!A:H,8,FALSE))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input_508100!A$2</f>
        <v>508100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IFERROR(VLOOKUP(B3,input_508100!L:R,7,FALSE),VLOOKUP(tables_508100!C3,input_508100!A:H,8,FALSE))</f>
        <v>699125</v>
      </c>
      <c r="P3" s="46">
        <f t="shared" ca="1" si="1"/>
        <v>1.1268939393903079E-2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input_508100!A$2</f>
        <v>508100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IFERROR(VLOOKUP(B4,input_508100!L:R,7,FALSE),VLOOKUP(tables_508100!C4,input_508100!A:H,8,FALSE))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input_508100!A$2</f>
        <v>508100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IFERROR(VLOOKUP(B5,input_508100!L:R,7,FALSE),VLOOKUP(tables_508100!C5,input_508100!A:H,8,FALSE))</f>
        <v>699125</v>
      </c>
      <c r="P5" s="46">
        <f t="shared" ca="1" si="1"/>
        <v>1.1268939393903079E-2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input_508100!A$2</f>
        <v>508100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IFERROR(VLOOKUP(B6,input_508100!L:R,7,FALSE),VLOOKUP(tables_508100!C6,input_508100!A:H,8,FALSE))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input_508100!A$2</f>
        <v>508100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IFERROR(VLOOKUP(B7,input_508100!L:R,7,FALSE),VLOOKUP(tables_508100!C7,input_508100!A:H,8,FALSE))</f>
        <v>699125</v>
      </c>
      <c r="P7" s="46">
        <f t="shared" ca="1" si="1"/>
        <v>1.1268939393903079E-2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input_508100!A$2</f>
        <v>508100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IFERROR(VLOOKUP(B8,input_508100!L:R,7,FALSE),VLOOKUP(tables_508100!C8,input_508100!A:H,8,FALSE))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input_508100!A$2</f>
        <v>508100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IFERROR(VLOOKUP(B9,input_508100!L:R,7,FALSE),VLOOKUP(tables_508100!C9,input_508100!A:H,8,FALSE))</f>
        <v>699125</v>
      </c>
      <c r="P9" s="46">
        <f t="shared" ca="1" si="1"/>
        <v>1.1268939393903079E-2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input_508100!A$2</f>
        <v>508100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IFERROR(VLOOKUP(B10,input_508100!L:R,7,FALSE),VLOOKUP(tables_508100!C10,input_508100!A:H,8,FALSE))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input_508100!A$2</f>
        <v>508100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IFERROR(VLOOKUP(B11,input_508100!L:R,7,FALSE),VLOOKUP(tables_508100!C11,input_508100!A:H,8,FALSE))</f>
        <v>699125</v>
      </c>
      <c r="P11" s="46">
        <f t="shared" ca="1" si="1"/>
        <v>1.1268939393903079E-2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input_508100!A$2</f>
        <v>508100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IFERROR(VLOOKUP(B12,input_508100!L:R,7,FALSE),VLOOKUP(tables_508100!C12,input_508100!A:H,8,FALSE))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input_508100!A$2</f>
        <v>508100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IFERROR(VLOOKUP(B13,input_508100!L:R,7,FALSE),VLOOKUP(tables_508100!C13,input_508100!A:H,8,FALSE))</f>
        <v>699125</v>
      </c>
      <c r="P13" s="46">
        <f t="shared" ca="1" si="1"/>
        <v>1.1268939393903079E-2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input_508100!A$2</f>
        <v>508100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IFERROR(VLOOKUP(B14,input_508100!L:R,7,FALSE),VLOOKUP(tables_508100!C14,input_508100!A:H,8,FALSE))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input_508100!A$2</f>
        <v>508100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IFERROR(VLOOKUP(B15,input_508100!L:R,7,FALSE),VLOOKUP(tables_508100!C15,input_508100!A:H,8,FALSE))</f>
        <v>699125</v>
      </c>
      <c r="P15" s="46">
        <f t="shared" ca="1" si="1"/>
        <v>1.1268939393903079E-2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input_508100!A$2</f>
        <v>508100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IFERROR(VLOOKUP(B16,input_508100!L:R,7,FALSE),VLOOKUP(tables_508100!C16,input_508100!A:H,8,FALSE))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input_508100!A$2</f>
        <v>508100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IFERROR(VLOOKUP(B17,input_508100!L:R,7,FALSE),VLOOKUP(tables_508100!C17,input_508100!A:H,8,FALSE))</f>
        <v>699125</v>
      </c>
      <c r="P17" s="46">
        <f t="shared" ca="1" si="1"/>
        <v>1.1268939393903079E-2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input_508100!A$2</f>
        <v>508100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IFERROR(VLOOKUP(B18,input_508100!L:R,7,FALSE),VLOOKUP(tables_508100!C18,input_508100!A:H,8,FALSE))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input_508100!A$2</f>
        <v>508100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IFERROR(VLOOKUP(B19,input_508100!L:R,7,FALSE),VLOOKUP(tables_508100!C19,input_508100!A:H,8,FALSE))</f>
        <v>699125</v>
      </c>
      <c r="P19" s="46">
        <f t="shared" ca="1" si="1"/>
        <v>1.1268939393903079E-2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input_508100!A$2</f>
        <v>508100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IFERROR(VLOOKUP(B20,input_508100!L:R,7,FALSE),VLOOKUP(tables_508100!C20,input_508100!A:H,8,FALSE))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input_508100!A$2</f>
        <v>508100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IFERROR(VLOOKUP(B21,input_508100!L:R,7,FALSE),VLOOKUP(tables_508100!C21,input_508100!A:H,8,FALSE))</f>
        <v>699125</v>
      </c>
      <c r="P21" s="46">
        <f t="shared" ca="1" si="1"/>
        <v>1.1268939393903079E-2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input_508100!A$2</f>
        <v>508100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IFERROR(VLOOKUP(B22,input_508100!L:R,7,FALSE),VLOOKUP(tables_508100!C22,input_508100!A:H,8,FALSE))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input_508100!A$2</f>
        <v>508100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IFERROR(VLOOKUP(B23,input_508100!L:R,7,FALSE),VLOOKUP(tables_508100!C23,input_508100!A:H,8,FALSE))</f>
        <v>699125</v>
      </c>
      <c r="P23" s="46">
        <f t="shared" ca="1" si="1"/>
        <v>1.1268939393903079E-2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input_508100!A$2</f>
        <v>508100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IFERROR(VLOOKUP(B24,input_508100!L:R,7,FALSE),VLOOKUP(tables_508100!C24,input_508100!A:H,8,FALSE))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input_508100!A$2</f>
        <v>508100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IFERROR(VLOOKUP(B25,input_508100!L:R,7,FALSE),VLOOKUP(tables_508100!C25,input_508100!A:H,8,FALSE))</f>
        <v>699125</v>
      </c>
      <c r="P25" s="46">
        <f t="shared" ca="1" si="1"/>
        <v>1.1268939393903079E-2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input_508100!A$2</f>
        <v>508100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IFERROR(VLOOKUP(B26,input_508100!L:R,7,FALSE),VLOOKUP(tables_508100!C26,input_508100!A:H,8,FALSE))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input_508100!A$2</f>
        <v>508100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IFERROR(VLOOKUP(B27,input_508100!L:R,7,FALSE),VLOOKUP(tables_508100!C27,input_508100!A:H,8,FALSE))</f>
        <v>699125</v>
      </c>
      <c r="P27" s="46">
        <f t="shared" ca="1" si="1"/>
        <v>1.1268939393903079E-2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input_508100!A$2</f>
        <v>508100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IFERROR(VLOOKUP(B28,input_508100!L:R,7,FALSE),VLOOKUP(tables_508100!C28,input_508100!A:H,8,FALSE))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input_508100!A$2</f>
        <v>508100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IFERROR(VLOOKUP(B29,input_508100!L:R,7,FALSE),VLOOKUP(tables_508100!C29,input_508100!A:H,8,FALSE))</f>
        <v>699125</v>
      </c>
      <c r="P29" s="46">
        <f t="shared" ca="1" si="1"/>
        <v>1.1268939393903079E-2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input_508100!A$2</f>
        <v>508100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IFERROR(VLOOKUP(B30,input_508100!L:R,7,FALSE),VLOOKUP(tables_508100!C30,input_508100!A:H,8,FALSE))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input_508100!A$2</f>
        <v>508100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IFERROR(VLOOKUP(B31,input_508100!L:R,7,FALSE),VLOOKUP(tables_508100!C31,input_508100!A:H,8,FALSE))</f>
        <v>699125</v>
      </c>
      <c r="P31" s="46">
        <f t="shared" ca="1" si="1"/>
        <v>1.1268939393903079E-2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input_508100!A$2</f>
        <v>508100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IFERROR(VLOOKUP(B32,input_508100!L:R,7,FALSE),VLOOKUP(tables_508100!C32,input_508100!A:H,8,FALSE))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input_508100!A$2</f>
        <v>508100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IFERROR(VLOOKUP(B33,input_508100!L:R,7,FALSE),VLOOKUP(tables_508100!C33,input_508100!A:H,8,FALSE))</f>
        <v>699125</v>
      </c>
      <c r="P33" s="46">
        <f t="shared" ca="1" si="1"/>
        <v>1.1268939393903079E-2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input_508100!A$2</f>
        <v>508100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IFERROR(VLOOKUP(B34,input_508100!L:R,7,FALSE),VLOOKUP(tables_508100!C34,input_508100!A:H,8,FALSE))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input_508100!A$2</f>
        <v>508100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IFERROR(VLOOKUP(B35,input_508100!L:R,7,FALSE),VLOOKUP(tables_508100!C35,input_508100!A:H,8,FALSE))</f>
        <v>699125</v>
      </c>
      <c r="P35" s="46">
        <f t="shared" ca="1" si="1"/>
        <v>1.1268939393903079E-2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input_508100!A$2</f>
        <v>508100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IFERROR(VLOOKUP(B36,input_508100!L:R,7,FALSE),VLOOKUP(tables_508100!C36,input_508100!A:H,8,FALSE))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input_508100!A$2</f>
        <v>508100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IFERROR(VLOOKUP(B37,input_508100!L:R,7,FALSE),VLOOKUP(tables_508100!C37,input_508100!A:H,8,FALSE))</f>
        <v>699125</v>
      </c>
      <c r="P37" s="46">
        <f t="shared" ca="1" si="1"/>
        <v>1.1268939393903079E-2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input_508100!A$2</f>
        <v>508100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IFERROR(VLOOKUP(B38,input_508100!L:R,7,FALSE),VLOOKUP(tables_508100!C38,input_508100!A:H,8,FALSE))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input_508100!A$2</f>
        <v>508100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IFERROR(VLOOKUP(B39,input_508100!L:R,7,FALSE),VLOOKUP(tables_508100!C39,input_508100!A:H,8,FALSE))</f>
        <v>699125</v>
      </c>
      <c r="P39" s="46">
        <f t="shared" ca="1" si="1"/>
        <v>1.1268939393903079E-2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input_508100!A$2</f>
        <v>508100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IFERROR(VLOOKUP(B40,input_508100!L:R,7,FALSE),VLOOKUP(tables_508100!C40,input_508100!A:H,8,FALSE))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input_508100!A$2</f>
        <v>508100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IFERROR(VLOOKUP(B41,input_508100!L:R,7,FALSE),VLOOKUP(tables_508100!C41,input_508100!A:H,8,FALSE))</f>
        <v>699125</v>
      </c>
      <c r="P41" s="46">
        <f t="shared" ca="1" si="1"/>
        <v>1.1268939393903079E-2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input_508100!A$2</f>
        <v>508100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IFERROR(VLOOKUP(B42,input_508100!L:R,7,FALSE),VLOOKUP(tables_508100!C42,input_508100!A:H,8,FALSE))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input_508100!A$2</f>
        <v>508100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IFERROR(VLOOKUP(B43,input_508100!L:R,7,FALSE),VLOOKUP(tables_508100!C43,input_508100!A:H,8,FALSE))</f>
        <v>573870</v>
      </c>
      <c r="P43" s="46">
        <f t="shared" ca="1" si="1"/>
        <v>9.2499999999701918E-3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input_508100!A$2</f>
        <v>508100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IFERROR(VLOOKUP(B44,input_508100!L:R,7,FALSE),VLOOKUP(tables_508100!C44,input_508100!A:H,8,FALSE))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input_508100!A$2</f>
        <v>508100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IFERROR(VLOOKUP(B45,input_508100!L:R,7,FALSE),VLOOKUP(tables_508100!C45,input_508100!A:H,8,FALSE))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input_508100!A$2</f>
        <v>508100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IFERROR(VLOOKUP(B46,input_508100!L:R,7,FALSE),VLOOKUP(tables_508100!C46,input_508100!A:H,8,FALSE))</f>
        <v>573870</v>
      </c>
      <c r="P46" s="46">
        <f t="shared" ca="1" si="1"/>
        <v>9.2499999999701918E-3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input_508100!A$2</f>
        <v>508100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IFERROR(VLOOKUP(B47,input_508100!L:R,7,FALSE),VLOOKUP(tables_508100!C47,input_508100!A:H,8,FALSE))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input_508100!A$2</f>
        <v>508100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IFERROR(VLOOKUP(B48,input_508100!L:R,7,FALSE),VLOOKUP(tables_508100!C48,input_508100!A:H,8,FALSE))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input_508100!A$2</f>
        <v>508100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IFERROR(VLOOKUP(B49,input_508100!L:R,7,FALSE),VLOOKUP(tables_508100!C49,input_508100!A:H,8,FALSE))</f>
        <v>573870</v>
      </c>
      <c r="P49" s="46">
        <f t="shared" ca="1" si="1"/>
        <v>9.2499999999701918E-3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input_508100!A$2</f>
        <v>508100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IFERROR(VLOOKUP(B50,input_508100!L:R,7,FALSE),VLOOKUP(tables_508100!C50,input_508100!A:H,8,FALSE))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input_508100!A$2</f>
        <v>508100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IFERROR(VLOOKUP(B51,input_508100!L:R,7,FALSE),VLOOKUP(tables_508100!C51,input_508100!A:H,8,FALSE))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input_508100!A$2</f>
        <v>508100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IFERROR(VLOOKUP(B52,input_508100!L:R,7,FALSE),VLOOKUP(tables_508100!C52,input_508100!A:H,8,FALSE))</f>
        <v>573870</v>
      </c>
      <c r="P52" s="46">
        <f t="shared" ca="1" si="1"/>
        <v>9.2499999999701918E-3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input_508100!A$2</f>
        <v>508100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IFERROR(VLOOKUP(B53,input_508100!L:R,7,FALSE),VLOOKUP(tables_508100!C53,input_508100!A:H,8,FALSE))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input_508100!A$2</f>
        <v>508100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IFERROR(VLOOKUP(B54,input_508100!L:R,7,FALSE),VLOOKUP(tables_508100!C54,input_508100!A:H,8,FALSE))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input_508100!A$2</f>
        <v>508100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IFERROR(VLOOKUP(B55,input_508100!L:R,7,FALSE),VLOOKUP(tables_508100!C55,input_508100!A:H,8,FALSE))</f>
        <v>573870</v>
      </c>
      <c r="P55" s="46">
        <f t="shared" ca="1" si="1"/>
        <v>9.2499999999701918E-3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input_508100!A$2</f>
        <v>508100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IFERROR(VLOOKUP(B56,input_508100!L:R,7,FALSE),VLOOKUP(tables_508100!C56,input_508100!A:H,8,FALSE))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input_508100!A$2</f>
        <v>508100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IFERROR(VLOOKUP(B57,input_508100!L:R,7,FALSE),VLOOKUP(tables_508100!C57,input_508100!A:H,8,FALSE))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input_508100!A$2</f>
        <v>508100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IFERROR(VLOOKUP(B58,input_508100!L:R,7,FALSE),VLOOKUP(tables_508100!C58,input_508100!A:H,8,FALSE))</f>
        <v>573870</v>
      </c>
      <c r="P58" s="46">
        <f t="shared" ca="1" si="1"/>
        <v>9.2499999999701918E-3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input_508100!A$2</f>
        <v>508100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IFERROR(VLOOKUP(B59,input_508100!L:R,7,FALSE),VLOOKUP(tables_508100!C59,input_508100!A:H,8,FALSE))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input_508100!A$2</f>
        <v>508100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IFERROR(VLOOKUP(B60,input_508100!L:R,7,FALSE),VLOOKUP(tables_508100!C60,input_508100!A:H,8,FALSE))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input_508100!A$2</f>
        <v>508100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IFERROR(VLOOKUP(B61,input_508100!L:R,7,FALSE),VLOOKUP(tables_508100!C61,input_508100!A:H,8,FALSE))</f>
        <v>573870</v>
      </c>
      <c r="P61" s="46">
        <f t="shared" ca="1" si="1"/>
        <v>9.2499999999701918E-3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input_508100!A$2</f>
        <v>508100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IFERROR(VLOOKUP(B62,input_508100!L:R,7,FALSE),VLOOKUP(tables_508100!C62,input_508100!A:H,8,FALSE))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input_508100!A$2</f>
        <v>508100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IFERROR(VLOOKUP(B63,input_508100!L:R,7,FALSE),VLOOKUP(tables_508100!C63,input_508100!A:H,8,FALSE))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input_508100!A$2</f>
        <v>508100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IFERROR(VLOOKUP(B64,input_508100!L:R,7,FALSE),VLOOKUP(tables_508100!C64,input_508100!A:H,8,FALSE))</f>
        <v>573870</v>
      </c>
      <c r="P64" s="46">
        <f t="shared" ca="1" si="1"/>
        <v>9.2499999999701918E-3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input_508100!A$2</f>
        <v>508100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IFERROR(VLOOKUP(B65,input_508100!L:R,7,FALSE),VLOOKUP(tables_508100!C65,input_508100!A:H,8,FALSE))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input_508100!A$2</f>
        <v>508100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IFERROR(VLOOKUP(B66,input_508100!L:R,7,FALSE),VLOOKUP(tables_508100!C66,input_508100!A:H,8,FALSE))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input_508100!A$2</f>
        <v>508100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IFERROR(VLOOKUP(B67,input_508100!L:R,7,FALSE),VLOOKUP(tables_508100!C67,input_508100!A:H,8,FALSE))</f>
        <v>573870</v>
      </c>
      <c r="P67" s="46">
        <f t="shared" ca="1" si="4"/>
        <v>9.2499999999701918E-3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input_508100!A$2</f>
        <v>508100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IFERROR(VLOOKUP(B68,input_508100!L:R,7,FALSE),VLOOKUP(tables_508100!C68,input_508100!A:H,8,FALSE))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input_508100!A$2</f>
        <v>508100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IFERROR(VLOOKUP(B69,input_508100!L:R,7,FALSE),VLOOKUP(tables_508100!C69,input_508100!A:H,8,FALSE))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input_508100!A$2</f>
        <v>508100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IFERROR(VLOOKUP(B70,input_508100!L:R,7,FALSE),VLOOKUP(tables_508100!C70,input_508100!A:H,8,FALSE))</f>
        <v>573870</v>
      </c>
      <c r="P70" s="46">
        <f t="shared" ca="1" si="4"/>
        <v>9.2499999999701918E-3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input_508100!A$2</f>
        <v>508100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IFERROR(VLOOKUP(B71,input_508100!L:R,7,FALSE),VLOOKUP(tables_508100!C71,input_508100!A:H,8,FALSE))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input_508100!A$2</f>
        <v>508100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IFERROR(VLOOKUP(B72,input_508100!L:R,7,FALSE),VLOOKUP(tables_508100!C72,input_508100!A:H,8,FALSE))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input_508100!A$2</f>
        <v>508100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IFERROR(VLOOKUP(B73,input_508100!L:R,7,FALSE),VLOOKUP(tables_508100!C73,input_508100!A:H,8,FALSE))</f>
        <v>573870</v>
      </c>
      <c r="P73" s="46">
        <f t="shared" ca="1" si="4"/>
        <v>9.2499999999701918E-3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input_508100!A$2</f>
        <v>508100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IFERROR(VLOOKUP(B74,input_508100!L:R,7,FALSE),VLOOKUP(tables_508100!C74,input_508100!A:H,8,FALSE))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input_508100!A$2</f>
        <v>508100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IFERROR(VLOOKUP(B75,input_508100!L:R,7,FALSE),VLOOKUP(tables_508100!C75,input_508100!A:H,8,FALSE))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input_508100!A$2</f>
        <v>508100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IFERROR(VLOOKUP(B76,input_508100!L:R,7,FALSE),VLOOKUP(tables_508100!C76,input_508100!A:H,8,FALSE))</f>
        <v>573870</v>
      </c>
      <c r="P76" s="46">
        <f t="shared" ca="1" si="4"/>
        <v>9.2499999999701918E-3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input_508100!A$2</f>
        <v>508100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IFERROR(VLOOKUP(B77,input_508100!L:R,7,FALSE),VLOOKUP(tables_508100!C77,input_508100!A:H,8,FALSE))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input_508100!A$2</f>
        <v>508100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IFERROR(VLOOKUP(B78,input_508100!L:R,7,FALSE),VLOOKUP(tables_508100!C78,input_508100!A:H,8,FALSE))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input_508100!A$2</f>
        <v>508100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IFERROR(VLOOKUP(B79,input_508100!L:R,7,FALSE),VLOOKUP(tables_508100!C79,input_508100!A:H,8,FALSE))</f>
        <v>573870</v>
      </c>
      <c r="P79" s="46">
        <f t="shared" ca="1" si="4"/>
        <v>9.2499999999701918E-3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input_508100!A$2</f>
        <v>508100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IFERROR(VLOOKUP(B80,input_508100!L:R,7,FALSE),VLOOKUP(tables_508100!C80,input_508100!A:H,8,FALSE))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input_508100!A$2</f>
        <v>508100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IFERROR(VLOOKUP(B81,input_508100!L:R,7,FALSE),VLOOKUP(tables_508100!C81,input_508100!A:H,8,FALSE))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input_508100!A$2</f>
        <v>508100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IFERROR(VLOOKUP(B82,input_508100!L:R,7,FALSE),VLOOKUP(tables_508100!C82,input_508100!A:H,8,FALSE))</f>
        <v>573870</v>
      </c>
      <c r="P82" s="46">
        <f t="shared" ca="1" si="4"/>
        <v>9.2499999999701918E-3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input_508100!A$2</f>
        <v>508100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IFERROR(VLOOKUP(B83,input_508100!L:R,7,FALSE),VLOOKUP(tables_508100!C83,input_508100!A:H,8,FALSE))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input_508100!A$2</f>
        <v>508100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IFERROR(VLOOKUP(B84,input_508100!L:R,7,FALSE),VLOOKUP(tables_508100!C84,input_508100!A:H,8,FALSE))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input_508100!A$2</f>
        <v>508100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IFERROR(VLOOKUP(B85,input_508100!L:R,7,FALSE),VLOOKUP(tables_508100!C85,input_508100!A:H,8,FALSE))</f>
        <v>573870</v>
      </c>
      <c r="P85" s="46">
        <f t="shared" ca="1" si="4"/>
        <v>9.2499999999701918E-3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input_508100!A$2</f>
        <v>508100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IFERROR(VLOOKUP(B86,input_508100!L:R,7,FALSE),VLOOKUP(tables_508100!C86,input_508100!A:H,8,FALSE))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input_508100!A$2</f>
        <v>508100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IFERROR(VLOOKUP(B87,input_508100!L:R,7,FALSE),VLOOKUP(tables_508100!C87,input_508100!A:H,8,FALSE))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input_508100!A$2</f>
        <v>508100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IFERROR(VLOOKUP(B88,input_508100!L:R,7,FALSE),VLOOKUP(tables_508100!C88,input_508100!A:H,8,FALSE))</f>
        <v>573870</v>
      </c>
      <c r="P88" s="46">
        <f t="shared" ca="1" si="4"/>
        <v>9.2499999999701918E-3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input_508100!A$2</f>
        <v>508100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IFERROR(VLOOKUP(B89,input_508100!L:R,7,FALSE),VLOOKUP(tables_508100!C89,input_508100!A:H,8,FALSE))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input_508100!A$2</f>
        <v>508100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IFERROR(VLOOKUP(B90,input_508100!L:R,7,FALSE),VLOOKUP(tables_508100!C90,input_508100!A:H,8,FALSE))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input_508100!A$2</f>
        <v>508100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IFERROR(VLOOKUP(B91,input_508100!L:R,7,FALSE),VLOOKUP(tables_508100!C91,input_508100!A:H,8,FALSE))</f>
        <v>573870</v>
      </c>
      <c r="P91" s="46">
        <f t="shared" ca="1" si="4"/>
        <v>9.2499999999701918E-3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input_508100!A$2</f>
        <v>508100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IFERROR(VLOOKUP(B92,input_508100!L:R,7,FALSE),VLOOKUP(tables_508100!C92,input_508100!A:H,8,FALSE))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input_508100!A$2</f>
        <v>508100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IFERROR(VLOOKUP(B93,input_508100!L:R,7,FALSE),VLOOKUP(tables_508100!C93,input_508100!A:H,8,FALSE))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input_508100!A$2</f>
        <v>508100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IFERROR(VLOOKUP(B94,input_508100!L:R,7,FALSE),VLOOKUP(tables_508100!C94,input_508100!A:H,8,FALSE))</f>
        <v>573870</v>
      </c>
      <c r="P94" s="46">
        <f t="shared" ca="1" si="4"/>
        <v>9.2499999999701918E-3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input_508100!A$2</f>
        <v>508100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IFERROR(VLOOKUP(B95,input_508100!L:R,7,FALSE),VLOOKUP(tables_508100!C95,input_508100!A:H,8,FALSE))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input_508100!A$2</f>
        <v>508100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IFERROR(VLOOKUP(B96,input_508100!L:R,7,FALSE),VLOOKUP(tables_508100!C96,input_508100!A:H,8,FALSE))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input_508100!A$2</f>
        <v>508100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IFERROR(VLOOKUP(B97,input_508100!L:R,7,FALSE),VLOOKUP(tables_508100!C97,input_508100!A:H,8,FALSE))</f>
        <v>573870</v>
      </c>
      <c r="P97" s="46">
        <f t="shared" ca="1" si="4"/>
        <v>9.2499999999701918E-3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input_508100!A$2</f>
        <v>508100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IFERROR(VLOOKUP(B98,input_508100!L:R,7,FALSE),VLOOKUP(tables_508100!C98,input_508100!A:H,8,FALSE))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input_508100!A$2</f>
        <v>508100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IFERROR(VLOOKUP(B99,input_508100!L:R,7,FALSE),VLOOKUP(tables_508100!C99,input_508100!A:H,8,FALSE))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input_508100!A$2</f>
        <v>508100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IFERROR(VLOOKUP(B100,input_508100!L:R,7,FALSE),VLOOKUP(tables_508100!C100,input_508100!A:H,8,FALSE))</f>
        <v>573870</v>
      </c>
      <c r="P100" s="46">
        <f t="shared" ca="1" si="4"/>
        <v>9.2499999999701918E-3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input_508100!A$2</f>
        <v>508100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IFERROR(VLOOKUP(B101,input_508100!L:R,7,FALSE),VLOOKUP(tables_508100!C101,input_508100!A:H,8,FALSE))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input_508100!A$2</f>
        <v>508100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IFERROR(VLOOKUP(B102,input_508100!L:R,7,FALSE),VLOOKUP(tables_508100!C102,input_508100!A:H,8,FALSE))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input_508100!A$2</f>
        <v>508100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IFERROR(VLOOKUP(B103,input_508100!L:R,7,FALSE),VLOOKUP(tables_508100!C103,input_508100!A:H,8,FALSE))</f>
        <v>573870</v>
      </c>
      <c r="P103" s="46">
        <f t="shared" ca="1" si="4"/>
        <v>9.2499999999701918E-3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input_508100!A$2</f>
        <v>508100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IFERROR(VLOOKUP(B104,input_508100!L:R,7,FALSE),VLOOKUP(tables_508100!C104,input_508100!A:H,8,FALSE))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input_508100!A$2</f>
        <v>508100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IFERROR(VLOOKUP(B105,input_508100!L:R,7,FALSE),VLOOKUP(tables_508100!C105,input_508100!A:H,8,FALSE))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input_508100!A$2</f>
        <v>508100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IFERROR(VLOOKUP(B106,input_508100!L:R,7,FALSE),VLOOKUP(tables_508100!C106,input_508100!A:H,8,FALSE))</f>
        <v>573870</v>
      </c>
      <c r="P106" s="46">
        <f t="shared" ca="1" si="4"/>
        <v>9.2499999999701918E-3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input_508100!A$2</f>
        <v>508100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IFERROR(VLOOKUP(B107,input_508100!L:R,7,FALSE),VLOOKUP(tables_508100!C107,input_508100!A:H,8,FALSE))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input_508100!A$2</f>
        <v>508100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IFERROR(VLOOKUP(B108,input_508100!L:R,7,FALSE),VLOOKUP(tables_508100!C108,input_508100!A:H,8,FALSE))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input_508100!A$2</f>
        <v>508100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IFERROR(VLOOKUP(B109,input_508100!L:R,7,FALSE),VLOOKUP(tables_508100!C109,input_508100!A:H,8,FALSE))</f>
        <v>573870</v>
      </c>
      <c r="P109" s="46">
        <f t="shared" ca="1" si="4"/>
        <v>9.2499999999701918E-3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input_508100!A$2</f>
        <v>508100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IFERROR(VLOOKUP(B110,input_508100!L:R,7,FALSE),VLOOKUP(tables_508100!C110,input_508100!A:H,8,FALSE))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input_508100!A$2</f>
        <v>508100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IFERROR(VLOOKUP(B111,input_508100!L:R,7,FALSE),VLOOKUP(tables_508100!C111,input_508100!A:H,8,FALSE))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input_508100!A$2</f>
        <v>508100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IFERROR(VLOOKUP(B112,input_508100!L:R,7,FALSE),VLOOKUP(tables_508100!C112,input_508100!A:H,8,FALSE))</f>
        <v>573870</v>
      </c>
      <c r="P112" s="46">
        <f t="shared" ca="1" si="4"/>
        <v>9.2499999999701918E-3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input_508100!A$2</f>
        <v>508100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IFERROR(VLOOKUP(B113,input_508100!L:R,7,FALSE),VLOOKUP(tables_508100!C113,input_508100!A:H,8,FALSE))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input_508100!A$2</f>
        <v>508100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IFERROR(VLOOKUP(B114,input_508100!L:R,7,FALSE),VLOOKUP(tables_508100!C114,input_508100!A:H,8,FALSE))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input_508100!A$2</f>
        <v>508100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IFERROR(VLOOKUP(B115,input_508100!L:R,7,FALSE),VLOOKUP(tables_508100!C115,input_508100!A:H,8,FALSE))</f>
        <v>573870</v>
      </c>
      <c r="P115" s="46">
        <f t="shared" ca="1" si="4"/>
        <v>9.2499999999701918E-3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input_508100!A$2</f>
        <v>508100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IFERROR(VLOOKUP(B116,input_508100!L:R,7,FALSE),VLOOKUP(tables_508100!C116,input_508100!A:H,8,FALSE))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input_508100!A$2</f>
        <v>508100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IFERROR(VLOOKUP(B117,input_508100!L:R,7,FALSE),VLOOKUP(tables_508100!C117,input_508100!A:H,8,FALSE))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input_508100!A$2</f>
        <v>508100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IFERROR(VLOOKUP(B118,input_508100!L:R,7,FALSE),VLOOKUP(tables_508100!C118,input_508100!A:H,8,FALSE))</f>
        <v>573870</v>
      </c>
      <c r="P118" s="46">
        <f t="shared" ca="1" si="4"/>
        <v>9.2499999999701918E-3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input_508100!A$2</f>
        <v>508100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IFERROR(VLOOKUP(B119,input_508100!L:R,7,FALSE),VLOOKUP(tables_508100!C119,input_508100!A:H,8,FALSE))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input_508100!A$2</f>
        <v>508100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IFERROR(VLOOKUP(B120,input_508100!L:R,7,FALSE),VLOOKUP(tables_508100!C120,input_508100!A:H,8,FALSE))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input_508100!A$2</f>
        <v>508100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IFERROR(VLOOKUP(B121,input_508100!L:R,7,FALSE),VLOOKUP(tables_508100!C121,input_508100!A:H,8,FALSE))</f>
        <v>573870</v>
      </c>
      <c r="P121" s="46">
        <f t="shared" ca="1" si="4"/>
        <v>9.2499999999701918E-3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input_508100!A$2</f>
        <v>508100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IFERROR(VLOOKUP(B122,input_508100!L:R,7,FALSE),VLOOKUP(tables_508100!C122,input_508100!A:H,8,FALSE))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input_508100!A$2</f>
        <v>508100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IFERROR(VLOOKUP(B123,input_508100!L:R,7,FALSE),VLOOKUP(tables_508100!C123,input_508100!A:H,8,FALSE))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input_508100!A$2</f>
        <v>508100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IFERROR(VLOOKUP(B124,input_508100!L:R,7,FALSE),VLOOKUP(tables_508100!C124,input_508100!A:H,8,FALSE))</f>
        <v>573870</v>
      </c>
      <c r="P124" s="46">
        <f t="shared" ca="1" si="4"/>
        <v>9.2499999999701918E-3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input_508100!A$2</f>
        <v>508100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IFERROR(VLOOKUP(B125,input_508100!L:R,7,FALSE),VLOOKUP(tables_508100!C125,input_508100!A:H,8,FALSE))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input_508100!A$2</f>
        <v>508100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IFERROR(VLOOKUP(B126,input_508100!L:R,7,FALSE),VLOOKUP(tables_508100!C126,input_508100!A:H,8,FALSE))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input_508100!A$2</f>
        <v>508100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IFERROR(VLOOKUP(B127,input_508100!L:R,7,FALSE),VLOOKUP(tables_508100!C127,input_508100!A:H,8,FALSE))</f>
        <v>573870</v>
      </c>
      <c r="P127" s="46">
        <f t="shared" ca="1" si="4"/>
        <v>9.2499999999701918E-3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input_508100!A$2</f>
        <v>508100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IFERROR(VLOOKUP(B128,input_508100!L:R,7,FALSE),VLOOKUP(tables_508100!C128,input_508100!A:H,8,FALSE))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input_508100!A$2</f>
        <v>508100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IFERROR(VLOOKUP(B129,input_508100!L:R,7,FALSE),VLOOKUP(tables_508100!C129,input_508100!A:H,8,FALSE))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input_508100!A$2</f>
        <v>508100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IFERROR(VLOOKUP(B130,input_508100!L:R,7,FALSE),VLOOKUP(tables_508100!C130,input_508100!A:H,8,FALSE))</f>
        <v>573870</v>
      </c>
      <c r="P130" s="46">
        <f t="shared" ref="P130:P193" ca="1" si="7">O130/SUM(O:O)</f>
        <v>9.2499999999701918E-3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input_508100!A$2</f>
        <v>508100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IFERROR(VLOOKUP(B131,input_508100!L:R,7,FALSE),VLOOKUP(tables_508100!C131,input_508100!A:H,8,FALSE))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input_508100!A$2</f>
        <v>508100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IFERROR(VLOOKUP(B132,input_508100!L:R,7,FALSE),VLOOKUP(tables_508100!C132,input_508100!A:H,8,FALSE))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input_508100!A$2</f>
        <v>508100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IFERROR(VLOOKUP(B133,input_508100!L:R,7,FALSE),VLOOKUP(tables_508100!C133,input_508100!A:H,8,FALSE))</f>
        <v>573870</v>
      </c>
      <c r="P133" s="46">
        <f t="shared" ca="1" si="7"/>
        <v>9.2499999999701918E-3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input_508100!A$2</f>
        <v>508100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IFERROR(VLOOKUP(B134,input_508100!L:R,7,FALSE),VLOOKUP(tables_508100!C134,input_508100!A:H,8,FALSE))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input_508100!A$2</f>
        <v>508100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IFERROR(VLOOKUP(B135,input_508100!L:R,7,FALSE),VLOOKUP(tables_508100!C135,input_508100!A:H,8,FALSE))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input_508100!A$2</f>
        <v>508100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IFERROR(VLOOKUP(B136,input_508100!L:R,7,FALSE),VLOOKUP(tables_508100!C136,input_508100!A:H,8,FALSE))</f>
        <v>573870</v>
      </c>
      <c r="P136" s="46">
        <f t="shared" ca="1" si="7"/>
        <v>9.2499999999701918E-3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input_508100!A$2</f>
        <v>508100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IFERROR(VLOOKUP(B137,input_508100!L:R,7,FALSE),VLOOKUP(tables_508100!C137,input_508100!A:H,8,FALSE))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input_508100!A$2</f>
        <v>508100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IFERROR(VLOOKUP(B138,input_508100!L:R,7,FALSE),VLOOKUP(tables_508100!C138,input_508100!A:H,8,FALSE))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input_508100!A$2</f>
        <v>508100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IFERROR(VLOOKUP(B139,input_508100!L:R,7,FALSE),VLOOKUP(tables_508100!C139,input_508100!A:H,8,FALSE))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input_508100!A$2</f>
        <v>508100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IFERROR(VLOOKUP(B140,input_508100!L:R,7,FALSE),VLOOKUP(tables_508100!C140,input_508100!A:H,8,FALSE))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input_508100!A$2</f>
        <v>508100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IFERROR(VLOOKUP(B141,input_508100!L:R,7,FALSE),VLOOKUP(tables_508100!C141,input_508100!A:H,8,FALSE))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input_508100!A$2</f>
        <v>508100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IFERROR(VLOOKUP(B142,input_508100!L:R,7,FALSE),VLOOKUP(tables_508100!C142,input_508100!A:H,8,FALSE))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input_508100!A$2</f>
        <v>508100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IFERROR(VLOOKUP(B143,input_508100!L:R,7,FALSE),VLOOKUP(tables_508100!C143,input_508100!A:H,8,FALSE))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input_508100!A$2</f>
        <v>508100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IFERROR(VLOOKUP(B144,input_508100!L:R,7,FALSE),VLOOKUP(tables_508100!C144,input_508100!A:H,8,FALSE))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input_508100!A$2</f>
        <v>508100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IFERROR(VLOOKUP(B145,input_508100!L:R,7,FALSE),VLOOKUP(tables_508100!C145,input_508100!A:H,8,FALSE))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input_508100!A$2</f>
        <v>508100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IFERROR(VLOOKUP(B146,input_508100!L:R,7,FALSE),VLOOKUP(tables_508100!C146,input_508100!A:H,8,FALSE))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input_508100!A$2</f>
        <v>508100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IFERROR(VLOOKUP(B147,input_508100!L:R,7,FALSE),VLOOKUP(tables_508100!C147,input_508100!A:H,8,FALSE))</f>
        <v>573870</v>
      </c>
      <c r="P147" s="46">
        <f t="shared" ca="1" si="7"/>
        <v>9.2499999999701918E-3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input_508100!A$2</f>
        <v>508100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IFERROR(VLOOKUP(B148,input_508100!L:R,7,FALSE),VLOOKUP(tables_508100!C148,input_508100!A:H,8,FALSE))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input_508100!A$2</f>
        <v>508100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IFERROR(VLOOKUP(B149,input_508100!L:R,7,FALSE),VLOOKUP(tables_508100!C149,input_508100!A:H,8,FALSE))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input_508100!A$2</f>
        <v>508100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IFERROR(VLOOKUP(B150,input_508100!L:R,7,FALSE),VLOOKUP(tables_508100!C150,input_508100!A:H,8,FALSE))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input_508100!A$2</f>
        <v>508100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IFERROR(VLOOKUP(B151,input_508100!L:R,7,FALSE),VLOOKUP(tables_508100!C151,input_508100!A:H,8,FALSE))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input_508100!A$2</f>
        <v>508100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IFERROR(VLOOKUP(B152,input_508100!L:R,7,FALSE),VLOOKUP(tables_508100!C152,input_508100!A:H,8,FALSE))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input_508100!A$2</f>
        <v>508100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IFERROR(VLOOKUP(B153,input_508100!L:R,7,FALSE),VLOOKUP(tables_508100!C153,input_508100!A:H,8,FALSE))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input_508100!A$2</f>
        <v>508100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IFERROR(VLOOKUP(B154,input_508100!L:R,7,FALSE),VLOOKUP(tables_508100!C154,input_508100!A:H,8,FALSE))</f>
        <v>573870</v>
      </c>
      <c r="P154" s="46">
        <f t="shared" ca="1" si="7"/>
        <v>9.2499999999701918E-3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input_508100!A$2</f>
        <v>508100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IFERROR(VLOOKUP(B155,input_508100!L:R,7,FALSE),VLOOKUP(tables_508100!C155,input_508100!A:H,8,FALSE))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input_508100!A$2</f>
        <v>508100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IFERROR(VLOOKUP(B156,input_508100!L:R,7,FALSE),VLOOKUP(tables_508100!C156,input_508100!A:H,8,FALSE))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input_508100!A$2</f>
        <v>508100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IFERROR(VLOOKUP(B157,input_508100!L:R,7,FALSE),VLOOKUP(tables_508100!C157,input_508100!A:H,8,FALSE))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input_508100!A$2</f>
        <v>508100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IFERROR(VLOOKUP(B158,input_508100!L:R,7,FALSE),VLOOKUP(tables_508100!C158,input_508100!A:H,8,FALSE))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input_508100!A$2</f>
        <v>508100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IFERROR(VLOOKUP(B159,input_508100!L:R,7,FALSE),VLOOKUP(tables_508100!C159,input_508100!A:H,8,FALSE))</f>
        <v>573870</v>
      </c>
      <c r="P159" s="46">
        <f t="shared" ca="1" si="7"/>
        <v>9.2499999999701918E-3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input_508100!A$2</f>
        <v>508100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IFERROR(VLOOKUP(B160,input_508100!L:R,7,FALSE),VLOOKUP(tables_508100!C160,input_508100!A:H,8,FALSE))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input_508100!A$2</f>
        <v>508100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IFERROR(VLOOKUP(B161,input_508100!L:R,7,FALSE),VLOOKUP(tables_508100!C161,input_508100!A:H,8,FALSE))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input_508100!A$2</f>
        <v>508100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IFERROR(VLOOKUP(B162,input_508100!L:R,7,FALSE),VLOOKUP(tables_508100!C162,input_508100!A:H,8,FALSE))</f>
        <v>573870</v>
      </c>
      <c r="P162" s="46">
        <f t="shared" ca="1" si="7"/>
        <v>9.2499999999701918E-3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input_508100!A$2</f>
        <v>508100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IFERROR(VLOOKUP(B163,input_508100!L:R,7,FALSE),VLOOKUP(tables_508100!C163,input_508100!A:H,8,FALSE))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input_508100!A$2</f>
        <v>508100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IFERROR(VLOOKUP(B164,input_508100!L:R,7,FALSE),VLOOKUP(tables_508100!C164,input_508100!A:H,8,FALSE))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input_508100!A$2</f>
        <v>508100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IFERROR(VLOOKUP(B165,input_508100!L:R,7,FALSE),VLOOKUP(tables_508100!C165,input_508100!A:H,8,FALSE))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input_508100!A$2</f>
        <v>508100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IFERROR(VLOOKUP(B166,input_508100!L:R,7,FALSE),VLOOKUP(tables_508100!C166,input_508100!A:H,8,FALSE))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input_508100!A$2</f>
        <v>508100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IFERROR(VLOOKUP(B167,input_508100!L:R,7,FALSE),VLOOKUP(tables_508100!C167,input_508100!A:H,8,FALSE))</f>
        <v>573870</v>
      </c>
      <c r="P167" s="46">
        <f t="shared" ca="1" si="7"/>
        <v>9.2499999999701918E-3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input_508100!A$2</f>
        <v>508100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IFERROR(VLOOKUP(B168,input_508100!L:R,7,FALSE),VLOOKUP(tables_508100!C168,input_508100!A:H,8,FALSE))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input_508100!A$2</f>
        <v>508100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IFERROR(VLOOKUP(B169,input_508100!L:R,7,FALSE),VLOOKUP(tables_508100!C169,input_508100!A:H,8,FALSE))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input_508100!A$2</f>
        <v>508100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IFERROR(VLOOKUP(B170,input_508100!L:R,7,FALSE),VLOOKUP(tables_508100!C170,input_508100!A:H,8,FALSE))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input_508100!A$2</f>
        <v>508100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IFERROR(VLOOKUP(B171,input_508100!L:R,7,FALSE),VLOOKUP(tables_508100!C171,input_508100!A:H,8,FALSE))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input_508100!A$2</f>
        <v>508100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IFERROR(VLOOKUP(B172,input_508100!L:R,7,FALSE),VLOOKUP(tables_508100!C172,input_508100!A:H,8,FALSE))</f>
        <v>573870</v>
      </c>
      <c r="P172" s="46">
        <f t="shared" ca="1" si="7"/>
        <v>9.2499999999701918E-3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input_508100!A$2</f>
        <v>508100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IFERROR(VLOOKUP(B173,input_508100!L:R,7,FALSE),VLOOKUP(tables_508100!C173,input_508100!A:H,8,FALSE))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input_508100!A$2</f>
        <v>508100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IFERROR(VLOOKUP(B174,input_508100!L:R,7,FALSE),VLOOKUP(tables_508100!C174,input_508100!A:H,8,FALSE))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input_508100!A$2</f>
        <v>508100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IFERROR(VLOOKUP(B175,input_508100!L:R,7,FALSE),VLOOKUP(tables_508100!C175,input_508100!A:H,8,FALSE))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input_508100!A$2</f>
        <v>508100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IFERROR(VLOOKUP(B176,input_508100!L:R,7,FALSE),VLOOKUP(tables_508100!C176,input_508100!A:H,8,FALSE))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input_508100!A$2</f>
        <v>508100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IFERROR(VLOOKUP(B177,input_508100!L:R,7,FALSE),VLOOKUP(tables_508100!C177,input_508100!A:H,8,FALSE))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input_508100!A$2</f>
        <v>508100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IFERROR(VLOOKUP(B178,input_508100!L:R,7,FALSE),VLOOKUP(tables_508100!C178,input_508100!A:H,8,FALSE))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input_508100!A$2</f>
        <v>508100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IFERROR(VLOOKUP(B179,input_508100!L:R,7,FALSE),VLOOKUP(tables_508100!C179,input_508100!A:H,8,FALSE))</f>
        <v>573870</v>
      </c>
      <c r="P179" s="46">
        <f t="shared" ca="1" si="7"/>
        <v>9.2499999999701918E-3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input_508100!A$2</f>
        <v>508100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IFERROR(VLOOKUP(B180,input_508100!L:R,7,FALSE),VLOOKUP(tables_508100!C180,input_508100!A:H,8,FALSE))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input_508100!A$2</f>
        <v>508100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IFERROR(VLOOKUP(B181,input_508100!L:R,7,FALSE),VLOOKUP(tables_508100!C181,input_508100!A:H,8,FALSE))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input_508100!A$2</f>
        <v>508100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IFERROR(VLOOKUP(B182,input_508100!L:R,7,FALSE),VLOOKUP(tables_508100!C182,input_508100!A:H,8,FALSE))</f>
        <v>573870</v>
      </c>
      <c r="P182" s="46">
        <f t="shared" ca="1" si="7"/>
        <v>9.2499999999701918E-3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input_508100!A$2</f>
        <v>508100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IFERROR(VLOOKUP(B183,input_508100!L:R,7,FALSE),VLOOKUP(tables_508100!C183,input_508100!A:H,8,FALSE))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input_508100!A$2</f>
        <v>508100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IFERROR(VLOOKUP(B184,input_508100!L:R,7,FALSE),VLOOKUP(tables_508100!C184,input_508100!A:H,8,FALSE))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input_508100!A$2</f>
        <v>508100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IFERROR(VLOOKUP(B185,input_508100!L:R,7,FALSE),VLOOKUP(tables_508100!C185,input_508100!A:H,8,FALSE))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input_508100!A$2</f>
        <v>508100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IFERROR(VLOOKUP(B186,input_508100!L:R,7,FALSE),VLOOKUP(tables_508100!C186,input_508100!A:H,8,FALSE))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input_508100!A$2</f>
        <v>508100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IFERROR(VLOOKUP(B187,input_508100!L:R,7,FALSE),VLOOKUP(tables_508100!C187,input_508100!A:H,8,FALSE))</f>
        <v>573870</v>
      </c>
      <c r="P187" s="46">
        <f t="shared" ca="1" si="7"/>
        <v>9.2499999999701918E-3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input_508100!A$2</f>
        <v>508100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IFERROR(VLOOKUP(B188,input_508100!L:R,7,FALSE),VLOOKUP(tables_508100!C188,input_508100!A:H,8,FALSE))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input_508100!A$2</f>
        <v>508100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IFERROR(VLOOKUP(B189,input_508100!L:R,7,FALSE),VLOOKUP(tables_508100!C189,input_508100!A:H,8,FALSE))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input_508100!A$2</f>
        <v>508100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IFERROR(VLOOKUP(B190,input_508100!L:R,7,FALSE),VLOOKUP(tables_508100!C190,input_508100!A:H,8,FALSE))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input_508100!A$2</f>
        <v>508100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IFERROR(VLOOKUP(B191,input_508100!L:R,7,FALSE),VLOOKUP(tables_508100!C191,input_508100!A:H,8,FALSE))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input_508100!A$2</f>
        <v>508100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IFERROR(VLOOKUP(B192,input_508100!L:R,7,FALSE),VLOOKUP(tables_508100!C192,input_508100!A:H,8,FALSE))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input_508100!A$2</f>
        <v>508100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IFERROR(VLOOKUP(B193,input_508100!L:R,7,FALSE),VLOOKUP(tables_508100!C193,input_508100!A:H,8,FALSE))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input_508100!A$2</f>
        <v>508100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IFERROR(VLOOKUP(B194,input_508100!L:R,7,FALSE),VLOOKUP(tables_508100!C194,input_508100!A:H,8,FALSE))</f>
        <v>573870</v>
      </c>
      <c r="P194" s="46">
        <f t="shared" ref="P194:P257" ca="1" si="10">O194/SUM(O:O)</f>
        <v>9.2499999999701918E-3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input_508100!A$2</f>
        <v>508100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IFERROR(VLOOKUP(B195,input_508100!L:R,7,FALSE),VLOOKUP(tables_508100!C195,input_508100!A:H,8,FALSE))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input_508100!A$2</f>
        <v>508100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IFERROR(VLOOKUP(B196,input_508100!L:R,7,FALSE),VLOOKUP(tables_508100!C196,input_508100!A:H,8,FALSE))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input_508100!A$2</f>
        <v>508100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IFERROR(VLOOKUP(B197,input_508100!L:R,7,FALSE),VLOOKUP(tables_508100!C197,input_508100!A:H,8,FALSE))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input_508100!A$2</f>
        <v>508100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IFERROR(VLOOKUP(B198,input_508100!L:R,7,FALSE),VLOOKUP(tables_508100!C198,input_508100!A:H,8,FALSE))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input_508100!A$2</f>
        <v>508100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IFERROR(VLOOKUP(B199,input_508100!L:R,7,FALSE),VLOOKUP(tables_508100!C199,input_508100!A:H,8,FALSE))</f>
        <v>573870</v>
      </c>
      <c r="P199" s="46">
        <f t="shared" ca="1" si="10"/>
        <v>9.2499999999701918E-3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input_508100!A$2</f>
        <v>508100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IFERROR(VLOOKUP(B200,input_508100!L:R,7,FALSE),VLOOKUP(tables_508100!C200,input_508100!A:H,8,FALSE))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input_508100!A$2</f>
        <v>508100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IFERROR(VLOOKUP(B201,input_508100!L:R,7,FALSE),VLOOKUP(tables_508100!C201,input_508100!A:H,8,FALSE))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input_508100!A$2</f>
        <v>508100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IFERROR(VLOOKUP(B202,input_508100!L:R,7,FALSE),VLOOKUP(tables_508100!C202,input_508100!A:H,8,FALSE))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input_508100!A$2</f>
        <v>508100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IFERROR(VLOOKUP(B203,input_508100!L:R,7,FALSE),VLOOKUP(tables_508100!C203,input_508100!A:H,8,FALSE))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input_508100!A$2</f>
        <v>508100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IFERROR(VLOOKUP(B204,input_508100!L:R,7,FALSE),VLOOKUP(tables_508100!C204,input_508100!A:H,8,FALSE))</f>
        <v>573870</v>
      </c>
      <c r="P204" s="46">
        <f t="shared" ca="1" si="10"/>
        <v>9.2499999999701918E-3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input_508100!A$2</f>
        <v>508100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IFERROR(VLOOKUP(B205,input_508100!L:R,7,FALSE),VLOOKUP(tables_508100!C205,input_508100!A:H,8,FALSE))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input_508100!A$2</f>
        <v>508100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IFERROR(VLOOKUP(B206,input_508100!L:R,7,FALSE),VLOOKUP(tables_508100!C206,input_508100!A:H,8,FALSE))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input_508100!A$2</f>
        <v>508100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IFERROR(VLOOKUP(B207,input_508100!L:R,7,FALSE),VLOOKUP(tables_508100!C207,input_508100!A:H,8,FALSE))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input_508100!A$2</f>
        <v>508100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IFERROR(VLOOKUP(B208,input_508100!L:R,7,FALSE),VLOOKUP(tables_508100!C208,input_508100!A:H,8,FALSE))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input_508100!A$2</f>
        <v>508100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IFERROR(VLOOKUP(B209,input_508100!L:R,7,FALSE),VLOOKUP(tables_508100!C209,input_508100!A:H,8,FALSE))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input_508100!A$2</f>
        <v>508100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IFERROR(VLOOKUP(B210,input_508100!L:R,7,FALSE),VLOOKUP(tables_508100!C210,input_508100!A:H,8,FALSE))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input_508100!A$2</f>
        <v>508100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IFERROR(VLOOKUP(B211,input_508100!L:R,7,FALSE),VLOOKUP(tables_508100!C211,input_508100!A:H,8,FALSE))</f>
        <v>573870</v>
      </c>
      <c r="P211" s="46">
        <f t="shared" ca="1" si="10"/>
        <v>9.2499999999701918E-3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input_508100!A$2</f>
        <v>508100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IFERROR(VLOOKUP(B212,input_508100!L:R,7,FALSE),VLOOKUP(tables_508100!C212,input_508100!A:H,8,FALSE))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input_508100!A$2</f>
        <v>508100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IFERROR(VLOOKUP(B213,input_508100!L:R,7,FALSE),VLOOKUP(tables_508100!C213,input_508100!A:H,8,FALSE))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input_508100!A$2</f>
        <v>508100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IFERROR(VLOOKUP(B214,input_508100!L:R,7,FALSE),VLOOKUP(tables_508100!C214,input_508100!A:H,8,FALSE))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input_508100!A$2</f>
        <v>508100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IFERROR(VLOOKUP(B215,input_508100!L:R,7,FALSE),VLOOKUP(tables_508100!C215,input_508100!A:H,8,FALSE))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input_508100!A$2</f>
        <v>508100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IFERROR(VLOOKUP(B216,input_508100!L:R,7,FALSE),VLOOKUP(tables_508100!C216,input_508100!A:H,8,FALSE))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input_508100!A$2</f>
        <v>508100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IFERROR(VLOOKUP(B217,input_508100!L:R,7,FALSE),VLOOKUP(tables_508100!C217,input_508100!A:H,8,FALSE))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input_508100!A$2</f>
        <v>508100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IFERROR(VLOOKUP(B218,input_508100!L:R,7,FALSE),VLOOKUP(tables_508100!C218,input_508100!A:H,8,FALSE))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input_508100!A$2</f>
        <v>508100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IFERROR(VLOOKUP(B219,input_508100!L:R,7,FALSE),VLOOKUP(tables_508100!C219,input_508100!A:H,8,FALSE))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input_508100!A$2</f>
        <v>508100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IFERROR(VLOOKUP(B220,input_508100!L:R,7,FALSE),VLOOKUP(tables_508100!C220,input_508100!A:H,8,FALSE))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input_508100!A$2</f>
        <v>508100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IFERROR(VLOOKUP(B221,input_508100!L:R,7,FALSE),VLOOKUP(tables_508100!C221,input_508100!A:H,8,FALSE))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input_508100!A$2</f>
        <v>508100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IFERROR(VLOOKUP(B222,input_508100!L:R,7,FALSE),VLOOKUP(tables_508100!C222,input_508100!A:H,8,FALSE))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input_508100!A$2</f>
        <v>508100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IFERROR(VLOOKUP(B223,input_508100!L:R,7,FALSE),VLOOKUP(tables_508100!C223,input_508100!A:H,8,FALSE))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input_508100!A$2</f>
        <v>508100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IFERROR(VLOOKUP(B224,input_508100!L:R,7,FALSE),VLOOKUP(tables_508100!C224,input_508100!A:H,8,FALSE))</f>
        <v>573870</v>
      </c>
      <c r="P224" s="46">
        <f t="shared" ca="1" si="10"/>
        <v>9.2499999999701918E-3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input_508100!A$2</f>
        <v>508100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IFERROR(VLOOKUP(B225,input_508100!L:R,7,FALSE),VLOOKUP(tables_508100!C225,input_508100!A:H,8,FALSE))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input_508100!A$2</f>
        <v>508100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IFERROR(VLOOKUP(B226,input_508100!L:R,7,FALSE),VLOOKUP(tables_508100!C226,input_508100!A:H,8,FALSE))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input_508100!A$2</f>
        <v>508100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IFERROR(VLOOKUP(B227,input_508100!L:R,7,FALSE),VLOOKUP(tables_508100!C227,input_508100!A:H,8,FALSE))</f>
        <v>573870</v>
      </c>
      <c r="P227" s="46">
        <f t="shared" ca="1" si="10"/>
        <v>9.2499999999701918E-3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input_508100!A$2</f>
        <v>508100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IFERROR(VLOOKUP(B228,input_508100!L:R,7,FALSE),VLOOKUP(tables_508100!C228,input_508100!A:H,8,FALSE))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input_508100!A$2</f>
        <v>508100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IFERROR(VLOOKUP(B229,input_508100!L:R,7,FALSE),VLOOKUP(tables_508100!C229,input_508100!A:H,8,FALSE))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input_508100!A$2</f>
        <v>508100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IFERROR(VLOOKUP(B230,input_508100!L:R,7,FALSE),VLOOKUP(tables_508100!C230,input_508100!A:H,8,FALSE))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input_508100!A$2</f>
        <v>508100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IFERROR(VLOOKUP(B231,input_508100!L:R,7,FALSE),VLOOKUP(tables_508100!C231,input_508100!A:H,8,FALSE))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input_508100!A$2</f>
        <v>508100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IFERROR(VLOOKUP(B232,input_508100!L:R,7,FALSE),VLOOKUP(tables_508100!C232,input_508100!A:H,8,FALSE))</f>
        <v>573870</v>
      </c>
      <c r="P232" s="46">
        <f t="shared" ca="1" si="10"/>
        <v>9.2499999999701918E-3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input_508100!A$2</f>
        <v>508100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IFERROR(VLOOKUP(B233,input_508100!L:R,7,FALSE),VLOOKUP(tables_508100!C233,input_508100!A:H,8,FALSE))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input_508100!A$2</f>
        <v>508100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IFERROR(VLOOKUP(B234,input_508100!L:R,7,FALSE),VLOOKUP(tables_508100!C234,input_508100!A:H,8,FALSE))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input_508100!A$2</f>
        <v>508100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IFERROR(VLOOKUP(B235,input_508100!L:R,7,FALSE),VLOOKUP(tables_508100!C235,input_508100!A:H,8,FALSE))</f>
        <v>573870</v>
      </c>
      <c r="P235" s="46">
        <f t="shared" ca="1" si="10"/>
        <v>9.2499999999701918E-3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input_508100!A$2</f>
        <v>508100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IFERROR(VLOOKUP(B236,input_508100!L:R,7,FALSE),VLOOKUP(tables_508100!C236,input_508100!A:H,8,FALSE))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input_508100!A$2</f>
        <v>508100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IFERROR(VLOOKUP(B237,input_508100!L:R,7,FALSE),VLOOKUP(tables_508100!C237,input_508100!A:H,8,FALSE))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input_508100!A$2</f>
        <v>508100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IFERROR(VLOOKUP(B238,input_508100!L:R,7,FALSE),VLOOKUP(tables_508100!C238,input_508100!A:H,8,FALSE))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input_508100!A$2</f>
        <v>508100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IFERROR(VLOOKUP(B239,input_508100!L:R,7,FALSE),VLOOKUP(tables_508100!C239,input_508100!A:H,8,FALSE))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input_508100!A$2</f>
        <v>508100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IFERROR(VLOOKUP(B240,input_508100!L:R,7,FALSE),VLOOKUP(tables_508100!C240,input_508100!A:H,8,FALSE))</f>
        <v>573870</v>
      </c>
      <c r="P240" s="46">
        <f t="shared" ca="1" si="10"/>
        <v>9.2499999999701918E-3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input_508100!A$2</f>
        <v>508100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IFERROR(VLOOKUP(B241,input_508100!L:R,7,FALSE),VLOOKUP(tables_508100!C241,input_508100!A:H,8,FALSE))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input_508100!A$2</f>
        <v>508100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IFERROR(VLOOKUP(B242,input_508100!L:R,7,FALSE),VLOOKUP(tables_508100!C242,input_508100!A:H,8,FALSE))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input_508100!A$2</f>
        <v>508100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IFERROR(VLOOKUP(B243,input_508100!L:R,7,FALSE),VLOOKUP(tables_508100!C243,input_508100!A:H,8,FALSE))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input_508100!A$2</f>
        <v>508100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IFERROR(VLOOKUP(B244,input_508100!L:R,7,FALSE),VLOOKUP(tables_508100!C244,input_508100!A:H,8,FALSE))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input_508100!A$2</f>
        <v>508100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IFERROR(VLOOKUP(B245,input_508100!L:R,7,FALSE),VLOOKUP(tables_508100!C245,input_508100!A:H,8,FALSE))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input_508100!A$2</f>
        <v>508100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IFERROR(VLOOKUP(B246,input_508100!L:R,7,FALSE),VLOOKUP(tables_508100!C246,input_508100!A:H,8,FALSE))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input_508100!A$2</f>
        <v>508100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IFERROR(VLOOKUP(B247,input_508100!L:R,7,FALSE),VLOOKUP(tables_508100!C247,input_508100!A:H,8,FALSE))</f>
        <v>573870</v>
      </c>
      <c r="P247" s="46">
        <f t="shared" ca="1" si="10"/>
        <v>9.2499999999701918E-3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input_508100!A$2</f>
        <v>508100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IFERROR(VLOOKUP(B248,input_508100!L:R,7,FALSE),VLOOKUP(tables_508100!C248,input_508100!A:H,8,FALSE))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input_508100!A$2</f>
        <v>508100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IFERROR(VLOOKUP(B249,input_508100!L:R,7,FALSE),VLOOKUP(tables_508100!C249,input_508100!A:H,8,FALSE))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input_508100!A$2</f>
        <v>508100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IFERROR(VLOOKUP(B250,input_508100!L:R,7,FALSE),VLOOKUP(tables_508100!C250,input_508100!A:H,8,FALSE))</f>
        <v>573870</v>
      </c>
      <c r="P250" s="46">
        <f t="shared" ca="1" si="10"/>
        <v>9.2499999999701918E-3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input_508100!A$2</f>
        <v>508100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IFERROR(VLOOKUP(B251,input_508100!L:R,7,FALSE),VLOOKUP(tables_508100!C251,input_508100!A:H,8,FALSE))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input_508100!A$2</f>
        <v>508100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IFERROR(VLOOKUP(B252,input_508100!L:R,7,FALSE),VLOOKUP(tables_508100!C252,input_508100!A:H,8,FALSE))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input_508100!A$2</f>
        <v>508100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IFERROR(VLOOKUP(B253,input_508100!L:R,7,FALSE),VLOOKUP(tables_508100!C253,input_508100!A:H,8,FALSE))</f>
        <v>573870</v>
      </c>
      <c r="P253" s="46">
        <f t="shared" ca="1" si="10"/>
        <v>9.2499999999701918E-3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input_508100!A$2</f>
        <v>508100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IFERROR(VLOOKUP(B254,input_508100!L:R,7,FALSE),VLOOKUP(tables_508100!C254,input_508100!A:H,8,FALSE))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input_508100!A$2</f>
        <v>508100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IFERROR(VLOOKUP(B255,input_508100!L:R,7,FALSE),VLOOKUP(tables_508100!C255,input_508100!A:H,8,FALSE))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input_508100!A$2</f>
        <v>508100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IFERROR(VLOOKUP(B256,input_508100!L:R,7,FALSE),VLOOKUP(tables_508100!C256,input_508100!A:H,8,FALSE))</f>
        <v>573870</v>
      </c>
      <c r="P256" s="46">
        <f t="shared" ca="1" si="10"/>
        <v>9.2499999999701918E-3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input_508100!A$2</f>
        <v>508100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IFERROR(VLOOKUP(B257,input_508100!L:R,7,FALSE),VLOOKUP(tables_508100!C257,input_508100!A:H,8,FALSE))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input_508100!A$2</f>
        <v>508100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IFERROR(VLOOKUP(B258,input_508100!L:R,7,FALSE),VLOOKUP(tables_508100!C258,input_508100!A:H,8,FALSE))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input_508100!A$2</f>
        <v>508100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IFERROR(VLOOKUP(B259,input_508100!L:R,7,FALSE),VLOOKUP(tables_508100!C259,input_508100!A:H,8,FALSE))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input_508100!A$2</f>
        <v>508100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IFERROR(VLOOKUP(B260,input_508100!L:R,7,FALSE),VLOOKUP(tables_508100!C260,input_508100!A:H,8,FALSE))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input_508100!A$2</f>
        <v>508100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IFERROR(VLOOKUP(B261,input_508100!L:R,7,FALSE),VLOOKUP(tables_508100!C261,input_508100!A:H,8,FALSE))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input_508100!A$2</f>
        <v>508100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IFERROR(VLOOKUP(B262,input_508100!L:R,7,FALSE),VLOOKUP(tables_508100!C262,input_508100!A:H,8,FALSE))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input_508100!A$2</f>
        <v>508100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IFERROR(VLOOKUP(B263,input_508100!L:R,7,FALSE),VLOOKUP(tables_508100!C263,input_508100!A:H,8,FALSE))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input_508100!A$2</f>
        <v>508100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IFERROR(VLOOKUP(B264,input_508100!L:R,7,FALSE),VLOOKUP(tables_508100!C264,input_508100!A:H,8,FALSE))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input_508100!A$2</f>
        <v>508100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IFERROR(VLOOKUP(B265,input_508100!L:R,7,FALSE),VLOOKUP(tables_508100!C265,input_508100!A:H,8,FALSE))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input_508100!A$2</f>
        <v>508100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IFERROR(VLOOKUP(B266,input_508100!L:R,7,FALSE),VLOOKUP(tables_508100!C266,input_508100!A:H,8,FALSE))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input_508100!A$2</f>
        <v>508100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IFERROR(VLOOKUP(B267,input_508100!L:R,7,FALSE),VLOOKUP(tables_508100!C267,input_508100!A:H,8,FALSE))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input_508100!A$2</f>
        <v>508100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IFERROR(VLOOKUP(B268,input_508100!L:R,7,FALSE),VLOOKUP(tables_508100!C268,input_508100!A:H,8,FALSE))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input_508100!A$2</f>
        <v>508100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IFERROR(VLOOKUP(B269,input_508100!L:R,7,FALSE),VLOOKUP(tables_508100!C269,input_508100!A:H,8,FALSE))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input_508100!A$2</f>
        <v>508100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IFERROR(VLOOKUP(B270,input_508100!L:R,7,FALSE),VLOOKUP(tables_508100!C270,input_508100!A:H,8,FALSE))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input_508100!A$2</f>
        <v>508100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IFERROR(VLOOKUP(B271,input_508100!L:R,7,FALSE),VLOOKUP(tables_508100!C271,input_508100!A:H,8,FALSE))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input_508100!A$2</f>
        <v>508100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IFERROR(VLOOKUP(B272,input_508100!L:R,7,FALSE),VLOOKUP(tables_508100!C272,input_508100!A:H,8,FALSE))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input_508100!A$2</f>
        <v>508100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IFERROR(VLOOKUP(B273,input_508100!L:R,7,FALSE),VLOOKUP(tables_508100!C273,input_508100!A:H,8,FALSE))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input_508100!A$2</f>
        <v>508100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IFERROR(VLOOKUP(B274,input_508100!L:R,7,FALSE),VLOOKUP(tables_508100!C274,input_508100!A:H,8,FALSE))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input_508100!A$2</f>
        <v>508100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IFERROR(VLOOKUP(B275,input_508100!L:R,7,FALSE),VLOOKUP(tables_508100!C275,input_508100!A:H,8,FALSE))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input_508100!A$2</f>
        <v>508100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IFERROR(VLOOKUP(B276,input_508100!L:R,7,FALSE),VLOOKUP(tables_508100!C276,input_508100!A:H,8,FALSE))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input_508100!A$2</f>
        <v>508100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IFERROR(VLOOKUP(B277,input_508100!L:R,7,FALSE),VLOOKUP(tables_508100!C277,input_508100!A:H,8,FALSE))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input_508100!A$2</f>
        <v>508100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IFERROR(VLOOKUP(B278,input_508100!L:R,7,FALSE),VLOOKUP(tables_508100!C278,input_508100!A:H,8,FALSE))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input_508100!A$2</f>
        <v>508100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IFERROR(VLOOKUP(B279,input_508100!L:R,7,FALSE),VLOOKUP(tables_508100!C279,input_508100!A:H,8,FALSE))</f>
        <v>573870</v>
      </c>
      <c r="P279" s="46">
        <f t="shared" ca="1" si="13"/>
        <v>9.2499999999701918E-3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input_508100!A$2</f>
        <v>508100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IFERROR(VLOOKUP(B280,input_508100!L:R,7,FALSE),VLOOKUP(tables_508100!C280,input_508100!A:H,8,FALSE))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input_508100!A$2</f>
        <v>508100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IFERROR(VLOOKUP(B281,input_508100!L:R,7,FALSE),VLOOKUP(tables_508100!C281,input_508100!A:H,8,FALSE))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input_508100!A$2</f>
        <v>508100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IFERROR(VLOOKUP(B282,input_508100!L:R,7,FALSE),VLOOKUP(tables_508100!C282,input_508100!A:H,8,FALSE))</f>
        <v>573870</v>
      </c>
      <c r="P282" s="46">
        <f t="shared" ca="1" si="13"/>
        <v>9.2499999999701918E-3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input_508100!A$2</f>
        <v>508100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IFERROR(VLOOKUP(B283,input_508100!L:R,7,FALSE),VLOOKUP(tables_508100!C283,input_508100!A:H,8,FALSE))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input_508100!A$2</f>
        <v>508100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IFERROR(VLOOKUP(B284,input_508100!L:R,7,FALSE),VLOOKUP(tables_508100!C284,input_508100!A:H,8,FALSE))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input_508100!A$2</f>
        <v>508100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IFERROR(VLOOKUP(B285,input_508100!L:R,7,FALSE),VLOOKUP(tables_508100!C285,input_508100!A:H,8,FALSE))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input_508100!A$2</f>
        <v>508100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IFERROR(VLOOKUP(B286,input_508100!L:R,7,FALSE),VLOOKUP(tables_508100!C286,input_508100!A:H,8,FALSE))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input_508100!A$2</f>
        <v>508100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IFERROR(VLOOKUP(B287,input_508100!L:R,7,FALSE),VLOOKUP(tables_508100!C287,input_508100!A:H,8,FALSE))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input_508100!A$2</f>
        <v>508100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IFERROR(VLOOKUP(B288,input_508100!L:R,7,FALSE),VLOOKUP(tables_508100!C288,input_508100!A:H,8,FALSE))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input_508100!A$2</f>
        <v>508100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IFERROR(VLOOKUP(B289,input_508100!L:R,7,FALSE),VLOOKUP(tables_508100!C289,input_508100!A:H,8,FALSE))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input_508100!A$2</f>
        <v>508100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IFERROR(VLOOKUP(B290,input_508100!L:R,7,FALSE),VLOOKUP(tables_508100!C290,input_508100!A:H,8,FALSE))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input_508100!A$2</f>
        <v>508100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IFERROR(VLOOKUP(B291,input_508100!L:R,7,FALSE),VLOOKUP(tables_508100!C291,input_508100!A:H,8,FALSE))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input_508100!A$2</f>
        <v>508100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IFERROR(VLOOKUP(B292,input_508100!L:R,7,FALSE),VLOOKUP(tables_508100!C292,input_508100!A:H,8,FALSE))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input_508100!A$2</f>
        <v>508100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IFERROR(VLOOKUP(B293,input_508100!L:R,7,FALSE),VLOOKUP(tables_508100!C293,input_508100!A:H,8,FALSE))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input_508100!A$2</f>
        <v>508100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IFERROR(VLOOKUP(B294,input_508100!L:R,7,FALSE),VLOOKUP(tables_508100!C294,input_508100!A:H,8,FALSE))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input_508100!A$2</f>
        <v>508100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IFERROR(VLOOKUP(B295,input_508100!L:R,7,FALSE),VLOOKUP(tables_508100!C295,input_508100!A:H,8,FALSE))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input_508100!A$2</f>
        <v>508100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IFERROR(VLOOKUP(B296,input_508100!L:R,7,FALSE),VLOOKUP(tables_508100!C296,input_508100!A:H,8,FALSE))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input_508100!A$2</f>
        <v>508100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IFERROR(VLOOKUP(B297,input_508100!L:R,7,FALSE),VLOOKUP(tables_508100!C297,input_508100!A:H,8,FALSE))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input_508100!A$2</f>
        <v>508100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IFERROR(VLOOKUP(B298,input_508100!L:R,7,FALSE),VLOOKUP(tables_508100!C298,input_508100!A:H,8,FALSE))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input_508100!A$2</f>
        <v>508100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IFERROR(VLOOKUP(B299,input_508100!L:R,7,FALSE),VLOOKUP(tables_508100!C299,input_508100!A:H,8,FALSE))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input_508100!A$2</f>
        <v>508100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IFERROR(VLOOKUP(B300,input_508100!L:R,7,FALSE),VLOOKUP(tables_508100!C300,input_508100!A:H,8,FALSE))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input_508100!A$2</f>
        <v>508100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IFERROR(VLOOKUP(B301,input_508100!L:R,7,FALSE),VLOOKUP(tables_508100!C301,input_508100!A:H,8,FALSE))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input_508100!A$2</f>
        <v>508100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IFERROR(VLOOKUP(B302,input_508100!L:R,7,FALSE),VLOOKUP(tables_508100!C302,input_508100!A:H,8,FALSE))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input_508100!A$2</f>
        <v>508100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IFERROR(VLOOKUP(B303,input_508100!L:R,7,FALSE),VLOOKUP(tables_508100!C303,input_508100!A:H,8,FALSE))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input_508100!A$2</f>
        <v>508100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IFERROR(VLOOKUP(B304,input_508100!L:R,7,FALSE),VLOOKUP(tables_508100!C304,input_508100!A:H,8,FALSE))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input_508100!A$2</f>
        <v>508100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IFERROR(VLOOKUP(B305,input_508100!L:R,7,FALSE),VLOOKUP(tables_508100!C305,input_508100!A:H,8,FALSE))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input_508100!A$2</f>
        <v>508100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IFERROR(VLOOKUP(B306,input_508100!L:R,7,FALSE),VLOOKUP(tables_508100!C306,input_508100!A:H,8,FALSE))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input_508100!A$2</f>
        <v>508100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IFERROR(VLOOKUP(B307,input_508100!L:R,7,FALSE),VLOOKUP(tables_508100!C307,input_508100!A:H,8,FALSE))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input_508100!A$2</f>
        <v>508100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IFERROR(VLOOKUP(B308,input_508100!L:R,7,FALSE),VLOOKUP(tables_508100!C308,input_508100!A:H,8,FALSE))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input_508100!A$2</f>
        <v>508100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IFERROR(VLOOKUP(B309,input_508100!L:R,7,FALSE),VLOOKUP(tables_508100!C309,input_508100!A:H,8,FALSE))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input_508100!A$2</f>
        <v>508100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IFERROR(VLOOKUP(B310,input_508100!L:R,7,FALSE),VLOOKUP(tables_508100!C310,input_508100!A:H,8,FALSE))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input_508100!A$2</f>
        <v>508100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IFERROR(VLOOKUP(B311,input_508100!L:R,7,FALSE),VLOOKUP(tables_508100!C311,input_508100!A:H,8,FALSE))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input_508100!A$2</f>
        <v>508100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IFERROR(VLOOKUP(B312,input_508100!L:R,7,FALSE),VLOOKUP(tables_508100!C312,input_508100!A:H,8,FALSE))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input_508100!A$2</f>
        <v>508100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IFERROR(VLOOKUP(B313,input_508100!L:R,7,FALSE),VLOOKUP(tables_508100!C313,input_508100!A:H,8,FALSE))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input_508100!A$2</f>
        <v>508100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IFERROR(VLOOKUP(B314,input_508100!L:R,7,FALSE),VLOOKUP(tables_508100!C314,input_508100!A:H,8,FALSE))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input_508100!A$2</f>
        <v>508100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IFERROR(VLOOKUP(B315,input_508100!L:R,7,FALSE),VLOOKUP(tables_508100!C315,input_508100!A:H,8,FALSE))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input_508100!A$2</f>
        <v>508100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IFERROR(VLOOKUP(B316,input_508100!L:R,7,FALSE),VLOOKUP(tables_508100!C316,input_508100!A:H,8,FALSE))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input_508100!A$2</f>
        <v>508100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IFERROR(VLOOKUP(B317,input_508100!L:R,7,FALSE),VLOOKUP(tables_508100!C317,input_508100!A:H,8,FALSE))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input_508100!A$2</f>
        <v>508100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IFERROR(VLOOKUP(B318,input_508100!L:R,7,FALSE),VLOOKUP(tables_508100!C318,input_508100!A:H,8,FALSE))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input_508100!A$2</f>
        <v>508100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IFERROR(VLOOKUP(B319,input_508100!L:R,7,FALSE),VLOOKUP(tables_508100!C319,input_508100!A:H,8,FALSE))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input_508100!A$2</f>
        <v>508100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IFERROR(VLOOKUP(B320,input_508100!L:R,7,FALSE),VLOOKUP(tables_508100!C320,input_508100!A:H,8,FALSE))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input_508100!A$2</f>
        <v>508100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IFERROR(VLOOKUP(B321,input_508100!L:R,7,FALSE),VLOOKUP(tables_508100!C321,input_508100!A:H,8,FALSE))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input_508100!A$2</f>
        <v>508100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IFERROR(VLOOKUP(B322,input_508100!L:R,7,FALSE),VLOOKUP(tables_508100!C322,input_508100!A:H,8,FALSE))</f>
        <v>47000</v>
      </c>
      <c r="P322" s="46">
        <f t="shared" ref="P322:P340" ca="1" si="26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input_508100!A$2</f>
        <v>508100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IFERROR(VLOOKUP(B323,input_508100!L:R,7,FALSE),VLOOKUP(tables_508100!C323,input_508100!A:H,8,FALSE))</f>
        <v>47000</v>
      </c>
      <c r="P323" s="46">
        <f t="shared" ca="1" si="26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input_508100!A$2</f>
        <v>508100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IFERROR(VLOOKUP(B324,input_508100!L:R,7,FALSE),VLOOKUP(tables_508100!C324,input_508100!A:H,8,FALSE))</f>
        <v>558360</v>
      </c>
      <c r="P324" s="46">
        <f t="shared" ca="1" si="26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input_508100!A$2</f>
        <v>508100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IFERROR(VLOOKUP(B325,input_508100!L:R,7,FALSE),VLOOKUP(tables_508100!C325,input_508100!A:H,8,FALSE))</f>
        <v>46530</v>
      </c>
      <c r="P325" s="46">
        <f t="shared" ca="1" si="26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input_508100!A$2</f>
        <v>508100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IFERROR(VLOOKUP(B326,input_508100!L:R,7,FALSE),VLOOKUP(tables_508100!C326,input_508100!A:H,8,FALSE))</f>
        <v>558360</v>
      </c>
      <c r="P326" s="46">
        <f t="shared" ca="1" si="26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input_508100!A$2</f>
        <v>508100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IFERROR(VLOOKUP(B327,input_508100!L:R,7,FALSE),VLOOKUP(tables_508100!C327,input_508100!A:H,8,FALSE))</f>
        <v>46530</v>
      </c>
      <c r="P327" s="46">
        <f t="shared" ca="1" si="26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input_508100!A$2</f>
        <v>508100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IFERROR(VLOOKUP(B328,input_508100!L:R,7,FALSE),VLOOKUP(tables_508100!C328,input_508100!A:H,8,FALSE))</f>
        <v>47000</v>
      </c>
      <c r="P328" s="46">
        <f t="shared" ca="1" si="26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input_508100!A$2</f>
        <v>508100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IFERROR(VLOOKUP(B329,input_508100!L:R,7,FALSE),VLOOKUP(tables_508100!C329,input_508100!A:H,8,FALSE))</f>
        <v>47000</v>
      </c>
      <c r="P329" s="46">
        <f t="shared" ca="1" si="26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input_508100!A$2</f>
        <v>508100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IFERROR(VLOOKUP(B330,input_508100!L:R,7,FALSE),VLOOKUP(tables_508100!C330,input_508100!A:H,8,FALSE))</f>
        <v>47000</v>
      </c>
      <c r="P330" s="46">
        <f t="shared" ca="1" si="26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input_508100!A$2</f>
        <v>508100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IFERROR(VLOOKUP(B331,input_508100!L:R,7,FALSE),VLOOKUP(tables_508100!C331,input_508100!A:H,8,FALSE))</f>
        <v>47000</v>
      </c>
      <c r="P331" s="46">
        <f t="shared" ca="1" si="26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input_508100!A$2</f>
        <v>508100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IFERROR(VLOOKUP(B332,input_508100!L:R,7,FALSE),VLOOKUP(tables_508100!C332,input_508100!A:H,8,FALSE))</f>
        <v>47000</v>
      </c>
      <c r="P332" s="46">
        <f t="shared" ca="1" si="26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input_508100!A$2</f>
        <v>508100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IFERROR(VLOOKUP(B333,input_508100!L:R,7,FALSE),VLOOKUP(tables_508100!C333,input_508100!A:H,8,FALSE))</f>
        <v>47000</v>
      </c>
      <c r="P333" s="46">
        <f t="shared" ca="1" si="26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input_508100!A$2</f>
        <v>508100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IFERROR(VLOOKUP(B334,input_508100!L:R,7,FALSE),VLOOKUP(tables_508100!C334,input_508100!A:H,8,FALSE))</f>
        <v>558360</v>
      </c>
      <c r="P334" s="46">
        <f t="shared" ca="1" si="26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input_508100!A$2</f>
        <v>508100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IFERROR(VLOOKUP(B335,input_508100!L:R,7,FALSE),VLOOKUP(tables_508100!C335,input_508100!A:H,8,FALSE))</f>
        <v>46530</v>
      </c>
      <c r="P335" s="46">
        <f t="shared" ca="1" si="26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input_508100!A$2</f>
        <v>508100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IFERROR(VLOOKUP(B336,input_508100!L:R,7,FALSE),VLOOKUP(tables_508100!C336,input_508100!A:H,8,FALSE))</f>
        <v>558360</v>
      </c>
      <c r="P336" s="46">
        <f t="shared" ca="1" si="26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input_508100!A$2</f>
        <v>508100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IFERROR(VLOOKUP(B337,input_508100!L:R,7,FALSE),VLOOKUP(tables_508100!C337,input_508100!A:H,8,FALSE))</f>
        <v>46530</v>
      </c>
      <c r="P337" s="46">
        <f t="shared" ca="1" si="26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input_508100!A$2</f>
        <v>508100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IFERROR(VLOOKUP(B338,input_508100!L:R,7,FALSE),VLOOKUP(tables_508100!C338,input_508100!A:H,8,FALSE))</f>
        <v>47000</v>
      </c>
      <c r="P338" s="46">
        <f t="shared" ca="1" si="26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input_508100!A$2</f>
        <v>508100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IFERROR(VLOOKUP(B339,input_508100!L:R,7,FALSE),VLOOKUP(tables_508100!C339,input_508100!A:H,8,FALSE))</f>
        <v>47000</v>
      </c>
      <c r="P339" s="46">
        <f t="shared" ca="1" si="26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input_508100!A$2</f>
        <v>508100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IFERROR(VLOOKUP(B340,input_508100!L:R,7,FALSE),VLOOKUP(tables_508100!C340,input_508100!A:H,8,FALSE))</f>
        <v>47000</v>
      </c>
      <c r="P340" s="46">
        <f t="shared" ca="1" si="26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input_508100!A$2</f>
        <v>508100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IFERROR(VLOOKUP(B341,input_508100!L:R,7,FALSE),VLOOKUP(tables_508100!C341,input_508100!A:H,8,FALSE))</f>
        <v>47000</v>
      </c>
      <c r="P341" s="46">
        <f t="shared" ref="P341:P346" ca="1" si="35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input_508100!A$2</f>
        <v>508100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IFERROR(VLOOKUP(B342,input_508100!L:R,7,FALSE),VLOOKUP(tables_508100!C342,input_508100!A:H,8,FALSE))</f>
        <v>47000</v>
      </c>
      <c r="P342" s="46">
        <f t="shared" ca="1" si="35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input_508100!A$2</f>
        <v>508100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IFERROR(VLOOKUP(B343,input_508100!L:R,7,FALSE),VLOOKUP(tables_508100!C343,input_508100!A:H,8,FALSE))</f>
        <v>558360</v>
      </c>
      <c r="P343" s="46">
        <f t="shared" ca="1" si="35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input_508100!A$2</f>
        <v>508100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IFERROR(VLOOKUP(B344,input_508100!L:R,7,FALSE),VLOOKUP(tables_508100!C344,input_508100!A:H,8,FALSE))</f>
        <v>46530</v>
      </c>
      <c r="P344" s="46">
        <f t="shared" ca="1" si="35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input_508100!A$2</f>
        <v>508100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IFERROR(VLOOKUP(B345,input_508100!L:R,7,FALSE),VLOOKUP(tables_508100!C345,input_508100!A:H,8,FALSE))</f>
        <v>47000</v>
      </c>
      <c r="P345" s="46">
        <f t="shared" ca="1" si="35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input_508100!A$2</f>
        <v>508100</v>
      </c>
      <c r="B346" s="1">
        <v>1340</v>
      </c>
      <c r="C346" s="7" t="str">
        <f t="shared" si="33"/>
        <v>PremiumSSS5R3less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IFERROR(VLOOKUP(B346,input_508100!L:R,7,FALSE),VLOOKUP(tables_508100!C346,input_508100!A:H,8,FALSE))</f>
        <v>310200</v>
      </c>
      <c r="P346" s="46">
        <f t="shared" ca="1" si="35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input_508100!A$2</f>
        <v>508100</v>
      </c>
      <c r="B347" s="1">
        <v>790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戦略級の才脳 ノイマン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attack</v>
      </c>
      <c r="M347" s="7" t="str">
        <f>VLOOKUP(B347,[1]characters!$A:$M,13,FALSE)</f>
        <v>machine</v>
      </c>
      <c r="N347" s="7" t="str">
        <f>VLOOKUP(B347,[1]characters!$A:$G,7,FALSE)</f>
        <v>女性</v>
      </c>
      <c r="O347" s="45">
        <f ca="1">IFERROR(VLOOKUP(B347,input_508100!L:R,7,FALSE),VLOOKUP(tables_508100!C347,input_508100!A:H,8,FALSE))</f>
        <v>310200</v>
      </c>
      <c r="P347" s="46">
        <f ca="1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VLOOKUP(L3,tables_settle_508100!B:C,2,FALSE)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VLOOKUP(L4,tables_settle_508100!B:C,2,FALSE)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(COUNTIF(tables_settle_508100!C:C,input_settle_508100!A28)+COUNTIF(tables_settle_508100!C:C,input_settle_508100!A29))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VLOOKUP(L5,tables_settle_508100!B:C,2,FALSE)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(COUNTIF(tables_settle_508100!C:C,input_settle_508100!A25)+COUNTIF(tables_settle_508100!C:C,input_settle_508100!A18)+COUNTIF(tables_settle_508100!C:C,input_settle_508100!A20)+COUNTIF(tables_settle_508100!C:C,input_settle_508100!A22))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VLOOKUP(L6,tables_settle_508100!B:C,2,FALSE)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VLOOKUP(L7,tables_settle_508100!B:C,2,FALSE)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VLOOKUP(L8,tables_settle_508100!B:C,2,FALSE)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VLOOKUP(L9,tables_settle_508100!B:C,2,FALSE)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VLOOKUP(L10,tables_settle_508100!B:C,2,FALSE)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VLOOKUP(L11,tables_settle_508100!B:C,2,FALSE)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VLOOKUP(L12,tables_settle_508100!B:C,2,FALSE)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VLOOKUP(L13,tables_settle_508100!B:C,2,FALSE)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VLOOKUP(L14,tables_settle_508100!B:C,2,FALSE)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VLOOKUP(L15,tables_settle_508100!B:C,2,FALSE)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VLOOKUP(L16,tables_settle_508100!B:C,2,FALSE)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COUNTIF(tables_settle_508100!C:C,input_settle_508100!A17)-COUNTIF(Q:Q,A17)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VLOOKUP(L17,tables_settle_508100!B:C,2,FALSE)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COUNTIF(tables_settle_508100!C:C,input_settle_508100!A18)-COUNTIF(Q:Q,A18)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VLOOKUP(L18,tables_settle_508100!B:C,2,FALSE)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COUNTIF(tables_settle_508100!C:C,input_settle_508100!A19)-COUNTIF(Q:Q,A19)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VLOOKUP(L19,tables_settle_508100!B:C,2,FALSE)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COUNTIF(tables_settle_508100!C:C,input_settle_508100!A20)-COUNTIF(Q:Q,A20)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VLOOKUP(L20,tables_settle_508100!B:C,2,FALSE)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0.65999999999999992</v>
      </c>
      <c r="C21" s="85">
        <f t="shared" si="2"/>
        <v>0</v>
      </c>
      <c r="D21" s="74">
        <f t="shared" si="3"/>
        <v>0.65999999999999992</v>
      </c>
      <c r="E21">
        <f>COUNTIF(tables_settle_508100!C:C,input_settle_508100!A21)-COUNTIF(Q:Q,A21)</f>
        <v>52</v>
      </c>
      <c r="F21" s="43">
        <f t="shared" si="8"/>
        <v>1.269230769230769E-2</v>
      </c>
      <c r="G21">
        <f t="shared" si="4"/>
        <v>40946399.999999993</v>
      </c>
      <c r="H21">
        <f t="shared" si="5"/>
        <v>787430.76922999998</v>
      </c>
      <c r="I21">
        <f t="shared" si="6"/>
        <v>0.76922999997623265</v>
      </c>
      <c r="J21">
        <f t="shared" si="7"/>
        <v>1.300001300041467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COUNTIF(tables_settle_508100!C:C,input_settle_508100!A22)-COUNTIF(Q:Q,A22)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</v>
      </c>
      <c r="D23" s="74">
        <f t="shared" si="3"/>
        <v>0.24</v>
      </c>
      <c r="E23">
        <f>COUNTIF(tables_settle_508100!C:C,input_settle_508100!A23)-COUNTIF(Q:Q,A23)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COUNTIF(tables_settle_508100!C:C,input_settle_508100!A24)-COUNTIF(Q:Q,A24)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COUNTIF(tables_settle_508100!C:C,input_settle_508100!A25)-COUNTIF(Q:Q,A25)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COUNTIF(tables_settle_508100!C:C,input_settle_508100!A26)-COUNTIF(Q:Q,A26)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COUNTIF(tables_settle_508100!C:C,input_settle_508100!A27)-COUNTIF(Q:Q,A27)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2.1212121212121213E-2</v>
      </c>
      <c r="C28" s="85">
        <f t="shared" si="2"/>
        <v>0</v>
      </c>
      <c r="D28" s="74">
        <f t="shared" si="3"/>
        <v>2.1212121212121213E-2</v>
      </c>
      <c r="E28">
        <f>COUNTIF(tables_settle_508100!C:C,input_settle_508100!A28)-COUNTIF(Q:Q,A28)</f>
        <v>28</v>
      </c>
      <c r="F28" s="43">
        <f t="shared" si="8"/>
        <v>7.5757575757575758E-4</v>
      </c>
      <c r="G28">
        <f t="shared" si="4"/>
        <v>1316000</v>
      </c>
      <c r="H28">
        <f t="shared" si="5"/>
        <v>47000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COUNTIF(tables_settle_508100!C:C,input_settle_508100!A29)-COUNTIF(Q:Q,A29)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COUNTIF(tables_settle_508100!C:C,input_settle_508100!A30)-COUNTIF(Q:Q,A30)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COUNTIF(tables_settle_508100!C:C,input_settle_508100!A31)-COUNTIF(Q:Q,A31)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SUMIF(tables_settle_508100!C:C,input_settle_508100!A40,tables_settle_508100!O:O)</f>
        <v>0</v>
      </c>
      <c r="C40" s="54">
        <f t="shared" ref="C40:C46" ca="1" si="9">B40/B$47</f>
        <v>0</v>
      </c>
      <c r="E40">
        <v>3</v>
      </c>
      <c r="F40">
        <f ca="1">SUMIF(tables_settle_508100!J:J,input_settle_508100!E40,tables_settle_508100!O:O)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SUMIF(tables_settle_508100!C:C,input_settle_508100!A41,tables_settle_508100!O:O)</f>
        <v>0</v>
      </c>
      <c r="C41" s="54">
        <f t="shared" ca="1" si="9"/>
        <v>0</v>
      </c>
      <c r="E41">
        <v>4</v>
      </c>
      <c r="F41">
        <f ca="1">SUMIF(tables_settle_508100!J:J,input_settle_508100!E41,tables_settle_508100!O:O)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SUMIF(tables_settle_508100!C:C,input_settle_508100!A42,tables_settle_508100!O:O)</f>
        <v>0</v>
      </c>
      <c r="C42" s="54">
        <f t="shared" ca="1" si="9"/>
        <v>0</v>
      </c>
      <c r="E42">
        <v>5</v>
      </c>
      <c r="F42">
        <f ca="1">SUMIF(tables_settle_508100!J:J,input_settle_508100!E42,tables_settle_508100!O:O)</f>
        <v>62039999.999960028</v>
      </c>
      <c r="G42">
        <f ca="1">F42/A36</f>
        <v>0.99999999999935574</v>
      </c>
    </row>
    <row r="43" spans="1:7" x14ac:dyDescent="0.15">
      <c r="A43" s="33" t="s">
        <v>109</v>
      </c>
      <c r="B43">
        <f>SUMIF(tables_settle_508100!C:C,input_settle_508100!A43,tables_settle_508100!O:O)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SUMIF(tables_settle_508100!C:C,input_settle_508100!A44,tables_settle_508100!O:O)</f>
        <v>40946399.99996002</v>
      </c>
      <c r="C44" s="54">
        <f t="shared" ca="1" si="9"/>
        <v>0.96886120996438341</v>
      </c>
      <c r="E44" t="s">
        <v>54</v>
      </c>
      <c r="F44" s="55"/>
    </row>
    <row r="45" spans="1:7" x14ac:dyDescent="0.15">
      <c r="A45" s="33" t="s">
        <v>107</v>
      </c>
      <c r="B45">
        <f ca="1">SUMIF(tables_settle_508100!C:C,input_settle_508100!A45,tables_settle_508100!O:O)</f>
        <v>1316000</v>
      </c>
      <c r="C45" s="54">
        <f t="shared" ca="1" si="9"/>
        <v>3.1138790035616645E-2</v>
      </c>
      <c r="E45" t="s">
        <v>204</v>
      </c>
      <c r="F45" s="55">
        <f ca="1">SUMIF(tables_settle_508100!I:I,input_settle_508100!E45,tables_settle_508100!P:P)</f>
        <v>6.0000000000038654E-2</v>
      </c>
    </row>
    <row r="46" spans="1:7" x14ac:dyDescent="0.15">
      <c r="A46" s="33" t="s">
        <v>108</v>
      </c>
      <c r="B46">
        <f>SUMIF(tables_settle_508100!C:C,input_settle_508100!A46,tables_settle_508100!O:O)</f>
        <v>0</v>
      </c>
      <c r="C46" s="54">
        <f t="shared" ca="1" si="9"/>
        <v>0</v>
      </c>
      <c r="E46" t="s">
        <v>205</v>
      </c>
      <c r="F46" s="55">
        <f ca="1">SUMIF(tables_settle_508100!I:I,input_settle_508100!E46,tables_settle_508100!P:P)</f>
        <v>0.24576923076917845</v>
      </c>
    </row>
    <row r="47" spans="1:7" x14ac:dyDescent="0.15">
      <c r="A47" s="39" t="s">
        <v>59</v>
      </c>
      <c r="B47">
        <f ca="1">SUM(B40:B46)</f>
        <v>42262399.99996002</v>
      </c>
      <c r="C47" s="55">
        <f ca="1">SUM(C40:C46)</f>
        <v>1</v>
      </c>
      <c r="E47" t="s">
        <v>206</v>
      </c>
      <c r="F47" s="55">
        <f ca="1">SUMIF(tables_settle_508100!I:I,input_settle_508100!E47,tables_settle_508100!P:P)</f>
        <v>0.63423076923074373</v>
      </c>
    </row>
    <row r="48" spans="1:7" x14ac:dyDescent="0.15">
      <c r="E48" t="s">
        <v>207</v>
      </c>
      <c r="F48" s="55">
        <f ca="1">SUMIF(tables_settle_508100!I:I,input_settle_508100!E48,tables_settle_508100!P:P)</f>
        <v>4.4696969696998524E-2</v>
      </c>
      <c r="G48" s="55">
        <f ca="1">0.05-F48-F49</f>
        <v>-3.2241570524504937E-14</v>
      </c>
    </row>
    <row r="49" spans="5:7" x14ac:dyDescent="0.15">
      <c r="E49" t="s">
        <v>249</v>
      </c>
      <c r="F49" s="55">
        <f ca="1">SUMIF(tables_settle_508100!I:I,input_settle_508100!E49,tables_settle_508100!P:P)</f>
        <v>5.3030303030337199E-3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28" activePane="bottomLeft" state="frozen"/>
      <selection activeCell="P347" sqref="P347"/>
      <selection pane="bottomLeft" activeCell="B348" sqref="B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input_settle_508100!A$2</f>
        <v>508100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IFERROR(VLOOKUP(B2,input_settle_508100!L:R,7,FALSE),VLOOKUP(tables_settle_508100!C2,input_settle_508100!A:H,8,FALSE))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input_settle_508100!A$2</f>
        <v>508100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IFERROR(VLOOKUP(B3,input_settle_508100!L:R,7,FALSE),VLOOKUP(tables_settle_508100!C3,input_settle_508100!A:H,8,FALSE))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input_settle_508100!A$2</f>
        <v>508100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IFERROR(VLOOKUP(B4,input_settle_508100!L:R,7,FALSE),VLOOKUP(tables_settle_508100!C4,input_settle_508100!A:H,8,FALSE))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input_settle_508100!A$2</f>
        <v>508100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IFERROR(VLOOKUP(B5,input_settle_508100!L:R,7,FALSE),VLOOKUP(tables_settle_508100!C5,input_settle_508100!A:H,8,FALSE))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input_settle_508100!A$2</f>
        <v>508100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IFERROR(VLOOKUP(B6,input_settle_508100!L:R,7,FALSE),VLOOKUP(tables_settle_508100!C6,input_settle_508100!A:H,8,FALSE))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input_settle_508100!A$2</f>
        <v>508100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IFERROR(VLOOKUP(B7,input_settle_508100!L:R,7,FALSE),VLOOKUP(tables_settle_508100!C7,input_settle_508100!A:H,8,FALSE))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input_settle_508100!A$2</f>
        <v>508100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IFERROR(VLOOKUP(B8,input_settle_508100!L:R,7,FALSE),VLOOKUP(tables_settle_508100!C8,input_settle_508100!A:H,8,FALSE))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input_settle_508100!A$2</f>
        <v>508100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IFERROR(VLOOKUP(B9,input_settle_508100!L:R,7,FALSE),VLOOKUP(tables_settle_508100!C9,input_settle_508100!A:H,8,FALSE))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input_settle_508100!A$2</f>
        <v>508100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IFERROR(VLOOKUP(B10,input_settle_508100!L:R,7,FALSE),VLOOKUP(tables_settle_508100!C10,input_settle_508100!A:H,8,FALSE))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input_settle_508100!A$2</f>
        <v>508100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IFERROR(VLOOKUP(B11,input_settle_508100!L:R,7,FALSE),VLOOKUP(tables_settle_508100!C11,input_settle_508100!A:H,8,FALSE))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input_settle_508100!A$2</f>
        <v>508100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IFERROR(VLOOKUP(B12,input_settle_508100!L:R,7,FALSE),VLOOKUP(tables_settle_508100!C12,input_settle_508100!A:H,8,FALSE))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input_settle_508100!A$2</f>
        <v>508100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IFERROR(VLOOKUP(B13,input_settle_508100!L:R,7,FALSE),VLOOKUP(tables_settle_508100!C13,input_settle_508100!A:H,8,FALSE))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input_settle_508100!A$2</f>
        <v>508100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IFERROR(VLOOKUP(B14,input_settle_508100!L:R,7,FALSE),VLOOKUP(tables_settle_508100!C14,input_settle_508100!A:H,8,FALSE))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input_settle_508100!A$2</f>
        <v>508100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IFERROR(VLOOKUP(B15,input_settle_508100!L:R,7,FALSE),VLOOKUP(tables_settle_508100!C15,input_settle_508100!A:H,8,FALSE))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input_settle_508100!A$2</f>
        <v>508100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IFERROR(VLOOKUP(B16,input_settle_508100!L:R,7,FALSE),VLOOKUP(tables_settle_508100!C16,input_settle_508100!A:H,8,FALSE))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input_settle_508100!A$2</f>
        <v>508100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IFERROR(VLOOKUP(B17,input_settle_508100!L:R,7,FALSE),VLOOKUP(tables_settle_508100!C17,input_settle_508100!A:H,8,FALSE))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input_settle_508100!A$2</f>
        <v>508100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IFERROR(VLOOKUP(B18,input_settle_508100!L:R,7,FALSE),VLOOKUP(tables_settle_508100!C18,input_settle_508100!A:H,8,FALSE))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input_settle_508100!A$2</f>
        <v>508100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IFERROR(VLOOKUP(B19,input_settle_508100!L:R,7,FALSE),VLOOKUP(tables_settle_508100!C19,input_settle_508100!A:H,8,FALSE))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input_settle_508100!A$2</f>
        <v>508100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IFERROR(VLOOKUP(B20,input_settle_508100!L:R,7,FALSE),VLOOKUP(tables_settle_508100!C20,input_settle_508100!A:H,8,FALSE))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input_settle_508100!A$2</f>
        <v>508100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IFERROR(VLOOKUP(B21,input_settle_508100!L:R,7,FALSE),VLOOKUP(tables_settle_508100!C21,input_settle_508100!A:H,8,FALSE))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input_settle_508100!A$2</f>
        <v>508100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IFERROR(VLOOKUP(B22,input_settle_508100!L:R,7,FALSE),VLOOKUP(tables_settle_508100!C22,input_settle_508100!A:H,8,FALSE))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input_settle_508100!A$2</f>
        <v>508100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IFERROR(VLOOKUP(B23,input_settle_508100!L:R,7,FALSE),VLOOKUP(tables_settle_508100!C23,input_settle_508100!A:H,8,FALSE))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input_settle_508100!A$2</f>
        <v>508100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IFERROR(VLOOKUP(B24,input_settle_508100!L:R,7,FALSE),VLOOKUP(tables_settle_508100!C24,input_settle_508100!A:H,8,FALSE))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input_settle_508100!A$2</f>
        <v>508100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IFERROR(VLOOKUP(B25,input_settle_508100!L:R,7,FALSE),VLOOKUP(tables_settle_508100!C25,input_settle_508100!A:H,8,FALSE))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input_settle_508100!A$2</f>
        <v>508100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IFERROR(VLOOKUP(B26,input_settle_508100!L:R,7,FALSE),VLOOKUP(tables_settle_508100!C26,input_settle_508100!A:H,8,FALSE))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input_settle_508100!A$2</f>
        <v>508100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IFERROR(VLOOKUP(B27,input_settle_508100!L:R,7,FALSE),VLOOKUP(tables_settle_508100!C27,input_settle_508100!A:H,8,FALSE))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input_settle_508100!A$2</f>
        <v>508100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IFERROR(VLOOKUP(B28,input_settle_508100!L:R,7,FALSE),VLOOKUP(tables_settle_508100!C28,input_settle_508100!A:H,8,FALSE))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input_settle_508100!A$2</f>
        <v>508100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IFERROR(VLOOKUP(B29,input_settle_508100!L:R,7,FALSE),VLOOKUP(tables_settle_508100!C29,input_settle_508100!A:H,8,FALSE))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input_settle_508100!A$2</f>
        <v>508100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IFERROR(VLOOKUP(B30,input_settle_508100!L:R,7,FALSE),VLOOKUP(tables_settle_508100!C30,input_settle_508100!A:H,8,FALSE))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input_settle_508100!A$2</f>
        <v>508100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IFERROR(VLOOKUP(B31,input_settle_508100!L:R,7,FALSE),VLOOKUP(tables_settle_508100!C31,input_settle_508100!A:H,8,FALSE))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input_settle_508100!A$2</f>
        <v>508100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IFERROR(VLOOKUP(B32,input_settle_508100!L:R,7,FALSE),VLOOKUP(tables_settle_508100!C32,input_settle_508100!A:H,8,FALSE))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input_settle_508100!A$2</f>
        <v>508100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IFERROR(VLOOKUP(B33,input_settle_508100!L:R,7,FALSE),VLOOKUP(tables_settle_508100!C33,input_settle_508100!A:H,8,FALSE))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input_settle_508100!A$2</f>
        <v>508100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IFERROR(VLOOKUP(B34,input_settle_508100!L:R,7,FALSE),VLOOKUP(tables_settle_508100!C34,input_settle_508100!A:H,8,FALSE))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input_settle_508100!A$2</f>
        <v>508100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IFERROR(VLOOKUP(B35,input_settle_508100!L:R,7,FALSE),VLOOKUP(tables_settle_508100!C35,input_settle_508100!A:H,8,FALSE))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input_settle_508100!A$2</f>
        <v>508100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IFERROR(VLOOKUP(B36,input_settle_508100!L:R,7,FALSE),VLOOKUP(tables_settle_508100!C36,input_settle_508100!A:H,8,FALSE))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input_settle_508100!A$2</f>
        <v>508100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IFERROR(VLOOKUP(B37,input_settle_508100!L:R,7,FALSE),VLOOKUP(tables_settle_508100!C37,input_settle_508100!A:H,8,FALSE))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input_settle_508100!A$2</f>
        <v>508100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IFERROR(VLOOKUP(B38,input_settle_508100!L:R,7,FALSE),VLOOKUP(tables_settle_508100!C38,input_settle_508100!A:H,8,FALSE))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input_settle_508100!A$2</f>
        <v>508100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IFERROR(VLOOKUP(B39,input_settle_508100!L:R,7,FALSE),VLOOKUP(tables_settle_508100!C39,input_settle_508100!A:H,8,FALSE))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input_settle_508100!A$2</f>
        <v>508100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IFERROR(VLOOKUP(B40,input_settle_508100!L:R,7,FALSE),VLOOKUP(tables_settle_508100!C40,input_settle_508100!A:H,8,FALSE))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input_settle_508100!A$2</f>
        <v>508100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IFERROR(VLOOKUP(B41,input_settle_508100!L:R,7,FALSE),VLOOKUP(tables_settle_508100!C41,input_settle_508100!A:H,8,FALSE))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input_settle_508100!A$2</f>
        <v>508100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IFERROR(VLOOKUP(B42,input_settle_508100!L:R,7,FALSE),VLOOKUP(tables_settle_508100!C42,input_settle_508100!A:H,8,FALSE))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input_settle_508100!A$2</f>
        <v>508100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IFERROR(VLOOKUP(B43,input_settle_508100!L:R,7,FALSE),VLOOKUP(tables_settle_508100!C43,input_settle_508100!A:H,8,FALSE))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input_settle_508100!A$2</f>
        <v>508100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IFERROR(VLOOKUP(B44,input_settle_508100!L:R,7,FALSE),VLOOKUP(tables_settle_508100!C44,input_settle_508100!A:H,8,FALSE))</f>
        <v>620400</v>
      </c>
      <c r="P44" s="46">
        <f t="shared" ca="1" si="1"/>
        <v>1.0000000000006443E-2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input_settle_508100!A$2</f>
        <v>508100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IFERROR(VLOOKUP(B45,input_settle_508100!L:R,7,FALSE),VLOOKUP(tables_settle_508100!C45,input_settle_508100!A:H,8,FALSE))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input_settle_508100!A$2</f>
        <v>508100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IFERROR(VLOOKUP(B46,input_settle_508100!L:R,7,FALSE),VLOOKUP(tables_settle_508100!C46,input_settle_508100!A:H,8,FALSE))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input_settle_508100!A$2</f>
        <v>508100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IFERROR(VLOOKUP(B47,input_settle_508100!L:R,7,FALSE),VLOOKUP(tables_settle_508100!C47,input_settle_508100!A:H,8,FALSE))</f>
        <v>620400</v>
      </c>
      <c r="P47" s="46">
        <f t="shared" ca="1" si="1"/>
        <v>1.0000000000006443E-2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input_settle_508100!A$2</f>
        <v>508100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IFERROR(VLOOKUP(B48,input_settle_508100!L:R,7,FALSE),VLOOKUP(tables_settle_508100!C48,input_settle_508100!A:H,8,FALSE))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input_settle_508100!A$2</f>
        <v>508100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IFERROR(VLOOKUP(B49,input_settle_508100!L:R,7,FALSE),VLOOKUP(tables_settle_508100!C49,input_settle_508100!A:H,8,FALSE))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input_settle_508100!A$2</f>
        <v>508100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IFERROR(VLOOKUP(B50,input_settle_508100!L:R,7,FALSE),VLOOKUP(tables_settle_508100!C50,input_settle_508100!A:H,8,FALSE))</f>
        <v>620400</v>
      </c>
      <c r="P50" s="46">
        <f t="shared" ca="1" si="1"/>
        <v>1.0000000000006443E-2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input_settle_508100!A$2</f>
        <v>508100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IFERROR(VLOOKUP(B51,input_settle_508100!L:R,7,FALSE),VLOOKUP(tables_settle_508100!C51,input_settle_508100!A:H,8,FALSE))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input_settle_508100!A$2</f>
        <v>508100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IFERROR(VLOOKUP(B52,input_settle_508100!L:R,7,FALSE),VLOOKUP(tables_settle_508100!C52,input_settle_508100!A:H,8,FALSE))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input_settle_508100!A$2</f>
        <v>508100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IFERROR(VLOOKUP(B53,input_settle_508100!L:R,7,FALSE),VLOOKUP(tables_settle_508100!C53,input_settle_508100!A:H,8,FALSE))</f>
        <v>787430.76922999998</v>
      </c>
      <c r="P53" s="46">
        <f t="shared" ca="1" si="1"/>
        <v>1.2692307692303471E-2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input_settle_508100!A$2</f>
        <v>508100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IFERROR(VLOOKUP(B54,input_settle_508100!L:R,7,FALSE),VLOOKUP(tables_settle_508100!C54,input_settle_508100!A:H,8,FALSE))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input_settle_508100!A$2</f>
        <v>508100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IFERROR(VLOOKUP(B55,input_settle_508100!L:R,7,FALSE),VLOOKUP(tables_settle_508100!C55,input_settle_508100!A:H,8,FALSE))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input_settle_508100!A$2</f>
        <v>508100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IFERROR(VLOOKUP(B56,input_settle_508100!L:R,7,FALSE),VLOOKUP(tables_settle_508100!C56,input_settle_508100!A:H,8,FALSE))</f>
        <v>787430.76922999998</v>
      </c>
      <c r="P56" s="46">
        <f t="shared" ca="1" si="1"/>
        <v>1.2692307692303471E-2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input_settle_508100!A$2</f>
        <v>508100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IFERROR(VLOOKUP(B57,input_settle_508100!L:R,7,FALSE),VLOOKUP(tables_settle_508100!C57,input_settle_508100!A:H,8,FALSE))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input_settle_508100!A$2</f>
        <v>508100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IFERROR(VLOOKUP(B58,input_settle_508100!L:R,7,FALSE),VLOOKUP(tables_settle_508100!C58,input_settle_508100!A:H,8,FALSE))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input_settle_508100!A$2</f>
        <v>508100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IFERROR(VLOOKUP(B59,input_settle_508100!L:R,7,FALSE),VLOOKUP(tables_settle_508100!C59,input_settle_508100!A:H,8,FALSE))</f>
        <v>787430.76922999998</v>
      </c>
      <c r="P59" s="46">
        <f t="shared" ca="1" si="1"/>
        <v>1.2692307692303471E-2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input_settle_508100!A$2</f>
        <v>508100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IFERROR(VLOOKUP(B60,input_settle_508100!L:R,7,FALSE),VLOOKUP(tables_settle_508100!C60,input_settle_508100!A:H,8,FALSE))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input_settle_508100!A$2</f>
        <v>508100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IFERROR(VLOOKUP(B61,input_settle_508100!L:R,7,FALSE),VLOOKUP(tables_settle_508100!C61,input_settle_508100!A:H,8,FALSE))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input_settle_508100!A$2</f>
        <v>508100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IFERROR(VLOOKUP(B62,input_settle_508100!L:R,7,FALSE),VLOOKUP(tables_settle_508100!C62,input_settle_508100!A:H,8,FALSE))</f>
        <v>787430.76922999998</v>
      </c>
      <c r="P62" s="46">
        <f t="shared" ca="1" si="1"/>
        <v>1.2692307692303471E-2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input_settle_508100!A$2</f>
        <v>508100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IFERROR(VLOOKUP(B63,input_settle_508100!L:R,7,FALSE),VLOOKUP(tables_settle_508100!C63,input_settle_508100!A:H,8,FALSE))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input_settle_508100!A$2</f>
        <v>508100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IFERROR(VLOOKUP(B64,input_settle_508100!L:R,7,FALSE),VLOOKUP(tables_settle_508100!C64,input_settle_508100!A:H,8,FALSE))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input_settle_508100!A$2</f>
        <v>508100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IFERROR(VLOOKUP(B65,input_settle_508100!L:R,7,FALSE),VLOOKUP(tables_settle_508100!C65,input_settle_508100!A:H,8,FALSE))</f>
        <v>787430.76922999998</v>
      </c>
      <c r="P65" s="46">
        <f t="shared" ca="1" si="1"/>
        <v>1.2692307692303471E-2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input_settle_508100!A$2</f>
        <v>508100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IFERROR(VLOOKUP(B66,input_settle_508100!L:R,7,FALSE),VLOOKUP(tables_settle_508100!C66,input_settle_508100!A:H,8,FALSE))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input_settle_508100!A$2</f>
        <v>508100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IFERROR(VLOOKUP(B67,input_settle_508100!L:R,7,FALSE),VLOOKUP(tables_settle_508100!C67,input_settle_508100!A:H,8,FALSE))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input_settle_508100!A$2</f>
        <v>508100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IFERROR(VLOOKUP(B68,input_settle_508100!L:R,7,FALSE),VLOOKUP(tables_settle_508100!C68,input_settle_508100!A:H,8,FALSE))</f>
        <v>787430.76922999998</v>
      </c>
      <c r="P68" s="46">
        <f t="shared" ca="1" si="4"/>
        <v>1.2692307692303471E-2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input_settle_508100!A$2</f>
        <v>508100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IFERROR(VLOOKUP(B69,input_settle_508100!L:R,7,FALSE),VLOOKUP(tables_settle_508100!C69,input_settle_508100!A:H,8,FALSE))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input_settle_508100!A$2</f>
        <v>508100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IFERROR(VLOOKUP(B70,input_settle_508100!L:R,7,FALSE),VLOOKUP(tables_settle_508100!C70,input_settle_508100!A:H,8,FALSE))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input_settle_508100!A$2</f>
        <v>508100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IFERROR(VLOOKUP(B71,input_settle_508100!L:R,7,FALSE),VLOOKUP(tables_settle_508100!C71,input_settle_508100!A:H,8,FALSE))</f>
        <v>787430.76922999998</v>
      </c>
      <c r="P71" s="46">
        <f t="shared" ca="1" si="4"/>
        <v>1.2692307692303471E-2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input_settle_508100!A$2</f>
        <v>508100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IFERROR(VLOOKUP(B72,input_settle_508100!L:R,7,FALSE),VLOOKUP(tables_settle_508100!C72,input_settle_508100!A:H,8,FALSE))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input_settle_508100!A$2</f>
        <v>508100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IFERROR(VLOOKUP(B73,input_settle_508100!L:R,7,FALSE),VLOOKUP(tables_settle_508100!C73,input_settle_508100!A:H,8,FALSE))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input_settle_508100!A$2</f>
        <v>508100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IFERROR(VLOOKUP(B74,input_settle_508100!L:R,7,FALSE),VLOOKUP(tables_settle_508100!C74,input_settle_508100!A:H,8,FALSE))</f>
        <v>787430.76922999998</v>
      </c>
      <c r="P74" s="46">
        <f t="shared" ca="1" si="4"/>
        <v>1.2692307692303471E-2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input_settle_508100!A$2</f>
        <v>508100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IFERROR(VLOOKUP(B75,input_settle_508100!L:R,7,FALSE),VLOOKUP(tables_settle_508100!C75,input_settle_508100!A:H,8,FALSE))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input_settle_508100!A$2</f>
        <v>508100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IFERROR(VLOOKUP(B76,input_settle_508100!L:R,7,FALSE),VLOOKUP(tables_settle_508100!C76,input_settle_508100!A:H,8,FALSE))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input_settle_508100!A$2</f>
        <v>508100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IFERROR(VLOOKUP(B77,input_settle_508100!L:R,7,FALSE),VLOOKUP(tables_settle_508100!C77,input_settle_508100!A:H,8,FALSE))</f>
        <v>787430.76922999998</v>
      </c>
      <c r="P77" s="46">
        <f t="shared" ca="1" si="4"/>
        <v>1.2692307692303471E-2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input_settle_508100!A$2</f>
        <v>508100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IFERROR(VLOOKUP(B78,input_settle_508100!L:R,7,FALSE),VLOOKUP(tables_settle_508100!C78,input_settle_508100!A:H,8,FALSE))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input_settle_508100!A$2</f>
        <v>508100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IFERROR(VLOOKUP(B79,input_settle_508100!L:R,7,FALSE),VLOOKUP(tables_settle_508100!C79,input_settle_508100!A:H,8,FALSE))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input_settle_508100!A$2</f>
        <v>508100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IFERROR(VLOOKUP(B80,input_settle_508100!L:R,7,FALSE),VLOOKUP(tables_settle_508100!C80,input_settle_508100!A:H,8,FALSE))</f>
        <v>787430.76922999998</v>
      </c>
      <c r="P80" s="46">
        <f t="shared" ca="1" si="4"/>
        <v>1.2692307692303471E-2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input_settle_508100!A$2</f>
        <v>508100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IFERROR(VLOOKUP(B81,input_settle_508100!L:R,7,FALSE),VLOOKUP(tables_settle_508100!C81,input_settle_508100!A:H,8,FALSE))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input_settle_508100!A$2</f>
        <v>508100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IFERROR(VLOOKUP(B82,input_settle_508100!L:R,7,FALSE),VLOOKUP(tables_settle_508100!C82,input_settle_508100!A:H,8,FALSE))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input_settle_508100!A$2</f>
        <v>508100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IFERROR(VLOOKUP(B83,input_settle_508100!L:R,7,FALSE),VLOOKUP(tables_settle_508100!C83,input_settle_508100!A:H,8,FALSE))</f>
        <v>787430.76922999998</v>
      </c>
      <c r="P83" s="46">
        <f t="shared" ca="1" si="4"/>
        <v>1.2692307692303471E-2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input_settle_508100!A$2</f>
        <v>508100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IFERROR(VLOOKUP(B84,input_settle_508100!L:R,7,FALSE),VLOOKUP(tables_settle_508100!C84,input_settle_508100!A:H,8,FALSE))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input_settle_508100!A$2</f>
        <v>508100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IFERROR(VLOOKUP(B85,input_settle_508100!L:R,7,FALSE),VLOOKUP(tables_settle_508100!C85,input_settle_508100!A:H,8,FALSE))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input_settle_508100!A$2</f>
        <v>508100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IFERROR(VLOOKUP(B86,input_settle_508100!L:R,7,FALSE),VLOOKUP(tables_settle_508100!C86,input_settle_508100!A:H,8,FALSE))</f>
        <v>787430.76922999998</v>
      </c>
      <c r="P86" s="46">
        <f t="shared" ca="1" si="4"/>
        <v>1.2692307692303471E-2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input_settle_508100!A$2</f>
        <v>508100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IFERROR(VLOOKUP(B87,input_settle_508100!L:R,7,FALSE),VLOOKUP(tables_settle_508100!C87,input_settle_508100!A:H,8,FALSE))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input_settle_508100!A$2</f>
        <v>508100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IFERROR(VLOOKUP(B88,input_settle_508100!L:R,7,FALSE),VLOOKUP(tables_settle_508100!C88,input_settle_508100!A:H,8,FALSE))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input_settle_508100!A$2</f>
        <v>508100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IFERROR(VLOOKUP(B89,input_settle_508100!L:R,7,FALSE),VLOOKUP(tables_settle_508100!C89,input_settle_508100!A:H,8,FALSE))</f>
        <v>787430.76922999998</v>
      </c>
      <c r="P89" s="46">
        <f t="shared" ca="1" si="4"/>
        <v>1.2692307692303471E-2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input_settle_508100!A$2</f>
        <v>508100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IFERROR(VLOOKUP(B90,input_settle_508100!L:R,7,FALSE),VLOOKUP(tables_settle_508100!C90,input_settle_508100!A:H,8,FALSE))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input_settle_508100!A$2</f>
        <v>508100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IFERROR(VLOOKUP(B91,input_settle_508100!L:R,7,FALSE),VLOOKUP(tables_settle_508100!C91,input_settle_508100!A:H,8,FALSE))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input_settle_508100!A$2</f>
        <v>508100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IFERROR(VLOOKUP(B92,input_settle_508100!L:R,7,FALSE),VLOOKUP(tables_settle_508100!C92,input_settle_508100!A:H,8,FALSE))</f>
        <v>787430.76922999998</v>
      </c>
      <c r="P92" s="46">
        <f t="shared" ca="1" si="4"/>
        <v>1.2692307692303471E-2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input_settle_508100!A$2</f>
        <v>508100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IFERROR(VLOOKUP(B93,input_settle_508100!L:R,7,FALSE),VLOOKUP(tables_settle_508100!C93,input_settle_508100!A:H,8,FALSE))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input_settle_508100!A$2</f>
        <v>508100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IFERROR(VLOOKUP(B94,input_settle_508100!L:R,7,FALSE),VLOOKUP(tables_settle_508100!C94,input_settle_508100!A:H,8,FALSE))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input_settle_508100!A$2</f>
        <v>508100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IFERROR(VLOOKUP(B95,input_settle_508100!L:R,7,FALSE),VLOOKUP(tables_settle_508100!C95,input_settle_508100!A:H,8,FALSE))</f>
        <v>787430.76922999998</v>
      </c>
      <c r="P95" s="46">
        <f t="shared" ca="1" si="4"/>
        <v>1.2692307692303471E-2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input_settle_508100!A$2</f>
        <v>508100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IFERROR(VLOOKUP(B96,input_settle_508100!L:R,7,FALSE),VLOOKUP(tables_settle_508100!C96,input_settle_508100!A:H,8,FALSE))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input_settle_508100!A$2</f>
        <v>508100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IFERROR(VLOOKUP(B97,input_settle_508100!L:R,7,FALSE),VLOOKUP(tables_settle_508100!C97,input_settle_508100!A:H,8,FALSE))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input_settle_508100!A$2</f>
        <v>508100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IFERROR(VLOOKUP(B98,input_settle_508100!L:R,7,FALSE),VLOOKUP(tables_settle_508100!C98,input_settle_508100!A:H,8,FALSE))</f>
        <v>787430.76922999998</v>
      </c>
      <c r="P98" s="46">
        <f t="shared" ca="1" si="4"/>
        <v>1.2692307692303471E-2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input_settle_508100!A$2</f>
        <v>508100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IFERROR(VLOOKUP(B99,input_settle_508100!L:R,7,FALSE),VLOOKUP(tables_settle_508100!C99,input_settle_508100!A:H,8,FALSE))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input_settle_508100!A$2</f>
        <v>508100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IFERROR(VLOOKUP(B100,input_settle_508100!L:R,7,FALSE),VLOOKUP(tables_settle_508100!C100,input_settle_508100!A:H,8,FALSE))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input_settle_508100!A$2</f>
        <v>508100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IFERROR(VLOOKUP(B101,input_settle_508100!L:R,7,FALSE),VLOOKUP(tables_settle_508100!C101,input_settle_508100!A:H,8,FALSE))</f>
        <v>787430.76922999998</v>
      </c>
      <c r="P101" s="46">
        <f t="shared" ca="1" si="4"/>
        <v>1.2692307692303471E-2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input_settle_508100!A$2</f>
        <v>508100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IFERROR(VLOOKUP(B102,input_settle_508100!L:R,7,FALSE),VLOOKUP(tables_settle_508100!C102,input_settle_508100!A:H,8,FALSE))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input_settle_508100!A$2</f>
        <v>508100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IFERROR(VLOOKUP(B103,input_settle_508100!L:R,7,FALSE),VLOOKUP(tables_settle_508100!C103,input_settle_508100!A:H,8,FALSE))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input_settle_508100!A$2</f>
        <v>508100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IFERROR(VLOOKUP(B104,input_settle_508100!L:R,7,FALSE),VLOOKUP(tables_settle_508100!C104,input_settle_508100!A:H,8,FALSE))</f>
        <v>787430.76922999998</v>
      </c>
      <c r="P104" s="46">
        <f t="shared" ca="1" si="4"/>
        <v>1.2692307692303471E-2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input_settle_508100!A$2</f>
        <v>508100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IFERROR(VLOOKUP(B105,input_settle_508100!L:R,7,FALSE),VLOOKUP(tables_settle_508100!C105,input_settle_508100!A:H,8,FALSE))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input_settle_508100!A$2</f>
        <v>508100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IFERROR(VLOOKUP(B106,input_settle_508100!L:R,7,FALSE),VLOOKUP(tables_settle_508100!C106,input_settle_508100!A:H,8,FALSE))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input_settle_508100!A$2</f>
        <v>508100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IFERROR(VLOOKUP(B107,input_settle_508100!L:R,7,FALSE),VLOOKUP(tables_settle_508100!C107,input_settle_508100!A:H,8,FALSE))</f>
        <v>787430.76922999998</v>
      </c>
      <c r="P107" s="46">
        <f t="shared" ca="1" si="4"/>
        <v>1.2692307692303471E-2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input_settle_508100!A$2</f>
        <v>508100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IFERROR(VLOOKUP(B108,input_settle_508100!L:R,7,FALSE),VLOOKUP(tables_settle_508100!C108,input_settle_508100!A:H,8,FALSE))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input_settle_508100!A$2</f>
        <v>508100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IFERROR(VLOOKUP(B109,input_settle_508100!L:R,7,FALSE),VLOOKUP(tables_settle_508100!C109,input_settle_508100!A:H,8,FALSE))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input_settle_508100!A$2</f>
        <v>508100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IFERROR(VLOOKUP(B110,input_settle_508100!L:R,7,FALSE),VLOOKUP(tables_settle_508100!C110,input_settle_508100!A:H,8,FALSE))</f>
        <v>787430.76922999998</v>
      </c>
      <c r="P110" s="46">
        <f t="shared" ca="1" si="4"/>
        <v>1.2692307692303471E-2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input_settle_508100!A$2</f>
        <v>508100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IFERROR(VLOOKUP(B111,input_settle_508100!L:R,7,FALSE),VLOOKUP(tables_settle_508100!C111,input_settle_508100!A:H,8,FALSE))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input_settle_508100!A$2</f>
        <v>508100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IFERROR(VLOOKUP(B112,input_settle_508100!L:R,7,FALSE),VLOOKUP(tables_settle_508100!C112,input_settle_508100!A:H,8,FALSE))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input_settle_508100!A$2</f>
        <v>508100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IFERROR(VLOOKUP(B113,input_settle_508100!L:R,7,FALSE),VLOOKUP(tables_settle_508100!C113,input_settle_508100!A:H,8,FALSE))</f>
        <v>620400</v>
      </c>
      <c r="P113" s="46">
        <f t="shared" ca="1" si="4"/>
        <v>1.0000000000006443E-2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input_settle_508100!A$2</f>
        <v>508100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IFERROR(VLOOKUP(B114,input_settle_508100!L:R,7,FALSE),VLOOKUP(tables_settle_508100!C114,input_settle_508100!A:H,8,FALSE))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input_settle_508100!A$2</f>
        <v>508100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IFERROR(VLOOKUP(B115,input_settle_508100!L:R,7,FALSE),VLOOKUP(tables_settle_508100!C115,input_settle_508100!A:H,8,FALSE))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input_settle_508100!A$2</f>
        <v>508100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IFERROR(VLOOKUP(B116,input_settle_508100!L:R,7,FALSE),VLOOKUP(tables_settle_508100!C116,input_settle_508100!A:H,8,FALSE))</f>
        <v>787430.76922999998</v>
      </c>
      <c r="P116" s="46">
        <f t="shared" ca="1" si="4"/>
        <v>1.2692307692303471E-2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input_settle_508100!A$2</f>
        <v>508100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IFERROR(VLOOKUP(B117,input_settle_508100!L:R,7,FALSE),VLOOKUP(tables_settle_508100!C117,input_settle_508100!A:H,8,FALSE))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input_settle_508100!A$2</f>
        <v>508100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IFERROR(VLOOKUP(B118,input_settle_508100!L:R,7,FALSE),VLOOKUP(tables_settle_508100!C118,input_settle_508100!A:H,8,FALSE))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input_settle_508100!A$2</f>
        <v>508100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IFERROR(VLOOKUP(B119,input_settle_508100!L:R,7,FALSE),VLOOKUP(tables_settle_508100!C119,input_settle_508100!A:H,8,FALSE))</f>
        <v>787430.76922999998</v>
      </c>
      <c r="P119" s="46">
        <f t="shared" ca="1" si="4"/>
        <v>1.2692307692303471E-2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input_settle_508100!A$2</f>
        <v>508100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IFERROR(VLOOKUP(B120,input_settle_508100!L:R,7,FALSE),VLOOKUP(tables_settle_508100!C120,input_settle_508100!A:H,8,FALSE))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input_settle_508100!A$2</f>
        <v>508100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IFERROR(VLOOKUP(B121,input_settle_508100!L:R,7,FALSE),VLOOKUP(tables_settle_508100!C121,input_settle_508100!A:H,8,FALSE))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input_settle_508100!A$2</f>
        <v>508100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IFERROR(VLOOKUP(B122,input_settle_508100!L:R,7,FALSE),VLOOKUP(tables_settle_508100!C122,input_settle_508100!A:H,8,FALSE))</f>
        <v>787430.76922999998</v>
      </c>
      <c r="P122" s="46">
        <f t="shared" ca="1" si="4"/>
        <v>1.2692307692303471E-2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input_settle_508100!A$2</f>
        <v>508100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IFERROR(VLOOKUP(B123,input_settle_508100!L:R,7,FALSE),VLOOKUP(tables_settle_508100!C123,input_settle_508100!A:H,8,FALSE))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input_settle_508100!A$2</f>
        <v>508100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IFERROR(VLOOKUP(B124,input_settle_508100!L:R,7,FALSE),VLOOKUP(tables_settle_508100!C124,input_settle_508100!A:H,8,FALSE))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input_settle_508100!A$2</f>
        <v>508100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IFERROR(VLOOKUP(B125,input_settle_508100!L:R,7,FALSE),VLOOKUP(tables_settle_508100!C125,input_settle_508100!A:H,8,FALSE))</f>
        <v>787430.76922999998</v>
      </c>
      <c r="P125" s="46">
        <f t="shared" ca="1" si="4"/>
        <v>1.2692307692303471E-2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input_settle_508100!A$2</f>
        <v>508100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IFERROR(VLOOKUP(B126,input_settle_508100!L:R,7,FALSE),VLOOKUP(tables_settle_508100!C126,input_settle_508100!A:H,8,FALSE))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input_settle_508100!A$2</f>
        <v>508100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IFERROR(VLOOKUP(B127,input_settle_508100!L:R,7,FALSE),VLOOKUP(tables_settle_508100!C127,input_settle_508100!A:H,8,FALSE))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input_settle_508100!A$2</f>
        <v>508100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IFERROR(VLOOKUP(B128,input_settle_508100!L:R,7,FALSE),VLOOKUP(tables_settle_508100!C128,input_settle_508100!A:H,8,FALSE))</f>
        <v>787430.76922999998</v>
      </c>
      <c r="P128" s="46">
        <f t="shared" ca="1" si="4"/>
        <v>1.2692307692303471E-2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input_settle_508100!A$2</f>
        <v>508100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IFERROR(VLOOKUP(B129,input_settle_508100!L:R,7,FALSE),VLOOKUP(tables_settle_508100!C129,input_settle_508100!A:H,8,FALSE))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input_settle_508100!A$2</f>
        <v>508100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IFERROR(VLOOKUP(B130,input_settle_508100!L:R,7,FALSE),VLOOKUP(tables_settle_508100!C130,input_settle_508100!A:H,8,FALSE))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input_settle_508100!A$2</f>
        <v>508100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IFERROR(VLOOKUP(B131,input_settle_508100!L:R,7,FALSE),VLOOKUP(tables_settle_508100!C131,input_settle_508100!A:H,8,FALSE))</f>
        <v>787430.76922999998</v>
      </c>
      <c r="P131" s="46">
        <f t="shared" ca="1" si="7"/>
        <v>1.2692307692303471E-2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input_settle_508100!A$2</f>
        <v>508100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IFERROR(VLOOKUP(B132,input_settle_508100!L:R,7,FALSE),VLOOKUP(tables_settle_508100!C132,input_settle_508100!A:H,8,FALSE))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input_settle_508100!A$2</f>
        <v>508100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IFERROR(VLOOKUP(B133,input_settle_508100!L:R,7,FALSE),VLOOKUP(tables_settle_508100!C133,input_settle_508100!A:H,8,FALSE))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input_settle_508100!A$2</f>
        <v>508100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IFERROR(VLOOKUP(B134,input_settle_508100!L:R,7,FALSE),VLOOKUP(tables_settle_508100!C134,input_settle_508100!A:H,8,FALSE))</f>
        <v>787430.76922999998</v>
      </c>
      <c r="P134" s="46">
        <f t="shared" ca="1" si="7"/>
        <v>1.2692307692303471E-2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input_settle_508100!A$2</f>
        <v>508100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IFERROR(VLOOKUP(B135,input_settle_508100!L:R,7,FALSE),VLOOKUP(tables_settle_508100!C135,input_settle_508100!A:H,8,FALSE))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input_settle_508100!A$2</f>
        <v>508100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IFERROR(VLOOKUP(B136,input_settle_508100!L:R,7,FALSE),VLOOKUP(tables_settle_508100!C136,input_settle_508100!A:H,8,FALSE))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input_settle_508100!A$2</f>
        <v>508100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IFERROR(VLOOKUP(B137,input_settle_508100!L:R,7,FALSE),VLOOKUP(tables_settle_508100!C137,input_settle_508100!A:H,8,FALSE))</f>
        <v>787430.76922999998</v>
      </c>
      <c r="P137" s="46">
        <f t="shared" ca="1" si="7"/>
        <v>1.2692307692303471E-2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input_settle_508100!A$2</f>
        <v>508100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IFERROR(VLOOKUP(B138,input_settle_508100!L:R,7,FALSE),VLOOKUP(tables_settle_508100!C138,input_settle_508100!A:H,8,FALSE))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input_settle_508100!A$2</f>
        <v>508100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IFERROR(VLOOKUP(B139,input_settle_508100!L:R,7,FALSE),VLOOKUP(tables_settle_508100!C139,input_settle_508100!A:H,8,FALSE))</f>
        <v>47000</v>
      </c>
      <c r="P139" s="46">
        <f t="shared" ca="1" si="7"/>
        <v>7.5757575757624568E-4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input_settle_508100!A$2</f>
        <v>508100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IFERROR(VLOOKUP(B140,input_settle_508100!L:R,7,FALSE),VLOOKUP(tables_settle_508100!C140,input_settle_508100!A:H,8,FALSE))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input_settle_508100!A$2</f>
        <v>508100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IFERROR(VLOOKUP(B141,input_settle_508100!L:R,7,FALSE),VLOOKUP(tables_settle_508100!C141,input_settle_508100!A:H,8,FALSE))</f>
        <v>47000</v>
      </c>
      <c r="P141" s="46">
        <f t="shared" ca="1" si="7"/>
        <v>7.5757575757624568E-4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input_settle_508100!A$2</f>
        <v>508100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IFERROR(VLOOKUP(B142,input_settle_508100!L:R,7,FALSE),VLOOKUP(tables_settle_508100!C142,input_settle_508100!A:H,8,FALSE))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input_settle_508100!A$2</f>
        <v>508100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IFERROR(VLOOKUP(B143,input_settle_508100!L:R,7,FALSE),VLOOKUP(tables_settle_508100!C143,input_settle_508100!A:H,8,FALSE))</f>
        <v>47000</v>
      </c>
      <c r="P143" s="46">
        <f t="shared" ca="1" si="7"/>
        <v>7.5757575757624568E-4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input_settle_508100!A$2</f>
        <v>508100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IFERROR(VLOOKUP(B144,input_settle_508100!L:R,7,FALSE),VLOOKUP(tables_settle_508100!C144,input_settle_508100!A:H,8,FALSE))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input_settle_508100!A$2</f>
        <v>508100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IFERROR(VLOOKUP(B145,input_settle_508100!L:R,7,FALSE),VLOOKUP(tables_settle_508100!C145,input_settle_508100!A:H,8,FALSE))</f>
        <v>47000</v>
      </c>
      <c r="P145" s="46">
        <f t="shared" ca="1" si="7"/>
        <v>7.5757575757624568E-4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input_settle_508100!A$2</f>
        <v>508100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IFERROR(VLOOKUP(B146,input_settle_508100!L:R,7,FALSE),VLOOKUP(tables_settle_508100!C146,input_settle_508100!A:H,8,FALSE))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input_settle_508100!A$2</f>
        <v>508100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IFERROR(VLOOKUP(B147,input_settle_508100!L:R,7,FALSE),VLOOKUP(tables_settle_508100!C147,input_settle_508100!A:H,8,FALSE))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input_settle_508100!A$2</f>
        <v>508100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IFERROR(VLOOKUP(B148,input_settle_508100!L:R,7,FALSE),VLOOKUP(tables_settle_508100!C148,input_settle_508100!A:H,8,FALSE))</f>
        <v>787430.76922999998</v>
      </c>
      <c r="P148" s="46">
        <f t="shared" ca="1" si="7"/>
        <v>1.2692307692303471E-2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input_settle_508100!A$2</f>
        <v>508100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IFERROR(VLOOKUP(B149,input_settle_508100!L:R,7,FALSE),VLOOKUP(tables_settle_508100!C149,input_settle_508100!A:H,8,FALSE))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input_settle_508100!A$2</f>
        <v>508100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IFERROR(VLOOKUP(B150,input_settle_508100!L:R,7,FALSE),VLOOKUP(tables_settle_508100!C150,input_settle_508100!A:H,8,FALSE))</f>
        <v>47000</v>
      </c>
      <c r="P150" s="46">
        <f t="shared" ca="1" si="7"/>
        <v>7.5757575757624568E-4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input_settle_508100!A$2</f>
        <v>508100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IFERROR(VLOOKUP(B151,input_settle_508100!L:R,7,FALSE),VLOOKUP(tables_settle_508100!C151,input_settle_508100!A:H,8,FALSE))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input_settle_508100!A$2</f>
        <v>508100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IFERROR(VLOOKUP(B152,input_settle_508100!L:R,7,FALSE),VLOOKUP(tables_settle_508100!C152,input_settle_508100!A:H,8,FALSE))</f>
        <v>47000</v>
      </c>
      <c r="P152" s="46">
        <f t="shared" ca="1" si="7"/>
        <v>7.5757575757624568E-4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input_settle_508100!A$2</f>
        <v>508100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IFERROR(VLOOKUP(B153,input_settle_508100!L:R,7,FALSE),VLOOKUP(tables_settle_508100!C153,input_settle_508100!A:H,8,FALSE))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input_settle_508100!A$2</f>
        <v>508100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IFERROR(VLOOKUP(B154,input_settle_508100!L:R,7,FALSE),VLOOKUP(tables_settle_508100!C154,input_settle_508100!A:H,8,FALSE))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input_settle_508100!A$2</f>
        <v>508100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IFERROR(VLOOKUP(B155,input_settle_508100!L:R,7,FALSE),VLOOKUP(tables_settle_508100!C155,input_settle_508100!A:H,8,FALSE))</f>
        <v>787430.76922999998</v>
      </c>
      <c r="P155" s="46">
        <f t="shared" ca="1" si="7"/>
        <v>1.2692307692303471E-2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input_settle_508100!A$2</f>
        <v>508100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IFERROR(VLOOKUP(B156,input_settle_508100!L:R,7,FALSE),VLOOKUP(tables_settle_508100!C156,input_settle_508100!A:H,8,FALSE))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input_settle_508100!A$2</f>
        <v>508100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IFERROR(VLOOKUP(B157,input_settle_508100!L:R,7,FALSE),VLOOKUP(tables_settle_508100!C157,input_settle_508100!A:H,8,FALSE))</f>
        <v>47000</v>
      </c>
      <c r="P157" s="46">
        <f t="shared" ca="1" si="7"/>
        <v>7.5757575757624568E-4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input_settle_508100!A$2</f>
        <v>508100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IFERROR(VLOOKUP(B158,input_settle_508100!L:R,7,FALSE),VLOOKUP(tables_settle_508100!C158,input_settle_508100!A:H,8,FALSE))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input_settle_508100!A$2</f>
        <v>508100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IFERROR(VLOOKUP(B159,input_settle_508100!L:R,7,FALSE),VLOOKUP(tables_settle_508100!C159,input_settle_508100!A:H,8,FALSE))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input_settle_508100!A$2</f>
        <v>508100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IFERROR(VLOOKUP(B160,input_settle_508100!L:R,7,FALSE),VLOOKUP(tables_settle_508100!C160,input_settle_508100!A:H,8,FALSE))</f>
        <v>787430.76922999998</v>
      </c>
      <c r="P160" s="46">
        <f t="shared" ca="1" si="7"/>
        <v>1.2692307692303471E-2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input_settle_508100!A$2</f>
        <v>508100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IFERROR(VLOOKUP(B161,input_settle_508100!L:R,7,FALSE),VLOOKUP(tables_settle_508100!C161,input_settle_508100!A:H,8,FALSE))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input_settle_508100!A$2</f>
        <v>508100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IFERROR(VLOOKUP(B162,input_settle_508100!L:R,7,FALSE),VLOOKUP(tables_settle_508100!C162,input_settle_508100!A:H,8,FALSE))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input_settle_508100!A$2</f>
        <v>508100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IFERROR(VLOOKUP(B163,input_settle_508100!L:R,7,FALSE),VLOOKUP(tables_settle_508100!C163,input_settle_508100!A:H,8,FALSE))</f>
        <v>787430.76922999998</v>
      </c>
      <c r="P163" s="46">
        <f t="shared" ca="1" si="7"/>
        <v>1.2692307692303471E-2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input_settle_508100!A$2</f>
        <v>508100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IFERROR(VLOOKUP(B164,input_settle_508100!L:R,7,FALSE),VLOOKUP(tables_settle_508100!C164,input_settle_508100!A:H,8,FALSE))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input_settle_508100!A$2</f>
        <v>508100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IFERROR(VLOOKUP(B165,input_settle_508100!L:R,7,FALSE),VLOOKUP(tables_settle_508100!C165,input_settle_508100!A:H,8,FALSE))</f>
        <v>47000</v>
      </c>
      <c r="P165" s="46">
        <f t="shared" ca="1" si="7"/>
        <v>7.5757575757624568E-4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input_settle_508100!A$2</f>
        <v>508100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IFERROR(VLOOKUP(B166,input_settle_508100!L:R,7,FALSE),VLOOKUP(tables_settle_508100!C166,input_settle_508100!A:H,8,FALSE))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input_settle_508100!A$2</f>
        <v>508100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IFERROR(VLOOKUP(B167,input_settle_508100!L:R,7,FALSE),VLOOKUP(tables_settle_508100!C167,input_settle_508100!A:H,8,FALSE))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input_settle_508100!A$2</f>
        <v>508100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IFERROR(VLOOKUP(B168,input_settle_508100!L:R,7,FALSE),VLOOKUP(tables_settle_508100!C168,input_settle_508100!A:H,8,FALSE))</f>
        <v>787430.76922999998</v>
      </c>
      <c r="P168" s="46">
        <f t="shared" ca="1" si="7"/>
        <v>1.2692307692303471E-2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input_settle_508100!A$2</f>
        <v>508100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IFERROR(VLOOKUP(B169,input_settle_508100!L:R,7,FALSE),VLOOKUP(tables_settle_508100!C169,input_settle_508100!A:H,8,FALSE))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input_settle_508100!A$2</f>
        <v>508100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IFERROR(VLOOKUP(B170,input_settle_508100!L:R,7,FALSE),VLOOKUP(tables_settle_508100!C170,input_settle_508100!A:H,8,FALSE))</f>
        <v>47000</v>
      </c>
      <c r="P170" s="46">
        <f t="shared" ca="1" si="7"/>
        <v>7.5757575757624568E-4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input_settle_508100!A$2</f>
        <v>508100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IFERROR(VLOOKUP(B171,input_settle_508100!L:R,7,FALSE),VLOOKUP(tables_settle_508100!C171,input_settle_508100!A:H,8,FALSE))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input_settle_508100!A$2</f>
        <v>508100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IFERROR(VLOOKUP(B172,input_settle_508100!L:R,7,FALSE),VLOOKUP(tables_settle_508100!C172,input_settle_508100!A:H,8,FALSE))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input_settle_508100!A$2</f>
        <v>508100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IFERROR(VLOOKUP(B173,input_settle_508100!L:R,7,FALSE),VLOOKUP(tables_settle_508100!C173,input_settle_508100!A:H,8,FALSE))</f>
        <v>787430.76922999998</v>
      </c>
      <c r="P173" s="46">
        <f t="shared" ca="1" si="7"/>
        <v>1.2692307692303471E-2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input_settle_508100!A$2</f>
        <v>508100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IFERROR(VLOOKUP(B174,input_settle_508100!L:R,7,FALSE),VLOOKUP(tables_settle_508100!C174,input_settle_508100!A:H,8,FALSE))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input_settle_508100!A$2</f>
        <v>508100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IFERROR(VLOOKUP(B175,input_settle_508100!L:R,7,FALSE),VLOOKUP(tables_settle_508100!C175,input_settle_508100!A:H,8,FALSE))</f>
        <v>47000</v>
      </c>
      <c r="P175" s="46">
        <f t="shared" ca="1" si="7"/>
        <v>7.5757575757624568E-4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input_settle_508100!A$2</f>
        <v>508100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IFERROR(VLOOKUP(B176,input_settle_508100!L:R,7,FALSE),VLOOKUP(tables_settle_508100!C176,input_settle_508100!A:H,8,FALSE))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input_settle_508100!A$2</f>
        <v>508100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IFERROR(VLOOKUP(B177,input_settle_508100!L:R,7,FALSE),VLOOKUP(tables_settle_508100!C177,input_settle_508100!A:H,8,FALSE))</f>
        <v>47000</v>
      </c>
      <c r="P177" s="46">
        <f t="shared" ca="1" si="7"/>
        <v>7.5757575757624568E-4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input_settle_508100!A$2</f>
        <v>508100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IFERROR(VLOOKUP(B178,input_settle_508100!L:R,7,FALSE),VLOOKUP(tables_settle_508100!C178,input_settle_508100!A:H,8,FALSE))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input_settle_508100!A$2</f>
        <v>508100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IFERROR(VLOOKUP(B179,input_settle_508100!L:R,7,FALSE),VLOOKUP(tables_settle_508100!C179,input_settle_508100!A:H,8,FALSE))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input_settle_508100!A$2</f>
        <v>508100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IFERROR(VLOOKUP(B180,input_settle_508100!L:R,7,FALSE),VLOOKUP(tables_settle_508100!C180,input_settle_508100!A:H,8,FALSE))</f>
        <v>787430.76922999998</v>
      </c>
      <c r="P180" s="46">
        <f t="shared" ca="1" si="7"/>
        <v>1.2692307692303471E-2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input_settle_508100!A$2</f>
        <v>508100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IFERROR(VLOOKUP(B181,input_settle_508100!L:R,7,FALSE),VLOOKUP(tables_settle_508100!C181,input_settle_508100!A:H,8,FALSE))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input_settle_508100!A$2</f>
        <v>508100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IFERROR(VLOOKUP(B182,input_settle_508100!L:R,7,FALSE),VLOOKUP(tables_settle_508100!C182,input_settle_508100!A:H,8,FALSE))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input_settle_508100!A$2</f>
        <v>508100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IFERROR(VLOOKUP(B183,input_settle_508100!L:R,7,FALSE),VLOOKUP(tables_settle_508100!C183,input_settle_508100!A:H,8,FALSE))</f>
        <v>787430.76922999998</v>
      </c>
      <c r="P183" s="46">
        <f t="shared" ca="1" si="7"/>
        <v>1.2692307692303471E-2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input_settle_508100!A$2</f>
        <v>508100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IFERROR(VLOOKUP(B184,input_settle_508100!L:R,7,FALSE),VLOOKUP(tables_settle_508100!C184,input_settle_508100!A:H,8,FALSE))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input_settle_508100!A$2</f>
        <v>508100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IFERROR(VLOOKUP(B185,input_settle_508100!L:R,7,FALSE),VLOOKUP(tables_settle_508100!C185,input_settle_508100!A:H,8,FALSE))</f>
        <v>47000</v>
      </c>
      <c r="P185" s="46">
        <f t="shared" ca="1" si="7"/>
        <v>7.5757575757624568E-4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input_settle_508100!A$2</f>
        <v>508100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IFERROR(VLOOKUP(B186,input_settle_508100!L:R,7,FALSE),VLOOKUP(tables_settle_508100!C186,input_settle_508100!A:H,8,FALSE))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input_settle_508100!A$2</f>
        <v>508100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IFERROR(VLOOKUP(B187,input_settle_508100!L:R,7,FALSE),VLOOKUP(tables_settle_508100!C187,input_settle_508100!A:H,8,FALSE))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input_settle_508100!A$2</f>
        <v>508100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IFERROR(VLOOKUP(B188,input_settle_508100!L:R,7,FALSE),VLOOKUP(tables_settle_508100!C188,input_settle_508100!A:H,8,FALSE))</f>
        <v>787430.76922999998</v>
      </c>
      <c r="P188" s="46">
        <f t="shared" ca="1" si="7"/>
        <v>1.2692307692303471E-2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input_settle_508100!A$2</f>
        <v>508100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IFERROR(VLOOKUP(B189,input_settle_508100!L:R,7,FALSE),VLOOKUP(tables_settle_508100!C189,input_settle_508100!A:H,8,FALSE))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input_settle_508100!A$2</f>
        <v>508100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IFERROR(VLOOKUP(B190,input_settle_508100!L:R,7,FALSE),VLOOKUP(tables_settle_508100!C190,input_settle_508100!A:H,8,FALSE))</f>
        <v>47000</v>
      </c>
      <c r="P190" s="46">
        <f t="shared" ca="1" si="7"/>
        <v>7.5757575757624568E-4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input_settle_508100!A$2</f>
        <v>508100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IFERROR(VLOOKUP(B191,input_settle_508100!L:R,7,FALSE),VLOOKUP(tables_settle_508100!C191,input_settle_508100!A:H,8,FALSE))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input_settle_508100!A$2</f>
        <v>508100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IFERROR(VLOOKUP(B192,input_settle_508100!L:R,7,FALSE),VLOOKUP(tables_settle_508100!C192,input_settle_508100!A:H,8,FALSE))</f>
        <v>47000</v>
      </c>
      <c r="P192" s="46">
        <f t="shared" ca="1" si="7"/>
        <v>7.5757575757624568E-4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input_settle_508100!A$2</f>
        <v>508100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IFERROR(VLOOKUP(B193,input_settle_508100!L:R,7,FALSE),VLOOKUP(tables_settle_508100!C193,input_settle_508100!A:H,8,FALSE))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input_settle_508100!A$2</f>
        <v>508100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IFERROR(VLOOKUP(B194,input_settle_508100!L:R,7,FALSE),VLOOKUP(tables_settle_508100!C194,input_settle_508100!A:H,8,FALSE))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input_settle_508100!A$2</f>
        <v>508100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IFERROR(VLOOKUP(B195,input_settle_508100!L:R,7,FALSE),VLOOKUP(tables_settle_508100!C195,input_settle_508100!A:H,8,FALSE))</f>
        <v>787430.76922999998</v>
      </c>
      <c r="P195" s="46">
        <f t="shared" ca="1" si="10"/>
        <v>1.2692307692303471E-2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input_settle_508100!A$2</f>
        <v>508100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IFERROR(VLOOKUP(B196,input_settle_508100!L:R,7,FALSE),VLOOKUP(tables_settle_508100!C196,input_settle_508100!A:H,8,FALSE))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input_settle_508100!A$2</f>
        <v>508100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IFERROR(VLOOKUP(B197,input_settle_508100!L:R,7,FALSE),VLOOKUP(tables_settle_508100!C197,input_settle_508100!A:H,8,FALSE))</f>
        <v>47000</v>
      </c>
      <c r="P197" s="46">
        <f t="shared" ca="1" si="10"/>
        <v>7.5757575757624568E-4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input_settle_508100!A$2</f>
        <v>508100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IFERROR(VLOOKUP(B198,input_settle_508100!L:R,7,FALSE),VLOOKUP(tables_settle_508100!C198,input_settle_508100!A:H,8,FALSE))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input_settle_508100!A$2</f>
        <v>508100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IFERROR(VLOOKUP(B199,input_settle_508100!L:R,7,FALSE),VLOOKUP(tables_settle_508100!C199,input_settle_508100!A:H,8,FALSE))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input_settle_508100!A$2</f>
        <v>508100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IFERROR(VLOOKUP(B200,input_settle_508100!L:R,7,FALSE),VLOOKUP(tables_settle_508100!C200,input_settle_508100!A:H,8,FALSE))</f>
        <v>787430.76922999998</v>
      </c>
      <c r="P200" s="46">
        <f t="shared" ca="1" si="10"/>
        <v>1.2692307692303471E-2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input_settle_508100!A$2</f>
        <v>508100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IFERROR(VLOOKUP(B201,input_settle_508100!L:R,7,FALSE),VLOOKUP(tables_settle_508100!C201,input_settle_508100!A:H,8,FALSE))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input_settle_508100!A$2</f>
        <v>508100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IFERROR(VLOOKUP(B202,input_settle_508100!L:R,7,FALSE),VLOOKUP(tables_settle_508100!C202,input_settle_508100!A:H,8,FALSE))</f>
        <v>47000</v>
      </c>
      <c r="P202" s="46">
        <f t="shared" ca="1" si="10"/>
        <v>7.5757575757624568E-4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input_settle_508100!A$2</f>
        <v>508100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IFERROR(VLOOKUP(B203,input_settle_508100!L:R,7,FALSE),VLOOKUP(tables_settle_508100!C203,input_settle_508100!A:H,8,FALSE))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input_settle_508100!A$2</f>
        <v>508100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IFERROR(VLOOKUP(B204,input_settle_508100!L:R,7,FALSE),VLOOKUP(tables_settle_508100!C204,input_settle_508100!A:H,8,FALSE))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input_settle_508100!A$2</f>
        <v>508100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IFERROR(VLOOKUP(B205,input_settle_508100!L:R,7,FALSE),VLOOKUP(tables_settle_508100!C205,input_settle_508100!A:H,8,FALSE))</f>
        <v>787430.76922999998</v>
      </c>
      <c r="P205" s="46">
        <f t="shared" ca="1" si="10"/>
        <v>1.2692307692303471E-2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input_settle_508100!A$2</f>
        <v>508100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IFERROR(VLOOKUP(B206,input_settle_508100!L:R,7,FALSE),VLOOKUP(tables_settle_508100!C206,input_settle_508100!A:H,8,FALSE))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input_settle_508100!A$2</f>
        <v>508100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IFERROR(VLOOKUP(B207,input_settle_508100!L:R,7,FALSE),VLOOKUP(tables_settle_508100!C207,input_settle_508100!A:H,8,FALSE))</f>
        <v>47000</v>
      </c>
      <c r="P207" s="46">
        <f t="shared" ca="1" si="10"/>
        <v>7.5757575757624568E-4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input_settle_508100!A$2</f>
        <v>508100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IFERROR(VLOOKUP(B208,input_settle_508100!L:R,7,FALSE),VLOOKUP(tables_settle_508100!C208,input_settle_508100!A:H,8,FALSE))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input_settle_508100!A$2</f>
        <v>508100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IFERROR(VLOOKUP(B209,input_settle_508100!L:R,7,FALSE),VLOOKUP(tables_settle_508100!C209,input_settle_508100!A:H,8,FALSE))</f>
        <v>47000</v>
      </c>
      <c r="P209" s="46">
        <f t="shared" ca="1" si="10"/>
        <v>7.5757575757624568E-4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input_settle_508100!A$2</f>
        <v>508100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IFERROR(VLOOKUP(B210,input_settle_508100!L:R,7,FALSE),VLOOKUP(tables_settle_508100!C210,input_settle_508100!A:H,8,FALSE))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input_settle_508100!A$2</f>
        <v>508100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IFERROR(VLOOKUP(B211,input_settle_508100!L:R,7,FALSE),VLOOKUP(tables_settle_508100!C211,input_settle_508100!A:H,8,FALSE))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input_settle_508100!A$2</f>
        <v>508100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IFERROR(VLOOKUP(B212,input_settle_508100!L:R,7,FALSE),VLOOKUP(tables_settle_508100!C212,input_settle_508100!A:H,8,FALSE))</f>
        <v>787430.76922999998</v>
      </c>
      <c r="P212" s="46">
        <f t="shared" ca="1" si="10"/>
        <v>1.2692307692303471E-2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input_settle_508100!A$2</f>
        <v>508100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IFERROR(VLOOKUP(B213,input_settle_508100!L:R,7,FALSE),VLOOKUP(tables_settle_508100!C213,input_settle_508100!A:H,8,FALSE))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input_settle_508100!A$2</f>
        <v>508100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IFERROR(VLOOKUP(B214,input_settle_508100!L:R,7,FALSE),VLOOKUP(tables_settle_508100!C214,input_settle_508100!A:H,8,FALSE))</f>
        <v>47000</v>
      </c>
      <c r="P214" s="46">
        <f t="shared" ca="1" si="10"/>
        <v>7.5757575757624568E-4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input_settle_508100!A$2</f>
        <v>508100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IFERROR(VLOOKUP(B215,input_settle_508100!L:R,7,FALSE),VLOOKUP(tables_settle_508100!C215,input_settle_508100!A:H,8,FALSE))</f>
        <v>620400</v>
      </c>
      <c r="P215" s="46">
        <f t="shared" ca="1" si="10"/>
        <v>1.0000000000006443E-2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input_settle_508100!A$2</f>
        <v>508100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IFERROR(VLOOKUP(B216,input_settle_508100!L:R,7,FALSE),VLOOKUP(tables_settle_508100!C216,input_settle_508100!A:H,8,FALSE))</f>
        <v>620400</v>
      </c>
      <c r="P216" s="46">
        <f t="shared" ca="1" si="10"/>
        <v>1.0000000000006443E-2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input_settle_508100!A$2</f>
        <v>508100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IFERROR(VLOOKUP(B217,input_settle_508100!L:R,7,FALSE),VLOOKUP(tables_settle_508100!C217,input_settle_508100!A:H,8,FALSE))</f>
        <v>620400</v>
      </c>
      <c r="P217" s="46">
        <f t="shared" ca="1" si="10"/>
        <v>1.0000000000006443E-2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input_settle_508100!A$2</f>
        <v>508100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IFERROR(VLOOKUP(B218,input_settle_508100!L:R,7,FALSE),VLOOKUP(tables_settle_508100!C218,input_settle_508100!A:H,8,FALSE))</f>
        <v>620400</v>
      </c>
      <c r="P218" s="46">
        <f t="shared" ca="1" si="10"/>
        <v>1.0000000000006443E-2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input_settle_508100!A$2</f>
        <v>508100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IFERROR(VLOOKUP(B219,input_settle_508100!L:R,7,FALSE),VLOOKUP(tables_settle_508100!C219,input_settle_508100!A:H,8,FALSE))</f>
        <v>620400</v>
      </c>
      <c r="P219" s="46">
        <f t="shared" ca="1" si="10"/>
        <v>1.0000000000006443E-2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input_settle_508100!A$2</f>
        <v>508100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IFERROR(VLOOKUP(B220,input_settle_508100!L:R,7,FALSE),VLOOKUP(tables_settle_508100!C220,input_settle_508100!A:H,8,FALSE))</f>
        <v>620400</v>
      </c>
      <c r="P220" s="46">
        <f t="shared" ca="1" si="10"/>
        <v>1.0000000000006443E-2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input_settle_508100!A$2</f>
        <v>508100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IFERROR(VLOOKUP(B221,input_settle_508100!L:R,7,FALSE),VLOOKUP(tables_settle_508100!C221,input_settle_508100!A:H,8,FALSE))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input_settle_508100!A$2</f>
        <v>508100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IFERROR(VLOOKUP(B222,input_settle_508100!L:R,7,FALSE),VLOOKUP(tables_settle_508100!C222,input_settle_508100!A:H,8,FALSE))</f>
        <v>47000</v>
      </c>
      <c r="P222" s="46">
        <f t="shared" ca="1" si="10"/>
        <v>7.5757575757624568E-4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input_settle_508100!A$2</f>
        <v>508100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IFERROR(VLOOKUP(B223,input_settle_508100!L:R,7,FALSE),VLOOKUP(tables_settle_508100!C223,input_settle_508100!A:H,8,FALSE))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input_settle_508100!A$2</f>
        <v>508100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IFERROR(VLOOKUP(B224,input_settle_508100!L:R,7,FALSE),VLOOKUP(tables_settle_508100!C224,input_settle_508100!A:H,8,FALSE))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input_settle_508100!A$2</f>
        <v>508100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IFERROR(VLOOKUP(B225,input_settle_508100!L:R,7,FALSE),VLOOKUP(tables_settle_508100!C225,input_settle_508100!A:H,8,FALSE))</f>
        <v>787430.76922999998</v>
      </c>
      <c r="P225" s="46">
        <f t="shared" ca="1" si="10"/>
        <v>1.2692307692303471E-2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input_settle_508100!A$2</f>
        <v>508100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IFERROR(VLOOKUP(B226,input_settle_508100!L:R,7,FALSE),VLOOKUP(tables_settle_508100!C226,input_settle_508100!A:H,8,FALSE))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input_settle_508100!A$2</f>
        <v>508100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IFERROR(VLOOKUP(B227,input_settle_508100!L:R,7,FALSE),VLOOKUP(tables_settle_508100!C227,input_settle_508100!A:H,8,FALSE))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input_settle_508100!A$2</f>
        <v>508100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IFERROR(VLOOKUP(B228,input_settle_508100!L:R,7,FALSE),VLOOKUP(tables_settle_508100!C228,input_settle_508100!A:H,8,FALSE))</f>
        <v>787430.76922999998</v>
      </c>
      <c r="P228" s="46">
        <f t="shared" ca="1" si="10"/>
        <v>1.2692307692303471E-2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input_settle_508100!A$2</f>
        <v>508100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IFERROR(VLOOKUP(B229,input_settle_508100!L:R,7,FALSE),VLOOKUP(tables_settle_508100!C229,input_settle_508100!A:H,8,FALSE))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input_settle_508100!A$2</f>
        <v>508100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IFERROR(VLOOKUP(B230,input_settle_508100!L:R,7,FALSE),VLOOKUP(tables_settle_508100!C230,input_settle_508100!A:H,8,FALSE))</f>
        <v>47000</v>
      </c>
      <c r="P230" s="46">
        <f t="shared" ca="1" si="10"/>
        <v>7.5757575757624568E-4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input_settle_508100!A$2</f>
        <v>508100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IFERROR(VLOOKUP(B231,input_settle_508100!L:R,7,FALSE),VLOOKUP(tables_settle_508100!C231,input_settle_508100!A:H,8,FALSE))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input_settle_508100!A$2</f>
        <v>508100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IFERROR(VLOOKUP(B232,input_settle_508100!L:R,7,FALSE),VLOOKUP(tables_settle_508100!C232,input_settle_508100!A:H,8,FALSE))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input_settle_508100!A$2</f>
        <v>508100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IFERROR(VLOOKUP(B233,input_settle_508100!L:R,7,FALSE),VLOOKUP(tables_settle_508100!C233,input_settle_508100!A:H,8,FALSE))</f>
        <v>787430.76922999998</v>
      </c>
      <c r="P233" s="46">
        <f t="shared" ca="1" si="10"/>
        <v>1.2692307692303471E-2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input_settle_508100!A$2</f>
        <v>508100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IFERROR(VLOOKUP(B234,input_settle_508100!L:R,7,FALSE),VLOOKUP(tables_settle_508100!C234,input_settle_508100!A:H,8,FALSE))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input_settle_508100!A$2</f>
        <v>508100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IFERROR(VLOOKUP(B235,input_settle_508100!L:R,7,FALSE),VLOOKUP(tables_settle_508100!C235,input_settle_508100!A:H,8,FALSE))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input_settle_508100!A$2</f>
        <v>508100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IFERROR(VLOOKUP(B236,input_settle_508100!L:R,7,FALSE),VLOOKUP(tables_settle_508100!C236,input_settle_508100!A:H,8,FALSE))</f>
        <v>787430.76922999998</v>
      </c>
      <c r="P236" s="46">
        <f t="shared" ca="1" si="10"/>
        <v>1.2692307692303471E-2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input_settle_508100!A$2</f>
        <v>508100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IFERROR(VLOOKUP(B237,input_settle_508100!L:R,7,FALSE),VLOOKUP(tables_settle_508100!C237,input_settle_508100!A:H,8,FALSE))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input_settle_508100!A$2</f>
        <v>508100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IFERROR(VLOOKUP(B238,input_settle_508100!L:R,7,FALSE),VLOOKUP(tables_settle_508100!C238,input_settle_508100!A:H,8,FALSE))</f>
        <v>47000</v>
      </c>
      <c r="P238" s="46">
        <f t="shared" ca="1" si="10"/>
        <v>7.5757575757624568E-4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input_settle_508100!A$2</f>
        <v>508100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IFERROR(VLOOKUP(B239,input_settle_508100!L:R,7,FALSE),VLOOKUP(tables_settle_508100!C239,input_settle_508100!A:H,8,FALSE))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input_settle_508100!A$2</f>
        <v>508100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IFERROR(VLOOKUP(B240,input_settle_508100!L:R,7,FALSE),VLOOKUP(tables_settle_508100!C240,input_settle_508100!A:H,8,FALSE))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input_settle_508100!A$2</f>
        <v>508100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IFERROR(VLOOKUP(B241,input_settle_508100!L:R,7,FALSE),VLOOKUP(tables_settle_508100!C241,input_settle_508100!A:H,8,FALSE))</f>
        <v>787430.76922999998</v>
      </c>
      <c r="P241" s="46">
        <f t="shared" ca="1" si="10"/>
        <v>1.2692307692303471E-2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input_settle_508100!A$2</f>
        <v>508100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IFERROR(VLOOKUP(B242,input_settle_508100!L:R,7,FALSE),VLOOKUP(tables_settle_508100!C242,input_settle_508100!A:H,8,FALSE))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input_settle_508100!A$2</f>
        <v>508100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IFERROR(VLOOKUP(B243,input_settle_508100!L:R,7,FALSE),VLOOKUP(tables_settle_508100!C243,input_settle_508100!A:H,8,FALSE))</f>
        <v>47000</v>
      </c>
      <c r="P243" s="46">
        <f t="shared" ca="1" si="10"/>
        <v>7.5757575757624568E-4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input_settle_508100!A$2</f>
        <v>508100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IFERROR(VLOOKUP(B244,input_settle_508100!L:R,7,FALSE),VLOOKUP(tables_settle_508100!C244,input_settle_508100!A:H,8,FALSE))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input_settle_508100!A$2</f>
        <v>508100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IFERROR(VLOOKUP(B245,input_settle_508100!L:R,7,FALSE),VLOOKUP(tables_settle_508100!C245,input_settle_508100!A:H,8,FALSE))</f>
        <v>47000</v>
      </c>
      <c r="P245" s="46">
        <f t="shared" ca="1" si="10"/>
        <v>7.5757575757624568E-4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input_settle_508100!A$2</f>
        <v>508100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IFERROR(VLOOKUP(B246,input_settle_508100!L:R,7,FALSE),VLOOKUP(tables_settle_508100!C246,input_settle_508100!A:H,8,FALSE))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input_settle_508100!A$2</f>
        <v>508100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IFERROR(VLOOKUP(B247,input_settle_508100!L:R,7,FALSE),VLOOKUP(tables_settle_508100!C247,input_settle_508100!A:H,8,FALSE))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input_settle_508100!A$2</f>
        <v>508100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IFERROR(VLOOKUP(B248,input_settle_508100!L:R,7,FALSE),VLOOKUP(tables_settle_508100!C248,input_settle_508100!A:H,8,FALSE))</f>
        <v>787430.76922999998</v>
      </c>
      <c r="P248" s="46">
        <f t="shared" ca="1" si="10"/>
        <v>1.2692307692303471E-2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input_settle_508100!A$2</f>
        <v>508100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IFERROR(VLOOKUP(B249,input_settle_508100!L:R,7,FALSE),VLOOKUP(tables_settle_508100!C249,input_settle_508100!A:H,8,FALSE))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input_settle_508100!A$2</f>
        <v>508100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IFERROR(VLOOKUP(B250,input_settle_508100!L:R,7,FALSE),VLOOKUP(tables_settle_508100!C250,input_settle_508100!A:H,8,FALSE))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input_settle_508100!A$2</f>
        <v>508100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IFERROR(VLOOKUP(B251,input_settle_508100!L:R,7,FALSE),VLOOKUP(tables_settle_508100!C251,input_settle_508100!A:H,8,FALSE))</f>
        <v>787430.76922999998</v>
      </c>
      <c r="P251" s="46">
        <f t="shared" ca="1" si="10"/>
        <v>1.2692307692303471E-2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input_settle_508100!A$2</f>
        <v>508100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IFERROR(VLOOKUP(B252,input_settle_508100!L:R,7,FALSE),VLOOKUP(tables_settle_508100!C252,input_settle_508100!A:H,8,FALSE))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input_settle_508100!A$2</f>
        <v>508100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IFERROR(VLOOKUP(B253,input_settle_508100!L:R,7,FALSE),VLOOKUP(tables_settle_508100!C253,input_settle_508100!A:H,8,FALSE))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input_settle_508100!A$2</f>
        <v>508100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IFERROR(VLOOKUP(B254,input_settle_508100!L:R,7,FALSE),VLOOKUP(tables_settle_508100!C254,input_settle_508100!A:H,8,FALSE))</f>
        <v>787430.76922999998</v>
      </c>
      <c r="P254" s="46">
        <f t="shared" ca="1" si="10"/>
        <v>1.2692307692303471E-2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input_settle_508100!A$2</f>
        <v>508100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IFERROR(VLOOKUP(B255,input_settle_508100!L:R,7,FALSE),VLOOKUP(tables_settle_508100!C255,input_settle_508100!A:H,8,FALSE))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input_settle_508100!A$2</f>
        <v>508100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IFERROR(VLOOKUP(B256,input_settle_508100!L:R,7,FALSE),VLOOKUP(tables_settle_508100!C256,input_settle_508100!A:H,8,FALSE))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input_settle_508100!A$2</f>
        <v>508100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IFERROR(VLOOKUP(B257,input_settle_508100!L:R,7,FALSE),VLOOKUP(tables_settle_508100!C257,input_settle_508100!A:H,8,FALSE))</f>
        <v>787430.76922999998</v>
      </c>
      <c r="P257" s="46">
        <f t="shared" ca="1" si="10"/>
        <v>1.2692307692303471E-2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input_settle_508100!A$2</f>
        <v>508100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IFERROR(VLOOKUP(B258,input_settle_508100!L:R,7,FALSE),VLOOKUP(tables_settle_508100!C258,input_settle_508100!A:H,8,FALSE))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input_settle_508100!A$2</f>
        <v>508100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IFERROR(VLOOKUP(B259,input_settle_508100!L:R,7,FALSE),VLOOKUP(tables_settle_508100!C259,input_settle_508100!A:H,8,FALSE))</f>
        <v>47000</v>
      </c>
      <c r="P259" s="46">
        <f t="shared" ca="1" si="13"/>
        <v>7.5757575757624568E-4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input_settle_508100!A$2</f>
        <v>508100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IFERROR(VLOOKUP(B260,input_settle_508100!L:R,7,FALSE),VLOOKUP(tables_settle_508100!C260,input_settle_508100!A:H,8,FALSE))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input_settle_508100!A$2</f>
        <v>508100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IFERROR(VLOOKUP(B261,input_settle_508100!L:R,7,FALSE),VLOOKUP(tables_settle_508100!C261,input_settle_508100!A:H,8,FALSE))</f>
        <v>47000</v>
      </c>
      <c r="P261" s="46">
        <f t="shared" ca="1" si="13"/>
        <v>7.5757575757624568E-4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input_settle_508100!A$2</f>
        <v>508100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IFERROR(VLOOKUP(B262,input_settle_508100!L:R,7,FALSE),VLOOKUP(tables_settle_508100!C262,input_settle_508100!A:H,8,FALSE))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input_settle_508100!A$2</f>
        <v>508100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IFERROR(VLOOKUP(B263,input_settle_508100!L:R,7,FALSE),VLOOKUP(tables_settle_508100!C263,input_settle_508100!A:H,8,FALSE))</f>
        <v>620400</v>
      </c>
      <c r="P263" s="46">
        <f t="shared" ca="1" si="13"/>
        <v>1.0000000000006443E-2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input_settle_508100!A$2</f>
        <v>508100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IFERROR(VLOOKUP(B264,input_settle_508100!L:R,7,FALSE),VLOOKUP(tables_settle_508100!C264,input_settle_508100!A:H,8,FALSE))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input_settle_508100!A$2</f>
        <v>508100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IFERROR(VLOOKUP(B265,input_settle_508100!L:R,7,FALSE),VLOOKUP(tables_settle_508100!C265,input_settle_508100!A:H,8,FALSE))</f>
        <v>620400</v>
      </c>
      <c r="P265" s="46">
        <f t="shared" ca="1" si="13"/>
        <v>1.0000000000006443E-2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input_settle_508100!A$2</f>
        <v>508100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IFERROR(VLOOKUP(B266,input_settle_508100!L:R,7,FALSE),VLOOKUP(tables_settle_508100!C266,input_settle_508100!A:H,8,FALSE))</f>
        <v>47000</v>
      </c>
      <c r="P266" s="46">
        <f t="shared" ca="1" si="13"/>
        <v>7.5757575757624568E-4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input_settle_508100!A$2</f>
        <v>508100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IFERROR(VLOOKUP(B267,input_settle_508100!L:R,7,FALSE),VLOOKUP(tables_settle_508100!C267,input_settle_508100!A:H,8,FALSE))</f>
        <v>47000</v>
      </c>
      <c r="P267" s="46">
        <f t="shared" ca="1" si="13"/>
        <v>7.5757575757624568E-4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input_settle_508100!A$2</f>
        <v>508100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IFERROR(VLOOKUP(B268,input_settle_508100!L:R,7,FALSE),VLOOKUP(tables_settle_508100!C268,input_settle_508100!A:H,8,FALSE))</f>
        <v>47000</v>
      </c>
      <c r="P268" s="46">
        <f t="shared" ca="1" si="13"/>
        <v>7.5757575757624568E-4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input_settle_508100!A$2</f>
        <v>508100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IFERROR(VLOOKUP(B269,input_settle_508100!L:R,7,FALSE),VLOOKUP(tables_settle_508100!C269,input_settle_508100!A:H,8,FALSE))</f>
        <v>47000</v>
      </c>
      <c r="P269" s="46">
        <f t="shared" ca="1" si="13"/>
        <v>7.5757575757624568E-4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input_settle_508100!A$2</f>
        <v>508100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IFERROR(VLOOKUP(B270,input_settle_508100!L:R,7,FALSE),VLOOKUP(tables_settle_508100!C270,input_settle_508100!A:H,8,FALSE))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input_settle_508100!A$2</f>
        <v>508100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IFERROR(VLOOKUP(B271,input_settle_508100!L:R,7,FALSE),VLOOKUP(tables_settle_508100!C271,input_settle_508100!A:H,8,FALSE))</f>
        <v>620400</v>
      </c>
      <c r="P271" s="46">
        <f t="shared" ca="1" si="13"/>
        <v>1.0000000000006443E-2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input_settle_508100!A$2</f>
        <v>508100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IFERROR(VLOOKUP(B272,input_settle_508100!L:R,7,FALSE),VLOOKUP(tables_settle_508100!C272,input_settle_508100!A:H,8,FALSE))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input_settle_508100!A$2</f>
        <v>508100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IFERROR(VLOOKUP(B273,input_settle_508100!L:R,7,FALSE),VLOOKUP(tables_settle_508100!C273,input_settle_508100!A:H,8,FALSE))</f>
        <v>620400</v>
      </c>
      <c r="P273" s="46">
        <f t="shared" ca="1" si="13"/>
        <v>1.0000000000006443E-2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input_settle_508100!A$2</f>
        <v>508100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IFERROR(VLOOKUP(B274,input_settle_508100!L:R,7,FALSE),VLOOKUP(tables_settle_508100!C274,input_settle_508100!A:H,8,FALSE))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input_settle_508100!A$2</f>
        <v>508100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IFERROR(VLOOKUP(B275,input_settle_508100!L:R,7,FALSE),VLOOKUP(tables_settle_508100!C275,input_settle_508100!A:H,8,FALSE))</f>
        <v>47000</v>
      </c>
      <c r="P275" s="46">
        <f t="shared" ca="1" si="13"/>
        <v>7.5757575757624568E-4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input_settle_508100!A$2</f>
        <v>508100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IFERROR(VLOOKUP(B276,input_settle_508100!L:R,7,FALSE),VLOOKUP(tables_settle_508100!C276,input_settle_508100!A:H,8,FALSE))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input_settle_508100!A$2</f>
        <v>508100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IFERROR(VLOOKUP(B277,input_settle_508100!L:R,7,FALSE),VLOOKUP(tables_settle_508100!C277,input_settle_508100!A:H,8,FALSE))</f>
        <v>47000</v>
      </c>
      <c r="P277" s="46">
        <f t="shared" ca="1" si="13"/>
        <v>7.5757575757624568E-4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input_settle_508100!A$2</f>
        <v>508100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IFERROR(VLOOKUP(B278,input_settle_508100!L:R,7,FALSE),VLOOKUP(tables_settle_508100!C278,input_settle_508100!A:H,8,FALSE))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input_settle_508100!A$2</f>
        <v>508100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IFERROR(VLOOKUP(B279,input_settle_508100!L:R,7,FALSE),VLOOKUP(tables_settle_508100!C279,input_settle_508100!A:H,8,FALSE))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input_settle_508100!A$2</f>
        <v>508100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IFERROR(VLOOKUP(B280,input_settle_508100!L:R,7,FALSE),VLOOKUP(tables_settle_508100!C280,input_settle_508100!A:H,8,FALSE))</f>
        <v>787430.76922999998</v>
      </c>
      <c r="P280" s="46">
        <f t="shared" ca="1" si="13"/>
        <v>1.2692307692303471E-2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input_settle_508100!A$2</f>
        <v>508100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IFERROR(VLOOKUP(B281,input_settle_508100!L:R,7,FALSE),VLOOKUP(tables_settle_508100!C281,input_settle_508100!A:H,8,FALSE))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input_settle_508100!A$2</f>
        <v>508100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IFERROR(VLOOKUP(B282,input_settle_508100!L:R,7,FALSE),VLOOKUP(tables_settle_508100!C282,input_settle_508100!A:H,8,FALSE))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input_settle_508100!A$2</f>
        <v>508100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IFERROR(VLOOKUP(B283,input_settle_508100!L:R,7,FALSE),VLOOKUP(tables_settle_508100!C283,input_settle_508100!A:H,8,FALSE))</f>
        <v>787430.76922999998</v>
      </c>
      <c r="P283" s="46">
        <f t="shared" ca="1" si="13"/>
        <v>1.2692307692303471E-2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input_settle_508100!A$2</f>
        <v>508100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IFERROR(VLOOKUP(B284,input_settle_508100!L:R,7,FALSE),VLOOKUP(tables_settle_508100!C284,input_settle_508100!A:H,8,FALSE))</f>
        <v>47000</v>
      </c>
      <c r="P284" s="46">
        <f t="shared" ca="1" si="13"/>
        <v>7.5757575757624568E-4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input_settle_508100!A$2</f>
        <v>508100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IFERROR(VLOOKUP(B285,input_settle_508100!L:R,7,FALSE),VLOOKUP(tables_settle_508100!C285,input_settle_508100!A:H,8,FALSE))</f>
        <v>47000</v>
      </c>
      <c r="P285" s="46">
        <f t="shared" ca="1" si="13"/>
        <v>7.5757575757624568E-4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input_settle_508100!A$2</f>
        <v>508100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IFERROR(VLOOKUP(B286,input_settle_508100!L:R,7,FALSE),VLOOKUP(tables_settle_508100!C286,input_settle_508100!A:H,8,FALSE))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input_settle_508100!A$2</f>
        <v>508100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IFERROR(VLOOKUP(B287,input_settle_508100!L:R,7,FALSE),VLOOKUP(tables_settle_508100!C287,input_settle_508100!A:H,8,FALSE))</f>
        <v>620400</v>
      </c>
      <c r="P287" s="46">
        <f t="shared" ca="1" si="13"/>
        <v>1.0000000000006443E-2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input_settle_508100!A$2</f>
        <v>508100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IFERROR(VLOOKUP(B288,input_settle_508100!L:R,7,FALSE),VLOOKUP(tables_settle_508100!C288,input_settle_508100!A:H,8,FALSE))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input_settle_508100!A$2</f>
        <v>508100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IFERROR(VLOOKUP(B289,input_settle_508100!L:R,7,FALSE),VLOOKUP(tables_settle_508100!C289,input_settle_508100!A:H,8,FALSE))</f>
        <v>620400</v>
      </c>
      <c r="P289" s="46">
        <f t="shared" ca="1" si="13"/>
        <v>1.0000000000006443E-2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input_settle_508100!A$2</f>
        <v>508100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IFERROR(VLOOKUP(B290,input_settle_508100!L:R,7,FALSE),VLOOKUP(tables_settle_508100!C290,input_settle_508100!A:H,8,FALSE))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input_settle_508100!A$2</f>
        <v>508100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IFERROR(VLOOKUP(B291,input_settle_508100!L:R,7,FALSE),VLOOKUP(tables_settle_508100!C291,input_settle_508100!A:H,8,FALSE))</f>
        <v>620400</v>
      </c>
      <c r="P291" s="46">
        <f t="shared" ca="1" si="13"/>
        <v>1.0000000000006443E-2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input_settle_508100!A$2</f>
        <v>508100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IFERROR(VLOOKUP(B292,input_settle_508100!L:R,7,FALSE),VLOOKUP(tables_settle_508100!C292,input_settle_508100!A:H,8,FALSE))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input_settle_508100!A$2</f>
        <v>508100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IFERROR(VLOOKUP(B293,input_settle_508100!L:R,7,FALSE),VLOOKUP(tables_settle_508100!C293,input_settle_508100!A:H,8,FALSE))</f>
        <v>620400</v>
      </c>
      <c r="P293" s="46">
        <f t="shared" ca="1" si="13"/>
        <v>1.0000000000006443E-2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input_settle_508100!A$2</f>
        <v>508100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IFERROR(VLOOKUP(B294,input_settle_508100!L:R,7,FALSE),VLOOKUP(tables_settle_508100!C294,input_settle_508100!A:H,8,FALSE))</f>
        <v>47000</v>
      </c>
      <c r="P294" s="46">
        <f t="shared" ca="1" si="13"/>
        <v>7.5757575757624568E-4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input_settle_508100!A$2</f>
        <v>508100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IFERROR(VLOOKUP(B295,input_settle_508100!L:R,7,FALSE),VLOOKUP(tables_settle_508100!C295,input_settle_508100!A:H,8,FALSE))</f>
        <v>47000</v>
      </c>
      <c r="P295" s="46">
        <f t="shared" ca="1" si="13"/>
        <v>7.5757575757624568E-4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input_settle_508100!A$2</f>
        <v>508100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IFERROR(VLOOKUP(B296,input_settle_508100!L:R,7,FALSE),VLOOKUP(tables_settle_508100!C296,input_settle_508100!A:H,8,FALSE))</f>
        <v>47000</v>
      </c>
      <c r="P296" s="46">
        <f t="shared" ca="1" si="13"/>
        <v>7.5757575757624568E-4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input_settle_508100!A$2</f>
        <v>508100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IFERROR(VLOOKUP(B297,input_settle_508100!L:R,7,FALSE),VLOOKUP(tables_settle_508100!C297,input_settle_508100!A:H,8,FALSE))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input_settle_508100!A$2</f>
        <v>508100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IFERROR(VLOOKUP(B298,input_settle_508100!L:R,7,FALSE),VLOOKUP(tables_settle_508100!C298,input_settle_508100!A:H,8,FALSE))</f>
        <v>620400</v>
      </c>
      <c r="P298" s="46">
        <f t="shared" ca="1" si="13"/>
        <v>1.0000000000006443E-2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input_settle_508100!A$2</f>
        <v>508100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IFERROR(VLOOKUP(B299,input_settle_508100!L:R,7,FALSE),VLOOKUP(tables_settle_508100!C299,input_settle_508100!A:H,8,FALSE))</f>
        <v>47000</v>
      </c>
      <c r="P299" s="46">
        <f t="shared" ca="1" si="13"/>
        <v>7.5757575757624568E-4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input_settle_508100!A$2</f>
        <v>508100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IFERROR(VLOOKUP(B300,input_settle_508100!L:R,7,FALSE),VLOOKUP(tables_settle_508100!C300,input_settle_508100!A:H,8,FALSE))</f>
        <v>47000</v>
      </c>
      <c r="P300" s="46">
        <f t="shared" ca="1" si="13"/>
        <v>7.5757575757624568E-4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input_settle_508100!A$2</f>
        <v>508100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IFERROR(VLOOKUP(B301,input_settle_508100!L:R,7,FALSE),VLOOKUP(tables_settle_508100!C301,input_settle_508100!A:H,8,FALSE))</f>
        <v>47000</v>
      </c>
      <c r="P301" s="46">
        <f t="shared" ca="1" si="13"/>
        <v>7.5757575757624568E-4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input_settle_508100!A$2</f>
        <v>508100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IFERROR(VLOOKUP(B302,input_settle_508100!L:R,7,FALSE),VLOOKUP(tables_settle_508100!C302,input_settle_508100!A:H,8,FALSE))</f>
        <v>47000</v>
      </c>
      <c r="P302" s="46">
        <f t="shared" ca="1" si="13"/>
        <v>7.5757575757624568E-4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input_settle_508100!A$2</f>
        <v>508100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IFERROR(VLOOKUP(B303,input_settle_508100!L:R,7,FALSE),VLOOKUP(tables_settle_508100!C303,input_settle_508100!A:H,8,FALSE))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input_settle_508100!A$2</f>
        <v>508100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IFERROR(VLOOKUP(B304,input_settle_508100!L:R,7,FALSE),VLOOKUP(tables_settle_508100!C304,input_settle_508100!A:H,8,FALSE))</f>
        <v>620400</v>
      </c>
      <c r="P304" s="46">
        <f t="shared" ca="1" si="13"/>
        <v>1.0000000000006443E-2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input_settle_508100!A$2</f>
        <v>508100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IFERROR(VLOOKUP(B305,input_settle_508100!L:R,7,FALSE),VLOOKUP(tables_settle_508100!C305,input_settle_508100!A:H,8,FALSE))</f>
        <v>47000</v>
      </c>
      <c r="P305" s="46">
        <f t="shared" ca="1" si="13"/>
        <v>7.5757575757624568E-4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input_settle_508100!A$2</f>
        <v>508100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IFERROR(VLOOKUP(B306,input_settle_508100!L:R,7,FALSE),VLOOKUP(tables_settle_508100!C306,input_settle_508100!A:H,8,FALSE))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input_settle_508100!A$2</f>
        <v>508100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IFERROR(VLOOKUP(B307,input_settle_508100!L:R,7,FALSE),VLOOKUP(tables_settle_508100!C307,input_settle_508100!A:H,8,FALSE))</f>
        <v>620400</v>
      </c>
      <c r="P307" s="46">
        <f t="shared" ca="1" si="13"/>
        <v>1.0000000000006443E-2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input_settle_508100!A$2</f>
        <v>508100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IFERROR(VLOOKUP(B308,input_settle_508100!L:R,7,FALSE),VLOOKUP(tables_settle_508100!C308,input_settle_508100!A:H,8,FALSE))</f>
        <v>47000</v>
      </c>
      <c r="P308" s="46">
        <f t="shared" ca="1" si="13"/>
        <v>7.5757575757624568E-4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input_settle_508100!A$2</f>
        <v>508100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IFERROR(VLOOKUP(B309,input_settle_508100!L:R,7,FALSE),VLOOKUP(tables_settle_508100!C309,input_settle_508100!A:H,8,FALSE))</f>
        <v>47000</v>
      </c>
      <c r="P309" s="46">
        <f t="shared" ca="1" si="13"/>
        <v>7.5757575757624568E-4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input_settle_508100!A$2</f>
        <v>508100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IFERROR(VLOOKUP(B310,input_settle_508100!L:R,7,FALSE),VLOOKUP(tables_settle_508100!C310,input_settle_508100!A:H,8,FALSE))</f>
        <v>47000</v>
      </c>
      <c r="P310" s="46">
        <f t="shared" ca="1" si="13"/>
        <v>7.5757575757624568E-4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input_settle_508100!A$2</f>
        <v>508100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IFERROR(VLOOKUP(B311,input_settle_508100!L:R,7,FALSE),VLOOKUP(tables_settle_508100!C311,input_settle_508100!A:H,8,FALSE))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input_settle_508100!A$2</f>
        <v>508100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IFERROR(VLOOKUP(B312,input_settle_508100!L:R,7,FALSE),VLOOKUP(tables_settle_508100!C312,input_settle_508100!A:H,8,FALSE))</f>
        <v>620400</v>
      </c>
      <c r="P312" s="46">
        <f t="shared" ca="1" si="13"/>
        <v>1.0000000000006443E-2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input_settle_508100!A$2</f>
        <v>508100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IFERROR(VLOOKUP(B313,input_settle_508100!L:R,7,FALSE),VLOOKUP(tables_settle_508100!C313,input_settle_508100!A:H,8,FALSE))</f>
        <v>47000</v>
      </c>
      <c r="P313" s="46">
        <f t="shared" ca="1" si="13"/>
        <v>7.5757575757624568E-4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input_settle_508100!A$2</f>
        <v>508100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IFERROR(VLOOKUP(B314,input_settle_508100!L:R,7,FALSE),VLOOKUP(tables_settle_508100!C314,input_settle_508100!A:H,8,FALSE))</f>
        <v>47000</v>
      </c>
      <c r="P314" s="46">
        <f t="shared" ca="1" si="13"/>
        <v>7.5757575757624568E-4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input_settle_508100!A$2</f>
        <v>508100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IFERROR(VLOOKUP(B315,input_settle_508100!L:R,7,FALSE),VLOOKUP(tables_settle_508100!C315,input_settle_508100!A:H,8,FALSE))</f>
        <v>47000</v>
      </c>
      <c r="P315" s="46">
        <f t="shared" ca="1" si="13"/>
        <v>7.5757575757624568E-4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input_settle_508100!A$2</f>
        <v>508100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IFERROR(VLOOKUP(B316,input_settle_508100!L:R,7,FALSE),VLOOKUP(tables_settle_508100!C316,input_settle_508100!A:H,8,FALSE))</f>
        <v>47000</v>
      </c>
      <c r="P316" s="46">
        <f t="shared" ca="1" si="13"/>
        <v>7.5757575757624568E-4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input_settle_508100!A$2</f>
        <v>508100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IFERROR(VLOOKUP(B317,input_settle_508100!L:R,7,FALSE),VLOOKUP(tables_settle_508100!C317,input_settle_508100!A:H,8,FALSE))</f>
        <v>47000</v>
      </c>
      <c r="P317" s="46">
        <f t="shared" ca="1" si="13"/>
        <v>7.5757575757624568E-4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input_settle_508100!A$2</f>
        <v>508100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IFERROR(VLOOKUP(B318,input_settle_508100!L:R,7,FALSE),VLOOKUP(tables_settle_508100!C318,input_settle_508100!A:H,8,FALSE))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input_settle_508100!A$2</f>
        <v>508100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IFERROR(VLOOKUP(B319,input_settle_508100!L:R,7,FALSE),VLOOKUP(tables_settle_508100!C319,input_settle_508100!A:H,8,FALSE))</f>
        <v>620400</v>
      </c>
      <c r="P319" s="46">
        <f t="shared" ca="1" si="13"/>
        <v>1.0000000000006443E-2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input_settle_508100!A$2</f>
        <v>508100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IFERROR(VLOOKUP(B320,input_settle_508100!L:R,7,FALSE),VLOOKUP(tables_settle_508100!C320,input_settle_508100!A:H,8,FALSE))</f>
        <v>47000</v>
      </c>
      <c r="P320" s="46">
        <f t="shared" ca="1" si="13"/>
        <v>7.5757575757624568E-4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input_settle_508100!A$2</f>
        <v>508100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IFERROR(VLOOKUP(B321,input_settle_508100!L:R,7,FALSE),VLOOKUP(tables_settle_508100!C321,input_settle_508100!A:H,8,FALSE))</f>
        <v>47000</v>
      </c>
      <c r="P321" s="46">
        <f t="shared" ca="1" si="13"/>
        <v>7.5757575757624568E-4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input_settle_508100!A$2</f>
        <v>508100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IFERROR(VLOOKUP(B322,input_settle_508100!L:R,7,FALSE),VLOOKUP(tables_settle_508100!C322,input_settle_508100!A:H,8,FALSE))</f>
        <v>47000</v>
      </c>
      <c r="P322" s="46">
        <f t="shared" ref="P322:P346" ca="1" si="16">O322/SUM(O:O)</f>
        <v>7.5757575757624568E-4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input_settle_508100!A$2</f>
        <v>508100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IFERROR(VLOOKUP(B323,input_settle_508100!L:R,7,FALSE),VLOOKUP(tables_settle_508100!C323,input_settle_508100!A:H,8,FALSE))</f>
        <v>47000</v>
      </c>
      <c r="P323" s="46">
        <f t="shared" ca="1" si="16"/>
        <v>7.5757575757624568E-4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input_settle_508100!A$2</f>
        <v>508100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IFERROR(VLOOKUP(B324,input_settle_508100!L:R,7,FALSE),VLOOKUP(tables_settle_508100!C324,input_settle_508100!A:H,8,FALSE))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input_settle_508100!A$2</f>
        <v>508100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IFERROR(VLOOKUP(B325,input_settle_508100!L:R,7,FALSE),VLOOKUP(tables_settle_508100!C325,input_settle_508100!A:H,8,FALSE))</f>
        <v>620400</v>
      </c>
      <c r="P325" s="46">
        <f t="shared" ca="1" si="16"/>
        <v>1.0000000000006443E-2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input_settle_508100!A$2</f>
        <v>508100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IFERROR(VLOOKUP(B326,input_settle_508100!L:R,7,FALSE),VLOOKUP(tables_settle_508100!C326,input_settle_508100!A:H,8,FALSE))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input_settle_508100!A$2</f>
        <v>508100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IFERROR(VLOOKUP(B327,input_settle_508100!L:R,7,FALSE),VLOOKUP(tables_settle_508100!C327,input_settle_508100!A:H,8,FALSE))</f>
        <v>620400</v>
      </c>
      <c r="P327" s="46">
        <f t="shared" ca="1" si="16"/>
        <v>1.0000000000006443E-2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input_settle_508100!A$2</f>
        <v>508100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IFERROR(VLOOKUP(B328,input_settle_508100!L:R,7,FALSE),VLOOKUP(tables_settle_508100!C328,input_settle_508100!A:H,8,FALSE))</f>
        <v>47000</v>
      </c>
      <c r="P328" s="46">
        <f t="shared" ca="1" si="16"/>
        <v>7.5757575757624568E-4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input_settle_508100!A$2</f>
        <v>508100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IFERROR(VLOOKUP(B329,input_settle_508100!L:R,7,FALSE),VLOOKUP(tables_settle_508100!C329,input_settle_508100!A:H,8,FALSE))</f>
        <v>47000</v>
      </c>
      <c r="P329" s="46">
        <f t="shared" ca="1" si="16"/>
        <v>7.5757575757624568E-4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input_settle_508100!A$2</f>
        <v>508100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IFERROR(VLOOKUP(B330,input_settle_508100!L:R,7,FALSE),VLOOKUP(tables_settle_508100!C330,input_settle_508100!A:H,8,FALSE))</f>
        <v>47000</v>
      </c>
      <c r="P330" s="46">
        <f t="shared" ca="1" si="16"/>
        <v>7.5757575757624568E-4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input_settle_508100!A$2</f>
        <v>508100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IFERROR(VLOOKUP(B331,input_settle_508100!L:R,7,FALSE),VLOOKUP(tables_settle_508100!C331,input_settle_508100!A:H,8,FALSE))</f>
        <v>47000</v>
      </c>
      <c r="P331" s="46">
        <f t="shared" ca="1" si="16"/>
        <v>7.5757575757624568E-4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input_settle_508100!A$2</f>
        <v>508100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IFERROR(VLOOKUP(B332,input_settle_508100!L:R,7,FALSE),VLOOKUP(tables_settle_508100!C332,input_settle_508100!A:H,8,FALSE))</f>
        <v>47000</v>
      </c>
      <c r="P332" s="46">
        <f t="shared" ca="1" si="16"/>
        <v>7.5757575757624568E-4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input_settle_508100!A$2</f>
        <v>508100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IFERROR(VLOOKUP(B333,input_settle_508100!L:R,7,FALSE),VLOOKUP(tables_settle_508100!C333,input_settle_508100!A:H,8,FALSE))</f>
        <v>47000</v>
      </c>
      <c r="P333" s="46">
        <f t="shared" ca="1" si="16"/>
        <v>7.5757575757624568E-4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input_settle_508100!A$2</f>
        <v>508100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IFERROR(VLOOKUP(B334,input_settle_508100!L:R,7,FALSE),VLOOKUP(tables_settle_508100!C334,input_settle_508100!A:H,8,FALSE))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input_settle_508100!A$2</f>
        <v>508100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IFERROR(VLOOKUP(B335,input_settle_508100!L:R,7,FALSE),VLOOKUP(tables_settle_508100!C335,input_settle_508100!A:H,8,FALSE))</f>
        <v>620400</v>
      </c>
      <c r="P335" s="46">
        <f t="shared" ca="1" si="16"/>
        <v>1.0000000000006443E-2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input_settle_508100!A$2</f>
        <v>508100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IFERROR(VLOOKUP(B336,input_settle_508100!L:R,7,FALSE),VLOOKUP(tables_settle_508100!C336,input_settle_508100!A:H,8,FALSE))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input_settle_508100!A$2</f>
        <v>508100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IFERROR(VLOOKUP(B337,input_settle_508100!L:R,7,FALSE),VLOOKUP(tables_settle_508100!C337,input_settle_508100!A:H,8,FALSE))</f>
        <v>620400</v>
      </c>
      <c r="P337" s="46">
        <f t="shared" ca="1" si="16"/>
        <v>1.0000000000006443E-2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input_settle_508100!A$2</f>
        <v>508100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IFERROR(VLOOKUP(B338,input_settle_508100!L:R,7,FALSE),VLOOKUP(tables_settle_508100!C338,input_settle_508100!A:H,8,FALSE))</f>
        <v>47000</v>
      </c>
      <c r="P338" s="46">
        <f t="shared" ca="1" si="16"/>
        <v>7.5757575757624568E-4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input_settle_508100!A$2</f>
        <v>508100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IFERROR(VLOOKUP(B339,input_settle_508100!L:R,7,FALSE),VLOOKUP(tables_settle_508100!C339,input_settle_508100!A:H,8,FALSE))</f>
        <v>47000</v>
      </c>
      <c r="P339" s="46">
        <f t="shared" ca="1" si="16"/>
        <v>7.5757575757624568E-4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input_settle_508100!A$2</f>
        <v>508100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IFERROR(VLOOKUP(B340,input_settle_508100!L:R,7,FALSE),VLOOKUP(tables_settle_508100!C340,input_settle_508100!A:H,8,FALSE))</f>
        <v>47000</v>
      </c>
      <c r="P340" s="46">
        <f t="shared" ca="1" si="16"/>
        <v>7.5757575757624568E-4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input_settle_508100!A$2</f>
        <v>508100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IFERROR(VLOOKUP(B341,input_settle_508100!L:R,7,FALSE),VLOOKUP(tables_settle_508100!C341,input_settle_508100!A:H,8,FALSE))</f>
        <v>47000</v>
      </c>
      <c r="P341" s="46">
        <f t="shared" ca="1" si="16"/>
        <v>7.5757575757624568E-4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input_settle_508100!A$2</f>
        <v>508100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IFERROR(VLOOKUP(B342,input_settle_508100!L:R,7,FALSE),VLOOKUP(tables_settle_508100!C342,input_settle_508100!A:H,8,FALSE))</f>
        <v>47000</v>
      </c>
      <c r="P342" s="46">
        <f t="shared" ca="1" si="16"/>
        <v>7.5757575757624568E-4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input_settle_508100!A$2</f>
        <v>508100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IFERROR(VLOOKUP(B343,input_settle_508100!L:R,7,FALSE),VLOOKUP(tables_settle_508100!C343,input_settle_508100!A:H,8,FALSE))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input_settle_508100!A$2</f>
        <v>508100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IFERROR(VLOOKUP(B344,input_settle_508100!L:R,7,FALSE),VLOOKUP(tables_settle_508100!C344,input_settle_508100!A:H,8,FALSE))</f>
        <v>620400</v>
      </c>
      <c r="P344" s="46">
        <f t="shared" ca="1" si="16"/>
        <v>1.0000000000006443E-2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input_settle_508100!A$2</f>
        <v>508100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IFERROR(VLOOKUP(B345,input_settle_508100!L:R,7,FALSE),VLOOKUP(tables_settle_508100!C345,input_settle_508100!A:H,8,FALSE))</f>
        <v>47000</v>
      </c>
      <c r="P345" s="46">
        <f t="shared" ca="1" si="16"/>
        <v>7.5757575757624568E-4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input_settle_508100!A$2</f>
        <v>508100</v>
      </c>
      <c r="B346" s="1">
        <v>1340</v>
      </c>
      <c r="C346" s="7" t="str">
        <f t="shared" si="15"/>
        <v>PremiumSSS5R3less</v>
      </c>
      <c r="D346" s="97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IFERROR(VLOOKUP(B346,input_settle_508100!L:R,7,FALSE),VLOOKUP(tables_settle_508100!C346,input_settle_508100!A:H,8,FALSE))</f>
        <v>310200</v>
      </c>
      <c r="P346" s="46">
        <f t="shared" ca="1" si="16"/>
        <v>5.0000000000032215E-3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input_settle_508100!A$2</f>
        <v>508100</v>
      </c>
      <c r="B347" s="1">
        <v>790</v>
      </c>
      <c r="C347" s="7" t="str">
        <f t="shared" si="15"/>
        <v>PremiumSSS5R3less</v>
      </c>
      <c r="D347" s="97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戦略級の才脳 ノイマン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attack</v>
      </c>
      <c r="M347" s="7" t="str">
        <f>VLOOKUP(B347,[1]characters!$A:$M,13,FALSE)</f>
        <v>machine</v>
      </c>
      <c r="N347" s="7" t="str">
        <f>VLOOKUP(B347,[1]characters!$A:$G,7,FALSE)</f>
        <v>女性</v>
      </c>
      <c r="O347" s="45">
        <f ca="1">IFERROR(VLOOKUP(B347,input_settle_508100!L:R,7,FALSE),VLOOKUP(tables_settle_508100!C347,input_settle_508100!A:H,8,FALSE))</f>
        <v>310200</v>
      </c>
      <c r="P347" s="46">
        <f ca="1">O347/SUM(O:O)</f>
        <v>5.0000000000032215E-3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I10" sqref="I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508105</v>
      </c>
      <c r="B2" s="100">
        <v>5081051</v>
      </c>
      <c r="C2" s="79" t="s">
        <v>254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255</v>
      </c>
      <c r="O2" s="79" t="s">
        <v>256</v>
      </c>
      <c r="P2" s="79" t="s">
        <v>257</v>
      </c>
      <c r="Q2" s="80" t="s">
        <v>263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input_508010</vt:lpstr>
      <vt:lpstr>tables_508010</vt:lpstr>
      <vt:lpstr>input_508100</vt:lpstr>
      <vt:lpstr>tables_508100</vt:lpstr>
      <vt:lpstr>input_settle_508100</vt:lpstr>
      <vt:lpstr>tables_settle_508100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2017-02-14T05:22:23Z</dcterms:modified>
</cp:coreProperties>
</file>