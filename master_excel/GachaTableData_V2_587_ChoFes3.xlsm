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3"/>
  </bookViews>
  <sheets>
    <sheet name="確率の考え方" sheetId="110" r:id="rId1"/>
    <sheet name="Sheet1" sheetId="107" r:id="rId2"/>
    <sheet name="output" sheetId="103" r:id="rId3"/>
    <sheet name="input_587100" sheetId="157" r:id="rId4"/>
    <sheet name="tables_587100" sheetId="158" r:id="rId5"/>
    <sheet name="tables_settle_587100" sheetId="159" r:id="rId6"/>
    <sheet name="gacha_bonus_tables" sheetId="98" r:id="rId7"/>
    <sheet name="R6追加前" sheetId="111" r:id="rId8"/>
    <sheet name="R6開放" sheetId="112" r:id="rId9"/>
  </sheets>
  <externalReferences>
    <externalReference r:id="rId10"/>
  </externalReferences>
  <definedNames>
    <definedName name="_xlnm._FilterDatabase" localSheetId="6" hidden="1">gacha_bonus_tables!$A$1:$F$1</definedName>
    <definedName name="_xlnm._FilterDatabase" localSheetId="4" hidden="1">tables_587100!$A$1:$V$359</definedName>
    <definedName name="_xlnm._FilterDatabase" localSheetId="5" hidden="1">tables_settle_587100!$A$1:$V$157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60" i="159" l="1"/>
  <c r="D160" i="159"/>
  <c r="J160" i="159"/>
  <c r="E160" i="159"/>
  <c r="F160" i="159"/>
  <c r="C160" i="159"/>
  <c r="H160" i="159"/>
  <c r="K160" i="159"/>
  <c r="L160" i="159"/>
  <c r="M160" i="159"/>
  <c r="N160" i="159"/>
  <c r="I157" i="159"/>
  <c r="D157" i="159"/>
  <c r="X2" i="159"/>
  <c r="X3" i="159"/>
  <c r="X4" i="159"/>
  <c r="X5" i="159"/>
  <c r="Y4" i="159"/>
  <c r="O160" i="159"/>
  <c r="Y2" i="159"/>
  <c r="O2" i="159"/>
  <c r="O3" i="159"/>
  <c r="O4" i="159"/>
  <c r="O5" i="159"/>
  <c r="O6" i="159"/>
  <c r="O7" i="159"/>
  <c r="O8" i="159"/>
  <c r="O9" i="159"/>
  <c r="O10" i="159"/>
  <c r="O11" i="159"/>
  <c r="O12" i="159"/>
  <c r="O13" i="159"/>
  <c r="O14" i="159"/>
  <c r="O15" i="159"/>
  <c r="O16" i="159"/>
  <c r="O17" i="159"/>
  <c r="O18" i="159"/>
  <c r="O19" i="159"/>
  <c r="O20" i="159"/>
  <c r="O21" i="159"/>
  <c r="O22" i="159"/>
  <c r="O23" i="159"/>
  <c r="O24" i="159"/>
  <c r="O25" i="159"/>
  <c r="O26" i="159"/>
  <c r="O27" i="159"/>
  <c r="O28" i="159"/>
  <c r="O29" i="159"/>
  <c r="O30" i="159"/>
  <c r="O31" i="159"/>
  <c r="O32" i="159"/>
  <c r="O33" i="159"/>
  <c r="Y3" i="159"/>
  <c r="O34" i="159"/>
  <c r="O35" i="159"/>
  <c r="O36" i="159"/>
  <c r="O37" i="159"/>
  <c r="O38" i="159"/>
  <c r="O39" i="159"/>
  <c r="O40" i="159"/>
  <c r="O41" i="159"/>
  <c r="O42" i="159"/>
  <c r="O43" i="159"/>
  <c r="O44" i="159"/>
  <c r="O45" i="159"/>
  <c r="O46" i="159"/>
  <c r="O47" i="159"/>
  <c r="O48" i="159"/>
  <c r="O49" i="159"/>
  <c r="O50" i="159"/>
  <c r="O51" i="159"/>
  <c r="O52" i="159"/>
  <c r="O53" i="159"/>
  <c r="O54" i="159"/>
  <c r="O55" i="159"/>
  <c r="O56" i="159"/>
  <c r="O57" i="159"/>
  <c r="O58" i="159"/>
  <c r="O59" i="159"/>
  <c r="O60" i="159"/>
  <c r="O61" i="159"/>
  <c r="O62" i="159"/>
  <c r="O63" i="159"/>
  <c r="O64" i="159"/>
  <c r="O65" i="159"/>
  <c r="O66" i="159"/>
  <c r="O67" i="159"/>
  <c r="O68" i="159"/>
  <c r="O69" i="159"/>
  <c r="O70" i="159"/>
  <c r="O71" i="159"/>
  <c r="O72" i="159"/>
  <c r="O73" i="159"/>
  <c r="O74" i="159"/>
  <c r="O75" i="159"/>
  <c r="O76" i="159"/>
  <c r="O77" i="159"/>
  <c r="O78" i="159"/>
  <c r="O79" i="159"/>
  <c r="O80" i="159"/>
  <c r="O81" i="159"/>
  <c r="O82" i="159"/>
  <c r="O83" i="159"/>
  <c r="O84" i="159"/>
  <c r="O85" i="159"/>
  <c r="O86" i="159"/>
  <c r="O87" i="159"/>
  <c r="O88" i="159"/>
  <c r="O89" i="159"/>
  <c r="O90" i="159"/>
  <c r="O91" i="159"/>
  <c r="O92" i="159"/>
  <c r="O93" i="159"/>
  <c r="O94" i="159"/>
  <c r="O95" i="159"/>
  <c r="O96" i="159"/>
  <c r="O97" i="159"/>
  <c r="O98" i="159"/>
  <c r="O99" i="159"/>
  <c r="O100" i="159"/>
  <c r="O101" i="159"/>
  <c r="O102" i="159"/>
  <c r="O103" i="159"/>
  <c r="O104" i="159"/>
  <c r="O105" i="159"/>
  <c r="O106" i="159"/>
  <c r="O107" i="159"/>
  <c r="O108" i="159"/>
  <c r="O109" i="159"/>
  <c r="O110" i="159"/>
  <c r="O111" i="159"/>
  <c r="O112" i="159"/>
  <c r="O113" i="159"/>
  <c r="O114" i="159"/>
  <c r="O115" i="159"/>
  <c r="O116" i="159"/>
  <c r="O117" i="159"/>
  <c r="O118" i="159"/>
  <c r="O119" i="159"/>
  <c r="O120" i="159"/>
  <c r="O121" i="159"/>
  <c r="O122" i="159"/>
  <c r="O123" i="159"/>
  <c r="O124" i="159"/>
  <c r="O125" i="159"/>
  <c r="O126" i="159"/>
  <c r="O127" i="159"/>
  <c r="O128" i="159"/>
  <c r="O129" i="159"/>
  <c r="O130" i="159"/>
  <c r="O131" i="159"/>
  <c r="O132" i="159"/>
  <c r="O133" i="159"/>
  <c r="O134" i="159"/>
  <c r="O135" i="159"/>
  <c r="O136" i="159"/>
  <c r="O137" i="159"/>
  <c r="O138" i="159"/>
  <c r="O139" i="159"/>
  <c r="O140" i="159"/>
  <c r="O141" i="159"/>
  <c r="O142" i="159"/>
  <c r="O143" i="159"/>
  <c r="O144" i="159"/>
  <c r="O145" i="159"/>
  <c r="O146" i="159"/>
  <c r="O147" i="159"/>
  <c r="O148" i="159"/>
  <c r="O149" i="159"/>
  <c r="O150" i="159"/>
  <c r="O151" i="159"/>
  <c r="O152" i="159"/>
  <c r="O153" i="159"/>
  <c r="O154" i="159"/>
  <c r="O155" i="159"/>
  <c r="O156" i="159"/>
  <c r="O157" i="159"/>
  <c r="O158" i="159"/>
  <c r="O159" i="159"/>
  <c r="P160" i="159"/>
  <c r="A2" i="157"/>
  <c r="A160" i="159"/>
  <c r="I159" i="159"/>
  <c r="D159" i="159"/>
  <c r="I2" i="159"/>
  <c r="D2" i="159"/>
  <c r="I3" i="159"/>
  <c r="D3" i="159"/>
  <c r="I4" i="159"/>
  <c r="D4" i="159"/>
  <c r="I5" i="159"/>
  <c r="D5" i="159"/>
  <c r="I6" i="159"/>
  <c r="D6" i="159"/>
  <c r="I7" i="159"/>
  <c r="D7" i="159"/>
  <c r="I8" i="159"/>
  <c r="D8" i="159"/>
  <c r="I9" i="159"/>
  <c r="D9" i="159"/>
  <c r="I10" i="159"/>
  <c r="D10" i="159"/>
  <c r="I11" i="159"/>
  <c r="D11" i="159"/>
  <c r="I12" i="159"/>
  <c r="D12" i="159"/>
  <c r="I13" i="159"/>
  <c r="D13" i="159"/>
  <c r="I14" i="159"/>
  <c r="D14" i="159"/>
  <c r="I15" i="159"/>
  <c r="D15" i="159"/>
  <c r="I16" i="159"/>
  <c r="D16" i="159"/>
  <c r="I17" i="159"/>
  <c r="D17" i="159"/>
  <c r="I18" i="159"/>
  <c r="D18" i="159"/>
  <c r="I19" i="159"/>
  <c r="D19" i="159"/>
  <c r="I20" i="159"/>
  <c r="D20" i="159"/>
  <c r="I21" i="159"/>
  <c r="D21" i="159"/>
  <c r="I22" i="159"/>
  <c r="D22" i="159"/>
  <c r="I23" i="159"/>
  <c r="D23" i="159"/>
  <c r="I24" i="159"/>
  <c r="D24" i="159"/>
  <c r="I25" i="159"/>
  <c r="D25" i="159"/>
  <c r="I26" i="159"/>
  <c r="D26" i="159"/>
  <c r="I27" i="159"/>
  <c r="D27" i="159"/>
  <c r="I28" i="159"/>
  <c r="D28" i="159"/>
  <c r="I29" i="159"/>
  <c r="D29" i="159"/>
  <c r="I30" i="159"/>
  <c r="D30" i="159"/>
  <c r="I31" i="159"/>
  <c r="D31" i="159"/>
  <c r="I32" i="159"/>
  <c r="D32" i="159"/>
  <c r="I33" i="159"/>
  <c r="D33" i="159"/>
  <c r="I34" i="159"/>
  <c r="D34" i="159"/>
  <c r="I35" i="159"/>
  <c r="D35" i="159"/>
  <c r="I36" i="159"/>
  <c r="D36" i="159"/>
  <c r="I37" i="159"/>
  <c r="D37" i="159"/>
  <c r="I38" i="159"/>
  <c r="D38" i="159"/>
  <c r="I39" i="159"/>
  <c r="D39" i="159"/>
  <c r="I40" i="159"/>
  <c r="D40" i="159"/>
  <c r="I41" i="159"/>
  <c r="D41" i="159"/>
  <c r="I42" i="159"/>
  <c r="D42" i="159"/>
  <c r="I43" i="159"/>
  <c r="D43" i="159"/>
  <c r="I44" i="159"/>
  <c r="D44" i="159"/>
  <c r="I45" i="159"/>
  <c r="D45" i="159"/>
  <c r="I46" i="159"/>
  <c r="D46" i="159"/>
  <c r="I47" i="159"/>
  <c r="D47" i="159"/>
  <c r="I48" i="159"/>
  <c r="D48" i="159"/>
  <c r="I49" i="159"/>
  <c r="D49" i="159"/>
  <c r="I50" i="159"/>
  <c r="D50" i="159"/>
  <c r="I51" i="159"/>
  <c r="D51" i="159"/>
  <c r="I52" i="159"/>
  <c r="D52" i="159"/>
  <c r="I53" i="159"/>
  <c r="D53" i="159"/>
  <c r="I54" i="159"/>
  <c r="D54" i="159"/>
  <c r="I55" i="159"/>
  <c r="D55" i="159"/>
  <c r="I56" i="159"/>
  <c r="D56" i="159"/>
  <c r="I57" i="159"/>
  <c r="D57" i="159"/>
  <c r="I58" i="159"/>
  <c r="D58" i="159"/>
  <c r="I59" i="159"/>
  <c r="D59" i="159"/>
  <c r="I60" i="159"/>
  <c r="D60" i="159"/>
  <c r="I61" i="159"/>
  <c r="D61" i="159"/>
  <c r="I62" i="159"/>
  <c r="D62" i="159"/>
  <c r="I63" i="159"/>
  <c r="D63" i="159"/>
  <c r="I64" i="159"/>
  <c r="D64" i="159"/>
  <c r="I65" i="159"/>
  <c r="D65" i="159"/>
  <c r="I66" i="159"/>
  <c r="J66" i="159"/>
  <c r="D66" i="159"/>
  <c r="I67" i="159"/>
  <c r="J67" i="159"/>
  <c r="D67" i="159"/>
  <c r="I68" i="159"/>
  <c r="J68" i="159"/>
  <c r="D68" i="159"/>
  <c r="I69" i="159"/>
  <c r="J69" i="159"/>
  <c r="D69" i="159"/>
  <c r="I70" i="159"/>
  <c r="J70" i="159"/>
  <c r="D70" i="159"/>
  <c r="I71" i="159"/>
  <c r="J71" i="159"/>
  <c r="D71" i="159"/>
  <c r="I72" i="159"/>
  <c r="D72" i="159"/>
  <c r="I73" i="159"/>
  <c r="D73" i="159"/>
  <c r="I74" i="159"/>
  <c r="D74" i="159"/>
  <c r="I75" i="159"/>
  <c r="D75" i="159"/>
  <c r="I76" i="159"/>
  <c r="D76" i="159"/>
  <c r="I77" i="159"/>
  <c r="D77" i="159"/>
  <c r="I78" i="159"/>
  <c r="D78" i="159"/>
  <c r="I79" i="159"/>
  <c r="D79" i="159"/>
  <c r="I80" i="159"/>
  <c r="D80" i="159"/>
  <c r="I81" i="159"/>
  <c r="D81" i="159"/>
  <c r="I82" i="159"/>
  <c r="D82" i="159"/>
  <c r="I83" i="159"/>
  <c r="D83" i="159"/>
  <c r="I84" i="159"/>
  <c r="D84" i="159"/>
  <c r="I85" i="159"/>
  <c r="D85" i="159"/>
  <c r="I86" i="159"/>
  <c r="D86" i="159"/>
  <c r="I87" i="159"/>
  <c r="D87" i="159"/>
  <c r="I88" i="159"/>
  <c r="D88" i="159"/>
  <c r="I89" i="159"/>
  <c r="D89" i="159"/>
  <c r="I90" i="159"/>
  <c r="D90" i="159"/>
  <c r="I91" i="159"/>
  <c r="D91" i="159"/>
  <c r="I92" i="159"/>
  <c r="D92" i="159"/>
  <c r="I93" i="159"/>
  <c r="D93" i="159"/>
  <c r="I94" i="159"/>
  <c r="D94" i="159"/>
  <c r="I95" i="159"/>
  <c r="D95" i="159"/>
  <c r="I96" i="159"/>
  <c r="D96" i="159"/>
  <c r="I97" i="159"/>
  <c r="D97" i="159"/>
  <c r="I98" i="159"/>
  <c r="D98" i="159"/>
  <c r="I99" i="159"/>
  <c r="D99" i="159"/>
  <c r="I100" i="159"/>
  <c r="D100" i="159"/>
  <c r="I101" i="159"/>
  <c r="D101" i="159"/>
  <c r="I102" i="159"/>
  <c r="D102" i="159"/>
  <c r="I103" i="159"/>
  <c r="D103" i="159"/>
  <c r="I104" i="159"/>
  <c r="D104" i="159"/>
  <c r="I105" i="159"/>
  <c r="D105" i="159"/>
  <c r="I106" i="159"/>
  <c r="D106" i="159"/>
  <c r="I107" i="159"/>
  <c r="D107" i="159"/>
  <c r="I108" i="159"/>
  <c r="D108" i="159"/>
  <c r="I109" i="159"/>
  <c r="D109" i="159"/>
  <c r="I110" i="159"/>
  <c r="D110" i="159"/>
  <c r="I111" i="159"/>
  <c r="D111" i="159"/>
  <c r="I112" i="159"/>
  <c r="D112" i="159"/>
  <c r="I113" i="159"/>
  <c r="D113" i="159"/>
  <c r="I114" i="159"/>
  <c r="D114" i="159"/>
  <c r="I115" i="159"/>
  <c r="D115" i="159"/>
  <c r="I116" i="159"/>
  <c r="D116" i="159"/>
  <c r="I117" i="159"/>
  <c r="D117" i="159"/>
  <c r="I118" i="159"/>
  <c r="D118" i="159"/>
  <c r="I119" i="159"/>
  <c r="D119" i="159"/>
  <c r="I120" i="159"/>
  <c r="D120" i="159"/>
  <c r="I121" i="159"/>
  <c r="D121" i="159"/>
  <c r="I122" i="159"/>
  <c r="D122" i="159"/>
  <c r="I123" i="159"/>
  <c r="D123" i="159"/>
  <c r="I124" i="159"/>
  <c r="D124" i="159"/>
  <c r="I125" i="159"/>
  <c r="D125" i="159"/>
  <c r="I126" i="159"/>
  <c r="D126" i="159"/>
  <c r="I127" i="159"/>
  <c r="D127" i="159"/>
  <c r="I128" i="159"/>
  <c r="D128" i="159"/>
  <c r="I129" i="159"/>
  <c r="D129" i="159"/>
  <c r="I130" i="159"/>
  <c r="D130" i="159"/>
  <c r="I131" i="159"/>
  <c r="D131" i="159"/>
  <c r="I132" i="159"/>
  <c r="D132" i="159"/>
  <c r="I133" i="159"/>
  <c r="D133" i="159"/>
  <c r="I134" i="159"/>
  <c r="D134" i="159"/>
  <c r="I135" i="159"/>
  <c r="D135" i="159"/>
  <c r="I136" i="159"/>
  <c r="D136" i="159"/>
  <c r="I137" i="159"/>
  <c r="D137" i="159"/>
  <c r="I138" i="159"/>
  <c r="D138" i="159"/>
  <c r="I139" i="159"/>
  <c r="D139" i="159"/>
  <c r="I140" i="159"/>
  <c r="D140" i="159"/>
  <c r="I141" i="159"/>
  <c r="D141" i="159"/>
  <c r="I142" i="159"/>
  <c r="D142" i="159"/>
  <c r="I143" i="159"/>
  <c r="D143" i="159"/>
  <c r="I144" i="159"/>
  <c r="D144" i="159"/>
  <c r="I145" i="159"/>
  <c r="D145" i="159"/>
  <c r="I146" i="159"/>
  <c r="D146" i="159"/>
  <c r="I147" i="159"/>
  <c r="D147" i="159"/>
  <c r="I148" i="159"/>
  <c r="D148" i="159"/>
  <c r="I149" i="159"/>
  <c r="D149" i="159"/>
  <c r="I150" i="159"/>
  <c r="D150" i="159"/>
  <c r="I151" i="159"/>
  <c r="D151" i="159"/>
  <c r="I152" i="159"/>
  <c r="D152" i="159"/>
  <c r="I153" i="159"/>
  <c r="D153" i="159"/>
  <c r="I154" i="159"/>
  <c r="D154" i="159"/>
  <c r="I155" i="159"/>
  <c r="D155" i="159"/>
  <c r="I156" i="159"/>
  <c r="D156" i="159"/>
  <c r="I158" i="159"/>
  <c r="D158" i="159"/>
  <c r="I361" i="158"/>
  <c r="D361" i="158"/>
  <c r="J361" i="158"/>
  <c r="E361" i="158"/>
  <c r="F361" i="158"/>
  <c r="C361" i="158"/>
  <c r="F5" i="157"/>
  <c r="F6" i="157"/>
  <c r="A36" i="157"/>
  <c r="G31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1" i="157"/>
  <c r="H31" i="157"/>
  <c r="R8" i="157"/>
  <c r="O361" i="158"/>
  <c r="E6" i="157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E23" i="157"/>
  <c r="B23" i="157"/>
  <c r="B22" i="157"/>
  <c r="E25" i="157"/>
  <c r="B25" i="157"/>
  <c r="E28" i="157"/>
  <c r="E29" i="157"/>
  <c r="B28" i="157"/>
  <c r="B29" i="157"/>
  <c r="C28" i="157"/>
  <c r="C27" i="157"/>
  <c r="B27" i="157"/>
  <c r="C30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C31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E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G23" i="157"/>
  <c r="H23" i="157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R3" i="157"/>
  <c r="O356" i="158"/>
  <c r="G30" i="157"/>
  <c r="E30" i="157"/>
  <c r="H30" i="157"/>
  <c r="R4" i="157"/>
  <c r="O357" i="158"/>
  <c r="R5" i="157"/>
  <c r="O358" i="158"/>
  <c r="R6" i="157"/>
  <c r="O359" i="158"/>
  <c r="R7" i="157"/>
  <c r="O360" i="158"/>
  <c r="P361" i="158"/>
  <c r="N361" i="158"/>
  <c r="M361" i="158"/>
  <c r="L361" i="158"/>
  <c r="K361" i="158"/>
  <c r="H361" i="158"/>
  <c r="A361" i="158"/>
  <c r="P159" i="159"/>
  <c r="N159" i="159"/>
  <c r="M159" i="159"/>
  <c r="L159" i="159"/>
  <c r="K159" i="159"/>
  <c r="J159" i="159"/>
  <c r="H159" i="159"/>
  <c r="F159" i="159"/>
  <c r="E159" i="159"/>
  <c r="C159" i="159"/>
  <c r="P158" i="159"/>
  <c r="N158" i="159"/>
  <c r="M158" i="159"/>
  <c r="L158" i="159"/>
  <c r="K158" i="159"/>
  <c r="J158" i="159"/>
  <c r="H158" i="159"/>
  <c r="F158" i="159"/>
  <c r="E158" i="159"/>
  <c r="C158" i="159"/>
  <c r="A159" i="159"/>
  <c r="A158" i="159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I357" i="158"/>
  <c r="D357" i="158"/>
  <c r="J357" i="158"/>
  <c r="E357" i="158"/>
  <c r="F357" i="158"/>
  <c r="C357" i="158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E5" i="157"/>
  <c r="P360" i="158"/>
  <c r="N360" i="158"/>
  <c r="M360" i="158"/>
  <c r="L360" i="158"/>
  <c r="K360" i="158"/>
  <c r="H360" i="158"/>
  <c r="A360" i="158"/>
  <c r="P157" i="159"/>
  <c r="P156" i="159"/>
  <c r="N157" i="159"/>
  <c r="M157" i="159"/>
  <c r="L157" i="159"/>
  <c r="K157" i="159"/>
  <c r="J157" i="159"/>
  <c r="H157" i="159"/>
  <c r="F157" i="159"/>
  <c r="E157" i="159"/>
  <c r="C157" i="159"/>
  <c r="N156" i="159"/>
  <c r="M156" i="159"/>
  <c r="L156" i="159"/>
  <c r="K156" i="159"/>
  <c r="J156" i="159"/>
  <c r="H156" i="159"/>
  <c r="F156" i="159"/>
  <c r="E156" i="159"/>
  <c r="C156" i="159"/>
  <c r="P155" i="159"/>
  <c r="N155" i="159"/>
  <c r="M155" i="159"/>
  <c r="L155" i="159"/>
  <c r="K155" i="159"/>
  <c r="J155" i="159"/>
  <c r="H155" i="159"/>
  <c r="F155" i="159"/>
  <c r="E155" i="159"/>
  <c r="C155" i="159"/>
  <c r="P154" i="159"/>
  <c r="N154" i="159"/>
  <c r="M154" i="159"/>
  <c r="L154" i="159"/>
  <c r="K154" i="159"/>
  <c r="J154" i="159"/>
  <c r="H154" i="159"/>
  <c r="F154" i="159"/>
  <c r="E154" i="159"/>
  <c r="C154" i="159"/>
  <c r="P153" i="159"/>
  <c r="N153" i="159"/>
  <c r="M153" i="159"/>
  <c r="L153" i="159"/>
  <c r="K153" i="159"/>
  <c r="J153" i="159"/>
  <c r="H153" i="159"/>
  <c r="F153" i="159"/>
  <c r="E153" i="159"/>
  <c r="C153" i="159"/>
  <c r="P152" i="159"/>
  <c r="N152" i="159"/>
  <c r="M152" i="159"/>
  <c r="L152" i="159"/>
  <c r="K152" i="159"/>
  <c r="J152" i="159"/>
  <c r="H152" i="159"/>
  <c r="F152" i="159"/>
  <c r="E152" i="159"/>
  <c r="C152" i="159"/>
  <c r="P151" i="159"/>
  <c r="N151" i="159"/>
  <c r="M151" i="159"/>
  <c r="L151" i="159"/>
  <c r="K151" i="159"/>
  <c r="J151" i="159"/>
  <c r="H151" i="159"/>
  <c r="F151" i="159"/>
  <c r="E151" i="159"/>
  <c r="C151" i="159"/>
  <c r="P150" i="159"/>
  <c r="N150" i="159"/>
  <c r="M150" i="159"/>
  <c r="L150" i="159"/>
  <c r="K150" i="159"/>
  <c r="J150" i="159"/>
  <c r="H150" i="159"/>
  <c r="F150" i="159"/>
  <c r="E150" i="159"/>
  <c r="C150" i="159"/>
  <c r="P149" i="159"/>
  <c r="N149" i="159"/>
  <c r="M149" i="159"/>
  <c r="L149" i="159"/>
  <c r="K149" i="159"/>
  <c r="J149" i="159"/>
  <c r="H149" i="159"/>
  <c r="F149" i="159"/>
  <c r="E149" i="159"/>
  <c r="C149" i="159"/>
  <c r="P148" i="159"/>
  <c r="N148" i="159"/>
  <c r="M148" i="159"/>
  <c r="L148" i="159"/>
  <c r="K148" i="159"/>
  <c r="J148" i="159"/>
  <c r="H148" i="159"/>
  <c r="F148" i="159"/>
  <c r="E148" i="159"/>
  <c r="C148" i="159"/>
  <c r="P147" i="159"/>
  <c r="N147" i="159"/>
  <c r="M147" i="159"/>
  <c r="L147" i="159"/>
  <c r="K147" i="159"/>
  <c r="J147" i="159"/>
  <c r="H147" i="159"/>
  <c r="F147" i="159"/>
  <c r="E147" i="159"/>
  <c r="C147" i="159"/>
  <c r="P146" i="159"/>
  <c r="N146" i="159"/>
  <c r="M146" i="159"/>
  <c r="L146" i="159"/>
  <c r="K146" i="159"/>
  <c r="J146" i="159"/>
  <c r="H146" i="159"/>
  <c r="F146" i="159"/>
  <c r="E146" i="159"/>
  <c r="C146" i="159"/>
  <c r="P145" i="159"/>
  <c r="N145" i="159"/>
  <c r="M145" i="159"/>
  <c r="L145" i="159"/>
  <c r="K145" i="159"/>
  <c r="J145" i="159"/>
  <c r="H145" i="159"/>
  <c r="F145" i="159"/>
  <c r="E145" i="159"/>
  <c r="C145" i="159"/>
  <c r="P144" i="159"/>
  <c r="N144" i="159"/>
  <c r="M144" i="159"/>
  <c r="L144" i="159"/>
  <c r="K144" i="159"/>
  <c r="J144" i="159"/>
  <c r="H144" i="159"/>
  <c r="F144" i="159"/>
  <c r="E144" i="159"/>
  <c r="C144" i="159"/>
  <c r="P143" i="159"/>
  <c r="N143" i="159"/>
  <c r="M143" i="159"/>
  <c r="L143" i="159"/>
  <c r="K143" i="159"/>
  <c r="J143" i="159"/>
  <c r="H143" i="159"/>
  <c r="F143" i="159"/>
  <c r="E143" i="159"/>
  <c r="C143" i="159"/>
  <c r="P142" i="159"/>
  <c r="N142" i="159"/>
  <c r="M142" i="159"/>
  <c r="L142" i="159"/>
  <c r="K142" i="159"/>
  <c r="J142" i="159"/>
  <c r="H142" i="159"/>
  <c r="F142" i="159"/>
  <c r="E142" i="159"/>
  <c r="C142" i="159"/>
  <c r="P141" i="159"/>
  <c r="N141" i="159"/>
  <c r="M141" i="159"/>
  <c r="L141" i="159"/>
  <c r="K141" i="159"/>
  <c r="J141" i="159"/>
  <c r="H141" i="159"/>
  <c r="F141" i="159"/>
  <c r="E141" i="159"/>
  <c r="C141" i="159"/>
  <c r="P140" i="159"/>
  <c r="N140" i="159"/>
  <c r="M140" i="159"/>
  <c r="L140" i="159"/>
  <c r="K140" i="159"/>
  <c r="J140" i="159"/>
  <c r="H140" i="159"/>
  <c r="F140" i="159"/>
  <c r="E140" i="159"/>
  <c r="C140" i="159"/>
  <c r="P139" i="159"/>
  <c r="N139" i="159"/>
  <c r="M139" i="159"/>
  <c r="L139" i="159"/>
  <c r="K139" i="159"/>
  <c r="J139" i="159"/>
  <c r="H139" i="159"/>
  <c r="F139" i="159"/>
  <c r="E139" i="159"/>
  <c r="C139" i="159"/>
  <c r="P138" i="159"/>
  <c r="N138" i="159"/>
  <c r="M138" i="159"/>
  <c r="L138" i="159"/>
  <c r="K138" i="159"/>
  <c r="J138" i="159"/>
  <c r="H138" i="159"/>
  <c r="F138" i="159"/>
  <c r="E138" i="159"/>
  <c r="C138" i="159"/>
  <c r="P137" i="159"/>
  <c r="N137" i="159"/>
  <c r="M137" i="159"/>
  <c r="L137" i="159"/>
  <c r="K137" i="159"/>
  <c r="J137" i="159"/>
  <c r="H137" i="159"/>
  <c r="F137" i="159"/>
  <c r="E137" i="159"/>
  <c r="C137" i="159"/>
  <c r="P136" i="159"/>
  <c r="N136" i="159"/>
  <c r="M136" i="159"/>
  <c r="L136" i="159"/>
  <c r="K136" i="159"/>
  <c r="J136" i="159"/>
  <c r="H136" i="159"/>
  <c r="F136" i="159"/>
  <c r="E136" i="159"/>
  <c r="C136" i="159"/>
  <c r="P135" i="159"/>
  <c r="N135" i="159"/>
  <c r="M135" i="159"/>
  <c r="L135" i="159"/>
  <c r="K135" i="159"/>
  <c r="J135" i="159"/>
  <c r="H135" i="159"/>
  <c r="F135" i="159"/>
  <c r="E135" i="159"/>
  <c r="C135" i="159"/>
  <c r="P134" i="159"/>
  <c r="N134" i="159"/>
  <c r="M134" i="159"/>
  <c r="L134" i="159"/>
  <c r="K134" i="159"/>
  <c r="J134" i="159"/>
  <c r="H134" i="159"/>
  <c r="F134" i="159"/>
  <c r="E134" i="159"/>
  <c r="C134" i="159"/>
  <c r="P133" i="159"/>
  <c r="N133" i="159"/>
  <c r="M133" i="159"/>
  <c r="L133" i="159"/>
  <c r="K133" i="159"/>
  <c r="J133" i="159"/>
  <c r="H133" i="159"/>
  <c r="F133" i="159"/>
  <c r="E133" i="159"/>
  <c r="C133" i="159"/>
  <c r="P132" i="159"/>
  <c r="N132" i="159"/>
  <c r="M132" i="159"/>
  <c r="L132" i="159"/>
  <c r="K132" i="159"/>
  <c r="J132" i="159"/>
  <c r="H132" i="159"/>
  <c r="F132" i="159"/>
  <c r="E132" i="159"/>
  <c r="C132" i="159"/>
  <c r="P131" i="159"/>
  <c r="N131" i="159"/>
  <c r="M131" i="159"/>
  <c r="L131" i="159"/>
  <c r="K131" i="159"/>
  <c r="J131" i="159"/>
  <c r="H131" i="159"/>
  <c r="F131" i="159"/>
  <c r="E131" i="159"/>
  <c r="C131" i="159"/>
  <c r="P130" i="159"/>
  <c r="N130" i="159"/>
  <c r="M130" i="159"/>
  <c r="L130" i="159"/>
  <c r="K130" i="159"/>
  <c r="J130" i="159"/>
  <c r="H130" i="159"/>
  <c r="F130" i="159"/>
  <c r="E130" i="159"/>
  <c r="C130" i="159"/>
  <c r="P129" i="159"/>
  <c r="N129" i="159"/>
  <c r="M129" i="159"/>
  <c r="L129" i="159"/>
  <c r="K129" i="159"/>
  <c r="J129" i="159"/>
  <c r="H129" i="159"/>
  <c r="F129" i="159"/>
  <c r="E129" i="159"/>
  <c r="C129" i="159"/>
  <c r="P128" i="159"/>
  <c r="N128" i="159"/>
  <c r="M128" i="159"/>
  <c r="L128" i="159"/>
  <c r="K128" i="159"/>
  <c r="J128" i="159"/>
  <c r="H128" i="159"/>
  <c r="F128" i="159"/>
  <c r="E128" i="159"/>
  <c r="C128" i="159"/>
  <c r="P127" i="159"/>
  <c r="N127" i="159"/>
  <c r="M127" i="159"/>
  <c r="L127" i="159"/>
  <c r="K127" i="159"/>
  <c r="J127" i="159"/>
  <c r="H127" i="159"/>
  <c r="F127" i="159"/>
  <c r="E127" i="159"/>
  <c r="C127" i="159"/>
  <c r="P126" i="159"/>
  <c r="N126" i="159"/>
  <c r="M126" i="159"/>
  <c r="L126" i="159"/>
  <c r="K126" i="159"/>
  <c r="J126" i="159"/>
  <c r="H126" i="159"/>
  <c r="F126" i="159"/>
  <c r="E126" i="159"/>
  <c r="C126" i="159"/>
  <c r="P125" i="159"/>
  <c r="N125" i="159"/>
  <c r="M125" i="159"/>
  <c r="L125" i="159"/>
  <c r="K125" i="159"/>
  <c r="J125" i="159"/>
  <c r="H125" i="159"/>
  <c r="F125" i="159"/>
  <c r="E125" i="159"/>
  <c r="C125" i="159"/>
  <c r="P124" i="159"/>
  <c r="N124" i="159"/>
  <c r="M124" i="159"/>
  <c r="L124" i="159"/>
  <c r="K124" i="159"/>
  <c r="J124" i="159"/>
  <c r="H124" i="159"/>
  <c r="F124" i="159"/>
  <c r="E124" i="159"/>
  <c r="C124" i="159"/>
  <c r="P123" i="159"/>
  <c r="N123" i="159"/>
  <c r="M123" i="159"/>
  <c r="L123" i="159"/>
  <c r="K123" i="159"/>
  <c r="J123" i="159"/>
  <c r="H123" i="159"/>
  <c r="F123" i="159"/>
  <c r="E123" i="159"/>
  <c r="C123" i="159"/>
  <c r="P122" i="159"/>
  <c r="N122" i="159"/>
  <c r="M122" i="159"/>
  <c r="L122" i="159"/>
  <c r="K122" i="159"/>
  <c r="J122" i="159"/>
  <c r="H122" i="159"/>
  <c r="F122" i="159"/>
  <c r="E122" i="159"/>
  <c r="C122" i="159"/>
  <c r="P121" i="159"/>
  <c r="N121" i="159"/>
  <c r="M121" i="159"/>
  <c r="L121" i="159"/>
  <c r="K121" i="159"/>
  <c r="J121" i="159"/>
  <c r="H121" i="159"/>
  <c r="F121" i="159"/>
  <c r="E121" i="159"/>
  <c r="C121" i="159"/>
  <c r="P120" i="159"/>
  <c r="N120" i="159"/>
  <c r="M120" i="159"/>
  <c r="L120" i="159"/>
  <c r="K120" i="159"/>
  <c r="J120" i="159"/>
  <c r="H120" i="159"/>
  <c r="F120" i="159"/>
  <c r="E120" i="159"/>
  <c r="C120" i="159"/>
  <c r="P119" i="159"/>
  <c r="N119" i="159"/>
  <c r="M119" i="159"/>
  <c r="L119" i="159"/>
  <c r="K119" i="159"/>
  <c r="J119" i="159"/>
  <c r="H119" i="159"/>
  <c r="F119" i="159"/>
  <c r="E119" i="159"/>
  <c r="C119" i="159"/>
  <c r="P118" i="159"/>
  <c r="N118" i="159"/>
  <c r="M118" i="159"/>
  <c r="L118" i="159"/>
  <c r="K118" i="159"/>
  <c r="J118" i="159"/>
  <c r="H118" i="159"/>
  <c r="F118" i="159"/>
  <c r="E118" i="159"/>
  <c r="C118" i="159"/>
  <c r="P117" i="159"/>
  <c r="N117" i="159"/>
  <c r="M117" i="159"/>
  <c r="L117" i="159"/>
  <c r="K117" i="159"/>
  <c r="J117" i="159"/>
  <c r="H117" i="159"/>
  <c r="F117" i="159"/>
  <c r="E117" i="159"/>
  <c r="C117" i="159"/>
  <c r="P116" i="159"/>
  <c r="N116" i="159"/>
  <c r="M116" i="159"/>
  <c r="L116" i="159"/>
  <c r="K116" i="159"/>
  <c r="J116" i="159"/>
  <c r="H116" i="159"/>
  <c r="F116" i="159"/>
  <c r="E116" i="159"/>
  <c r="C116" i="159"/>
  <c r="P115" i="159"/>
  <c r="N115" i="159"/>
  <c r="M115" i="159"/>
  <c r="L115" i="159"/>
  <c r="K115" i="159"/>
  <c r="J115" i="159"/>
  <c r="H115" i="159"/>
  <c r="F115" i="159"/>
  <c r="E115" i="159"/>
  <c r="C115" i="159"/>
  <c r="P114" i="159"/>
  <c r="N114" i="159"/>
  <c r="M114" i="159"/>
  <c r="L114" i="159"/>
  <c r="K114" i="159"/>
  <c r="J114" i="159"/>
  <c r="H114" i="159"/>
  <c r="F114" i="159"/>
  <c r="E114" i="159"/>
  <c r="C114" i="159"/>
  <c r="P113" i="159"/>
  <c r="N113" i="159"/>
  <c r="M113" i="159"/>
  <c r="L113" i="159"/>
  <c r="K113" i="159"/>
  <c r="J113" i="159"/>
  <c r="H113" i="159"/>
  <c r="F113" i="159"/>
  <c r="E113" i="159"/>
  <c r="C113" i="159"/>
  <c r="P112" i="159"/>
  <c r="N112" i="159"/>
  <c r="M112" i="159"/>
  <c r="L112" i="159"/>
  <c r="K112" i="159"/>
  <c r="J112" i="159"/>
  <c r="H112" i="159"/>
  <c r="F112" i="159"/>
  <c r="E112" i="159"/>
  <c r="C112" i="159"/>
  <c r="P111" i="159"/>
  <c r="N111" i="159"/>
  <c r="M111" i="159"/>
  <c r="L111" i="159"/>
  <c r="K111" i="159"/>
  <c r="J111" i="159"/>
  <c r="H111" i="159"/>
  <c r="F111" i="159"/>
  <c r="E111" i="159"/>
  <c r="C111" i="159"/>
  <c r="P110" i="159"/>
  <c r="N110" i="159"/>
  <c r="M110" i="159"/>
  <c r="L110" i="159"/>
  <c r="K110" i="159"/>
  <c r="J110" i="159"/>
  <c r="H110" i="159"/>
  <c r="F110" i="159"/>
  <c r="E110" i="159"/>
  <c r="C110" i="159"/>
  <c r="P109" i="159"/>
  <c r="N109" i="159"/>
  <c r="M109" i="159"/>
  <c r="L109" i="159"/>
  <c r="K109" i="159"/>
  <c r="J109" i="159"/>
  <c r="H109" i="159"/>
  <c r="F109" i="159"/>
  <c r="E109" i="159"/>
  <c r="C109" i="159"/>
  <c r="P108" i="159"/>
  <c r="N108" i="159"/>
  <c r="M108" i="159"/>
  <c r="L108" i="159"/>
  <c r="K108" i="159"/>
  <c r="J108" i="159"/>
  <c r="H108" i="159"/>
  <c r="F108" i="159"/>
  <c r="E108" i="159"/>
  <c r="C108" i="159"/>
  <c r="P107" i="159"/>
  <c r="N107" i="159"/>
  <c r="M107" i="159"/>
  <c r="L107" i="159"/>
  <c r="K107" i="159"/>
  <c r="J107" i="159"/>
  <c r="H107" i="159"/>
  <c r="F107" i="159"/>
  <c r="E107" i="159"/>
  <c r="C107" i="159"/>
  <c r="P106" i="159"/>
  <c r="N106" i="159"/>
  <c r="M106" i="159"/>
  <c r="L106" i="159"/>
  <c r="K106" i="159"/>
  <c r="J106" i="159"/>
  <c r="H106" i="159"/>
  <c r="F106" i="159"/>
  <c r="E106" i="159"/>
  <c r="C106" i="159"/>
  <c r="P105" i="159"/>
  <c r="N105" i="159"/>
  <c r="M105" i="159"/>
  <c r="L105" i="159"/>
  <c r="K105" i="159"/>
  <c r="J105" i="159"/>
  <c r="H105" i="159"/>
  <c r="F105" i="159"/>
  <c r="E105" i="159"/>
  <c r="C105" i="159"/>
  <c r="P104" i="159"/>
  <c r="N104" i="159"/>
  <c r="M104" i="159"/>
  <c r="L104" i="159"/>
  <c r="K104" i="159"/>
  <c r="J104" i="159"/>
  <c r="H104" i="159"/>
  <c r="F104" i="159"/>
  <c r="E104" i="159"/>
  <c r="C104" i="159"/>
  <c r="P103" i="159"/>
  <c r="N103" i="159"/>
  <c r="M103" i="159"/>
  <c r="L103" i="159"/>
  <c r="K103" i="159"/>
  <c r="J103" i="159"/>
  <c r="H103" i="159"/>
  <c r="F103" i="159"/>
  <c r="E103" i="159"/>
  <c r="C103" i="159"/>
  <c r="P102" i="159"/>
  <c r="N102" i="159"/>
  <c r="M102" i="159"/>
  <c r="L102" i="159"/>
  <c r="K102" i="159"/>
  <c r="J102" i="159"/>
  <c r="H102" i="159"/>
  <c r="F102" i="159"/>
  <c r="E102" i="159"/>
  <c r="C102" i="159"/>
  <c r="P101" i="159"/>
  <c r="N101" i="159"/>
  <c r="M101" i="159"/>
  <c r="L101" i="159"/>
  <c r="K101" i="159"/>
  <c r="J101" i="159"/>
  <c r="H101" i="159"/>
  <c r="F101" i="159"/>
  <c r="E101" i="159"/>
  <c r="C101" i="159"/>
  <c r="P100" i="159"/>
  <c r="N100" i="159"/>
  <c r="M100" i="159"/>
  <c r="L100" i="159"/>
  <c r="K100" i="159"/>
  <c r="J100" i="159"/>
  <c r="H100" i="159"/>
  <c r="F100" i="159"/>
  <c r="E100" i="159"/>
  <c r="C100" i="159"/>
  <c r="P99" i="159"/>
  <c r="N99" i="159"/>
  <c r="M99" i="159"/>
  <c r="L99" i="159"/>
  <c r="K99" i="159"/>
  <c r="J99" i="159"/>
  <c r="H99" i="159"/>
  <c r="F99" i="159"/>
  <c r="E99" i="159"/>
  <c r="C99" i="159"/>
  <c r="P98" i="159"/>
  <c r="N98" i="159"/>
  <c r="M98" i="159"/>
  <c r="L98" i="159"/>
  <c r="K98" i="159"/>
  <c r="J98" i="159"/>
  <c r="H98" i="159"/>
  <c r="F98" i="159"/>
  <c r="E98" i="159"/>
  <c r="C98" i="159"/>
  <c r="P97" i="159"/>
  <c r="N97" i="159"/>
  <c r="M97" i="159"/>
  <c r="L97" i="159"/>
  <c r="K97" i="159"/>
  <c r="J97" i="159"/>
  <c r="H97" i="159"/>
  <c r="F97" i="159"/>
  <c r="E97" i="159"/>
  <c r="C97" i="159"/>
  <c r="P96" i="159"/>
  <c r="N96" i="159"/>
  <c r="M96" i="159"/>
  <c r="L96" i="159"/>
  <c r="K96" i="159"/>
  <c r="J96" i="159"/>
  <c r="H96" i="159"/>
  <c r="F96" i="159"/>
  <c r="E96" i="159"/>
  <c r="C96" i="159"/>
  <c r="P95" i="159"/>
  <c r="N95" i="159"/>
  <c r="M95" i="159"/>
  <c r="L95" i="159"/>
  <c r="K95" i="159"/>
  <c r="J95" i="159"/>
  <c r="H95" i="159"/>
  <c r="F95" i="159"/>
  <c r="E95" i="159"/>
  <c r="C95" i="159"/>
  <c r="P94" i="159"/>
  <c r="N94" i="159"/>
  <c r="M94" i="159"/>
  <c r="L94" i="159"/>
  <c r="K94" i="159"/>
  <c r="J94" i="159"/>
  <c r="H94" i="159"/>
  <c r="F94" i="159"/>
  <c r="E94" i="159"/>
  <c r="C94" i="159"/>
  <c r="P93" i="159"/>
  <c r="N93" i="159"/>
  <c r="M93" i="159"/>
  <c r="L93" i="159"/>
  <c r="K93" i="159"/>
  <c r="J93" i="159"/>
  <c r="H93" i="159"/>
  <c r="F93" i="159"/>
  <c r="E93" i="159"/>
  <c r="C93" i="159"/>
  <c r="P92" i="159"/>
  <c r="N92" i="159"/>
  <c r="M92" i="159"/>
  <c r="L92" i="159"/>
  <c r="K92" i="159"/>
  <c r="J92" i="159"/>
  <c r="H92" i="159"/>
  <c r="F92" i="159"/>
  <c r="E92" i="159"/>
  <c r="C92" i="159"/>
  <c r="P91" i="159"/>
  <c r="N91" i="159"/>
  <c r="M91" i="159"/>
  <c r="L91" i="159"/>
  <c r="K91" i="159"/>
  <c r="J91" i="159"/>
  <c r="H91" i="159"/>
  <c r="F91" i="159"/>
  <c r="E91" i="159"/>
  <c r="C91" i="159"/>
  <c r="P90" i="159"/>
  <c r="N90" i="159"/>
  <c r="M90" i="159"/>
  <c r="L90" i="159"/>
  <c r="K90" i="159"/>
  <c r="J90" i="159"/>
  <c r="H90" i="159"/>
  <c r="F90" i="159"/>
  <c r="E90" i="159"/>
  <c r="C90" i="159"/>
  <c r="P89" i="159"/>
  <c r="N89" i="159"/>
  <c r="M89" i="159"/>
  <c r="L89" i="159"/>
  <c r="K89" i="159"/>
  <c r="J89" i="159"/>
  <c r="H89" i="159"/>
  <c r="F89" i="159"/>
  <c r="E89" i="159"/>
  <c r="C89" i="159"/>
  <c r="P88" i="159"/>
  <c r="N88" i="159"/>
  <c r="M88" i="159"/>
  <c r="L88" i="159"/>
  <c r="K88" i="159"/>
  <c r="J88" i="159"/>
  <c r="H88" i="159"/>
  <c r="F88" i="159"/>
  <c r="E88" i="159"/>
  <c r="C88" i="159"/>
  <c r="P87" i="159"/>
  <c r="N87" i="159"/>
  <c r="M87" i="159"/>
  <c r="L87" i="159"/>
  <c r="K87" i="159"/>
  <c r="J87" i="159"/>
  <c r="H87" i="159"/>
  <c r="F87" i="159"/>
  <c r="E87" i="159"/>
  <c r="C87" i="159"/>
  <c r="P86" i="159"/>
  <c r="N86" i="159"/>
  <c r="M86" i="159"/>
  <c r="L86" i="159"/>
  <c r="K86" i="159"/>
  <c r="J86" i="159"/>
  <c r="H86" i="159"/>
  <c r="F86" i="159"/>
  <c r="E86" i="159"/>
  <c r="C86" i="159"/>
  <c r="P85" i="159"/>
  <c r="N85" i="159"/>
  <c r="M85" i="159"/>
  <c r="L85" i="159"/>
  <c r="K85" i="159"/>
  <c r="J85" i="159"/>
  <c r="H85" i="159"/>
  <c r="F85" i="159"/>
  <c r="E85" i="159"/>
  <c r="C85" i="159"/>
  <c r="P84" i="159"/>
  <c r="N84" i="159"/>
  <c r="M84" i="159"/>
  <c r="L84" i="159"/>
  <c r="K84" i="159"/>
  <c r="J84" i="159"/>
  <c r="H84" i="159"/>
  <c r="F84" i="159"/>
  <c r="E84" i="159"/>
  <c r="C84" i="159"/>
  <c r="P83" i="159"/>
  <c r="N83" i="159"/>
  <c r="M83" i="159"/>
  <c r="L83" i="159"/>
  <c r="K83" i="159"/>
  <c r="J83" i="159"/>
  <c r="H83" i="159"/>
  <c r="F83" i="159"/>
  <c r="E83" i="159"/>
  <c r="C83" i="159"/>
  <c r="P82" i="159"/>
  <c r="N82" i="159"/>
  <c r="M82" i="159"/>
  <c r="L82" i="159"/>
  <c r="K82" i="159"/>
  <c r="J82" i="159"/>
  <c r="H82" i="159"/>
  <c r="F82" i="159"/>
  <c r="E82" i="159"/>
  <c r="C82" i="159"/>
  <c r="P81" i="159"/>
  <c r="N81" i="159"/>
  <c r="M81" i="159"/>
  <c r="L81" i="159"/>
  <c r="K81" i="159"/>
  <c r="J81" i="159"/>
  <c r="H81" i="159"/>
  <c r="F81" i="159"/>
  <c r="E81" i="159"/>
  <c r="C81" i="159"/>
  <c r="P80" i="159"/>
  <c r="N80" i="159"/>
  <c r="M80" i="159"/>
  <c r="L80" i="159"/>
  <c r="K80" i="159"/>
  <c r="J80" i="159"/>
  <c r="H80" i="159"/>
  <c r="F80" i="159"/>
  <c r="E80" i="159"/>
  <c r="C80" i="159"/>
  <c r="P79" i="159"/>
  <c r="N79" i="159"/>
  <c r="M79" i="159"/>
  <c r="L79" i="159"/>
  <c r="K79" i="159"/>
  <c r="J79" i="159"/>
  <c r="H79" i="159"/>
  <c r="F79" i="159"/>
  <c r="E79" i="159"/>
  <c r="C79" i="159"/>
  <c r="P78" i="159"/>
  <c r="N78" i="159"/>
  <c r="M78" i="159"/>
  <c r="L78" i="159"/>
  <c r="K78" i="159"/>
  <c r="J78" i="159"/>
  <c r="H78" i="159"/>
  <c r="F78" i="159"/>
  <c r="E78" i="159"/>
  <c r="C78" i="159"/>
  <c r="P77" i="159"/>
  <c r="N77" i="159"/>
  <c r="M77" i="159"/>
  <c r="L77" i="159"/>
  <c r="K77" i="159"/>
  <c r="J77" i="159"/>
  <c r="H77" i="159"/>
  <c r="F77" i="159"/>
  <c r="E77" i="159"/>
  <c r="C77" i="159"/>
  <c r="P76" i="159"/>
  <c r="N76" i="159"/>
  <c r="M76" i="159"/>
  <c r="L76" i="159"/>
  <c r="K76" i="159"/>
  <c r="J76" i="159"/>
  <c r="H76" i="159"/>
  <c r="F76" i="159"/>
  <c r="E76" i="159"/>
  <c r="C76" i="159"/>
  <c r="P75" i="159"/>
  <c r="N75" i="159"/>
  <c r="M75" i="159"/>
  <c r="L75" i="159"/>
  <c r="K75" i="159"/>
  <c r="J75" i="159"/>
  <c r="H75" i="159"/>
  <c r="F75" i="159"/>
  <c r="E75" i="159"/>
  <c r="C75" i="159"/>
  <c r="P74" i="159"/>
  <c r="N74" i="159"/>
  <c r="M74" i="159"/>
  <c r="L74" i="159"/>
  <c r="K74" i="159"/>
  <c r="J74" i="159"/>
  <c r="H74" i="159"/>
  <c r="F74" i="159"/>
  <c r="E74" i="159"/>
  <c r="C74" i="159"/>
  <c r="P73" i="159"/>
  <c r="N73" i="159"/>
  <c r="M73" i="159"/>
  <c r="L73" i="159"/>
  <c r="K73" i="159"/>
  <c r="J73" i="159"/>
  <c r="H73" i="159"/>
  <c r="F73" i="159"/>
  <c r="E73" i="159"/>
  <c r="C73" i="159"/>
  <c r="P72" i="159"/>
  <c r="N72" i="159"/>
  <c r="M72" i="159"/>
  <c r="L72" i="159"/>
  <c r="K72" i="159"/>
  <c r="J72" i="159"/>
  <c r="H72" i="159"/>
  <c r="F72" i="159"/>
  <c r="E72" i="159"/>
  <c r="C72" i="159"/>
  <c r="P71" i="159"/>
  <c r="N71" i="159"/>
  <c r="M71" i="159"/>
  <c r="L71" i="159"/>
  <c r="K71" i="159"/>
  <c r="H71" i="159"/>
  <c r="F71" i="159"/>
  <c r="E71" i="159"/>
  <c r="C71" i="159"/>
  <c r="P70" i="159"/>
  <c r="N70" i="159"/>
  <c r="M70" i="159"/>
  <c r="L70" i="159"/>
  <c r="K70" i="159"/>
  <c r="H70" i="159"/>
  <c r="F70" i="159"/>
  <c r="E70" i="159"/>
  <c r="C70" i="159"/>
  <c r="P69" i="159"/>
  <c r="N69" i="159"/>
  <c r="M69" i="159"/>
  <c r="L69" i="159"/>
  <c r="K69" i="159"/>
  <c r="H69" i="159"/>
  <c r="F69" i="159"/>
  <c r="E69" i="159"/>
  <c r="C69" i="159"/>
  <c r="P68" i="159"/>
  <c r="N68" i="159"/>
  <c r="M68" i="159"/>
  <c r="L68" i="159"/>
  <c r="K68" i="159"/>
  <c r="H68" i="159"/>
  <c r="F68" i="159"/>
  <c r="E68" i="159"/>
  <c r="C68" i="159"/>
  <c r="P67" i="159"/>
  <c r="N67" i="159"/>
  <c r="M67" i="159"/>
  <c r="L67" i="159"/>
  <c r="K67" i="159"/>
  <c r="H67" i="159"/>
  <c r="F67" i="159"/>
  <c r="E67" i="159"/>
  <c r="C67" i="159"/>
  <c r="P66" i="159"/>
  <c r="N66" i="159"/>
  <c r="M66" i="159"/>
  <c r="L66" i="159"/>
  <c r="K66" i="159"/>
  <c r="H66" i="159"/>
  <c r="F66" i="159"/>
  <c r="E66" i="159"/>
  <c r="C66" i="159"/>
  <c r="P65" i="159"/>
  <c r="N65" i="159"/>
  <c r="M65" i="159"/>
  <c r="L65" i="159"/>
  <c r="K65" i="159"/>
  <c r="J65" i="159"/>
  <c r="H65" i="159"/>
  <c r="F65" i="159"/>
  <c r="E65" i="159"/>
  <c r="C65" i="159"/>
  <c r="P64" i="159"/>
  <c r="N64" i="159"/>
  <c r="M64" i="159"/>
  <c r="L64" i="159"/>
  <c r="K64" i="159"/>
  <c r="J64" i="159"/>
  <c r="H64" i="159"/>
  <c r="F64" i="159"/>
  <c r="E64" i="159"/>
  <c r="C64" i="159"/>
  <c r="P63" i="159"/>
  <c r="N63" i="159"/>
  <c r="M63" i="159"/>
  <c r="L63" i="159"/>
  <c r="K63" i="159"/>
  <c r="J63" i="159"/>
  <c r="H63" i="159"/>
  <c r="F63" i="159"/>
  <c r="E63" i="159"/>
  <c r="C63" i="159"/>
  <c r="P62" i="159"/>
  <c r="N62" i="159"/>
  <c r="M62" i="159"/>
  <c r="L62" i="159"/>
  <c r="K62" i="159"/>
  <c r="J62" i="159"/>
  <c r="H62" i="159"/>
  <c r="F62" i="159"/>
  <c r="E62" i="159"/>
  <c r="C62" i="159"/>
  <c r="P61" i="159"/>
  <c r="N61" i="159"/>
  <c r="M61" i="159"/>
  <c r="L61" i="159"/>
  <c r="K61" i="159"/>
  <c r="J61" i="159"/>
  <c r="H61" i="159"/>
  <c r="F61" i="159"/>
  <c r="E61" i="159"/>
  <c r="C61" i="159"/>
  <c r="P60" i="159"/>
  <c r="N60" i="159"/>
  <c r="M60" i="159"/>
  <c r="L60" i="159"/>
  <c r="K60" i="159"/>
  <c r="J60" i="159"/>
  <c r="H60" i="159"/>
  <c r="F60" i="159"/>
  <c r="E60" i="159"/>
  <c r="C60" i="159"/>
  <c r="P59" i="159"/>
  <c r="N59" i="159"/>
  <c r="M59" i="159"/>
  <c r="L59" i="159"/>
  <c r="K59" i="159"/>
  <c r="J59" i="159"/>
  <c r="H59" i="159"/>
  <c r="F59" i="159"/>
  <c r="E59" i="159"/>
  <c r="C59" i="159"/>
  <c r="P58" i="159"/>
  <c r="N58" i="159"/>
  <c r="M58" i="159"/>
  <c r="L58" i="159"/>
  <c r="K58" i="159"/>
  <c r="J58" i="159"/>
  <c r="H58" i="159"/>
  <c r="F58" i="159"/>
  <c r="E58" i="159"/>
  <c r="C58" i="159"/>
  <c r="P57" i="159"/>
  <c r="N57" i="159"/>
  <c r="M57" i="159"/>
  <c r="L57" i="159"/>
  <c r="K57" i="159"/>
  <c r="J57" i="159"/>
  <c r="H57" i="159"/>
  <c r="F57" i="159"/>
  <c r="E57" i="159"/>
  <c r="C57" i="159"/>
  <c r="P56" i="159"/>
  <c r="N56" i="159"/>
  <c r="M56" i="159"/>
  <c r="L56" i="159"/>
  <c r="K56" i="159"/>
  <c r="J56" i="159"/>
  <c r="H56" i="159"/>
  <c r="F56" i="159"/>
  <c r="E56" i="159"/>
  <c r="C56" i="159"/>
  <c r="P55" i="159"/>
  <c r="N55" i="159"/>
  <c r="M55" i="159"/>
  <c r="L55" i="159"/>
  <c r="K55" i="159"/>
  <c r="J55" i="159"/>
  <c r="H55" i="159"/>
  <c r="F55" i="159"/>
  <c r="E55" i="159"/>
  <c r="C55" i="159"/>
  <c r="P54" i="159"/>
  <c r="N54" i="159"/>
  <c r="M54" i="159"/>
  <c r="L54" i="159"/>
  <c r="K54" i="159"/>
  <c r="J54" i="159"/>
  <c r="H54" i="159"/>
  <c r="F54" i="159"/>
  <c r="E54" i="159"/>
  <c r="C54" i="159"/>
  <c r="P53" i="159"/>
  <c r="N53" i="159"/>
  <c r="M53" i="159"/>
  <c r="L53" i="159"/>
  <c r="K53" i="159"/>
  <c r="J53" i="159"/>
  <c r="H53" i="159"/>
  <c r="F53" i="159"/>
  <c r="E53" i="159"/>
  <c r="C53" i="159"/>
  <c r="P52" i="159"/>
  <c r="N52" i="159"/>
  <c r="M52" i="159"/>
  <c r="L52" i="159"/>
  <c r="K52" i="159"/>
  <c r="J52" i="159"/>
  <c r="H52" i="159"/>
  <c r="F52" i="159"/>
  <c r="E52" i="159"/>
  <c r="C52" i="159"/>
  <c r="P51" i="159"/>
  <c r="N51" i="159"/>
  <c r="M51" i="159"/>
  <c r="L51" i="159"/>
  <c r="K51" i="159"/>
  <c r="J51" i="159"/>
  <c r="H51" i="159"/>
  <c r="F51" i="159"/>
  <c r="E51" i="159"/>
  <c r="C51" i="159"/>
  <c r="P50" i="159"/>
  <c r="N50" i="159"/>
  <c r="M50" i="159"/>
  <c r="L50" i="159"/>
  <c r="K50" i="159"/>
  <c r="J50" i="159"/>
  <c r="H50" i="159"/>
  <c r="F50" i="159"/>
  <c r="E50" i="159"/>
  <c r="C50" i="159"/>
  <c r="P49" i="159"/>
  <c r="N49" i="159"/>
  <c r="M49" i="159"/>
  <c r="L49" i="159"/>
  <c r="K49" i="159"/>
  <c r="J49" i="159"/>
  <c r="H49" i="159"/>
  <c r="F49" i="159"/>
  <c r="E49" i="159"/>
  <c r="C49" i="159"/>
  <c r="P48" i="159"/>
  <c r="N48" i="159"/>
  <c r="M48" i="159"/>
  <c r="L48" i="159"/>
  <c r="K48" i="159"/>
  <c r="J48" i="159"/>
  <c r="H48" i="159"/>
  <c r="F48" i="159"/>
  <c r="E48" i="159"/>
  <c r="C48" i="159"/>
  <c r="P47" i="159"/>
  <c r="N47" i="159"/>
  <c r="M47" i="159"/>
  <c r="L47" i="159"/>
  <c r="K47" i="159"/>
  <c r="J47" i="159"/>
  <c r="H47" i="159"/>
  <c r="F47" i="159"/>
  <c r="E47" i="159"/>
  <c r="C47" i="159"/>
  <c r="P46" i="159"/>
  <c r="N46" i="159"/>
  <c r="M46" i="159"/>
  <c r="L46" i="159"/>
  <c r="K46" i="159"/>
  <c r="J46" i="159"/>
  <c r="H46" i="159"/>
  <c r="F46" i="159"/>
  <c r="E46" i="159"/>
  <c r="C46" i="159"/>
  <c r="P45" i="159"/>
  <c r="N45" i="159"/>
  <c r="M45" i="159"/>
  <c r="L45" i="159"/>
  <c r="K45" i="159"/>
  <c r="J45" i="159"/>
  <c r="H45" i="159"/>
  <c r="F45" i="159"/>
  <c r="E45" i="159"/>
  <c r="C45" i="159"/>
  <c r="P44" i="159"/>
  <c r="N44" i="159"/>
  <c r="M44" i="159"/>
  <c r="L44" i="159"/>
  <c r="K44" i="159"/>
  <c r="J44" i="159"/>
  <c r="H44" i="159"/>
  <c r="F44" i="159"/>
  <c r="E44" i="159"/>
  <c r="C44" i="159"/>
  <c r="A157" i="159"/>
  <c r="A156" i="159"/>
  <c r="A155" i="159"/>
  <c r="A154" i="159"/>
  <c r="A153" i="159"/>
  <c r="A152" i="159"/>
  <c r="A151" i="159"/>
  <c r="A150" i="159"/>
  <c r="A149" i="159"/>
  <c r="A148" i="159"/>
  <c r="A147" i="159"/>
  <c r="A146" i="159"/>
  <c r="A145" i="159"/>
  <c r="A144" i="159"/>
  <c r="A143" i="159"/>
  <c r="A142" i="159"/>
  <c r="A141" i="159"/>
  <c r="A140" i="159"/>
  <c r="A139" i="159"/>
  <c r="A138" i="159"/>
  <c r="A137" i="159"/>
  <c r="A136" i="159"/>
  <c r="A135" i="159"/>
  <c r="A134" i="159"/>
  <c r="A133" i="159"/>
  <c r="A132" i="159"/>
  <c r="A131" i="159"/>
  <c r="A130" i="159"/>
  <c r="A129" i="159"/>
  <c r="A128" i="159"/>
  <c r="A127" i="159"/>
  <c r="A126" i="159"/>
  <c r="A125" i="159"/>
  <c r="A124" i="159"/>
  <c r="A123" i="159"/>
  <c r="A122" i="159"/>
  <c r="A121" i="159"/>
  <c r="A120" i="159"/>
  <c r="A119" i="159"/>
  <c r="A118" i="159"/>
  <c r="A117" i="159"/>
  <c r="A116" i="159"/>
  <c r="A115" i="159"/>
  <c r="A114" i="159"/>
  <c r="A113" i="159"/>
  <c r="A112" i="159"/>
  <c r="A111" i="159"/>
  <c r="A110" i="159"/>
  <c r="A109" i="159"/>
  <c r="A108" i="159"/>
  <c r="A107" i="159"/>
  <c r="A106" i="159"/>
  <c r="A105" i="159"/>
  <c r="A104" i="159"/>
  <c r="A103" i="159"/>
  <c r="A102" i="159"/>
  <c r="A101" i="159"/>
  <c r="A100" i="159"/>
  <c r="A99" i="159"/>
  <c r="A98" i="159"/>
  <c r="A97" i="159"/>
  <c r="A96" i="159"/>
  <c r="A95" i="159"/>
  <c r="A94" i="159"/>
  <c r="A93" i="159"/>
  <c r="A92" i="159"/>
  <c r="A91" i="159"/>
  <c r="A90" i="159"/>
  <c r="A89" i="159"/>
  <c r="A88" i="159"/>
  <c r="A87" i="159"/>
  <c r="A86" i="159"/>
  <c r="A85" i="159"/>
  <c r="A84" i="159"/>
  <c r="A83" i="159"/>
  <c r="A82" i="159"/>
  <c r="A81" i="159"/>
  <c r="A80" i="159"/>
  <c r="A79" i="159"/>
  <c r="A78" i="159"/>
  <c r="A77" i="159"/>
  <c r="A76" i="159"/>
  <c r="A75" i="159"/>
  <c r="A74" i="159"/>
  <c r="A73" i="159"/>
  <c r="A72" i="159"/>
  <c r="A71" i="159"/>
  <c r="A70" i="159"/>
  <c r="A69" i="159"/>
  <c r="A68" i="159"/>
  <c r="A67" i="159"/>
  <c r="A66" i="159"/>
  <c r="A65" i="159"/>
  <c r="A64" i="159"/>
  <c r="A63" i="159"/>
  <c r="A62" i="159"/>
  <c r="A61" i="159"/>
  <c r="A60" i="159"/>
  <c r="A59" i="159"/>
  <c r="A58" i="159"/>
  <c r="A57" i="159"/>
  <c r="A56" i="159"/>
  <c r="A55" i="159"/>
  <c r="A54" i="159"/>
  <c r="A53" i="159"/>
  <c r="A52" i="159"/>
  <c r="A51" i="159"/>
  <c r="A50" i="159"/>
  <c r="A49" i="159"/>
  <c r="A48" i="159"/>
  <c r="A47" i="159"/>
  <c r="A46" i="159"/>
  <c r="A45" i="159"/>
  <c r="A44" i="159"/>
  <c r="A43" i="159"/>
  <c r="A42" i="159"/>
  <c r="A41" i="159"/>
  <c r="A40" i="159"/>
  <c r="A39" i="159"/>
  <c r="A38" i="159"/>
  <c r="A37" i="159"/>
  <c r="A36" i="159"/>
  <c r="A35" i="159"/>
  <c r="A34" i="159"/>
  <c r="A33" i="159"/>
  <c r="A32" i="159"/>
  <c r="A31" i="159"/>
  <c r="A30" i="159"/>
  <c r="A29" i="159"/>
  <c r="A28" i="159"/>
  <c r="A27" i="159"/>
  <c r="A26" i="159"/>
  <c r="A25" i="159"/>
  <c r="A24" i="159"/>
  <c r="A23" i="159"/>
  <c r="A22" i="159"/>
  <c r="A21" i="159"/>
  <c r="A20" i="159"/>
  <c r="A19" i="159"/>
  <c r="A18" i="159"/>
  <c r="A17" i="159"/>
  <c r="A16" i="159"/>
  <c r="A15" i="159"/>
  <c r="A14" i="159"/>
  <c r="A13" i="159"/>
  <c r="A12" i="159"/>
  <c r="A11" i="159"/>
  <c r="A10" i="159"/>
  <c r="A9" i="159"/>
  <c r="A8" i="159"/>
  <c r="A7" i="159"/>
  <c r="A6" i="159"/>
  <c r="A5" i="159"/>
  <c r="A4" i="159"/>
  <c r="A3" i="159"/>
  <c r="A2" i="159"/>
  <c r="B46" i="157"/>
  <c r="B10" i="157"/>
  <c r="P359" i="158"/>
  <c r="N359" i="158"/>
  <c r="M359" i="158"/>
  <c r="L359" i="158"/>
  <c r="K359" i="158"/>
  <c r="H359" i="158"/>
  <c r="P358" i="158"/>
  <c r="N358" i="158"/>
  <c r="M358" i="158"/>
  <c r="L358" i="158"/>
  <c r="K358" i="158"/>
  <c r="H358" i="158"/>
  <c r="P357" i="158"/>
  <c r="N357" i="158"/>
  <c r="M357" i="158"/>
  <c r="L357" i="158"/>
  <c r="K357" i="158"/>
  <c r="H357" i="158"/>
  <c r="P356" i="158"/>
  <c r="N356" i="158"/>
  <c r="M356" i="158"/>
  <c r="L356" i="158"/>
  <c r="K356" i="158"/>
  <c r="H356" i="158"/>
  <c r="A359" i="158"/>
  <c r="A358" i="158"/>
  <c r="A357" i="158"/>
  <c r="A356" i="158"/>
  <c r="P355" i="158"/>
  <c r="N355" i="158"/>
  <c r="M355" i="158"/>
  <c r="L355" i="158"/>
  <c r="K355" i="158"/>
  <c r="H355" i="158"/>
  <c r="P354" i="158"/>
  <c r="N354" i="158"/>
  <c r="M354" i="158"/>
  <c r="L354" i="158"/>
  <c r="K354" i="158"/>
  <c r="H354" i="158"/>
  <c r="P353" i="158"/>
  <c r="N353" i="158"/>
  <c r="M353" i="158"/>
  <c r="L353" i="158"/>
  <c r="K353" i="158"/>
  <c r="H353" i="158"/>
  <c r="P352" i="158"/>
  <c r="N352" i="158"/>
  <c r="M352" i="158"/>
  <c r="L352" i="158"/>
  <c r="K352" i="158"/>
  <c r="H352" i="158"/>
  <c r="P351" i="158"/>
  <c r="N351" i="158"/>
  <c r="M351" i="158"/>
  <c r="L351" i="158"/>
  <c r="K351" i="158"/>
  <c r="H351" i="158"/>
  <c r="P350" i="158"/>
  <c r="N350" i="158"/>
  <c r="M350" i="158"/>
  <c r="L350" i="158"/>
  <c r="K350" i="158"/>
  <c r="H350" i="158"/>
  <c r="P349" i="158"/>
  <c r="N349" i="158"/>
  <c r="M349" i="158"/>
  <c r="L349" i="158"/>
  <c r="K349" i="158"/>
  <c r="H349" i="158"/>
  <c r="P348" i="158"/>
  <c r="N348" i="158"/>
  <c r="M348" i="158"/>
  <c r="L348" i="158"/>
  <c r="K348" i="158"/>
  <c r="H348" i="158"/>
  <c r="P347" i="158"/>
  <c r="N347" i="158"/>
  <c r="M347" i="158"/>
  <c r="L347" i="158"/>
  <c r="K347" i="158"/>
  <c r="H347" i="158"/>
  <c r="P346" i="158"/>
  <c r="N346" i="158"/>
  <c r="M346" i="158"/>
  <c r="L346" i="158"/>
  <c r="K346" i="158"/>
  <c r="H346" i="158"/>
  <c r="P345" i="158"/>
  <c r="N345" i="158"/>
  <c r="M345" i="158"/>
  <c r="L345" i="158"/>
  <c r="K345" i="158"/>
  <c r="H345" i="158"/>
  <c r="P344" i="158"/>
  <c r="N344" i="158"/>
  <c r="M344" i="158"/>
  <c r="L344" i="158"/>
  <c r="K344" i="158"/>
  <c r="H344" i="158"/>
  <c r="P343" i="158"/>
  <c r="N343" i="158"/>
  <c r="M343" i="158"/>
  <c r="L343" i="158"/>
  <c r="K343" i="158"/>
  <c r="H343" i="158"/>
  <c r="P342" i="158"/>
  <c r="N342" i="158"/>
  <c r="M342" i="158"/>
  <c r="L342" i="158"/>
  <c r="K342" i="158"/>
  <c r="H342" i="158"/>
  <c r="P341" i="158"/>
  <c r="N341" i="158"/>
  <c r="M341" i="158"/>
  <c r="L341" i="158"/>
  <c r="K341" i="158"/>
  <c r="H341" i="158"/>
  <c r="P340" i="158"/>
  <c r="N340" i="158"/>
  <c r="M340" i="158"/>
  <c r="L340" i="158"/>
  <c r="K340" i="158"/>
  <c r="H340" i="158"/>
  <c r="P339" i="158"/>
  <c r="N339" i="158"/>
  <c r="M339" i="158"/>
  <c r="L339" i="158"/>
  <c r="K339" i="158"/>
  <c r="H339" i="158"/>
  <c r="P338" i="158"/>
  <c r="N338" i="158"/>
  <c r="M338" i="158"/>
  <c r="L338" i="158"/>
  <c r="K338" i="158"/>
  <c r="H338" i="158"/>
  <c r="P337" i="158"/>
  <c r="N337" i="158"/>
  <c r="M337" i="158"/>
  <c r="L337" i="158"/>
  <c r="K337" i="158"/>
  <c r="H337" i="158"/>
  <c r="P336" i="158"/>
  <c r="N336" i="158"/>
  <c r="M336" i="158"/>
  <c r="L336" i="158"/>
  <c r="K336" i="158"/>
  <c r="H336" i="158"/>
  <c r="P335" i="158"/>
  <c r="N335" i="158"/>
  <c r="M335" i="158"/>
  <c r="L335" i="158"/>
  <c r="K335" i="158"/>
  <c r="H335" i="158"/>
  <c r="P334" i="158"/>
  <c r="N334" i="158"/>
  <c r="M334" i="158"/>
  <c r="L334" i="158"/>
  <c r="K334" i="158"/>
  <c r="H334" i="158"/>
  <c r="P333" i="158"/>
  <c r="N333" i="158"/>
  <c r="M333" i="158"/>
  <c r="L333" i="158"/>
  <c r="K333" i="158"/>
  <c r="H333" i="158"/>
  <c r="P332" i="158"/>
  <c r="N332" i="158"/>
  <c r="M332" i="158"/>
  <c r="L332" i="158"/>
  <c r="K332" i="158"/>
  <c r="H332" i="158"/>
  <c r="P331" i="158"/>
  <c r="N331" i="158"/>
  <c r="M331" i="158"/>
  <c r="L331" i="158"/>
  <c r="K331" i="158"/>
  <c r="H331" i="158"/>
  <c r="P330" i="158"/>
  <c r="N330" i="158"/>
  <c r="M330" i="158"/>
  <c r="L330" i="158"/>
  <c r="K330" i="158"/>
  <c r="H330" i="158"/>
  <c r="P329" i="158"/>
  <c r="N329" i="158"/>
  <c r="M329" i="158"/>
  <c r="L329" i="158"/>
  <c r="K329" i="158"/>
  <c r="H329" i="158"/>
  <c r="P328" i="158"/>
  <c r="N328" i="158"/>
  <c r="M328" i="158"/>
  <c r="L328" i="158"/>
  <c r="K328" i="158"/>
  <c r="H328" i="158"/>
  <c r="P327" i="158"/>
  <c r="N327" i="158"/>
  <c r="M327" i="158"/>
  <c r="L327" i="158"/>
  <c r="K327" i="158"/>
  <c r="H327" i="158"/>
  <c r="P326" i="158"/>
  <c r="N326" i="158"/>
  <c r="M326" i="158"/>
  <c r="L326" i="158"/>
  <c r="K326" i="158"/>
  <c r="H326" i="158"/>
  <c r="P325" i="158"/>
  <c r="N325" i="158"/>
  <c r="M325" i="158"/>
  <c r="L325" i="158"/>
  <c r="K325" i="158"/>
  <c r="H325" i="158"/>
  <c r="P324" i="158"/>
  <c r="N324" i="158"/>
  <c r="M324" i="158"/>
  <c r="L324" i="158"/>
  <c r="K324" i="158"/>
  <c r="H324" i="158"/>
  <c r="P323" i="158"/>
  <c r="N323" i="158"/>
  <c r="M323" i="158"/>
  <c r="L323" i="158"/>
  <c r="K323" i="158"/>
  <c r="H323" i="158"/>
  <c r="P322" i="158"/>
  <c r="N322" i="158"/>
  <c r="M322" i="158"/>
  <c r="L322" i="158"/>
  <c r="K322" i="158"/>
  <c r="H322" i="158"/>
  <c r="P321" i="158"/>
  <c r="N321" i="158"/>
  <c r="M321" i="158"/>
  <c r="L321" i="158"/>
  <c r="K321" i="158"/>
  <c r="H321" i="158"/>
  <c r="P320" i="158"/>
  <c r="N320" i="158"/>
  <c r="M320" i="158"/>
  <c r="L320" i="158"/>
  <c r="K320" i="158"/>
  <c r="H320" i="158"/>
  <c r="P319" i="158"/>
  <c r="N319" i="158"/>
  <c r="M319" i="158"/>
  <c r="L319" i="158"/>
  <c r="K319" i="158"/>
  <c r="H319" i="158"/>
  <c r="P318" i="158"/>
  <c r="N318" i="158"/>
  <c r="M318" i="158"/>
  <c r="L318" i="158"/>
  <c r="K318" i="158"/>
  <c r="H318" i="158"/>
  <c r="P317" i="158"/>
  <c r="N317" i="158"/>
  <c r="M317" i="158"/>
  <c r="L317" i="158"/>
  <c r="K317" i="158"/>
  <c r="H317" i="158"/>
  <c r="P316" i="158"/>
  <c r="N316" i="158"/>
  <c r="M316" i="158"/>
  <c r="L316" i="158"/>
  <c r="K316" i="158"/>
  <c r="H316" i="158"/>
  <c r="P315" i="158"/>
  <c r="N315" i="158"/>
  <c r="M315" i="158"/>
  <c r="L315" i="158"/>
  <c r="K315" i="158"/>
  <c r="H315" i="158"/>
  <c r="P314" i="158"/>
  <c r="N314" i="158"/>
  <c r="M314" i="158"/>
  <c r="L314" i="158"/>
  <c r="K314" i="158"/>
  <c r="H314" i="158"/>
  <c r="P313" i="158"/>
  <c r="N313" i="158"/>
  <c r="M313" i="158"/>
  <c r="L313" i="158"/>
  <c r="K313" i="158"/>
  <c r="H313" i="158"/>
  <c r="P312" i="158"/>
  <c r="N312" i="158"/>
  <c r="M312" i="158"/>
  <c r="L312" i="158"/>
  <c r="K312" i="158"/>
  <c r="H312" i="158"/>
  <c r="P311" i="158"/>
  <c r="N311" i="158"/>
  <c r="M311" i="158"/>
  <c r="L311" i="158"/>
  <c r="K311" i="158"/>
  <c r="H311" i="158"/>
  <c r="P310" i="158"/>
  <c r="N310" i="158"/>
  <c r="M310" i="158"/>
  <c r="L310" i="158"/>
  <c r="K310" i="158"/>
  <c r="H310" i="158"/>
  <c r="P309" i="158"/>
  <c r="N309" i="158"/>
  <c r="M309" i="158"/>
  <c r="L309" i="158"/>
  <c r="K309" i="158"/>
  <c r="H309" i="158"/>
  <c r="P308" i="158"/>
  <c r="N308" i="158"/>
  <c r="M308" i="158"/>
  <c r="L308" i="158"/>
  <c r="K308" i="158"/>
  <c r="H308" i="158"/>
  <c r="P307" i="158"/>
  <c r="N307" i="158"/>
  <c r="M307" i="158"/>
  <c r="L307" i="158"/>
  <c r="K307" i="158"/>
  <c r="H307" i="158"/>
  <c r="P306" i="158"/>
  <c r="N306" i="158"/>
  <c r="M306" i="158"/>
  <c r="L306" i="158"/>
  <c r="K306" i="158"/>
  <c r="H306" i="158"/>
  <c r="P305" i="158"/>
  <c r="N305" i="158"/>
  <c r="M305" i="158"/>
  <c r="L305" i="158"/>
  <c r="K305" i="158"/>
  <c r="H305" i="158"/>
  <c r="P304" i="158"/>
  <c r="N304" i="158"/>
  <c r="M304" i="158"/>
  <c r="L304" i="158"/>
  <c r="K304" i="158"/>
  <c r="H304" i="158"/>
  <c r="P303" i="158"/>
  <c r="N303" i="158"/>
  <c r="M303" i="158"/>
  <c r="L303" i="158"/>
  <c r="K303" i="158"/>
  <c r="H303" i="158"/>
  <c r="P302" i="158"/>
  <c r="N302" i="158"/>
  <c r="M302" i="158"/>
  <c r="L302" i="158"/>
  <c r="K302" i="158"/>
  <c r="H302" i="158"/>
  <c r="P301" i="158"/>
  <c r="N301" i="158"/>
  <c r="M301" i="158"/>
  <c r="L301" i="158"/>
  <c r="K301" i="158"/>
  <c r="H301" i="158"/>
  <c r="P300" i="158"/>
  <c r="N300" i="158"/>
  <c r="M300" i="158"/>
  <c r="L300" i="158"/>
  <c r="K300" i="158"/>
  <c r="H300" i="158"/>
  <c r="P299" i="158"/>
  <c r="N299" i="158"/>
  <c r="M299" i="158"/>
  <c r="L299" i="158"/>
  <c r="K299" i="158"/>
  <c r="H299" i="158"/>
  <c r="P298" i="158"/>
  <c r="N298" i="158"/>
  <c r="M298" i="158"/>
  <c r="L298" i="158"/>
  <c r="K298" i="158"/>
  <c r="H298" i="158"/>
  <c r="P297" i="158"/>
  <c r="N297" i="158"/>
  <c r="M297" i="158"/>
  <c r="L297" i="158"/>
  <c r="K297" i="158"/>
  <c r="H297" i="158"/>
  <c r="P296" i="158"/>
  <c r="N296" i="158"/>
  <c r="M296" i="158"/>
  <c r="L296" i="158"/>
  <c r="K296" i="158"/>
  <c r="H296" i="158"/>
  <c r="P295" i="158"/>
  <c r="N295" i="158"/>
  <c r="M295" i="158"/>
  <c r="L295" i="158"/>
  <c r="K295" i="158"/>
  <c r="H295" i="158"/>
  <c r="P294" i="158"/>
  <c r="N294" i="158"/>
  <c r="M294" i="158"/>
  <c r="L294" i="158"/>
  <c r="K294" i="158"/>
  <c r="H294" i="158"/>
  <c r="P293" i="158"/>
  <c r="N293" i="158"/>
  <c r="M293" i="158"/>
  <c r="L293" i="158"/>
  <c r="K293" i="158"/>
  <c r="H293" i="158"/>
  <c r="P292" i="158"/>
  <c r="N292" i="158"/>
  <c r="M292" i="158"/>
  <c r="L292" i="158"/>
  <c r="K292" i="158"/>
  <c r="H292" i="158"/>
  <c r="P291" i="158"/>
  <c r="N291" i="158"/>
  <c r="M291" i="158"/>
  <c r="L291" i="158"/>
  <c r="K291" i="158"/>
  <c r="H291" i="158"/>
  <c r="P290" i="158"/>
  <c r="N290" i="158"/>
  <c r="M290" i="158"/>
  <c r="L290" i="158"/>
  <c r="K290" i="158"/>
  <c r="H290" i="158"/>
  <c r="P289" i="158"/>
  <c r="N289" i="158"/>
  <c r="M289" i="158"/>
  <c r="L289" i="158"/>
  <c r="K289" i="158"/>
  <c r="H289" i="158"/>
  <c r="P288" i="158"/>
  <c r="N288" i="158"/>
  <c r="M288" i="158"/>
  <c r="L288" i="158"/>
  <c r="K288" i="158"/>
  <c r="H288" i="158"/>
  <c r="P287" i="158"/>
  <c r="N287" i="158"/>
  <c r="M287" i="158"/>
  <c r="L287" i="158"/>
  <c r="K287" i="158"/>
  <c r="H287" i="158"/>
  <c r="P286" i="158"/>
  <c r="N286" i="158"/>
  <c r="M286" i="158"/>
  <c r="L286" i="158"/>
  <c r="K286" i="158"/>
  <c r="H286" i="158"/>
  <c r="P285" i="158"/>
  <c r="N285" i="158"/>
  <c r="M285" i="158"/>
  <c r="L285" i="158"/>
  <c r="K285" i="158"/>
  <c r="H285" i="158"/>
  <c r="P284" i="158"/>
  <c r="N284" i="158"/>
  <c r="M284" i="158"/>
  <c r="L284" i="158"/>
  <c r="K284" i="158"/>
  <c r="H284" i="158"/>
  <c r="P283" i="158"/>
  <c r="N283" i="158"/>
  <c r="M283" i="158"/>
  <c r="L283" i="158"/>
  <c r="K283" i="158"/>
  <c r="H283" i="158"/>
  <c r="P282" i="158"/>
  <c r="N282" i="158"/>
  <c r="M282" i="158"/>
  <c r="L282" i="158"/>
  <c r="K282" i="158"/>
  <c r="H282" i="158"/>
  <c r="P281" i="158"/>
  <c r="N281" i="158"/>
  <c r="M281" i="158"/>
  <c r="L281" i="158"/>
  <c r="K281" i="158"/>
  <c r="H281" i="158"/>
  <c r="P280" i="158"/>
  <c r="N280" i="158"/>
  <c r="M280" i="158"/>
  <c r="L280" i="158"/>
  <c r="K280" i="158"/>
  <c r="H280" i="158"/>
  <c r="P279" i="158"/>
  <c r="N279" i="158"/>
  <c r="M279" i="158"/>
  <c r="L279" i="158"/>
  <c r="K279" i="158"/>
  <c r="H279" i="158"/>
  <c r="P278" i="158"/>
  <c r="N278" i="158"/>
  <c r="M278" i="158"/>
  <c r="L278" i="158"/>
  <c r="K278" i="158"/>
  <c r="H278" i="158"/>
  <c r="P277" i="158"/>
  <c r="N277" i="158"/>
  <c r="M277" i="158"/>
  <c r="L277" i="158"/>
  <c r="K277" i="158"/>
  <c r="H277" i="158"/>
  <c r="P276" i="158"/>
  <c r="N276" i="158"/>
  <c r="M276" i="158"/>
  <c r="L276" i="158"/>
  <c r="K276" i="158"/>
  <c r="H276" i="158"/>
  <c r="P275" i="158"/>
  <c r="N275" i="158"/>
  <c r="M275" i="158"/>
  <c r="L275" i="158"/>
  <c r="K275" i="158"/>
  <c r="H275" i="158"/>
  <c r="P274" i="158"/>
  <c r="N274" i="158"/>
  <c r="M274" i="158"/>
  <c r="L274" i="158"/>
  <c r="K274" i="158"/>
  <c r="H274" i="158"/>
  <c r="P273" i="158"/>
  <c r="N273" i="158"/>
  <c r="M273" i="158"/>
  <c r="L273" i="158"/>
  <c r="K273" i="158"/>
  <c r="H273" i="158"/>
  <c r="P272" i="158"/>
  <c r="N272" i="158"/>
  <c r="M272" i="158"/>
  <c r="L272" i="158"/>
  <c r="K272" i="158"/>
  <c r="H272" i="158"/>
  <c r="P271" i="158"/>
  <c r="N271" i="158"/>
  <c r="M271" i="158"/>
  <c r="L271" i="158"/>
  <c r="K271" i="158"/>
  <c r="H271" i="158"/>
  <c r="P270" i="158"/>
  <c r="N270" i="158"/>
  <c r="M270" i="158"/>
  <c r="L270" i="158"/>
  <c r="K270" i="158"/>
  <c r="H270" i="158"/>
  <c r="P269" i="158"/>
  <c r="N269" i="158"/>
  <c r="M269" i="158"/>
  <c r="L269" i="158"/>
  <c r="K269" i="158"/>
  <c r="H269" i="158"/>
  <c r="P268" i="158"/>
  <c r="N268" i="158"/>
  <c r="M268" i="158"/>
  <c r="L268" i="158"/>
  <c r="K268" i="158"/>
  <c r="H268" i="158"/>
  <c r="P267" i="158"/>
  <c r="N267" i="158"/>
  <c r="M267" i="158"/>
  <c r="L267" i="158"/>
  <c r="K267" i="158"/>
  <c r="H267" i="158"/>
  <c r="P266" i="158"/>
  <c r="N266" i="158"/>
  <c r="M266" i="158"/>
  <c r="L266" i="158"/>
  <c r="K266" i="158"/>
  <c r="H266" i="158"/>
  <c r="P265" i="158"/>
  <c r="N265" i="158"/>
  <c r="M265" i="158"/>
  <c r="L265" i="158"/>
  <c r="K265" i="158"/>
  <c r="H265" i="158"/>
  <c r="P264" i="158"/>
  <c r="N264" i="158"/>
  <c r="M264" i="158"/>
  <c r="L264" i="158"/>
  <c r="K264" i="158"/>
  <c r="H264" i="158"/>
  <c r="P263" i="158"/>
  <c r="N263" i="158"/>
  <c r="M263" i="158"/>
  <c r="L263" i="158"/>
  <c r="K263" i="158"/>
  <c r="H263" i="158"/>
  <c r="P262" i="158"/>
  <c r="N262" i="158"/>
  <c r="M262" i="158"/>
  <c r="L262" i="158"/>
  <c r="K262" i="158"/>
  <c r="H262" i="158"/>
  <c r="P261" i="158"/>
  <c r="N261" i="158"/>
  <c r="M261" i="158"/>
  <c r="L261" i="158"/>
  <c r="K261" i="158"/>
  <c r="H261" i="158"/>
  <c r="P260" i="158"/>
  <c r="N260" i="158"/>
  <c r="M260" i="158"/>
  <c r="L260" i="158"/>
  <c r="K260" i="158"/>
  <c r="H260" i="158"/>
  <c r="P259" i="158"/>
  <c r="N259" i="158"/>
  <c r="M259" i="158"/>
  <c r="L259" i="158"/>
  <c r="K259" i="158"/>
  <c r="H259" i="158"/>
  <c r="P258" i="158"/>
  <c r="N258" i="158"/>
  <c r="M258" i="158"/>
  <c r="L258" i="158"/>
  <c r="K258" i="158"/>
  <c r="H258" i="158"/>
  <c r="P257" i="158"/>
  <c r="N257" i="158"/>
  <c r="M257" i="158"/>
  <c r="L257" i="158"/>
  <c r="K257" i="158"/>
  <c r="H257" i="158"/>
  <c r="P256" i="158"/>
  <c r="N256" i="158"/>
  <c r="M256" i="158"/>
  <c r="L256" i="158"/>
  <c r="K256" i="158"/>
  <c r="H256" i="158"/>
  <c r="P255" i="158"/>
  <c r="N255" i="158"/>
  <c r="M255" i="158"/>
  <c r="L255" i="158"/>
  <c r="K255" i="158"/>
  <c r="H255" i="158"/>
  <c r="P254" i="158"/>
  <c r="N254" i="158"/>
  <c r="M254" i="158"/>
  <c r="L254" i="158"/>
  <c r="K254" i="158"/>
  <c r="H254" i="158"/>
  <c r="P253" i="158"/>
  <c r="N253" i="158"/>
  <c r="M253" i="158"/>
  <c r="L253" i="158"/>
  <c r="K253" i="158"/>
  <c r="H253" i="158"/>
  <c r="P252" i="158"/>
  <c r="N252" i="158"/>
  <c r="M252" i="158"/>
  <c r="L252" i="158"/>
  <c r="K252" i="158"/>
  <c r="H252" i="158"/>
  <c r="P251" i="158"/>
  <c r="N251" i="158"/>
  <c r="M251" i="158"/>
  <c r="L251" i="158"/>
  <c r="K251" i="158"/>
  <c r="H251" i="158"/>
  <c r="P250" i="158"/>
  <c r="N250" i="158"/>
  <c r="M250" i="158"/>
  <c r="L250" i="158"/>
  <c r="K250" i="158"/>
  <c r="H250" i="158"/>
  <c r="P249" i="158"/>
  <c r="N249" i="158"/>
  <c r="M249" i="158"/>
  <c r="L249" i="158"/>
  <c r="K249" i="158"/>
  <c r="H249" i="158"/>
  <c r="P248" i="158"/>
  <c r="N248" i="158"/>
  <c r="M248" i="158"/>
  <c r="L248" i="158"/>
  <c r="K248" i="158"/>
  <c r="H248" i="158"/>
  <c r="P247" i="158"/>
  <c r="N247" i="158"/>
  <c r="M247" i="158"/>
  <c r="L247" i="158"/>
  <c r="K247" i="158"/>
  <c r="H247" i="158"/>
  <c r="P246" i="158"/>
  <c r="N246" i="158"/>
  <c r="M246" i="158"/>
  <c r="L246" i="158"/>
  <c r="K246" i="158"/>
  <c r="H246" i="158"/>
  <c r="P245" i="158"/>
  <c r="N245" i="158"/>
  <c r="M245" i="158"/>
  <c r="L245" i="158"/>
  <c r="K245" i="158"/>
  <c r="H245" i="158"/>
  <c r="P244" i="158"/>
  <c r="N244" i="158"/>
  <c r="M244" i="158"/>
  <c r="L244" i="158"/>
  <c r="K244" i="158"/>
  <c r="H244" i="158"/>
  <c r="P243" i="158"/>
  <c r="N243" i="158"/>
  <c r="M243" i="158"/>
  <c r="L243" i="158"/>
  <c r="K243" i="158"/>
  <c r="H243" i="158"/>
  <c r="P242" i="158"/>
  <c r="N242" i="158"/>
  <c r="M242" i="158"/>
  <c r="L242" i="158"/>
  <c r="K242" i="158"/>
  <c r="H242" i="158"/>
  <c r="P241" i="158"/>
  <c r="N241" i="158"/>
  <c r="M241" i="158"/>
  <c r="L241" i="158"/>
  <c r="K241" i="158"/>
  <c r="H241" i="158"/>
  <c r="P240" i="158"/>
  <c r="N240" i="158"/>
  <c r="M240" i="158"/>
  <c r="L240" i="158"/>
  <c r="K240" i="158"/>
  <c r="H240" i="158"/>
  <c r="P239" i="158"/>
  <c r="N239" i="158"/>
  <c r="M239" i="158"/>
  <c r="L239" i="158"/>
  <c r="K239" i="158"/>
  <c r="H239" i="158"/>
  <c r="P238" i="158"/>
  <c r="N238" i="158"/>
  <c r="M238" i="158"/>
  <c r="L238" i="158"/>
  <c r="K238" i="158"/>
  <c r="H238" i="158"/>
  <c r="P237" i="158"/>
  <c r="N237" i="158"/>
  <c r="M237" i="158"/>
  <c r="L237" i="158"/>
  <c r="K237" i="158"/>
  <c r="H237" i="158"/>
  <c r="P236" i="158"/>
  <c r="N236" i="158"/>
  <c r="M236" i="158"/>
  <c r="L236" i="158"/>
  <c r="K236" i="158"/>
  <c r="H236" i="158"/>
  <c r="P235" i="158"/>
  <c r="N235" i="158"/>
  <c r="M235" i="158"/>
  <c r="L235" i="158"/>
  <c r="K235" i="158"/>
  <c r="H235" i="158"/>
  <c r="P234" i="158"/>
  <c r="N234" i="158"/>
  <c r="M234" i="158"/>
  <c r="L234" i="158"/>
  <c r="K234" i="158"/>
  <c r="H234" i="158"/>
  <c r="P233" i="158"/>
  <c r="N233" i="158"/>
  <c r="M233" i="158"/>
  <c r="L233" i="158"/>
  <c r="K233" i="158"/>
  <c r="H233" i="158"/>
  <c r="P232" i="158"/>
  <c r="N232" i="158"/>
  <c r="M232" i="158"/>
  <c r="L232" i="158"/>
  <c r="K232" i="158"/>
  <c r="H232" i="158"/>
  <c r="P231" i="158"/>
  <c r="N231" i="158"/>
  <c r="M231" i="158"/>
  <c r="L231" i="158"/>
  <c r="K231" i="158"/>
  <c r="H231" i="158"/>
  <c r="P230" i="158"/>
  <c r="N230" i="158"/>
  <c r="M230" i="158"/>
  <c r="L230" i="158"/>
  <c r="K230" i="158"/>
  <c r="H230" i="158"/>
  <c r="P229" i="158"/>
  <c r="N229" i="158"/>
  <c r="M229" i="158"/>
  <c r="L229" i="158"/>
  <c r="K229" i="158"/>
  <c r="H229" i="158"/>
  <c r="P228" i="158"/>
  <c r="N228" i="158"/>
  <c r="M228" i="158"/>
  <c r="L228" i="158"/>
  <c r="K228" i="158"/>
  <c r="H228" i="158"/>
  <c r="P227" i="158"/>
  <c r="N227" i="158"/>
  <c r="M227" i="158"/>
  <c r="L227" i="158"/>
  <c r="K227" i="158"/>
  <c r="H227" i="158"/>
  <c r="P226" i="158"/>
  <c r="N226" i="158"/>
  <c r="M226" i="158"/>
  <c r="L226" i="158"/>
  <c r="K226" i="158"/>
  <c r="H226" i="158"/>
  <c r="P225" i="158"/>
  <c r="N225" i="158"/>
  <c r="M225" i="158"/>
  <c r="L225" i="158"/>
  <c r="K225" i="158"/>
  <c r="H225" i="158"/>
  <c r="P224" i="158"/>
  <c r="N224" i="158"/>
  <c r="M224" i="158"/>
  <c r="L224" i="158"/>
  <c r="K224" i="158"/>
  <c r="H224" i="158"/>
  <c r="P223" i="158"/>
  <c r="N223" i="158"/>
  <c r="M223" i="158"/>
  <c r="L223" i="158"/>
  <c r="K223" i="158"/>
  <c r="H223" i="158"/>
  <c r="P222" i="158"/>
  <c r="N222" i="158"/>
  <c r="M222" i="158"/>
  <c r="L222" i="158"/>
  <c r="K222" i="158"/>
  <c r="H222" i="158"/>
  <c r="P221" i="158"/>
  <c r="N221" i="158"/>
  <c r="M221" i="158"/>
  <c r="L221" i="158"/>
  <c r="K221" i="158"/>
  <c r="H221" i="158"/>
  <c r="P220" i="158"/>
  <c r="N220" i="158"/>
  <c r="M220" i="158"/>
  <c r="L220" i="158"/>
  <c r="K220" i="158"/>
  <c r="H220" i="158"/>
  <c r="P219" i="158"/>
  <c r="N219" i="158"/>
  <c r="M219" i="158"/>
  <c r="L219" i="158"/>
  <c r="K219" i="158"/>
  <c r="H219" i="158"/>
  <c r="P218" i="158"/>
  <c r="N218" i="158"/>
  <c r="M218" i="158"/>
  <c r="L218" i="158"/>
  <c r="K218" i="158"/>
  <c r="H218" i="158"/>
  <c r="P217" i="158"/>
  <c r="N217" i="158"/>
  <c r="M217" i="158"/>
  <c r="L217" i="158"/>
  <c r="K217" i="158"/>
  <c r="H217" i="158"/>
  <c r="P216" i="158"/>
  <c r="N216" i="158"/>
  <c r="M216" i="158"/>
  <c r="L216" i="158"/>
  <c r="K216" i="158"/>
  <c r="H216" i="158"/>
  <c r="P215" i="158"/>
  <c r="N215" i="158"/>
  <c r="M215" i="158"/>
  <c r="L215" i="158"/>
  <c r="K215" i="158"/>
  <c r="H215" i="158"/>
  <c r="P214" i="158"/>
  <c r="N214" i="158"/>
  <c r="M214" i="158"/>
  <c r="L214" i="158"/>
  <c r="K214" i="158"/>
  <c r="H214" i="158"/>
  <c r="P213" i="158"/>
  <c r="N213" i="158"/>
  <c r="M213" i="158"/>
  <c r="L213" i="158"/>
  <c r="K213" i="158"/>
  <c r="H213" i="158"/>
  <c r="P212" i="158"/>
  <c r="N212" i="158"/>
  <c r="M212" i="158"/>
  <c r="L212" i="158"/>
  <c r="K212" i="158"/>
  <c r="H212" i="158"/>
  <c r="P211" i="158"/>
  <c r="N211" i="158"/>
  <c r="M211" i="158"/>
  <c r="L211" i="158"/>
  <c r="K211" i="158"/>
  <c r="H211" i="158"/>
  <c r="P210" i="158"/>
  <c r="N210" i="158"/>
  <c r="M210" i="158"/>
  <c r="L210" i="158"/>
  <c r="K210" i="158"/>
  <c r="H210" i="158"/>
  <c r="P209" i="158"/>
  <c r="N209" i="158"/>
  <c r="M209" i="158"/>
  <c r="L209" i="158"/>
  <c r="K209" i="158"/>
  <c r="H209" i="158"/>
  <c r="P208" i="158"/>
  <c r="N208" i="158"/>
  <c r="M208" i="158"/>
  <c r="L208" i="158"/>
  <c r="K208" i="158"/>
  <c r="H208" i="158"/>
  <c r="P207" i="158"/>
  <c r="N207" i="158"/>
  <c r="M207" i="158"/>
  <c r="L207" i="158"/>
  <c r="K207" i="158"/>
  <c r="H207" i="158"/>
  <c r="P206" i="158"/>
  <c r="N206" i="158"/>
  <c r="M206" i="158"/>
  <c r="L206" i="158"/>
  <c r="K206" i="158"/>
  <c r="H206" i="158"/>
  <c r="P205" i="158"/>
  <c r="N205" i="158"/>
  <c r="M205" i="158"/>
  <c r="L205" i="158"/>
  <c r="K205" i="158"/>
  <c r="H205" i="158"/>
  <c r="P204" i="158"/>
  <c r="N204" i="158"/>
  <c r="M204" i="158"/>
  <c r="L204" i="158"/>
  <c r="K204" i="158"/>
  <c r="H204" i="158"/>
  <c r="P203" i="158"/>
  <c r="N203" i="158"/>
  <c r="M203" i="158"/>
  <c r="L203" i="158"/>
  <c r="K203" i="158"/>
  <c r="H203" i="158"/>
  <c r="P202" i="158"/>
  <c r="N202" i="158"/>
  <c r="M202" i="158"/>
  <c r="L202" i="158"/>
  <c r="K202" i="158"/>
  <c r="H202" i="158"/>
  <c r="P201" i="158"/>
  <c r="N201" i="158"/>
  <c r="M201" i="158"/>
  <c r="L201" i="158"/>
  <c r="K201" i="158"/>
  <c r="H201" i="158"/>
  <c r="P200" i="158"/>
  <c r="N200" i="158"/>
  <c r="M200" i="158"/>
  <c r="L200" i="158"/>
  <c r="K200" i="158"/>
  <c r="H200" i="158"/>
  <c r="P199" i="158"/>
  <c r="N199" i="158"/>
  <c r="M199" i="158"/>
  <c r="L199" i="158"/>
  <c r="K199" i="158"/>
  <c r="H199" i="158"/>
  <c r="P198" i="158"/>
  <c r="N198" i="158"/>
  <c r="M198" i="158"/>
  <c r="L198" i="158"/>
  <c r="K198" i="158"/>
  <c r="H198" i="158"/>
  <c r="P197" i="158"/>
  <c r="N197" i="158"/>
  <c r="M197" i="158"/>
  <c r="L197" i="158"/>
  <c r="K197" i="158"/>
  <c r="H197" i="158"/>
  <c r="P196" i="158"/>
  <c r="N196" i="158"/>
  <c r="M196" i="158"/>
  <c r="L196" i="158"/>
  <c r="K196" i="158"/>
  <c r="H196" i="158"/>
  <c r="P195" i="158"/>
  <c r="N195" i="158"/>
  <c r="M195" i="158"/>
  <c r="L195" i="158"/>
  <c r="K195" i="158"/>
  <c r="H195" i="158"/>
  <c r="P194" i="158"/>
  <c r="N194" i="158"/>
  <c r="M194" i="158"/>
  <c r="L194" i="158"/>
  <c r="K194" i="158"/>
  <c r="H194" i="158"/>
  <c r="P193" i="158"/>
  <c r="N193" i="158"/>
  <c r="M193" i="158"/>
  <c r="L193" i="158"/>
  <c r="K193" i="158"/>
  <c r="H193" i="158"/>
  <c r="P192" i="158"/>
  <c r="N192" i="158"/>
  <c r="M192" i="158"/>
  <c r="L192" i="158"/>
  <c r="K192" i="158"/>
  <c r="H192" i="158"/>
  <c r="P191" i="158"/>
  <c r="N191" i="158"/>
  <c r="M191" i="158"/>
  <c r="L191" i="158"/>
  <c r="K191" i="158"/>
  <c r="H191" i="158"/>
  <c r="P190" i="158"/>
  <c r="N190" i="158"/>
  <c r="M190" i="158"/>
  <c r="L190" i="158"/>
  <c r="K190" i="158"/>
  <c r="H190" i="158"/>
  <c r="P189" i="158"/>
  <c r="N189" i="158"/>
  <c r="M189" i="158"/>
  <c r="L189" i="158"/>
  <c r="K189" i="158"/>
  <c r="H189" i="158"/>
  <c r="P188" i="158"/>
  <c r="N188" i="158"/>
  <c r="M188" i="158"/>
  <c r="L188" i="158"/>
  <c r="K188" i="158"/>
  <c r="H188" i="158"/>
  <c r="P187" i="158"/>
  <c r="N187" i="158"/>
  <c r="M187" i="158"/>
  <c r="L187" i="158"/>
  <c r="K187" i="158"/>
  <c r="H187" i="158"/>
  <c r="P186" i="158"/>
  <c r="N186" i="158"/>
  <c r="M186" i="158"/>
  <c r="L186" i="158"/>
  <c r="K186" i="158"/>
  <c r="H186" i="158"/>
  <c r="P185" i="158"/>
  <c r="N185" i="158"/>
  <c r="M185" i="158"/>
  <c r="L185" i="158"/>
  <c r="K185" i="158"/>
  <c r="H185" i="158"/>
  <c r="P184" i="158"/>
  <c r="N184" i="158"/>
  <c r="M184" i="158"/>
  <c r="L184" i="158"/>
  <c r="K184" i="158"/>
  <c r="H184" i="158"/>
  <c r="P183" i="158"/>
  <c r="N183" i="158"/>
  <c r="M183" i="158"/>
  <c r="L183" i="158"/>
  <c r="K183" i="158"/>
  <c r="H183" i="158"/>
  <c r="P182" i="158"/>
  <c r="N182" i="158"/>
  <c r="M182" i="158"/>
  <c r="L182" i="158"/>
  <c r="K182" i="158"/>
  <c r="H182" i="158"/>
  <c r="P181" i="158"/>
  <c r="N181" i="158"/>
  <c r="M181" i="158"/>
  <c r="L181" i="158"/>
  <c r="K181" i="158"/>
  <c r="H181" i="158"/>
  <c r="P180" i="158"/>
  <c r="N180" i="158"/>
  <c r="M180" i="158"/>
  <c r="L180" i="158"/>
  <c r="K180" i="158"/>
  <c r="H180" i="158"/>
  <c r="P179" i="158"/>
  <c r="N179" i="158"/>
  <c r="M179" i="158"/>
  <c r="L179" i="158"/>
  <c r="K179" i="158"/>
  <c r="H179" i="158"/>
  <c r="P178" i="158"/>
  <c r="N178" i="158"/>
  <c r="M178" i="158"/>
  <c r="L178" i="158"/>
  <c r="K178" i="158"/>
  <c r="H178" i="158"/>
  <c r="P177" i="158"/>
  <c r="N177" i="158"/>
  <c r="M177" i="158"/>
  <c r="L177" i="158"/>
  <c r="K177" i="158"/>
  <c r="H177" i="158"/>
  <c r="P176" i="158"/>
  <c r="N176" i="158"/>
  <c r="M176" i="158"/>
  <c r="L176" i="158"/>
  <c r="K176" i="158"/>
  <c r="H176" i="158"/>
  <c r="P175" i="158"/>
  <c r="N175" i="158"/>
  <c r="M175" i="158"/>
  <c r="L175" i="158"/>
  <c r="K175" i="158"/>
  <c r="H175" i="158"/>
  <c r="P174" i="158"/>
  <c r="N174" i="158"/>
  <c r="M174" i="158"/>
  <c r="L174" i="158"/>
  <c r="K174" i="158"/>
  <c r="H174" i="158"/>
  <c r="P173" i="158"/>
  <c r="N173" i="158"/>
  <c r="M173" i="158"/>
  <c r="L173" i="158"/>
  <c r="K173" i="158"/>
  <c r="H173" i="158"/>
  <c r="P172" i="158"/>
  <c r="N172" i="158"/>
  <c r="M172" i="158"/>
  <c r="L172" i="158"/>
  <c r="K172" i="158"/>
  <c r="H172" i="158"/>
  <c r="P171" i="158"/>
  <c r="N171" i="158"/>
  <c r="M171" i="158"/>
  <c r="L171" i="158"/>
  <c r="K171" i="158"/>
  <c r="H171" i="158"/>
  <c r="P170" i="158"/>
  <c r="N170" i="158"/>
  <c r="M170" i="158"/>
  <c r="L170" i="158"/>
  <c r="K170" i="158"/>
  <c r="H170" i="158"/>
  <c r="P169" i="158"/>
  <c r="N169" i="158"/>
  <c r="M169" i="158"/>
  <c r="L169" i="158"/>
  <c r="K169" i="158"/>
  <c r="H169" i="158"/>
  <c r="P168" i="158"/>
  <c r="N168" i="158"/>
  <c r="M168" i="158"/>
  <c r="L168" i="158"/>
  <c r="K168" i="158"/>
  <c r="H168" i="158"/>
  <c r="P167" i="158"/>
  <c r="N167" i="158"/>
  <c r="M167" i="158"/>
  <c r="L167" i="158"/>
  <c r="K167" i="158"/>
  <c r="H167" i="158"/>
  <c r="P166" i="158"/>
  <c r="N166" i="158"/>
  <c r="M166" i="158"/>
  <c r="L166" i="158"/>
  <c r="K166" i="158"/>
  <c r="H166" i="158"/>
  <c r="P165" i="158"/>
  <c r="N165" i="158"/>
  <c r="M165" i="158"/>
  <c r="L165" i="158"/>
  <c r="K165" i="158"/>
  <c r="H165" i="158"/>
  <c r="P164" i="158"/>
  <c r="N164" i="158"/>
  <c r="M164" i="158"/>
  <c r="L164" i="158"/>
  <c r="K164" i="158"/>
  <c r="H164" i="158"/>
  <c r="P163" i="158"/>
  <c r="N163" i="158"/>
  <c r="M163" i="158"/>
  <c r="L163" i="158"/>
  <c r="K163" i="158"/>
  <c r="H163" i="158"/>
  <c r="P162" i="158"/>
  <c r="N162" i="158"/>
  <c r="M162" i="158"/>
  <c r="L162" i="158"/>
  <c r="K162" i="158"/>
  <c r="H162" i="158"/>
  <c r="P161" i="158"/>
  <c r="N161" i="158"/>
  <c r="M161" i="158"/>
  <c r="L161" i="158"/>
  <c r="K161" i="158"/>
  <c r="H161" i="158"/>
  <c r="P160" i="158"/>
  <c r="N160" i="158"/>
  <c r="M160" i="158"/>
  <c r="L160" i="158"/>
  <c r="K160" i="158"/>
  <c r="H160" i="158"/>
  <c r="P159" i="158"/>
  <c r="N159" i="158"/>
  <c r="M159" i="158"/>
  <c r="L159" i="158"/>
  <c r="K159" i="158"/>
  <c r="H159" i="158"/>
  <c r="P158" i="158"/>
  <c r="N158" i="158"/>
  <c r="M158" i="158"/>
  <c r="L158" i="158"/>
  <c r="K158" i="158"/>
  <c r="H158" i="158"/>
  <c r="P157" i="158"/>
  <c r="N157" i="158"/>
  <c r="M157" i="158"/>
  <c r="L157" i="158"/>
  <c r="K157" i="158"/>
  <c r="H157" i="158"/>
  <c r="P156" i="158"/>
  <c r="N156" i="158"/>
  <c r="M156" i="158"/>
  <c r="L156" i="158"/>
  <c r="K156" i="158"/>
  <c r="H156" i="158"/>
  <c r="P155" i="158"/>
  <c r="N155" i="158"/>
  <c r="M155" i="158"/>
  <c r="L155" i="158"/>
  <c r="K155" i="158"/>
  <c r="H155" i="158"/>
  <c r="P154" i="158"/>
  <c r="N154" i="158"/>
  <c r="M154" i="158"/>
  <c r="L154" i="158"/>
  <c r="K154" i="158"/>
  <c r="H154" i="158"/>
  <c r="P153" i="158"/>
  <c r="N153" i="158"/>
  <c r="M153" i="158"/>
  <c r="L153" i="158"/>
  <c r="K153" i="158"/>
  <c r="H153" i="158"/>
  <c r="P152" i="158"/>
  <c r="N152" i="158"/>
  <c r="M152" i="158"/>
  <c r="L152" i="158"/>
  <c r="K152" i="158"/>
  <c r="H152" i="158"/>
  <c r="P151" i="158"/>
  <c r="N151" i="158"/>
  <c r="M151" i="158"/>
  <c r="L151" i="158"/>
  <c r="K151" i="158"/>
  <c r="H151" i="158"/>
  <c r="P150" i="158"/>
  <c r="N150" i="158"/>
  <c r="M150" i="158"/>
  <c r="L150" i="158"/>
  <c r="K150" i="158"/>
  <c r="H150" i="158"/>
  <c r="P149" i="158"/>
  <c r="N149" i="158"/>
  <c r="M149" i="158"/>
  <c r="L149" i="158"/>
  <c r="K149" i="158"/>
  <c r="H149" i="158"/>
  <c r="P148" i="158"/>
  <c r="N148" i="158"/>
  <c r="M148" i="158"/>
  <c r="L148" i="158"/>
  <c r="K148" i="158"/>
  <c r="H148" i="158"/>
  <c r="P147" i="158"/>
  <c r="N147" i="158"/>
  <c r="M147" i="158"/>
  <c r="L147" i="158"/>
  <c r="K147" i="158"/>
  <c r="H147" i="158"/>
  <c r="P146" i="158"/>
  <c r="N146" i="158"/>
  <c r="M146" i="158"/>
  <c r="L146" i="158"/>
  <c r="K146" i="158"/>
  <c r="H146" i="158"/>
  <c r="P145" i="158"/>
  <c r="N145" i="158"/>
  <c r="M145" i="158"/>
  <c r="L145" i="158"/>
  <c r="K145" i="158"/>
  <c r="H145" i="158"/>
  <c r="P144" i="158"/>
  <c r="N144" i="158"/>
  <c r="M144" i="158"/>
  <c r="L144" i="158"/>
  <c r="K144" i="158"/>
  <c r="H144" i="158"/>
  <c r="P143" i="158"/>
  <c r="N143" i="158"/>
  <c r="M143" i="158"/>
  <c r="L143" i="158"/>
  <c r="K143" i="158"/>
  <c r="H143" i="158"/>
  <c r="P142" i="158"/>
  <c r="N142" i="158"/>
  <c r="M142" i="158"/>
  <c r="L142" i="158"/>
  <c r="K142" i="158"/>
  <c r="H142" i="158"/>
  <c r="P141" i="158"/>
  <c r="N141" i="158"/>
  <c r="M141" i="158"/>
  <c r="L141" i="158"/>
  <c r="K141" i="158"/>
  <c r="H141" i="158"/>
  <c r="P140" i="158"/>
  <c r="N140" i="158"/>
  <c r="M140" i="158"/>
  <c r="L140" i="158"/>
  <c r="K140" i="158"/>
  <c r="H140" i="158"/>
  <c r="P139" i="158"/>
  <c r="N139" i="158"/>
  <c r="M139" i="158"/>
  <c r="L139" i="158"/>
  <c r="K139" i="158"/>
  <c r="H139" i="158"/>
  <c r="P138" i="158"/>
  <c r="N138" i="158"/>
  <c r="M138" i="158"/>
  <c r="L138" i="158"/>
  <c r="K138" i="158"/>
  <c r="H138" i="158"/>
  <c r="P137" i="158"/>
  <c r="N137" i="158"/>
  <c r="M137" i="158"/>
  <c r="L137" i="158"/>
  <c r="K137" i="158"/>
  <c r="H137" i="158"/>
  <c r="P136" i="158"/>
  <c r="N136" i="158"/>
  <c r="M136" i="158"/>
  <c r="L136" i="158"/>
  <c r="K136" i="158"/>
  <c r="H136" i="158"/>
  <c r="P135" i="158"/>
  <c r="N135" i="158"/>
  <c r="M135" i="158"/>
  <c r="L135" i="158"/>
  <c r="K135" i="158"/>
  <c r="H135" i="158"/>
  <c r="P134" i="158"/>
  <c r="N134" i="158"/>
  <c r="M134" i="158"/>
  <c r="L134" i="158"/>
  <c r="K134" i="158"/>
  <c r="H134" i="158"/>
  <c r="P133" i="158"/>
  <c r="N133" i="158"/>
  <c r="M133" i="158"/>
  <c r="L133" i="158"/>
  <c r="K133" i="158"/>
  <c r="H133" i="158"/>
  <c r="P132" i="158"/>
  <c r="N132" i="158"/>
  <c r="M132" i="158"/>
  <c r="L132" i="158"/>
  <c r="K132" i="158"/>
  <c r="H132" i="158"/>
  <c r="P131" i="158"/>
  <c r="N131" i="158"/>
  <c r="M131" i="158"/>
  <c r="L131" i="158"/>
  <c r="K131" i="158"/>
  <c r="H131" i="158"/>
  <c r="P130" i="158"/>
  <c r="N130" i="158"/>
  <c r="M130" i="158"/>
  <c r="L130" i="158"/>
  <c r="K130" i="158"/>
  <c r="H130" i="158"/>
  <c r="P129" i="158"/>
  <c r="N129" i="158"/>
  <c r="M129" i="158"/>
  <c r="L129" i="158"/>
  <c r="K129" i="158"/>
  <c r="H129" i="158"/>
  <c r="P128" i="158"/>
  <c r="N128" i="158"/>
  <c r="M128" i="158"/>
  <c r="L128" i="158"/>
  <c r="K128" i="158"/>
  <c r="H128" i="158"/>
  <c r="P127" i="158"/>
  <c r="N127" i="158"/>
  <c r="M127" i="158"/>
  <c r="L127" i="158"/>
  <c r="K127" i="158"/>
  <c r="H127" i="158"/>
  <c r="P126" i="158"/>
  <c r="N126" i="158"/>
  <c r="M126" i="158"/>
  <c r="L126" i="158"/>
  <c r="K126" i="158"/>
  <c r="H126" i="158"/>
  <c r="P125" i="158"/>
  <c r="N125" i="158"/>
  <c r="M125" i="158"/>
  <c r="L125" i="158"/>
  <c r="K125" i="158"/>
  <c r="H125" i="158"/>
  <c r="P124" i="158"/>
  <c r="N124" i="158"/>
  <c r="M124" i="158"/>
  <c r="L124" i="158"/>
  <c r="K124" i="158"/>
  <c r="H124" i="158"/>
  <c r="P123" i="158"/>
  <c r="N123" i="158"/>
  <c r="M123" i="158"/>
  <c r="L123" i="158"/>
  <c r="K123" i="158"/>
  <c r="H123" i="158"/>
  <c r="P122" i="158"/>
  <c r="N122" i="158"/>
  <c r="M122" i="158"/>
  <c r="L122" i="158"/>
  <c r="K122" i="158"/>
  <c r="H122" i="158"/>
  <c r="P121" i="158"/>
  <c r="N121" i="158"/>
  <c r="M121" i="158"/>
  <c r="L121" i="158"/>
  <c r="K121" i="158"/>
  <c r="H121" i="158"/>
  <c r="P120" i="158"/>
  <c r="N120" i="158"/>
  <c r="M120" i="158"/>
  <c r="L120" i="158"/>
  <c r="K120" i="158"/>
  <c r="H120" i="158"/>
  <c r="P119" i="158"/>
  <c r="N119" i="158"/>
  <c r="M119" i="158"/>
  <c r="L119" i="158"/>
  <c r="K119" i="158"/>
  <c r="H119" i="158"/>
  <c r="P118" i="158"/>
  <c r="N118" i="158"/>
  <c r="M118" i="158"/>
  <c r="L118" i="158"/>
  <c r="K118" i="158"/>
  <c r="H118" i="158"/>
  <c r="P117" i="158"/>
  <c r="N117" i="158"/>
  <c r="M117" i="158"/>
  <c r="L117" i="158"/>
  <c r="K117" i="158"/>
  <c r="H117" i="158"/>
  <c r="P116" i="158"/>
  <c r="N116" i="158"/>
  <c r="M116" i="158"/>
  <c r="L116" i="158"/>
  <c r="K116" i="158"/>
  <c r="H116" i="158"/>
  <c r="P115" i="158"/>
  <c r="N115" i="158"/>
  <c r="M115" i="158"/>
  <c r="L115" i="158"/>
  <c r="K115" i="158"/>
  <c r="H115" i="158"/>
  <c r="P114" i="158"/>
  <c r="N114" i="158"/>
  <c r="M114" i="158"/>
  <c r="L114" i="158"/>
  <c r="K114" i="158"/>
  <c r="H114" i="158"/>
  <c r="P113" i="158"/>
  <c r="N113" i="158"/>
  <c r="M113" i="158"/>
  <c r="L113" i="158"/>
  <c r="K113" i="158"/>
  <c r="H113" i="158"/>
  <c r="P112" i="158"/>
  <c r="N112" i="158"/>
  <c r="M112" i="158"/>
  <c r="L112" i="158"/>
  <c r="K112" i="158"/>
  <c r="H112" i="158"/>
  <c r="P111" i="158"/>
  <c r="N111" i="158"/>
  <c r="M111" i="158"/>
  <c r="L111" i="158"/>
  <c r="K111" i="158"/>
  <c r="H111" i="158"/>
  <c r="P110" i="158"/>
  <c r="N110" i="158"/>
  <c r="M110" i="158"/>
  <c r="L110" i="158"/>
  <c r="K110" i="158"/>
  <c r="H110" i="158"/>
  <c r="P109" i="158"/>
  <c r="N109" i="158"/>
  <c r="M109" i="158"/>
  <c r="L109" i="158"/>
  <c r="K109" i="158"/>
  <c r="H109" i="158"/>
  <c r="P108" i="158"/>
  <c r="N108" i="158"/>
  <c r="M108" i="158"/>
  <c r="L108" i="158"/>
  <c r="K108" i="158"/>
  <c r="H108" i="158"/>
  <c r="P107" i="158"/>
  <c r="N107" i="158"/>
  <c r="M107" i="158"/>
  <c r="L107" i="158"/>
  <c r="K107" i="158"/>
  <c r="H107" i="158"/>
  <c r="P106" i="158"/>
  <c r="N106" i="158"/>
  <c r="M106" i="158"/>
  <c r="L106" i="158"/>
  <c r="K106" i="158"/>
  <c r="H106" i="158"/>
  <c r="P105" i="158"/>
  <c r="N105" i="158"/>
  <c r="M105" i="158"/>
  <c r="L105" i="158"/>
  <c r="K105" i="158"/>
  <c r="H105" i="158"/>
  <c r="P104" i="158"/>
  <c r="N104" i="158"/>
  <c r="M104" i="158"/>
  <c r="L104" i="158"/>
  <c r="K104" i="158"/>
  <c r="H104" i="158"/>
  <c r="P103" i="158"/>
  <c r="N103" i="158"/>
  <c r="M103" i="158"/>
  <c r="L103" i="158"/>
  <c r="K103" i="158"/>
  <c r="H103" i="158"/>
  <c r="P102" i="158"/>
  <c r="N102" i="158"/>
  <c r="M102" i="158"/>
  <c r="L102" i="158"/>
  <c r="K102" i="158"/>
  <c r="H102" i="158"/>
  <c r="P101" i="158"/>
  <c r="N101" i="158"/>
  <c r="M101" i="158"/>
  <c r="L101" i="158"/>
  <c r="K101" i="158"/>
  <c r="H101" i="158"/>
  <c r="P100" i="158"/>
  <c r="N100" i="158"/>
  <c r="M100" i="158"/>
  <c r="L100" i="158"/>
  <c r="K100" i="158"/>
  <c r="H100" i="158"/>
  <c r="P99" i="158"/>
  <c r="N99" i="158"/>
  <c r="M99" i="158"/>
  <c r="L99" i="158"/>
  <c r="K99" i="158"/>
  <c r="H99" i="158"/>
  <c r="P98" i="158"/>
  <c r="N98" i="158"/>
  <c r="M98" i="158"/>
  <c r="L98" i="158"/>
  <c r="K98" i="158"/>
  <c r="H98" i="158"/>
  <c r="P97" i="158"/>
  <c r="N97" i="158"/>
  <c r="M97" i="158"/>
  <c r="L97" i="158"/>
  <c r="K97" i="158"/>
  <c r="H97" i="158"/>
  <c r="P96" i="158"/>
  <c r="N96" i="158"/>
  <c r="M96" i="158"/>
  <c r="L96" i="158"/>
  <c r="K96" i="158"/>
  <c r="H96" i="158"/>
  <c r="P95" i="158"/>
  <c r="N95" i="158"/>
  <c r="M95" i="158"/>
  <c r="L95" i="158"/>
  <c r="K95" i="158"/>
  <c r="H95" i="158"/>
  <c r="P94" i="158"/>
  <c r="N94" i="158"/>
  <c r="M94" i="158"/>
  <c r="L94" i="158"/>
  <c r="K94" i="158"/>
  <c r="H94" i="158"/>
  <c r="P93" i="158"/>
  <c r="N93" i="158"/>
  <c r="M93" i="158"/>
  <c r="L93" i="158"/>
  <c r="K93" i="158"/>
  <c r="H93" i="158"/>
  <c r="P92" i="158"/>
  <c r="N92" i="158"/>
  <c r="M92" i="158"/>
  <c r="L92" i="158"/>
  <c r="K92" i="158"/>
  <c r="H92" i="158"/>
  <c r="P91" i="158"/>
  <c r="N91" i="158"/>
  <c r="M91" i="158"/>
  <c r="L91" i="158"/>
  <c r="K91" i="158"/>
  <c r="H91" i="158"/>
  <c r="P90" i="158"/>
  <c r="N90" i="158"/>
  <c r="M90" i="158"/>
  <c r="L90" i="158"/>
  <c r="K90" i="158"/>
  <c r="H90" i="158"/>
  <c r="P89" i="158"/>
  <c r="N89" i="158"/>
  <c r="M89" i="158"/>
  <c r="L89" i="158"/>
  <c r="K89" i="158"/>
  <c r="H89" i="158"/>
  <c r="P88" i="158"/>
  <c r="N88" i="158"/>
  <c r="M88" i="158"/>
  <c r="L88" i="158"/>
  <c r="K88" i="158"/>
  <c r="H88" i="158"/>
  <c r="P87" i="158"/>
  <c r="N87" i="158"/>
  <c r="M87" i="158"/>
  <c r="L87" i="158"/>
  <c r="K87" i="158"/>
  <c r="H87" i="158"/>
  <c r="P86" i="158"/>
  <c r="N86" i="158"/>
  <c r="M86" i="158"/>
  <c r="L86" i="158"/>
  <c r="K86" i="158"/>
  <c r="H86" i="158"/>
  <c r="P85" i="158"/>
  <c r="N85" i="158"/>
  <c r="M85" i="158"/>
  <c r="L85" i="158"/>
  <c r="K85" i="158"/>
  <c r="H85" i="158"/>
  <c r="P84" i="158"/>
  <c r="N84" i="158"/>
  <c r="M84" i="158"/>
  <c r="L84" i="158"/>
  <c r="K84" i="158"/>
  <c r="H84" i="158"/>
  <c r="P83" i="158"/>
  <c r="N83" i="158"/>
  <c r="M83" i="158"/>
  <c r="L83" i="158"/>
  <c r="K83" i="158"/>
  <c r="H83" i="158"/>
  <c r="P82" i="158"/>
  <c r="N82" i="158"/>
  <c r="M82" i="158"/>
  <c r="L82" i="158"/>
  <c r="K82" i="158"/>
  <c r="H82" i="158"/>
  <c r="P81" i="158"/>
  <c r="N81" i="158"/>
  <c r="M81" i="158"/>
  <c r="L81" i="158"/>
  <c r="K81" i="158"/>
  <c r="H81" i="158"/>
  <c r="P80" i="158"/>
  <c r="N80" i="158"/>
  <c r="M80" i="158"/>
  <c r="L80" i="158"/>
  <c r="K80" i="158"/>
  <c r="H80" i="158"/>
  <c r="P79" i="158"/>
  <c r="N79" i="158"/>
  <c r="M79" i="158"/>
  <c r="L79" i="158"/>
  <c r="K79" i="158"/>
  <c r="H79" i="158"/>
  <c r="P78" i="158"/>
  <c r="N78" i="158"/>
  <c r="M78" i="158"/>
  <c r="L78" i="158"/>
  <c r="K78" i="158"/>
  <c r="H78" i="158"/>
  <c r="P77" i="158"/>
  <c r="N77" i="158"/>
  <c r="M77" i="158"/>
  <c r="L77" i="158"/>
  <c r="K77" i="158"/>
  <c r="H77" i="158"/>
  <c r="P76" i="158"/>
  <c r="N76" i="158"/>
  <c r="M76" i="158"/>
  <c r="L76" i="158"/>
  <c r="K76" i="158"/>
  <c r="H76" i="158"/>
  <c r="P75" i="158"/>
  <c r="N75" i="158"/>
  <c r="M75" i="158"/>
  <c r="L75" i="158"/>
  <c r="K75" i="158"/>
  <c r="H75" i="158"/>
  <c r="P74" i="158"/>
  <c r="N74" i="158"/>
  <c r="M74" i="158"/>
  <c r="L74" i="158"/>
  <c r="K74" i="158"/>
  <c r="H74" i="158"/>
  <c r="A355" i="158"/>
  <c r="A354" i="158"/>
  <c r="A353" i="158"/>
  <c r="A352" i="158"/>
  <c r="A351" i="158"/>
  <c r="A350" i="158"/>
  <c r="A349" i="158"/>
  <c r="A348" i="158"/>
  <c r="A347" i="158"/>
  <c r="A346" i="158"/>
  <c r="A345" i="158"/>
  <c r="A344" i="158"/>
  <c r="A343" i="158"/>
  <c r="A342" i="158"/>
  <c r="A341" i="158"/>
  <c r="A340" i="158"/>
  <c r="A339" i="158"/>
  <c r="A338" i="158"/>
  <c r="A337" i="158"/>
  <c r="A336" i="158"/>
  <c r="A335" i="158"/>
  <c r="A334" i="158"/>
  <c r="A333" i="158"/>
  <c r="A332" i="158"/>
  <c r="A331" i="158"/>
  <c r="A330" i="158"/>
  <c r="A329" i="158"/>
  <c r="A328" i="158"/>
  <c r="A327" i="158"/>
  <c r="A326" i="158"/>
  <c r="A325" i="158"/>
  <c r="A324" i="158"/>
  <c r="A323" i="158"/>
  <c r="A322" i="158"/>
  <c r="A321" i="158"/>
  <c r="A320" i="158"/>
  <c r="A319" i="158"/>
  <c r="A318" i="158"/>
  <c r="A317" i="158"/>
  <c r="A316" i="158"/>
  <c r="A315" i="158"/>
  <c r="A314" i="158"/>
  <c r="A313" i="158"/>
  <c r="A312" i="158"/>
  <c r="A311" i="158"/>
  <c r="A310" i="158"/>
  <c r="A309" i="158"/>
  <c r="A308" i="158"/>
  <c r="A307" i="158"/>
  <c r="A306" i="158"/>
  <c r="A305" i="158"/>
  <c r="A304" i="158"/>
  <c r="A303" i="158"/>
  <c r="A302" i="158"/>
  <c r="A301" i="158"/>
  <c r="A300" i="158"/>
  <c r="A299" i="158"/>
  <c r="A298" i="158"/>
  <c r="A297" i="158"/>
  <c r="A296" i="158"/>
  <c r="A295" i="158"/>
  <c r="A294" i="158"/>
  <c r="A293" i="158"/>
  <c r="A292" i="158"/>
  <c r="A291" i="158"/>
  <c r="A290" i="158"/>
  <c r="A289" i="158"/>
  <c r="A288" i="158"/>
  <c r="A287" i="158"/>
  <c r="A286" i="158"/>
  <c r="A285" i="158"/>
  <c r="A284" i="158"/>
  <c r="A283" i="158"/>
  <c r="A282" i="158"/>
  <c r="A281" i="158"/>
  <c r="A280" i="158"/>
  <c r="A279" i="158"/>
  <c r="A278" i="158"/>
  <c r="A277" i="158"/>
  <c r="A276" i="158"/>
  <c r="A275" i="158"/>
  <c r="A274" i="158"/>
  <c r="A273" i="158"/>
  <c r="A272" i="158"/>
  <c r="A271" i="158"/>
  <c r="A270" i="158"/>
  <c r="A269" i="158"/>
  <c r="A268" i="158"/>
  <c r="A267" i="158"/>
  <c r="A266" i="158"/>
  <c r="A265" i="158"/>
  <c r="A264" i="158"/>
  <c r="A263" i="158"/>
  <c r="A262" i="158"/>
  <c r="A261" i="158"/>
  <c r="A260" i="158"/>
  <c r="A259" i="158"/>
  <c r="A258" i="158"/>
  <c r="A257" i="158"/>
  <c r="A256" i="158"/>
  <c r="A255" i="158"/>
  <c r="A254" i="158"/>
  <c r="A253" i="158"/>
  <c r="A252" i="158"/>
  <c r="A251" i="158"/>
  <c r="A250" i="158"/>
  <c r="A249" i="158"/>
  <c r="A248" i="158"/>
  <c r="A247" i="158"/>
  <c r="A246" i="158"/>
  <c r="A245" i="158"/>
  <c r="A244" i="158"/>
  <c r="A243" i="158"/>
  <c r="A242" i="158"/>
  <c r="A241" i="158"/>
  <c r="A240" i="158"/>
  <c r="A239" i="158"/>
  <c r="A238" i="158"/>
  <c r="A237" i="158"/>
  <c r="A236" i="158"/>
  <c r="A235" i="158"/>
  <c r="A234" i="158"/>
  <c r="A233" i="158"/>
  <c r="A232" i="158"/>
  <c r="A231" i="158"/>
  <c r="A230" i="158"/>
  <c r="A229" i="158"/>
  <c r="A228" i="158"/>
  <c r="A227" i="158"/>
  <c r="A226" i="158"/>
  <c r="A225" i="158"/>
  <c r="A224" i="158"/>
  <c r="A223" i="158"/>
  <c r="A222" i="158"/>
  <c r="A221" i="158"/>
  <c r="A220" i="158"/>
  <c r="A219" i="158"/>
  <c r="A218" i="158"/>
  <c r="A217" i="158"/>
  <c r="A216" i="158"/>
  <c r="A215" i="158"/>
  <c r="A214" i="158"/>
  <c r="A213" i="158"/>
  <c r="A212" i="158"/>
  <c r="A211" i="158"/>
  <c r="A210" i="158"/>
  <c r="A209" i="158"/>
  <c r="A208" i="158"/>
  <c r="A207" i="158"/>
  <c r="A206" i="158"/>
  <c r="A205" i="158"/>
  <c r="A204" i="158"/>
  <c r="A203" i="158"/>
  <c r="A202" i="158"/>
  <c r="A201" i="158"/>
  <c r="A200" i="158"/>
  <c r="A199" i="158"/>
  <c r="A198" i="158"/>
  <c r="A197" i="158"/>
  <c r="A196" i="158"/>
  <c r="A195" i="158"/>
  <c r="A194" i="158"/>
  <c r="A193" i="158"/>
  <c r="A192" i="158"/>
  <c r="A191" i="158"/>
  <c r="A190" i="158"/>
  <c r="A189" i="158"/>
  <c r="A188" i="158"/>
  <c r="A187" i="158"/>
  <c r="A186" i="158"/>
  <c r="A185" i="158"/>
  <c r="A184" i="158"/>
  <c r="A183" i="158"/>
  <c r="A182" i="158"/>
  <c r="A181" i="158"/>
  <c r="A180" i="158"/>
  <c r="A179" i="158"/>
  <c r="A178" i="158"/>
  <c r="A177" i="158"/>
  <c r="A176" i="158"/>
  <c r="A175" i="158"/>
  <c r="A174" i="158"/>
  <c r="A173" i="158"/>
  <c r="A172" i="158"/>
  <c r="A171" i="158"/>
  <c r="A170" i="158"/>
  <c r="A169" i="158"/>
  <c r="A168" i="158"/>
  <c r="A167" i="158"/>
  <c r="A166" i="158"/>
  <c r="A165" i="158"/>
  <c r="A164" i="158"/>
  <c r="A163" i="158"/>
  <c r="A162" i="158"/>
  <c r="A161" i="158"/>
  <c r="A160" i="158"/>
  <c r="A159" i="158"/>
  <c r="A158" i="158"/>
  <c r="A157" i="158"/>
  <c r="A156" i="158"/>
  <c r="A155" i="158"/>
  <c r="A154" i="158"/>
  <c r="A153" i="158"/>
  <c r="A152" i="158"/>
  <c r="A151" i="158"/>
  <c r="A150" i="158"/>
  <c r="A149" i="158"/>
  <c r="A148" i="158"/>
  <c r="A147" i="158"/>
  <c r="A146" i="158"/>
  <c r="A145" i="158"/>
  <c r="A144" i="158"/>
  <c r="A143" i="158"/>
  <c r="A142" i="158"/>
  <c r="A141" i="158"/>
  <c r="A140" i="158"/>
  <c r="A139" i="158"/>
  <c r="A138" i="158"/>
  <c r="A137" i="158"/>
  <c r="A136" i="158"/>
  <c r="A135" i="158"/>
  <c r="A134" i="158"/>
  <c r="A133" i="158"/>
  <c r="A132" i="158"/>
  <c r="A131" i="158"/>
  <c r="A130" i="158"/>
  <c r="A129" i="158"/>
  <c r="A128" i="158"/>
  <c r="A127" i="158"/>
  <c r="A126" i="158"/>
  <c r="A125" i="158"/>
  <c r="A124" i="158"/>
  <c r="A123" i="158"/>
  <c r="A122" i="158"/>
  <c r="A121" i="158"/>
  <c r="A120" i="158"/>
  <c r="A119" i="158"/>
  <c r="A118" i="158"/>
  <c r="A117" i="158"/>
  <c r="A116" i="158"/>
  <c r="A115" i="158"/>
  <c r="A114" i="158"/>
  <c r="A113" i="158"/>
  <c r="A112" i="158"/>
  <c r="A111" i="158"/>
  <c r="A110" i="158"/>
  <c r="A109" i="158"/>
  <c r="A108" i="158"/>
  <c r="A107" i="158"/>
  <c r="A106" i="158"/>
  <c r="A105" i="158"/>
  <c r="A104" i="158"/>
  <c r="A103" i="158"/>
  <c r="A102" i="158"/>
  <c r="A101" i="158"/>
  <c r="A100" i="158"/>
  <c r="A99" i="158"/>
  <c r="A98" i="158"/>
  <c r="A97" i="158"/>
  <c r="A96" i="158"/>
  <c r="A95" i="158"/>
  <c r="A94" i="158"/>
  <c r="A93" i="158"/>
  <c r="A92" i="158"/>
  <c r="A91" i="158"/>
  <c r="A90" i="158"/>
  <c r="A89" i="158"/>
  <c r="A88" i="158"/>
  <c r="A87" i="158"/>
  <c r="A86" i="158"/>
  <c r="A85" i="158"/>
  <c r="A84" i="158"/>
  <c r="A83" i="158"/>
  <c r="A82" i="158"/>
  <c r="A81" i="158"/>
  <c r="A80" i="158"/>
  <c r="A79" i="158"/>
  <c r="A78" i="158"/>
  <c r="A77" i="158"/>
  <c r="A76" i="158"/>
  <c r="A75" i="158"/>
  <c r="A74" i="158"/>
  <c r="B30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F48" i="157"/>
  <c r="F49" i="157"/>
  <c r="F50" i="157"/>
  <c r="J18" i="159"/>
  <c r="J19" i="159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J42" i="159"/>
  <c r="E42" i="159"/>
  <c r="F42" i="159"/>
  <c r="C42" i="159"/>
  <c r="H42" i="159"/>
  <c r="K42" i="159"/>
  <c r="L42" i="159"/>
  <c r="M42" i="159"/>
  <c r="N42" i="159"/>
  <c r="P42" i="159"/>
  <c r="J43" i="159"/>
  <c r="E43" i="159"/>
  <c r="F43" i="159"/>
  <c r="C43" i="159"/>
  <c r="H43" i="159"/>
  <c r="K43" i="159"/>
  <c r="L43" i="159"/>
  <c r="M43" i="159"/>
  <c r="N43" i="159"/>
  <c r="P43" i="159"/>
  <c r="R9" i="157"/>
  <c r="F42" i="157"/>
  <c r="G42" i="157"/>
  <c r="H70" i="158"/>
  <c r="K70" i="158"/>
  <c r="L70" i="158"/>
  <c r="M70" i="158"/>
  <c r="N70" i="158"/>
  <c r="H71" i="158"/>
  <c r="K71" i="158"/>
  <c r="L71" i="158"/>
  <c r="M71" i="158"/>
  <c r="N71" i="158"/>
  <c r="H72" i="158"/>
  <c r="K72" i="158"/>
  <c r="L72" i="158"/>
  <c r="M72" i="158"/>
  <c r="N72" i="158"/>
  <c r="H73" i="158"/>
  <c r="K73" i="158"/>
  <c r="L73" i="158"/>
  <c r="M73" i="158"/>
  <c r="N73" i="158"/>
  <c r="A70" i="158"/>
  <c r="A71" i="158"/>
  <c r="A72" i="158"/>
  <c r="A73" i="158"/>
  <c r="F41" i="157"/>
  <c r="G41" i="157"/>
  <c r="J2" i="159"/>
  <c r="E2" i="159"/>
  <c r="F2" i="159"/>
  <c r="C2" i="159"/>
  <c r="J3" i="159"/>
  <c r="E3" i="159"/>
  <c r="F3" i="159"/>
  <c r="C3" i="159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P37" i="159"/>
  <c r="N37" i="159"/>
  <c r="M37" i="159"/>
  <c r="L37" i="159"/>
  <c r="K37" i="159"/>
  <c r="H37" i="159"/>
  <c r="P36" i="159"/>
  <c r="N36" i="159"/>
  <c r="M36" i="159"/>
  <c r="L36" i="159"/>
  <c r="K36" i="159"/>
  <c r="H36" i="159"/>
  <c r="P35" i="159"/>
  <c r="N35" i="159"/>
  <c r="M35" i="159"/>
  <c r="L35" i="159"/>
  <c r="K35" i="159"/>
  <c r="H35" i="159"/>
  <c r="P34" i="159"/>
  <c r="N34" i="159"/>
  <c r="M34" i="159"/>
  <c r="L34" i="159"/>
  <c r="K34" i="159"/>
  <c r="H34" i="159"/>
  <c r="P33" i="159"/>
  <c r="N33" i="159"/>
  <c r="M33" i="159"/>
  <c r="L33" i="159"/>
  <c r="K33" i="159"/>
  <c r="H33" i="159"/>
  <c r="P32" i="159"/>
  <c r="N32" i="159"/>
  <c r="M32" i="159"/>
  <c r="L32" i="159"/>
  <c r="K32" i="159"/>
  <c r="H32" i="159"/>
  <c r="P31" i="159"/>
  <c r="N31" i="159"/>
  <c r="M31" i="159"/>
  <c r="L31" i="159"/>
  <c r="K31" i="159"/>
  <c r="H31" i="159"/>
  <c r="P30" i="159"/>
  <c r="N30" i="159"/>
  <c r="M30" i="159"/>
  <c r="L30" i="159"/>
  <c r="K30" i="159"/>
  <c r="H30" i="159"/>
  <c r="P29" i="159"/>
  <c r="N29" i="159"/>
  <c r="M29" i="159"/>
  <c r="L29" i="159"/>
  <c r="K29" i="159"/>
  <c r="H29" i="159"/>
  <c r="P28" i="159"/>
  <c r="N28" i="159"/>
  <c r="M28" i="159"/>
  <c r="L28" i="159"/>
  <c r="K28" i="159"/>
  <c r="H28" i="159"/>
  <c r="P27" i="159"/>
  <c r="N27" i="159"/>
  <c r="M27" i="159"/>
  <c r="L27" i="159"/>
  <c r="K27" i="159"/>
  <c r="H27" i="159"/>
  <c r="P26" i="159"/>
  <c r="N26" i="159"/>
  <c r="M26" i="159"/>
  <c r="L26" i="159"/>
  <c r="K26" i="159"/>
  <c r="H26" i="159"/>
  <c r="P25" i="159"/>
  <c r="N25" i="159"/>
  <c r="M25" i="159"/>
  <c r="L25" i="159"/>
  <c r="K25" i="159"/>
  <c r="H25" i="159"/>
  <c r="P24" i="159"/>
  <c r="N24" i="159"/>
  <c r="M24" i="159"/>
  <c r="L24" i="159"/>
  <c r="K24" i="159"/>
  <c r="H24" i="159"/>
  <c r="P23" i="159"/>
  <c r="N23" i="159"/>
  <c r="M23" i="159"/>
  <c r="L23" i="159"/>
  <c r="K23" i="159"/>
  <c r="H23" i="159"/>
  <c r="P22" i="159"/>
  <c r="N22" i="159"/>
  <c r="M22" i="159"/>
  <c r="L22" i="159"/>
  <c r="K22" i="159"/>
  <c r="H22" i="159"/>
  <c r="P21" i="159"/>
  <c r="N21" i="159"/>
  <c r="M21" i="159"/>
  <c r="L21" i="159"/>
  <c r="K21" i="159"/>
  <c r="H21" i="159"/>
  <c r="P20" i="159"/>
  <c r="N20" i="159"/>
  <c r="M20" i="159"/>
  <c r="L20" i="159"/>
  <c r="K20" i="159"/>
  <c r="H20" i="159"/>
  <c r="P19" i="159"/>
  <c r="N19" i="159"/>
  <c r="M19" i="159"/>
  <c r="L19" i="159"/>
  <c r="K19" i="159"/>
  <c r="H19" i="159"/>
  <c r="P18" i="159"/>
  <c r="N18" i="159"/>
  <c r="M18" i="159"/>
  <c r="L18" i="159"/>
  <c r="K18" i="159"/>
  <c r="H18" i="159"/>
  <c r="P17" i="159"/>
  <c r="N17" i="159"/>
  <c r="M17" i="159"/>
  <c r="L17" i="159"/>
  <c r="K17" i="159"/>
  <c r="H17" i="159"/>
  <c r="P16" i="159"/>
  <c r="N16" i="159"/>
  <c r="M16" i="159"/>
  <c r="L16" i="159"/>
  <c r="K16" i="159"/>
  <c r="H16" i="159"/>
  <c r="P15" i="159"/>
  <c r="N15" i="159"/>
  <c r="M15" i="159"/>
  <c r="L15" i="159"/>
  <c r="K15" i="159"/>
  <c r="H15" i="159"/>
  <c r="P14" i="159"/>
  <c r="N14" i="159"/>
  <c r="M14" i="159"/>
  <c r="L14" i="159"/>
  <c r="K14" i="159"/>
  <c r="H14" i="159"/>
  <c r="P13" i="159"/>
  <c r="N13" i="159"/>
  <c r="M13" i="159"/>
  <c r="L13" i="159"/>
  <c r="K13" i="159"/>
  <c r="H13" i="159"/>
  <c r="P12" i="159"/>
  <c r="N12" i="159"/>
  <c r="M12" i="159"/>
  <c r="L12" i="159"/>
  <c r="K12" i="159"/>
  <c r="H12" i="159"/>
  <c r="P11" i="159"/>
  <c r="N11" i="159"/>
  <c r="M11" i="159"/>
  <c r="L11" i="159"/>
  <c r="K11" i="159"/>
  <c r="H11" i="159"/>
  <c r="P10" i="159"/>
  <c r="N10" i="159"/>
  <c r="M10" i="159"/>
  <c r="L10" i="159"/>
  <c r="K10" i="159"/>
  <c r="H10" i="159"/>
  <c r="P9" i="159"/>
  <c r="N9" i="159"/>
  <c r="M9" i="159"/>
  <c r="L9" i="159"/>
  <c r="K9" i="159"/>
  <c r="H9" i="159"/>
  <c r="P8" i="159"/>
  <c r="N8" i="159"/>
  <c r="M8" i="159"/>
  <c r="L8" i="159"/>
  <c r="K8" i="159"/>
  <c r="H8" i="159"/>
  <c r="P7" i="159"/>
  <c r="N7" i="159"/>
  <c r="M7" i="159"/>
  <c r="L7" i="159"/>
  <c r="K7" i="159"/>
  <c r="H7" i="159"/>
  <c r="P6" i="159"/>
  <c r="N6" i="159"/>
  <c r="M6" i="159"/>
  <c r="L6" i="159"/>
  <c r="K6" i="159"/>
  <c r="H6" i="159"/>
  <c r="P5" i="159"/>
  <c r="N5" i="159"/>
  <c r="M5" i="159"/>
  <c r="L5" i="159"/>
  <c r="K5" i="159"/>
  <c r="H5" i="159"/>
  <c r="P4" i="159"/>
  <c r="N4" i="159"/>
  <c r="M4" i="159"/>
  <c r="L4" i="159"/>
  <c r="K4" i="159"/>
  <c r="H4" i="159"/>
  <c r="P3" i="159"/>
  <c r="N3" i="159"/>
  <c r="M3" i="159"/>
  <c r="L3" i="159"/>
  <c r="K3" i="159"/>
  <c r="H3" i="159"/>
  <c r="P2" i="159"/>
  <c r="N2" i="159"/>
  <c r="M2" i="159"/>
  <c r="L2" i="159"/>
  <c r="K2" i="159"/>
  <c r="H2" i="159"/>
  <c r="C19" i="157"/>
  <c r="C20" i="157"/>
  <c r="C21" i="157"/>
  <c r="C22" i="157"/>
  <c r="C23" i="157"/>
  <c r="C24" i="157"/>
  <c r="C25" i="157"/>
  <c r="C26" i="157"/>
  <c r="C29" i="157"/>
  <c r="C32" i="157"/>
  <c r="C4" i="103"/>
  <c r="E4" i="103"/>
  <c r="R10" i="157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<sst xmlns="http://schemas.openxmlformats.org/spreadsheetml/2006/main" count="425" uniqueCount="256">
  <si>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</si>
  <si>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</si>
  <si>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</si>
  <si>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</si>
  <si>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</si>
  <si>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</si>
  <si>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</si>
  <si>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</si>
  <si>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</si>
  <si>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</si>
  <si>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</si>
  <si>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</si>
  <si>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</si>
  <si>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</si>
  <si>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</si>
  <si>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</si>
  <si>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</si>
  <si>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</si>
  <si>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</si>
  <si>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</si>
  <si>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</si>
  <si>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</si>
  <si>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</si>
  <si>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</si>
  <si>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</si>
  <si>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</si>
  <si>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</si>
  <si>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</si>
  <si>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</si>
  <si>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</si>
  <si>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</si>
  <si>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</si>
  <si>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</si>
  <si>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</si>
  <si>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</si>
  <si>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</si>
  <si>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</si>
  <si>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</si>
  <si>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</si>
  <si>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</si>
  <si>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</si>
  <si>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</si>
  <si>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</si>
  <si>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</si>
  <si>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</si>
  <si>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</si>
  <si>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</si>
  <si>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</si>
  <si>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</si>
  <si>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</si>
  <si>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</si>
  <si>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</si>
  <si>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</si>
  <si>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</si>
  <si>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</si>
  <si>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</si>
  <si>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</si>
  <si>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</si>
  <si>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</si>
  <si>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</si>
  <si>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</si>
  <si>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</si>
  <si>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</si>
  <si>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</si>
  <si>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</si>
  <si>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</si>
  <si>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</si>
  <si>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</si>
  <si>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</si>
  <si>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</si>
  <si>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</si>
  <si>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</si>
  <si>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</si>
  <si>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</si>
  <si>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</si>
  <si>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</si>
  <si>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</si>
  <si>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</si>
  <si>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</si>
  <si>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</si>
  <si>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</si>
  <si>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</si>
  <si>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</si>
  <si>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</si>
  <si>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</si>
  <si>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</si>
  <si>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</si>
  <si>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</si>
  <si>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</si>
  <si>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</si>
  <si>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</si>
  <si>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</si>
  <si>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</si>
  <si>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</si>
  <si>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</si>
  <si>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</si>
  <si>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</si>
  <si>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</si>
  <si>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</si>
  <si>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</si>
  <si>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</si>
  <si>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</si>
  <si>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</si>
  <si>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</si>
  <si>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</si>
  <si>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</si>
  <si>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</si>
  <si>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</si>
  <si>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</si>
  <si>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</si>
  <si>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</si>
  <si>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</si>
  <si>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</si>
  <si>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</si>
  <si>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</si>
  <si>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</si>
  <si>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</si>
  <si>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</si>
  <si>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</si>
  <si>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</si>
  <si>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</si>
  <si>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</si>
  <si>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</si>
  <si>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</si>
  <si>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</si>
  <si>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</si>
  <si>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</si>
  <si>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</si>
  <si>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</si>
  <si>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</si>
  <si>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</si>
  <si>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</si>
  <si>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</si>
  <si>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</si>
  <si>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</si>
  <si>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</si>
  <si>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</si>
  <si>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</si>
  <si>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</si>
  <si>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</si>
  <si>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</si>
  <si>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</si>
  <si>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</si>
  <si>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</si>
  <si>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</si>
  <si>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</si>
  <si>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</si>
  <si>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</si>
  <si>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</si>
  <si>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</si>
  <si>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</si>
  <si>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</si>
  <si>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</si>
  <si>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</si>
  <si>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</si>
  <si>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</si>
  <si>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</si>
  <si>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</si>
  <si>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</si>
  <si>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</si>
  <si>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</si>
  <si>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</si>
  <si>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</si>
  <si>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</si>
  <si>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</si>
  <si>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</si>
  <si>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</si>
  <si>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</si>
  <si>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</si>
  <si>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</si>
  <si>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</si>
  <si>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</si>
  <si>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</si>
  <si>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</si>
  <si>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</si>
  <si>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</si>
  <si>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</si>
  <si>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</si>
  <si>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</si>
  <si>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</si>
  <si>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</si>
  <si>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</si>
  <si>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</si>
  <si>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</si>
  <si>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</si>
  <si>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</si>
  <si>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</si>
  <si>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</si>
  <si>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</si>
  <si>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</si>
  <si>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</si>
  <si>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</si>
  <si>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</si>
  <si>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</si>
  <si>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</si>
  <si>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</si>
  <si>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</si>
  <si>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</si>
  <si>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</si>
  <si>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</si>
  <si>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</si>
  <si>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</si>
  <si>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</si>
  <si>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</si>
  <si>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</si>
  <si>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</si>
  <si>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</si>
  <si>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</si>
  <si>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</si>
  <si>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</si>
  <si>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</si>
  <si>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</si>
  <si>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</si>
  <si>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</si>
  <si>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</si>
  <si>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</si>
  <si>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</si>
  <si>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</si>
  <si>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</si>
  <si>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</si>
  <si>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</si>
  <si>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</si>
  <si>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</si>
  <si>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</si>
  <si>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</si>
  <si>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</si>
  <si>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</si>
  <si>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</si>
  <si>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</si>
  <si>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</si>
  <si>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</si>
  <si>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</si>
  <si>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</si>
  <si>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</si>
  <si>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</si>
  <si>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</si>
  <si>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</si>
  <si>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</si>
  <si>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</si>
  <si>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</si>
  <si>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</si>
  <si>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</si>
  <si>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</si>
  <si>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</si>
  <si>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</si>
  <si>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</si>
  <si>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gacha_settle_tables_</t>
    <phoneticPr fontId="21"/>
  </si>
  <si>
    <t>.tmp</t>
    <phoneticPr fontId="54"/>
  </si>
  <si>
    <t>PremiumSSw</t>
    <phoneticPr fontId="21"/>
  </si>
  <si>
    <t>old</t>
    <phoneticPr fontId="21"/>
  </si>
  <si>
    <t>PremiumSSS</t>
    <phoneticPr fontId="21"/>
  </si>
  <si>
    <t>tables_560010</t>
    <phoneticPr fontId="21"/>
  </si>
  <si>
    <t>Premium</t>
  </si>
  <si>
    <t>PremiumSS</t>
  </si>
  <si>
    <t>tables_587100</t>
    <phoneticPr fontId="21"/>
  </si>
  <si>
    <t>tables_settle_587100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</si>
</sst>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2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178" fontId="0" fillId="0" borderId="0" xfId="0" applyNumberFormat="1"/>
    <xf numFmtId="0" fontId="3" fillId="0" borderId="1" xfId="3036" applyFont="1" applyBorder="1"/>
    <xf numFmtId="0" fontId="25" fillId="33" borderId="1" xfId="0" applyFont="1" applyFill="1" applyBorder="1" applyAlignment="1">
      <alignment horizontal="right" vertical="center"/>
    </xf>
    <xf numFmtId="180" fontId="0" fillId="4" borderId="1" xfId="0" applyNumberFormat="1" applyFill="1" applyBorder="1"/>
    <xf numFmtId="0" fontId="2" fillId="4" borderId="1" xfId="2978" applyFont="1" applyFill="1" applyBorder="1"/>
    <xf numFmtId="177" fontId="0" fillId="0" borderId="1" xfId="3575" applyNumberFormat="1" applyFont="1" applyFill="1" applyBorder="1"/>
    <xf numFmtId="0" fontId="1" fillId="4" borderId="1" xfId="2978" applyFont="1" applyFill="1" applyBorder="1"/>
    <xf numFmtId="0" fontId="26" fillId="33" borderId="0" xfId="2" applyFont="1" applyFill="1" applyAlignment="1">
      <alignment vertical="center"/>
    </xf>
    <xf numFmtId="0" fontId="26" fillId="33" borderId="1" xfId="2" applyFont="1" applyFill="1" applyBorder="1" applyAlignment="1">
      <alignment vertical="center"/>
    </xf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theme" Target="theme/theme1.xml"/><Relationship Id="rId12" Type="http://schemas.openxmlformats.org/officeDocument/2006/relationships/styles" Target="styles.xml"/><Relationship Id="rId13" Type="http://schemas.openxmlformats.org/officeDocument/2006/relationships/sharedStrings" Target="sharedStrings.xml"/><Relationship Id="rId14" Type="http://schemas.openxmlformats.org/officeDocument/2006/relationships/calcChain" Target="calcChain.xml"/><Relationship Id="rId1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ライプニッツR5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ライプニッツR6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ライプニッツ(超覚醒)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スパルタR4</v>
          </cell>
          <cell r="H1428" t="str">
            <v>blue</v>
          </cell>
          <cell r="I1428">
            <v>4</v>
          </cell>
          <cell r="J1428" t="str">
            <v>DropWizSS</v>
          </cell>
          <cell r="K1428" t="str">
            <v>attack</v>
          </cell>
          <cell r="L1428" t="str">
            <v>攻撃タイプ</v>
          </cell>
          <cell r="M1428" t="str">
            <v>human</v>
          </cell>
        </row>
        <row r="1429">
          <cell r="A1429">
            <v>1437</v>
          </cell>
          <cell r="B1429" t="str">
            <v>ja</v>
          </cell>
          <cell r="C1429" t="str">
            <v>スパルタR5</v>
          </cell>
          <cell r="H1429" t="str">
            <v>blue</v>
          </cell>
          <cell r="I1429">
            <v>5</v>
          </cell>
          <cell r="J1429" t="str">
            <v>DropWizSS</v>
          </cell>
          <cell r="K1429" t="str">
            <v>attack</v>
          </cell>
          <cell r="L1429" t="str">
            <v>攻撃タイプ</v>
          </cell>
          <cell r="M1429" t="str">
            <v>human</v>
          </cell>
        </row>
        <row r="1430">
          <cell r="A1430">
            <v>1438</v>
          </cell>
          <cell r="B1430" t="str">
            <v>ja</v>
          </cell>
          <cell r="C1430" t="str">
            <v>ゼノビアR5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human</v>
          </cell>
        </row>
        <row r="1431">
          <cell r="A1431">
            <v>1439</v>
          </cell>
          <cell r="B1431" t="str">
            <v>ja</v>
          </cell>
          <cell r="C1431" t="str">
            <v>ゼノビアR6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human</v>
          </cell>
        </row>
        <row r="1432">
          <cell r="A1432">
            <v>1440</v>
          </cell>
          <cell r="B1432" t="str">
            <v>ja</v>
          </cell>
          <cell r="C1432" t="str">
            <v>ブルータスR5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ブルータスR6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アレキサンダーR5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human</v>
          </cell>
        </row>
        <row r="1435">
          <cell r="A1435">
            <v>1443</v>
          </cell>
          <cell r="B1435" t="str">
            <v>ja</v>
          </cell>
          <cell r="C1435" t="str">
            <v>アレキサンダーR6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human</v>
          </cell>
        </row>
        <row r="1436">
          <cell r="A1436">
            <v>1444</v>
          </cell>
          <cell r="B1436" t="str">
            <v>ja</v>
          </cell>
          <cell r="C1436" t="str">
            <v>クレオパトラR5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human</v>
          </cell>
        </row>
        <row r="1437">
          <cell r="A1437">
            <v>1445</v>
          </cell>
          <cell r="B1437" t="str">
            <v>ja</v>
          </cell>
          <cell r="C1437" t="str">
            <v>クレオパトラR6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human</v>
          </cell>
        </row>
        <row r="1438">
          <cell r="A1438">
            <v>1446</v>
          </cell>
          <cell r="B1438" t="str">
            <v>ja</v>
          </cell>
          <cell r="C1438" t="str">
            <v>カエサルR5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human</v>
          </cell>
        </row>
        <row r="1439">
          <cell r="A1439">
            <v>1447</v>
          </cell>
          <cell r="B1439" t="str">
            <v>ja</v>
          </cell>
          <cell r="C1439" t="str">
            <v>カエサルR6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human</v>
          </cell>
        </row>
        <row r="1440">
          <cell r="A1440">
            <v>1448</v>
          </cell>
          <cell r="B1440" t="str">
            <v>ja</v>
          </cell>
          <cell r="C1440" t="str">
            <v>ハンニバルR5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ハンニバルR6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ブーディカR4</v>
          </cell>
          <cell r="H1442" t="str">
            <v>yellow</v>
          </cell>
          <cell r="I1442">
            <v>4</v>
          </cell>
          <cell r="J1442" t="str">
            <v>DropWizSS</v>
          </cell>
          <cell r="K1442" t="str">
            <v>technical</v>
          </cell>
          <cell r="L1442" t="str">
            <v>テクニカルタイプ</v>
          </cell>
          <cell r="M1442" t="str">
            <v>unknown</v>
          </cell>
        </row>
        <row r="1443">
          <cell r="A1443">
            <v>1451</v>
          </cell>
          <cell r="B1443" t="str">
            <v>ja</v>
          </cell>
          <cell r="C1443" t="str">
            <v>ブーディカR5</v>
          </cell>
          <cell r="H1443" t="str">
            <v>yellow</v>
          </cell>
          <cell r="I1443">
            <v>5</v>
          </cell>
          <cell r="J1443" t="str">
            <v>DropWizSS</v>
          </cell>
          <cell r="K1443" t="str">
            <v>balance</v>
          </cell>
          <cell r="L1443" t="str">
            <v>バランスタイプ</v>
          </cell>
          <cell r="M1443" t="str">
            <v>unknown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ガルーダ★６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ナーガ★６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レア６何仙姑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レア６藍采和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blue</v>
          </cell>
          <cell r="I1788">
            <v>6</v>
          </cell>
          <cell r="J1788" t="str">
            <v>PremiumSSS</v>
          </cell>
          <cell r="K1788" t="str">
            <v>balance</v>
          </cell>
          <cell r="L1788" t="str">
            <v>バランスタイプ</v>
          </cell>
          <cell r="M1788" t="str">
            <v>human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green</v>
          </cell>
          <cell r="I1789">
            <v>6</v>
          </cell>
          <cell r="J1789" t="str">
            <v>PremiumSS</v>
          </cell>
          <cell r="K1789" t="str">
            <v>attack</v>
          </cell>
          <cell r="L1789" t="str">
            <v>攻撃タイプ</v>
          </cell>
          <cell r="M1789" t="str">
            <v>dragon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green</v>
          </cell>
          <cell r="I1790">
            <v>6</v>
          </cell>
          <cell r="J1790" t="str">
            <v>PremiumSSw</v>
          </cell>
          <cell r="K1790" t="str">
            <v>heal</v>
          </cell>
          <cell r="L1790" t="str">
            <v>回復タイプ</v>
          </cell>
          <cell r="M1790" t="str">
            <v>dragon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yellow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academia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yellow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animal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4" t="s">
        <v>249</v>
      </c>
      <c r="B2" s="61" t="s">
        <v>110</v>
      </c>
      <c r="C2" s="50" t="str">
        <f t="shared" ref="C2" si="0">RIGHT(F2,6)</f>
        <v>587100</v>
      </c>
      <c r="D2" s="19" t="s">
        <v>45</v>
      </c>
      <c r="E2" s="17" t="str">
        <f t="shared" ref="E2" si="1">B2&amp;C2&amp;D2</f>
        <v>gacha_select_tables_587100.tmp</v>
      </c>
      <c r="F2" s="99" t="s">
        <v>254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85" t="s">
        <v>241</v>
      </c>
      <c r="B3" s="61" t="s">
        <v>110</v>
      </c>
      <c r="C3" s="50" t="str">
        <f t="shared" ref="C3:C7" si="2">RIGHT(F3,6)</f>
        <v>560010</v>
      </c>
      <c r="D3" s="19" t="s">
        <v>45</v>
      </c>
      <c r="E3" s="17" t="str">
        <f t="shared" ref="E3:E10" si="3">B3&amp;C3&amp;D3</f>
        <v>gacha_select_tables_560010.tmp</v>
      </c>
      <c r="F3" s="97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249</v>
      </c>
      <c r="B4" s="91" t="s">
        <v>246</v>
      </c>
      <c r="C4" s="92" t="str">
        <f t="shared" si="2"/>
        <v>587100</v>
      </c>
      <c r="D4" s="19" t="s">
        <v>247</v>
      </c>
      <c r="E4" s="17" t="str">
        <f t="shared" si="3"/>
        <v>gacha_settle_tables_587100.tmp</v>
      </c>
      <c r="F4" s="99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5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5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5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5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5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5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tabSelected="1" workbookViewId="0"/>
  </sheetViews>
  <sheetFormatPr baseColWidth="12" defaultRowHeight="14" x14ac:dyDescent="0.15"/>
  <cols>
    <col min="1" max="2" width="24.19921875" bestFit="1" customWidth="1"/>
    <col min="13" max="13" width="20.796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587100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5">
        <v>1367</v>
      </c>
      <c r="M3" s="37" t="str">
        <f>VLOOKUP(L3,[1]characters!$A:$C,3,FALSE)</f>
        <v>ベルヌーイ</v>
      </c>
      <c r="N3" s="76">
        <v>3.0000000000000001E-3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VLOOKUP(L3,tables_587100!B:C,2,FALSE)</f>
        <v>PremiumSSS5R3less</v>
      </c>
      <c r="R3" s="62">
        <f t="shared" ref="R3:R20" si="1">N3*A$36</f>
        <v>63360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5">
        <v>410</v>
      </c>
      <c r="M4" s="37" t="str">
        <f>VLOOKUP(L4,[1]characters!$A:$C,3,FALSE)</f>
        <v>ファラデー</v>
      </c>
      <c r="N4" s="76">
        <v>1.5E-3</v>
      </c>
      <c r="O4" s="37">
        <f>VLOOKUP(L4,[1]characters!$A:$I,9,FALSE)</f>
        <v>4</v>
      </c>
      <c r="P4" s="37" t="str">
        <f>VLOOKUP(L4,[1]characters!$A:$J,10,FALSE)</f>
        <v>PremiumSSS</v>
      </c>
      <c r="Q4" s="37" t="str">
        <f>VLOOKUP(L4,tables_587100!B:C,2,FALSE)</f>
        <v>PremiumSSS4R3less</v>
      </c>
      <c r="R4" s="62">
        <f t="shared" si="1"/>
        <v>31680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9.0909090909090909E-4</v>
      </c>
      <c r="F5">
        <f>(COUNTIF(tables_587100!C:C,input_587100!A28)+COUNTIF(tables_587100!C:C,input_587100!A29))</f>
        <v>72</v>
      </c>
      <c r="H5" s="83">
        <v>1.4999999999999999E-2</v>
      </c>
      <c r="I5" s="31">
        <v>6</v>
      </c>
      <c r="L5" s="95">
        <v>411</v>
      </c>
      <c r="M5" s="37" t="str">
        <f>VLOOKUP(L5,[1]characters!$A:$C,3,FALSE)</f>
        <v>電隷の始祖 ファラデー</v>
      </c>
      <c r="N5" s="76">
        <v>1.5E-3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VLOOKUP(L5,tables_587100!B:C,2,FALSE)</f>
        <v>PremiumSSS5R3less</v>
      </c>
      <c r="R5" s="62">
        <f t="shared" si="1"/>
        <v>31680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9.479166666666667E-3</v>
      </c>
      <c r="F6">
        <f>(COUNTIF(tables_587100!C:C,input_587100!A25)+COUNTIF(tables_587100!C:C,input_587100!A18)+COUNTIF(tables_587100!C:C,input_587100!A20)+COUNTIF(tables_587100!C:C,input_587100!A22))</f>
        <v>96</v>
      </c>
      <c r="H6" s="87">
        <v>0</v>
      </c>
      <c r="I6" s="31">
        <v>0</v>
      </c>
      <c r="L6" s="95">
        <v>1109</v>
      </c>
      <c r="M6" s="37" t="str">
        <f>VLOOKUP(L6,[1]characters!$A:$C,3,FALSE)</f>
        <v>セキ</v>
      </c>
      <c r="N6" s="76">
        <v>3.0000000000000001E-3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VLOOKUP(L6,tables_587100!B:C,2,FALSE)</f>
        <v>PremiumSSS5R3less</v>
      </c>
      <c r="R6" s="62">
        <f t="shared" si="1"/>
        <v>63360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95">
        <v>750</v>
      </c>
      <c r="M7" s="37" t="str">
        <f>VLOOKUP(L7,[1]characters!$A:$C,3,FALSE)</f>
        <v>ポアソン</v>
      </c>
      <c r="N7" s="76">
        <v>3.0000000000000001E-3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VLOOKUP(L7,tables_587100!B:C,2,FALSE)</f>
        <v>PremiumSSS5R3less</v>
      </c>
      <c r="R7" s="62">
        <f t="shared" si="1"/>
        <v>63360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100">
        <v>1348</v>
      </c>
      <c r="M8" s="37" t="str">
        <f>VLOOKUP(L8,[1]characters!$A:$C,3,FALSE)</f>
        <v>パウリ</v>
      </c>
      <c r="N8" s="76">
        <v>3.0000000000000001E-3</v>
      </c>
      <c r="O8" s="37">
        <f>VLOOKUP(L8,[1]characters!$A:$I,9,FALSE)</f>
        <v>5</v>
      </c>
      <c r="P8" s="37" t="str">
        <f>VLOOKUP(L8,[1]characters!$A:$J,10,FALSE)</f>
        <v>PremiumSSS</v>
      </c>
      <c r="Q8" s="37" t="str">
        <f>VLOOKUP(L8,tables_587100!B:C,2,FALSE)</f>
        <v>PremiumSSS5R3less</v>
      </c>
      <c r="R8" s="62">
        <f t="shared" si="1"/>
        <v>63360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6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VLOOKUP(L9,tables_587100!B:C,2,FALSE)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</v>
      </c>
      <c r="C10" t="s">
        <v>208</v>
      </c>
      <c r="L10" s="86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VLOOKUP(L10,tables_587100!B:C,2,FALSE)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L11" s="86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VLOOKUP(L11,tables_587100!B:C,2,FALSE)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1.4999999999999999E-2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VLOOKUP(L12,tables_587100!B:C,2,FALSE)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VLOOKUP(L13,tables_587100!B:C,2,FALSE)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VLOOKUP(L14,tables_587100!B:C,2,FALSE)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VLOOKUP(L15,tables_587100!B:C,2,FALSE)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VLOOKUP(L16,tables_587100!B:C,2,FALSE)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98">
        <f t="shared" ref="C17:C31" si="2">SUMIF(Q:Q,A17,N:N)</f>
        <v>0</v>
      </c>
      <c r="D17" s="74">
        <f t="shared" ref="D17:D32" si="3">B17-C17</f>
        <v>0</v>
      </c>
      <c r="E17">
        <f>COUNTIF(tables_587100!C:C,input_587100!A17)-COUNTIF(Q:Q,A17)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VLOOKUP(L17,tables_587100!B:C,2,FALSE)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B6-SUM(B20,B22,B25,B27,B30)-C30</f>
        <v>0.21831250000000008</v>
      </c>
      <c r="C18" s="98">
        <f t="shared" si="2"/>
        <v>0</v>
      </c>
      <c r="D18" s="74">
        <f t="shared" si="3"/>
        <v>0.21831250000000008</v>
      </c>
      <c r="E18">
        <f>COUNTIF(tables_587100!C:C,input_587100!A18)-COUNTIF(Q:Q,A18)</f>
        <v>20</v>
      </c>
      <c r="F18" s="43">
        <f>IFERROR(B18/E18,0)</f>
        <v>1.0915625000000003E-2</v>
      </c>
      <c r="G18">
        <f t="shared" si="4"/>
        <v>4610760.0000000019</v>
      </c>
      <c r="H18">
        <f t="shared" si="5"/>
        <v>230538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VLOOKUP(L18,tables_587100!B:C,2,FALSE)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98">
        <f t="shared" si="2"/>
        <v>0</v>
      </c>
      <c r="D19" s="74">
        <f t="shared" si="3"/>
        <v>0</v>
      </c>
      <c r="E19">
        <f>COUNTIF(tables_587100!C:C,input_587100!A19)-COUNTIF(Q:Q,A19)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VLOOKUP(L19,tables_587100!B:C,2,FALSE)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</f>
        <v>0.44362499999999999</v>
      </c>
      <c r="C20" s="98">
        <f t="shared" si="2"/>
        <v>0</v>
      </c>
      <c r="D20" s="74">
        <f t="shared" si="3"/>
        <v>0.44362499999999999</v>
      </c>
      <c r="E20">
        <f>COUNTIF(tables_587100!C:C,input_587100!A20)-COUNTIF(Q:Q,A20)</f>
        <v>52</v>
      </c>
      <c r="F20" s="43">
        <f t="shared" si="8"/>
        <v>8.5312500000000006E-3</v>
      </c>
      <c r="G20">
        <f t="shared" si="4"/>
        <v>9369360</v>
      </c>
      <c r="H20">
        <f t="shared" si="5"/>
        <v>180180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VLOOKUP(L20,tables_587100!B:C,2,FALSE)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B7-B23-B26-B28-B29-C31</f>
        <v>2.0562499999999994E-2</v>
      </c>
      <c r="C21" s="98">
        <f t="shared" si="2"/>
        <v>0</v>
      </c>
      <c r="D21" s="74">
        <f t="shared" si="3"/>
        <v>2.0562499999999994E-2</v>
      </c>
      <c r="E21">
        <f>COUNTIF(tables_587100!C:C,input_587100!A21)-COUNTIF(Q:Q,A21)</f>
        <v>52</v>
      </c>
      <c r="F21" s="43">
        <f t="shared" si="8"/>
        <v>3.9543269230769222E-4</v>
      </c>
      <c r="G21">
        <f t="shared" si="4"/>
        <v>434279.99999999988</v>
      </c>
      <c r="H21">
        <f t="shared" si="5"/>
        <v>8351.5384599999998</v>
      </c>
      <c r="I21">
        <f t="shared" si="6"/>
        <v>0.53845999999975902</v>
      </c>
      <c r="J21">
        <f t="shared" si="7"/>
        <v>1.8571481632812976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0.16493749999999999</v>
      </c>
      <c r="C22" s="98">
        <f t="shared" si="2"/>
        <v>0</v>
      </c>
      <c r="D22" s="74">
        <f t="shared" si="3"/>
        <v>0.16493749999999999</v>
      </c>
      <c r="E22">
        <f>COUNTIF(tables_587100!C:C,input_587100!A22)-COUNTIF(Q:Q,A22)</f>
        <v>20</v>
      </c>
      <c r="F22" s="43">
        <f t="shared" si="8"/>
        <v>8.246874999999999E-3</v>
      </c>
      <c r="G22">
        <f t="shared" si="4"/>
        <v>3483479.9999999995</v>
      </c>
      <c r="H22">
        <f t="shared" si="5"/>
        <v>174174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2.4645833333333336E-2</v>
      </c>
      <c r="C23" s="98">
        <f t="shared" si="2"/>
        <v>0</v>
      </c>
      <c r="D23" s="74">
        <f t="shared" si="3"/>
        <v>2.4645833333333336E-2</v>
      </c>
      <c r="E23">
        <f>COUNTIF(tables_587100!C:C,input_587100!A23)-COUNTIF(Q:Q,A23)</f>
        <v>26</v>
      </c>
      <c r="F23" s="43">
        <f t="shared" si="8"/>
        <v>9.4791666666666679E-4</v>
      </c>
      <c r="G23">
        <f t="shared" si="4"/>
        <v>520520.00000000006</v>
      </c>
      <c r="H23">
        <f t="shared" si="5"/>
        <v>20020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98">
        <f t="shared" si="2"/>
        <v>0</v>
      </c>
      <c r="D24" s="74">
        <f t="shared" si="3"/>
        <v>0</v>
      </c>
      <c r="E24">
        <f>COUNTIF(tables_587100!C:C,input_587100!A24)-COUNTIF(Q:Q,A24)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3.4125000000000003E-2</v>
      </c>
      <c r="C25" s="98">
        <f t="shared" si="2"/>
        <v>0</v>
      </c>
      <c r="D25" s="74">
        <f t="shared" si="3"/>
        <v>3.4125000000000003E-2</v>
      </c>
      <c r="E25">
        <f>COUNTIF(tables_587100!C:C,input_587100!A25)-COUNTIF(Q:Q,A25)</f>
        <v>4</v>
      </c>
      <c r="F25" s="43">
        <f t="shared" si="8"/>
        <v>8.5312500000000006E-3</v>
      </c>
      <c r="G25">
        <f t="shared" si="4"/>
        <v>720720</v>
      </c>
      <c r="H25">
        <f t="shared" si="5"/>
        <v>180180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3.7916666666666671E-3</v>
      </c>
      <c r="C26" s="98">
        <f t="shared" si="2"/>
        <v>0</v>
      </c>
      <c r="D26" s="74">
        <f t="shared" si="3"/>
        <v>3.7916666666666671E-3</v>
      </c>
      <c r="E26">
        <f>COUNTIF(tables_587100!C:C,input_587100!A26)-COUNTIF(Q:Q,A26)</f>
        <v>4</v>
      </c>
      <c r="F26" s="43">
        <f t="shared" si="8"/>
        <v>9.4791666666666679E-4</v>
      </c>
      <c r="G26">
        <f t="shared" si="4"/>
        <v>80080.000000000015</v>
      </c>
      <c r="H26">
        <f t="shared" si="5"/>
        <v>20020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96">
        <f>B11-B28-B29-C28-C27</f>
        <v>3.7499999999999992E-2</v>
      </c>
      <c r="C27" s="98">
        <f t="shared" si="2"/>
        <v>0</v>
      </c>
      <c r="D27" s="74">
        <f t="shared" si="3"/>
        <v>3.7499999999999992E-2</v>
      </c>
      <c r="E27">
        <f>COUNTIF(tables_587100!C:C,input_587100!A27)-COUNTIF(Q:Q,A27)</f>
        <v>28</v>
      </c>
      <c r="F27" s="43">
        <f>IFERROR(B27/E27,0)</f>
        <v>1.3392857142857141E-3</v>
      </c>
      <c r="G27">
        <f t="shared" si="4"/>
        <v>791999.99999999977</v>
      </c>
      <c r="H27">
        <f t="shared" si="5"/>
        <v>28285.71429</v>
      </c>
      <c r="I27">
        <f t="shared" si="6"/>
        <v>0.71428999999989173</v>
      </c>
      <c r="J27">
        <f t="shared" si="7"/>
        <v>1.3999916000506119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B11/2*E28/(SUM(E28:E29))</f>
        <v>1.4583333333333334E-2</v>
      </c>
      <c r="C28" s="98">
        <f t="shared" si="2"/>
        <v>0</v>
      </c>
      <c r="D28" s="74">
        <f t="shared" si="3"/>
        <v>1.4583333333333334E-2</v>
      </c>
      <c r="E28">
        <f>COUNTIF(tables_587100!C:C,input_587100!A28)-COUNTIF(Q:Q,A28)</f>
        <v>28</v>
      </c>
      <c r="F28" s="43">
        <f t="shared" si="8"/>
        <v>5.2083333333333333E-4</v>
      </c>
      <c r="G28">
        <f t="shared" si="4"/>
        <v>308000</v>
      </c>
      <c r="H28">
        <f t="shared" si="5"/>
        <v>11000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B11/2*E29/(SUM(E28:E29))</f>
        <v>2.2916666666666665E-2</v>
      </c>
      <c r="C29" s="98">
        <f t="shared" si="2"/>
        <v>0</v>
      </c>
      <c r="D29" s="74">
        <f t="shared" si="3"/>
        <v>2.2916666666666665E-2</v>
      </c>
      <c r="E29">
        <f>COUNTIF(tables_587100!C:C,input_587100!A29)-COUNTIF(Q:Q,A29)</f>
        <v>44</v>
      </c>
      <c r="F29" s="43">
        <f t="shared" si="8"/>
        <v>5.2083333333333333E-4</v>
      </c>
      <c r="G29">
        <f t="shared" si="4"/>
        <v>483999.99999999994</v>
      </c>
      <c r="H29">
        <f t="shared" si="5"/>
        <v>11000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98">
        <f t="shared" si="2"/>
        <v>1.5E-3</v>
      </c>
      <c r="D30" s="74">
        <f t="shared" si="3"/>
        <v>-1.5E-3</v>
      </c>
      <c r="E30">
        <f>COUNTIF(tables_587100!C:C,input_587100!A30)-COUNTIF(Q:Q,A30)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98">
        <f t="shared" si="2"/>
        <v>1.3500000000000002E-2</v>
      </c>
      <c r="D31" s="74">
        <f t="shared" si="3"/>
        <v>-1.3500000000000002E-2</v>
      </c>
      <c r="E31">
        <f>COUNTIF(tables_587100!C:C,input_587100!A31)-COUNTIF(Q:Q,A31)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0.98499999999999999</v>
      </c>
      <c r="C32" s="41">
        <f>SUM(C19:C31)</f>
        <v>1.5000000000000001E-2</v>
      </c>
      <c r="D32" s="42">
        <f t="shared" si="3"/>
        <v>0.97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  <c r="F35" s="93"/>
    </row>
    <row r="36" spans="1:7" x14ac:dyDescent="0.15">
      <c r="A36" s="31">
        <f>LCM(F5-I5,F6-I6)*1000*2*2*5</f>
        <v>21120000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SUMIF(tables_587100!C:C,input_587100!A40,tables_587100!O:O)</f>
        <v>0</v>
      </c>
      <c r="C40" s="54">
        <f t="shared" ref="C40:C46" ca="1" si="9">B40/B$47</f>
        <v>0</v>
      </c>
      <c r="E40">
        <v>3</v>
      </c>
      <c r="F40">
        <f ca="1">SUMIF(tables_587100!J:J,input_587100!E40,tables_587100!O:O)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SUMIF(tables_587100!C:C,input_587100!A41,tables_587100!O:O)</f>
        <v>9369360</v>
      </c>
      <c r="C41" s="54">
        <f t="shared" ca="1" si="9"/>
        <v>0.85928735724635319</v>
      </c>
      <c r="E41">
        <v>4</v>
      </c>
      <c r="F41">
        <f ca="1">SUMIF(tables_587100!J:J,input_587100!E41,tables_587100!O:O)</f>
        <v>19008000.000120014</v>
      </c>
      <c r="G41">
        <f ca="1">F41/A36</f>
        <v>0.90000000000568248</v>
      </c>
    </row>
    <row r="42" spans="1:7" x14ac:dyDescent="0.15">
      <c r="A42" s="33" t="s">
        <v>106</v>
      </c>
      <c r="B42">
        <f ca="1">SUMIF(tables_587100!C:C,input_587100!A42,tables_587100!O:O)</f>
        <v>792000.0001200001</v>
      </c>
      <c r="C42" s="54">
        <f t="shared" ca="1" si="9"/>
        <v>7.2636293945608485E-2</v>
      </c>
      <c r="E42">
        <v>5</v>
      </c>
      <c r="F42">
        <f ca="1">SUMIF(tables_587100!J:J,input_587100!E42,tables_587100!O:O)</f>
        <v>2111999.9999199994</v>
      </c>
      <c r="G42">
        <f ca="1">F42/A36</f>
        <v>9.9999999996212091E-2</v>
      </c>
    </row>
    <row r="43" spans="1:7" x14ac:dyDescent="0.15">
      <c r="A43" s="33" t="s">
        <v>109</v>
      </c>
      <c r="B43">
        <f>SUMIF(tables_587100!C:C,input_587100!A43,tables_587100!O:O)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SUMIF(tables_587100!C:C,input_587100!A44,tables_587100!O:O)</f>
        <v>434279.99992000032</v>
      </c>
      <c r="C44" s="54">
        <f t="shared" ca="1" si="9"/>
        <v>3.9828901166803661E-2</v>
      </c>
      <c r="E44" t="s">
        <v>54</v>
      </c>
      <c r="F44" s="55"/>
    </row>
    <row r="45" spans="1:7" x14ac:dyDescent="0.15">
      <c r="A45" s="33" t="s">
        <v>107</v>
      </c>
      <c r="B45">
        <f ca="1">SUMIF(tables_587100!C:C,input_587100!A45,tables_587100!O:O)</f>
        <v>308000</v>
      </c>
      <c r="C45" s="54">
        <f t="shared" ca="1" si="9"/>
        <v>2.8247447641234491E-2</v>
      </c>
      <c r="E45" t="s">
        <v>204</v>
      </c>
      <c r="F45" s="55">
        <f ca="1">SUMIF(tables_587100!I:I,input_587100!E45,tables_587100!P:P)</f>
        <v>0.22399999999957584</v>
      </c>
    </row>
    <row r="46" spans="1:7" x14ac:dyDescent="0.15">
      <c r="A46" s="33" t="s">
        <v>108</v>
      </c>
      <c r="B46">
        <f>SUMIF(tables_587100!C:C,input_587100!A46,tables_587100!O:O)</f>
        <v>0</v>
      </c>
      <c r="C46" s="54">
        <f t="shared" ca="1" si="9"/>
        <v>0</v>
      </c>
      <c r="E46" t="s">
        <v>205</v>
      </c>
      <c r="F46" s="55">
        <f ca="1">SUMIF(tables_587100!I:I,input_587100!E46,tables_587100!P:P)</f>
        <v>0.18019110576765113</v>
      </c>
    </row>
    <row r="47" spans="1:7" x14ac:dyDescent="0.15">
      <c r="A47" s="39" t="s">
        <v>59</v>
      </c>
      <c r="B47">
        <f ca="1">SUM(B40:B46)</f>
        <v>10903640.000040002</v>
      </c>
      <c r="C47" s="55">
        <f ca="1">SUM(C40:C46)</f>
        <v>0.99999999999999978</v>
      </c>
      <c r="E47" t="s">
        <v>206</v>
      </c>
      <c r="F47" s="55">
        <f ca="1">SUMIF(tables_587100!I:I,input_587100!E47,tables_587100!P:P)</f>
        <v>0.50580889422726172</v>
      </c>
    </row>
    <row r="48" spans="1:7" x14ac:dyDescent="0.15">
      <c r="E48" t="s">
        <v>207</v>
      </c>
      <c r="F48" s="55">
        <f ca="1">SUMIF(tables_587100!I:I,input_587100!E48,tables_587100!P:P)</f>
        <v>7.0312500005548575E-2</v>
      </c>
      <c r="G48" s="55"/>
    </row>
    <row r="49" spans="5:6" x14ac:dyDescent="0.15">
      <c r="E49" t="s">
        <v>248</v>
      </c>
      <c r="F49" s="55">
        <f ca="1">SUMIF(tables_587100!I:I,input_587100!E49,tables_587100!P:P)</f>
        <v>4.6874999999911224E-3</v>
      </c>
    </row>
    <row r="50" spans="5:6" x14ac:dyDescent="0.15">
      <c r="E50" t="s">
        <v>250</v>
      </c>
      <c r="F50" s="55">
        <f ca="1">SUMIF(tables_587100!I:I,input_587100!E50,tables_587100!P:P)</f>
        <v>1.4999999999971588E-2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1"/>
  <sheetViews>
    <sheetView showGridLines="0" zoomScale="75" zoomScaleNormal="75" zoomScalePageLayoutView="75" workbookViewId="0">
      <pane ySplit="1" topLeftCell="A319" activePane="bottomLeft" state="frozen"/>
      <selection activeCell="H276" sqref="H276"/>
      <selection pane="bottomLeft" activeCell="B356" sqref="B356:B36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input_587100!A$2</f>
        <v>587100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IFERROR(VLOOKUP(B2,input_587100!L:R,7,FALSE),VLOOKUP(tables_587100!C2,input_587100!A:H,8,FALSE))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input_587100!A$2</f>
        <v>587100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IFERROR(VLOOKUP(B3,input_587100!L:R,7,FALSE),VLOOKUP(tables_587100!C3,input_587100!A:H,8,FALSE))</f>
        <v>230538</v>
      </c>
      <c r="P3" s="46">
        <f t="shared" ca="1" si="1"/>
        <v>1.0915624999979324E-2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input_587100!A$2</f>
        <v>587100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IFERROR(VLOOKUP(B4,input_587100!L:R,7,FALSE),VLOOKUP(tables_587100!C4,input_587100!A:H,8,FALSE))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input_587100!A$2</f>
        <v>587100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IFERROR(VLOOKUP(B5,input_587100!L:R,7,FALSE),VLOOKUP(tables_587100!C5,input_587100!A:H,8,FALSE))</f>
        <v>230538</v>
      </c>
      <c r="P5" s="46">
        <f t="shared" ca="1" si="1"/>
        <v>1.0915624999979324E-2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input_587100!A$2</f>
        <v>587100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IFERROR(VLOOKUP(B6,input_587100!L:R,7,FALSE),VLOOKUP(tables_587100!C6,input_587100!A:H,8,FALSE))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input_587100!A$2</f>
        <v>587100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IFERROR(VLOOKUP(B7,input_587100!L:R,7,FALSE),VLOOKUP(tables_587100!C7,input_587100!A:H,8,FALSE))</f>
        <v>230538</v>
      </c>
      <c r="P7" s="46">
        <f t="shared" ca="1" si="1"/>
        <v>1.0915624999979324E-2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input_587100!A$2</f>
        <v>587100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IFERROR(VLOOKUP(B8,input_587100!L:R,7,FALSE),VLOOKUP(tables_587100!C8,input_587100!A:H,8,FALSE))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input_587100!A$2</f>
        <v>587100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IFERROR(VLOOKUP(B9,input_587100!L:R,7,FALSE),VLOOKUP(tables_587100!C9,input_587100!A:H,8,FALSE))</f>
        <v>230538</v>
      </c>
      <c r="P9" s="46">
        <f t="shared" ca="1" si="1"/>
        <v>1.0915624999979324E-2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input_587100!A$2</f>
        <v>587100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IFERROR(VLOOKUP(B10,input_587100!L:R,7,FALSE),VLOOKUP(tables_587100!C10,input_587100!A:H,8,FALSE))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input_587100!A$2</f>
        <v>587100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IFERROR(VLOOKUP(B11,input_587100!L:R,7,FALSE),VLOOKUP(tables_587100!C11,input_587100!A:H,8,FALSE))</f>
        <v>230538</v>
      </c>
      <c r="P11" s="46">
        <f t="shared" ca="1" si="1"/>
        <v>1.0915624999979324E-2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input_587100!A$2</f>
        <v>587100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IFERROR(VLOOKUP(B12,input_587100!L:R,7,FALSE),VLOOKUP(tables_587100!C12,input_587100!A:H,8,FALSE))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input_587100!A$2</f>
        <v>587100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IFERROR(VLOOKUP(B13,input_587100!L:R,7,FALSE),VLOOKUP(tables_587100!C13,input_587100!A:H,8,FALSE))</f>
        <v>230538</v>
      </c>
      <c r="P13" s="46">
        <f t="shared" ca="1" si="1"/>
        <v>1.0915624999979324E-2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input_587100!A$2</f>
        <v>587100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IFERROR(VLOOKUP(B14,input_587100!L:R,7,FALSE),VLOOKUP(tables_587100!C14,input_587100!A:H,8,FALSE))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input_587100!A$2</f>
        <v>587100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IFERROR(VLOOKUP(B15,input_587100!L:R,7,FALSE),VLOOKUP(tables_587100!C15,input_587100!A:H,8,FALSE))</f>
        <v>230538</v>
      </c>
      <c r="P15" s="46">
        <f t="shared" ca="1" si="1"/>
        <v>1.0915624999979324E-2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input_587100!A$2</f>
        <v>587100</v>
      </c>
      <c r="B16" s="6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IFERROR(VLOOKUP(B16,input_587100!L:R,7,FALSE),VLOOKUP(tables_587100!C16,input_587100!A:H,8,FALSE))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input_587100!A$2</f>
        <v>587100</v>
      </c>
      <c r="B17" s="6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IFERROR(VLOOKUP(B17,input_587100!L:R,7,FALSE),VLOOKUP(tables_587100!C17,input_587100!A:H,8,FALSE))</f>
        <v>230538</v>
      </c>
      <c r="P17" s="46">
        <f t="shared" ca="1" si="1"/>
        <v>1.0915624999979324E-2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input_587100!A$2</f>
        <v>587100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IFERROR(VLOOKUP(B18,input_587100!L:R,7,FALSE),VLOOKUP(tables_587100!C18,input_587100!A:H,8,FALSE))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input_587100!A$2</f>
        <v>587100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IFERROR(VLOOKUP(B19,input_587100!L:R,7,FALSE),VLOOKUP(tables_587100!C19,input_587100!A:H,8,FALSE))</f>
        <v>230538</v>
      </c>
      <c r="P19" s="46">
        <f t="shared" ca="1" si="1"/>
        <v>1.0915624999979324E-2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input_587100!A$2</f>
        <v>587100</v>
      </c>
      <c r="B20" s="6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IFERROR(VLOOKUP(B20,input_587100!L:R,7,FALSE),VLOOKUP(tables_587100!C20,input_587100!A:H,8,FALSE))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input_587100!A$2</f>
        <v>587100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IFERROR(VLOOKUP(B21,input_587100!L:R,7,FALSE),VLOOKUP(tables_587100!C21,input_587100!A:H,8,FALSE))</f>
        <v>230538</v>
      </c>
      <c r="P21" s="46">
        <f t="shared" ca="1" si="1"/>
        <v>1.0915624999979324E-2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input_587100!A$2</f>
        <v>587100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IFERROR(VLOOKUP(B22,input_587100!L:R,7,FALSE),VLOOKUP(tables_587100!C22,input_587100!A:H,8,FALSE))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input_587100!A$2</f>
        <v>587100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IFERROR(VLOOKUP(B23,input_587100!L:R,7,FALSE),VLOOKUP(tables_587100!C23,input_587100!A:H,8,FALSE))</f>
        <v>230538</v>
      </c>
      <c r="P23" s="46">
        <f t="shared" ca="1" si="1"/>
        <v>1.0915624999979324E-2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input_587100!A$2</f>
        <v>587100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IFERROR(VLOOKUP(B24,input_587100!L:R,7,FALSE),VLOOKUP(tables_587100!C24,input_587100!A:H,8,FALSE))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input_587100!A$2</f>
        <v>587100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IFERROR(VLOOKUP(B25,input_587100!L:R,7,FALSE),VLOOKUP(tables_587100!C25,input_587100!A:H,8,FALSE))</f>
        <v>230538</v>
      </c>
      <c r="P25" s="46">
        <f t="shared" ca="1" si="1"/>
        <v>1.0915624999979324E-2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input_587100!A$2</f>
        <v>587100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IFERROR(VLOOKUP(B26,input_587100!L:R,7,FALSE),VLOOKUP(tables_587100!C26,input_587100!A:H,8,FALSE))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input_587100!A$2</f>
        <v>587100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IFERROR(VLOOKUP(B27,input_587100!L:R,7,FALSE),VLOOKUP(tables_587100!C27,input_587100!A:H,8,FALSE))</f>
        <v>230538</v>
      </c>
      <c r="P27" s="46">
        <f t="shared" ca="1" si="1"/>
        <v>1.0915624999979324E-2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input_587100!A$2</f>
        <v>587100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IFERROR(VLOOKUP(B28,input_587100!L:R,7,FALSE),VLOOKUP(tables_587100!C28,input_587100!A:H,8,FALSE))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input_587100!A$2</f>
        <v>587100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IFERROR(VLOOKUP(B29,input_587100!L:R,7,FALSE),VLOOKUP(tables_587100!C29,input_587100!A:H,8,FALSE))</f>
        <v>230538</v>
      </c>
      <c r="P29" s="46">
        <f t="shared" ca="1" si="1"/>
        <v>1.0915624999979324E-2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input_587100!A$2</f>
        <v>587100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IFERROR(VLOOKUP(B30,input_587100!L:R,7,FALSE),VLOOKUP(tables_587100!C30,input_587100!A:H,8,FALSE))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input_587100!A$2</f>
        <v>587100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IFERROR(VLOOKUP(B31,input_587100!L:R,7,FALSE),VLOOKUP(tables_587100!C31,input_587100!A:H,8,FALSE))</f>
        <v>230538</v>
      </c>
      <c r="P31" s="46">
        <f t="shared" ca="1" si="1"/>
        <v>1.0915624999979324E-2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input_587100!A$2</f>
        <v>587100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IFERROR(VLOOKUP(B32,input_587100!L:R,7,FALSE),VLOOKUP(tables_587100!C32,input_587100!A:H,8,FALSE))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input_587100!A$2</f>
        <v>587100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IFERROR(VLOOKUP(B33,input_587100!L:R,7,FALSE),VLOOKUP(tables_587100!C33,input_587100!A:H,8,FALSE))</f>
        <v>230538</v>
      </c>
      <c r="P33" s="46">
        <f t="shared" ca="1" si="1"/>
        <v>1.0915624999979324E-2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input_587100!A$2</f>
        <v>587100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IFERROR(VLOOKUP(B34,input_587100!L:R,7,FALSE),VLOOKUP(tables_587100!C34,input_587100!A:H,8,FALSE))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input_587100!A$2</f>
        <v>587100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IFERROR(VLOOKUP(B35,input_587100!L:R,7,FALSE),VLOOKUP(tables_587100!C35,input_587100!A:H,8,FALSE))</f>
        <v>230538</v>
      </c>
      <c r="P35" s="46">
        <f t="shared" ca="1" si="1"/>
        <v>1.0915624999979324E-2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input_587100!A$2</f>
        <v>587100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IFERROR(VLOOKUP(B36,input_587100!L:R,7,FALSE),VLOOKUP(tables_587100!C36,input_587100!A:H,8,FALSE))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input_587100!A$2</f>
        <v>587100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IFERROR(VLOOKUP(B37,input_587100!L:R,7,FALSE),VLOOKUP(tables_587100!C37,input_587100!A:H,8,FALSE))</f>
        <v>230538</v>
      </c>
      <c r="P37" s="46">
        <f t="shared" ca="1" si="1"/>
        <v>1.0915624999979324E-2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input_587100!A$2</f>
        <v>587100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IFERROR(VLOOKUP(B38,input_587100!L:R,7,FALSE),VLOOKUP(tables_587100!C38,input_587100!A:H,8,FALSE))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input_587100!A$2</f>
        <v>587100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IFERROR(VLOOKUP(B39,input_587100!L:R,7,FALSE),VLOOKUP(tables_587100!C39,input_587100!A:H,8,FALSE))</f>
        <v>230538</v>
      </c>
      <c r="P39" s="46">
        <f t="shared" ca="1" si="1"/>
        <v>1.0915624999979324E-2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input_587100!A$2</f>
        <v>587100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IFERROR(VLOOKUP(B40,input_587100!L:R,7,FALSE),VLOOKUP(tables_587100!C40,input_587100!A:H,8,FALSE))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input_587100!A$2</f>
        <v>587100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IFERROR(VLOOKUP(B41,input_587100!L:R,7,FALSE),VLOOKUP(tables_587100!C41,input_587100!A:H,8,FALSE))</f>
        <v>230538</v>
      </c>
      <c r="P41" s="46">
        <f t="shared" ca="1" si="1"/>
        <v>1.0915624999979324E-2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input_587100!A$2</f>
        <v>587100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IFERROR(VLOOKUP(B42,input_587100!L:R,7,FALSE),VLOOKUP(tables_587100!C42,input_587100!A:H,8,FALSE))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input_587100!A$2</f>
        <v>587100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IFERROR(VLOOKUP(B43,input_587100!L:R,7,FALSE),VLOOKUP(tables_587100!C43,input_587100!A:H,8,FALSE))</f>
        <v>180180</v>
      </c>
      <c r="P43" s="46">
        <f t="shared" ca="1" si="1"/>
        <v>8.53124999998384E-3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input_587100!A$2</f>
        <v>587100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IFERROR(VLOOKUP(B44,input_587100!L:R,7,FALSE),VLOOKUP(tables_587100!C44,input_587100!A:H,8,FALSE))</f>
        <v>20020</v>
      </c>
      <c r="P44" s="46">
        <f t="shared" ca="1" si="1"/>
        <v>9.4791666666487113E-4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input_587100!A$2</f>
        <v>587100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IFERROR(VLOOKUP(B45,input_587100!L:R,7,FALSE),VLOOKUP(tables_587100!C45,input_587100!A:H,8,FALSE))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input_587100!A$2</f>
        <v>587100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IFERROR(VLOOKUP(B46,input_587100!L:R,7,FALSE),VLOOKUP(tables_587100!C46,input_587100!A:H,8,FALSE))</f>
        <v>180180</v>
      </c>
      <c r="P46" s="46">
        <f t="shared" ca="1" si="1"/>
        <v>8.53124999998384E-3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input_587100!A$2</f>
        <v>587100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IFERROR(VLOOKUP(B47,input_587100!L:R,7,FALSE),VLOOKUP(tables_587100!C47,input_587100!A:H,8,FALSE))</f>
        <v>20020</v>
      </c>
      <c r="P47" s="46">
        <f t="shared" ca="1" si="1"/>
        <v>9.4791666666487113E-4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input_587100!A$2</f>
        <v>587100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IFERROR(VLOOKUP(B48,input_587100!L:R,7,FALSE),VLOOKUP(tables_587100!C48,input_587100!A:H,8,FALSE))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input_587100!A$2</f>
        <v>587100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IFERROR(VLOOKUP(B49,input_587100!L:R,7,FALSE),VLOOKUP(tables_587100!C49,input_587100!A:H,8,FALSE))</f>
        <v>180180</v>
      </c>
      <c r="P49" s="46">
        <f t="shared" ca="1" si="1"/>
        <v>8.53124999998384E-3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input_587100!A$2</f>
        <v>587100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IFERROR(VLOOKUP(B50,input_587100!L:R,7,FALSE),VLOOKUP(tables_587100!C50,input_587100!A:H,8,FALSE))</f>
        <v>20020</v>
      </c>
      <c r="P50" s="46">
        <f t="shared" ca="1" si="1"/>
        <v>9.4791666666487113E-4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input_587100!A$2</f>
        <v>587100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IFERROR(VLOOKUP(B51,input_587100!L:R,7,FALSE),VLOOKUP(tables_587100!C51,input_587100!A:H,8,FALSE))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input_587100!A$2</f>
        <v>587100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IFERROR(VLOOKUP(B52,input_587100!L:R,7,FALSE),VLOOKUP(tables_587100!C52,input_587100!A:H,8,FALSE))</f>
        <v>180180</v>
      </c>
      <c r="P52" s="46">
        <f t="shared" ca="1" si="1"/>
        <v>8.53124999998384E-3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input_587100!A$2</f>
        <v>587100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IFERROR(VLOOKUP(B53,input_587100!L:R,7,FALSE),VLOOKUP(tables_587100!C53,input_587100!A:H,8,FALSE))</f>
        <v>8351.5384599999998</v>
      </c>
      <c r="P53" s="46">
        <f t="shared" ca="1" si="1"/>
        <v>3.9543269223409945E-4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input_587100!A$2</f>
        <v>587100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IFERROR(VLOOKUP(B54,input_587100!L:R,7,FALSE),VLOOKUP(tables_587100!C54,input_587100!A:H,8,FALSE))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input_587100!A$2</f>
        <v>587100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IFERROR(VLOOKUP(B55,input_587100!L:R,7,FALSE),VLOOKUP(tables_587100!C55,input_587100!A:H,8,FALSE))</f>
        <v>180180</v>
      </c>
      <c r="P55" s="46">
        <f t="shared" ca="1" si="1"/>
        <v>8.53124999998384E-3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input_587100!A$2</f>
        <v>587100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IFERROR(VLOOKUP(B56,input_587100!L:R,7,FALSE),VLOOKUP(tables_587100!C56,input_587100!A:H,8,FALSE))</f>
        <v>8351.5384599999998</v>
      </c>
      <c r="P56" s="46">
        <f t="shared" ca="1" si="1"/>
        <v>3.9543269223409945E-4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input_587100!A$2</f>
        <v>587100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IFERROR(VLOOKUP(B57,input_587100!L:R,7,FALSE),VLOOKUP(tables_587100!C57,input_587100!A:H,8,FALSE))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input_587100!A$2</f>
        <v>587100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IFERROR(VLOOKUP(B58,input_587100!L:R,7,FALSE),VLOOKUP(tables_587100!C58,input_587100!A:H,8,FALSE))</f>
        <v>180180</v>
      </c>
      <c r="P58" s="46">
        <f t="shared" ca="1" si="1"/>
        <v>8.53124999998384E-3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input_587100!A$2</f>
        <v>587100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IFERROR(VLOOKUP(B59,input_587100!L:R,7,FALSE),VLOOKUP(tables_587100!C59,input_587100!A:H,8,FALSE))</f>
        <v>8351.5384599999998</v>
      </c>
      <c r="P59" s="46">
        <f t="shared" ca="1" si="1"/>
        <v>3.9543269223409945E-4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input_587100!A$2</f>
        <v>587100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IFERROR(VLOOKUP(B60,input_587100!L:R,7,FALSE),VLOOKUP(tables_587100!C60,input_587100!A:H,8,FALSE))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input_587100!A$2</f>
        <v>587100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IFERROR(VLOOKUP(B61,input_587100!L:R,7,FALSE),VLOOKUP(tables_587100!C61,input_587100!A:H,8,FALSE))</f>
        <v>180180</v>
      </c>
      <c r="P61" s="46">
        <f t="shared" ca="1" si="1"/>
        <v>8.53124999998384E-3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input_587100!A$2</f>
        <v>587100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IFERROR(VLOOKUP(B62,input_587100!L:R,7,FALSE),VLOOKUP(tables_587100!C62,input_587100!A:H,8,FALSE))</f>
        <v>8351.5384599999998</v>
      </c>
      <c r="P62" s="46">
        <f t="shared" ca="1" si="1"/>
        <v>3.9543269223409945E-4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input_587100!A$2</f>
        <v>587100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IFERROR(VLOOKUP(B63,input_587100!L:R,7,FALSE),VLOOKUP(tables_587100!C63,input_587100!A:H,8,FALSE))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input_587100!A$2</f>
        <v>587100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IFERROR(VLOOKUP(B64,input_587100!L:R,7,FALSE),VLOOKUP(tables_587100!C64,input_587100!A:H,8,FALSE))</f>
        <v>180180</v>
      </c>
      <c r="P64" s="46">
        <f t="shared" ca="1" si="1"/>
        <v>8.53124999998384E-3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input_587100!A$2</f>
        <v>587100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IFERROR(VLOOKUP(B65,input_587100!L:R,7,FALSE),VLOOKUP(tables_587100!C65,input_587100!A:H,8,FALSE))</f>
        <v>8351.5384599999998</v>
      </c>
      <c r="P65" s="46">
        <f t="shared" ca="1" si="1"/>
        <v>3.9543269223409945E-4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input_587100!A$2</f>
        <v>587100</v>
      </c>
      <c r="B66" s="6">
        <v>190</v>
      </c>
      <c r="C66" s="7" t="str">
        <f t="shared" ref="C66:C6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IFERROR(VLOOKUP(B66,input_587100!L:R,7,FALSE),VLOOKUP(tables_587100!C66,input_587100!A:H,8,FALSE))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input_587100!A$2</f>
        <v>587100</v>
      </c>
      <c r="B67" s="6">
        <v>191</v>
      </c>
      <c r="C67" s="7" t="str">
        <f t="shared" si="3"/>
        <v>Premium4</v>
      </c>
      <c r="D67" s="7" t="str">
        <f t="shared" ref="D67:D69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IFERROR(VLOOKUP(B67,input_587100!L:R,7,FALSE),VLOOKUP(tables_587100!C67,input_587100!A:H,8,FALSE))</f>
        <v>180180</v>
      </c>
      <c r="P67" s="46">
        <f t="shared" ca="1" si="4"/>
        <v>8.53124999998384E-3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input_587100!A$2</f>
        <v>587100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IFERROR(VLOOKUP(B68,input_587100!L:R,7,FALSE),VLOOKUP(tables_587100!C68,input_587100!A:H,8,FALSE))</f>
        <v>8351.5384599999998</v>
      </c>
      <c r="P68" s="46">
        <f t="shared" ca="1" si="4"/>
        <v>3.9543269223409945E-4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input_587100!A$2</f>
        <v>587100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IFERROR(VLOOKUP(B69,input_587100!L:R,7,FALSE),VLOOKUP(tables_587100!C69,input_587100!A:H,8,FALSE))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input_587100!A$2</f>
        <v>587100</v>
      </c>
      <c r="B70" s="6">
        <v>194</v>
      </c>
      <c r="C70" s="7" t="str">
        <f t="shared" ref="C70:C73" si="6">D70&amp;J70&amp;E70&amp;F70&amp;G70</f>
        <v>Premium4</v>
      </c>
      <c r="D70" s="7" t="str">
        <f t="shared" ref="D70:D73" si="7">IF(OR(I70="PremiumSS",I70="PremiumSSw"),"PremiumSS",IF(I70="PremiumSSS",I70,IF(I70="PremiumW",IF(J70=5,"premium",I70),"Premium")))</f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IFERROR(VLOOKUP(B70,input_587100!L:R,7,FALSE),VLOOKUP(tables_587100!C70,input_587100!A:H,8,FALSE))</f>
        <v>180180</v>
      </c>
      <c r="P70" s="46">
        <f t="shared" ca="1" si="4"/>
        <v>8.53124999998384E-3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input_587100!A$2</f>
        <v>587100</v>
      </c>
      <c r="B71" s="6">
        <v>195</v>
      </c>
      <c r="C71" s="7" t="str">
        <f t="shared" si="6"/>
        <v>Premium5</v>
      </c>
      <c r="D71" s="7" t="str">
        <f t="shared" si="7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IFERROR(VLOOKUP(B71,input_587100!L:R,7,FALSE),VLOOKUP(tables_587100!C71,input_587100!A:H,8,FALSE))</f>
        <v>8351.5384599999998</v>
      </c>
      <c r="P71" s="46">
        <f t="shared" ca="1" si="4"/>
        <v>3.9543269223409945E-4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input_587100!A$2</f>
        <v>587100</v>
      </c>
      <c r="B72" s="6">
        <v>196</v>
      </c>
      <c r="C72" s="7" t="str">
        <f t="shared" si="6"/>
        <v>Premium3</v>
      </c>
      <c r="D72" s="7" t="str">
        <f t="shared" si="7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IFERROR(VLOOKUP(B72,input_587100!L:R,7,FALSE),VLOOKUP(tables_587100!C72,input_587100!A:H,8,FALSE))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input_587100!A$2</f>
        <v>587100</v>
      </c>
      <c r="B73" s="8">
        <v>197</v>
      </c>
      <c r="C73" s="7" t="str">
        <f t="shared" si="6"/>
        <v>Premium4</v>
      </c>
      <c r="D73" s="7" t="str">
        <f t="shared" si="7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IFERROR(VLOOKUP(B73,input_587100!L:R,7,FALSE),VLOOKUP(tables_587100!C73,input_587100!A:H,8,FALSE))</f>
        <v>180180</v>
      </c>
      <c r="P73" s="46">
        <f t="shared" ca="1" si="4"/>
        <v>8.53124999998384E-3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input_587100!A$2</f>
        <v>587100</v>
      </c>
      <c r="B74" s="5">
        <v>198</v>
      </c>
      <c r="C74" s="7" t="str">
        <f t="shared" ref="C74:C137" si="8">D74&amp;J74&amp;E74&amp;F74&amp;G74</f>
        <v>Premium5</v>
      </c>
      <c r="D74" s="7" t="str">
        <f t="shared" ref="D74:D137" si="9">IF(OR(I74="PremiumSS",I74="PremiumSSw"),"PremiumSS",IF(I74="PremiumSSS",I74,IF(I74="PremiumW",IF(J74=5,"premium",I74),"Premium")))</f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IFERROR(VLOOKUP(B74,input_587100!L:R,7,FALSE),VLOOKUP(tables_587100!C74,input_587100!A:H,8,FALSE))</f>
        <v>8351.5384599999998</v>
      </c>
      <c r="P74" s="46">
        <f t="shared" ca="1" si="4"/>
        <v>3.9543269223409945E-4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input_587100!A$2</f>
        <v>587100</v>
      </c>
      <c r="B75" s="5">
        <v>199</v>
      </c>
      <c r="C75" s="7" t="str">
        <f t="shared" si="8"/>
        <v>Premium3</v>
      </c>
      <c r="D75" s="7" t="str">
        <f t="shared" si="9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IFERROR(VLOOKUP(B75,input_587100!L:R,7,FALSE),VLOOKUP(tables_587100!C75,input_587100!A:H,8,FALSE))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input_587100!A$2</f>
        <v>587100</v>
      </c>
      <c r="B76" s="5">
        <v>200</v>
      </c>
      <c r="C76" s="7" t="str">
        <f t="shared" si="8"/>
        <v>Premium4</v>
      </c>
      <c r="D76" s="7" t="str">
        <f t="shared" si="9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IFERROR(VLOOKUP(B76,input_587100!L:R,7,FALSE),VLOOKUP(tables_587100!C76,input_587100!A:H,8,FALSE))</f>
        <v>180180</v>
      </c>
      <c r="P76" s="46">
        <f t="shared" ca="1" si="4"/>
        <v>8.53124999998384E-3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input_587100!A$2</f>
        <v>587100</v>
      </c>
      <c r="B77" s="5">
        <v>201</v>
      </c>
      <c r="C77" s="7" t="str">
        <f t="shared" si="8"/>
        <v>Premium5</v>
      </c>
      <c r="D77" s="7" t="str">
        <f t="shared" si="9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IFERROR(VLOOKUP(B77,input_587100!L:R,7,FALSE),VLOOKUP(tables_587100!C77,input_587100!A:H,8,FALSE))</f>
        <v>8351.5384599999998</v>
      </c>
      <c r="P77" s="46">
        <f t="shared" ca="1" si="4"/>
        <v>3.9543269223409945E-4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input_587100!A$2</f>
        <v>587100</v>
      </c>
      <c r="B78" s="5">
        <v>202</v>
      </c>
      <c r="C78" s="7" t="str">
        <f t="shared" si="8"/>
        <v>Premium3</v>
      </c>
      <c r="D78" s="7" t="str">
        <f t="shared" si="9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IFERROR(VLOOKUP(B78,input_587100!L:R,7,FALSE),VLOOKUP(tables_587100!C78,input_587100!A:H,8,FALSE))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input_587100!A$2</f>
        <v>587100</v>
      </c>
      <c r="B79" s="5">
        <v>203</v>
      </c>
      <c r="C79" s="7" t="str">
        <f t="shared" si="8"/>
        <v>Premium4</v>
      </c>
      <c r="D79" s="7" t="str">
        <f t="shared" si="9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IFERROR(VLOOKUP(B79,input_587100!L:R,7,FALSE),VLOOKUP(tables_587100!C79,input_587100!A:H,8,FALSE))</f>
        <v>180180</v>
      </c>
      <c r="P79" s="46">
        <f t="shared" ca="1" si="4"/>
        <v>8.53124999998384E-3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input_587100!A$2</f>
        <v>587100</v>
      </c>
      <c r="B80" s="5">
        <v>204</v>
      </c>
      <c r="C80" s="7" t="str">
        <f t="shared" si="8"/>
        <v>Premium5</v>
      </c>
      <c r="D80" s="7" t="str">
        <f t="shared" si="9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IFERROR(VLOOKUP(B80,input_587100!L:R,7,FALSE),VLOOKUP(tables_587100!C80,input_587100!A:H,8,FALSE))</f>
        <v>8351.5384599999998</v>
      </c>
      <c r="P80" s="46">
        <f t="shared" ca="1" si="4"/>
        <v>3.9543269223409945E-4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input_587100!A$2</f>
        <v>587100</v>
      </c>
      <c r="B81" s="5">
        <v>205</v>
      </c>
      <c r="C81" s="7" t="str">
        <f t="shared" si="8"/>
        <v>Premium3</v>
      </c>
      <c r="D81" s="7" t="str">
        <f t="shared" si="9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IFERROR(VLOOKUP(B81,input_587100!L:R,7,FALSE),VLOOKUP(tables_587100!C81,input_587100!A:H,8,FALSE))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input_587100!A$2</f>
        <v>587100</v>
      </c>
      <c r="B82" s="5">
        <v>206</v>
      </c>
      <c r="C82" s="7" t="str">
        <f t="shared" si="8"/>
        <v>Premium4</v>
      </c>
      <c r="D82" s="7" t="str">
        <f t="shared" si="9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IFERROR(VLOOKUP(B82,input_587100!L:R,7,FALSE),VLOOKUP(tables_587100!C82,input_587100!A:H,8,FALSE))</f>
        <v>180180</v>
      </c>
      <c r="P82" s="46">
        <f t="shared" ca="1" si="4"/>
        <v>8.53124999998384E-3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input_587100!A$2</f>
        <v>587100</v>
      </c>
      <c r="B83" s="5">
        <v>207</v>
      </c>
      <c r="C83" s="7" t="str">
        <f t="shared" si="8"/>
        <v>Premium5</v>
      </c>
      <c r="D83" s="7" t="str">
        <f t="shared" si="9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IFERROR(VLOOKUP(B83,input_587100!L:R,7,FALSE),VLOOKUP(tables_587100!C83,input_587100!A:H,8,FALSE))</f>
        <v>8351.5384599999998</v>
      </c>
      <c r="P83" s="46">
        <f t="shared" ca="1" si="4"/>
        <v>3.9543269223409945E-4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input_587100!A$2</f>
        <v>587100</v>
      </c>
      <c r="B84" s="5">
        <v>208</v>
      </c>
      <c r="C84" s="7" t="str">
        <f t="shared" si="8"/>
        <v>Premium3</v>
      </c>
      <c r="D84" s="7" t="str">
        <f t="shared" si="9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IFERROR(VLOOKUP(B84,input_587100!L:R,7,FALSE),VLOOKUP(tables_587100!C84,input_587100!A:H,8,FALSE))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input_587100!A$2</f>
        <v>587100</v>
      </c>
      <c r="B85" s="5">
        <v>209</v>
      </c>
      <c r="C85" s="7" t="str">
        <f t="shared" si="8"/>
        <v>Premium4</v>
      </c>
      <c r="D85" s="7" t="str">
        <f t="shared" si="9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IFERROR(VLOOKUP(B85,input_587100!L:R,7,FALSE),VLOOKUP(tables_587100!C85,input_587100!A:H,8,FALSE))</f>
        <v>180180</v>
      </c>
      <c r="P85" s="46">
        <f t="shared" ca="1" si="4"/>
        <v>8.53124999998384E-3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input_587100!A$2</f>
        <v>587100</v>
      </c>
      <c r="B86" s="5">
        <v>210</v>
      </c>
      <c r="C86" s="7" t="str">
        <f t="shared" si="8"/>
        <v>Premium5</v>
      </c>
      <c r="D86" s="7" t="str">
        <f t="shared" si="9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IFERROR(VLOOKUP(B86,input_587100!L:R,7,FALSE),VLOOKUP(tables_587100!C86,input_587100!A:H,8,FALSE))</f>
        <v>8351.5384599999998</v>
      </c>
      <c r="P86" s="46">
        <f t="shared" ca="1" si="4"/>
        <v>3.9543269223409945E-4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input_587100!A$2</f>
        <v>587100</v>
      </c>
      <c r="B87" s="5">
        <v>211</v>
      </c>
      <c r="C87" s="7" t="str">
        <f t="shared" si="8"/>
        <v>Premium3</v>
      </c>
      <c r="D87" s="7" t="str">
        <f t="shared" si="9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IFERROR(VLOOKUP(B87,input_587100!L:R,7,FALSE),VLOOKUP(tables_587100!C87,input_587100!A:H,8,FALSE))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input_587100!A$2</f>
        <v>587100</v>
      </c>
      <c r="B88" s="5">
        <v>212</v>
      </c>
      <c r="C88" s="7" t="str">
        <f t="shared" si="8"/>
        <v>Premium4</v>
      </c>
      <c r="D88" s="7" t="str">
        <f t="shared" si="9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IFERROR(VLOOKUP(B88,input_587100!L:R,7,FALSE),VLOOKUP(tables_587100!C88,input_587100!A:H,8,FALSE))</f>
        <v>180180</v>
      </c>
      <c r="P88" s="46">
        <f t="shared" ca="1" si="4"/>
        <v>8.53124999998384E-3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input_587100!A$2</f>
        <v>587100</v>
      </c>
      <c r="B89" s="5">
        <v>213</v>
      </c>
      <c r="C89" s="7" t="str">
        <f t="shared" si="8"/>
        <v>Premium5</v>
      </c>
      <c r="D89" s="7" t="str">
        <f t="shared" si="9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IFERROR(VLOOKUP(B89,input_587100!L:R,7,FALSE),VLOOKUP(tables_587100!C89,input_587100!A:H,8,FALSE))</f>
        <v>8351.5384599999998</v>
      </c>
      <c r="P89" s="46">
        <f t="shared" ca="1" si="4"/>
        <v>3.9543269223409945E-4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input_587100!A$2</f>
        <v>587100</v>
      </c>
      <c r="B90" s="5">
        <v>214</v>
      </c>
      <c r="C90" s="7" t="str">
        <f t="shared" si="8"/>
        <v>Premium3</v>
      </c>
      <c r="D90" s="7" t="str">
        <f t="shared" si="9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IFERROR(VLOOKUP(B90,input_587100!L:R,7,FALSE),VLOOKUP(tables_587100!C90,input_587100!A:H,8,FALSE))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input_587100!A$2</f>
        <v>587100</v>
      </c>
      <c r="B91" s="5">
        <v>215</v>
      </c>
      <c r="C91" s="7" t="str">
        <f t="shared" si="8"/>
        <v>Premium4</v>
      </c>
      <c r="D91" s="7" t="str">
        <f t="shared" si="9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IFERROR(VLOOKUP(B91,input_587100!L:R,7,FALSE),VLOOKUP(tables_587100!C91,input_587100!A:H,8,FALSE))</f>
        <v>180180</v>
      </c>
      <c r="P91" s="46">
        <f t="shared" ca="1" si="4"/>
        <v>8.53124999998384E-3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input_587100!A$2</f>
        <v>587100</v>
      </c>
      <c r="B92" s="5">
        <v>216</v>
      </c>
      <c r="C92" s="7" t="str">
        <f t="shared" si="8"/>
        <v>Premium5</v>
      </c>
      <c r="D92" s="7" t="str">
        <f t="shared" si="9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IFERROR(VLOOKUP(B92,input_587100!L:R,7,FALSE),VLOOKUP(tables_587100!C92,input_587100!A:H,8,FALSE))</f>
        <v>8351.5384599999998</v>
      </c>
      <c r="P92" s="46">
        <f t="shared" ca="1" si="4"/>
        <v>3.9543269223409945E-4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input_587100!A$2</f>
        <v>587100</v>
      </c>
      <c r="B93" s="5">
        <v>217</v>
      </c>
      <c r="C93" s="7" t="str">
        <f t="shared" si="8"/>
        <v>Premium3</v>
      </c>
      <c r="D93" s="7" t="str">
        <f t="shared" si="9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IFERROR(VLOOKUP(B93,input_587100!L:R,7,FALSE),VLOOKUP(tables_587100!C93,input_587100!A:H,8,FALSE))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input_587100!A$2</f>
        <v>587100</v>
      </c>
      <c r="B94" s="5">
        <v>218</v>
      </c>
      <c r="C94" s="7" t="str">
        <f t="shared" si="8"/>
        <v>Premium4</v>
      </c>
      <c r="D94" s="7" t="str">
        <f t="shared" si="9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IFERROR(VLOOKUP(B94,input_587100!L:R,7,FALSE),VLOOKUP(tables_587100!C94,input_587100!A:H,8,FALSE))</f>
        <v>180180</v>
      </c>
      <c r="P94" s="46">
        <f t="shared" ca="1" si="4"/>
        <v>8.53124999998384E-3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input_587100!A$2</f>
        <v>587100</v>
      </c>
      <c r="B95" s="5">
        <v>219</v>
      </c>
      <c r="C95" s="7" t="str">
        <f t="shared" si="8"/>
        <v>Premium5</v>
      </c>
      <c r="D95" s="7" t="str">
        <f t="shared" si="9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IFERROR(VLOOKUP(B95,input_587100!L:R,7,FALSE),VLOOKUP(tables_587100!C95,input_587100!A:H,8,FALSE))</f>
        <v>8351.5384599999998</v>
      </c>
      <c r="P95" s="46">
        <f t="shared" ca="1" si="4"/>
        <v>3.9543269223409945E-4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input_587100!A$2</f>
        <v>587100</v>
      </c>
      <c r="B96" s="5">
        <v>220</v>
      </c>
      <c r="C96" s="7" t="str">
        <f t="shared" si="8"/>
        <v>Premium3</v>
      </c>
      <c r="D96" s="7" t="str">
        <f t="shared" si="9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IFERROR(VLOOKUP(B96,input_587100!L:R,7,FALSE),VLOOKUP(tables_587100!C96,input_587100!A:H,8,FALSE))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input_587100!A$2</f>
        <v>587100</v>
      </c>
      <c r="B97" s="5">
        <v>221</v>
      </c>
      <c r="C97" s="7" t="str">
        <f t="shared" si="8"/>
        <v>Premium4</v>
      </c>
      <c r="D97" s="7" t="str">
        <f t="shared" si="9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IFERROR(VLOOKUP(B97,input_587100!L:R,7,FALSE),VLOOKUP(tables_587100!C97,input_587100!A:H,8,FALSE))</f>
        <v>180180</v>
      </c>
      <c r="P97" s="46">
        <f t="shared" ca="1" si="4"/>
        <v>8.53124999998384E-3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input_587100!A$2</f>
        <v>587100</v>
      </c>
      <c r="B98" s="5">
        <v>222</v>
      </c>
      <c r="C98" s="7" t="str">
        <f t="shared" si="8"/>
        <v>Premium5</v>
      </c>
      <c r="D98" s="7" t="str">
        <f t="shared" si="9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IFERROR(VLOOKUP(B98,input_587100!L:R,7,FALSE),VLOOKUP(tables_587100!C98,input_587100!A:H,8,FALSE))</f>
        <v>8351.5384599999998</v>
      </c>
      <c r="P98" s="46">
        <f t="shared" ca="1" si="4"/>
        <v>3.9543269223409945E-4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input_587100!A$2</f>
        <v>587100</v>
      </c>
      <c r="B99" s="5">
        <v>223</v>
      </c>
      <c r="C99" s="7" t="str">
        <f t="shared" si="8"/>
        <v>Premium3</v>
      </c>
      <c r="D99" s="7" t="str">
        <f t="shared" si="9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IFERROR(VLOOKUP(B99,input_587100!L:R,7,FALSE),VLOOKUP(tables_587100!C99,input_587100!A:H,8,FALSE))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input_587100!A$2</f>
        <v>587100</v>
      </c>
      <c r="B100" s="5">
        <v>224</v>
      </c>
      <c r="C100" s="7" t="str">
        <f t="shared" si="8"/>
        <v>Premium4</v>
      </c>
      <c r="D100" s="7" t="str">
        <f t="shared" si="9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IFERROR(VLOOKUP(B100,input_587100!L:R,7,FALSE),VLOOKUP(tables_587100!C100,input_587100!A:H,8,FALSE))</f>
        <v>180180</v>
      </c>
      <c r="P100" s="46">
        <f t="shared" ca="1" si="4"/>
        <v>8.53124999998384E-3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input_587100!A$2</f>
        <v>587100</v>
      </c>
      <c r="B101" s="5">
        <v>225</v>
      </c>
      <c r="C101" s="7" t="str">
        <f t="shared" si="8"/>
        <v>Premium5</v>
      </c>
      <c r="D101" s="7" t="str">
        <f t="shared" si="9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IFERROR(VLOOKUP(B101,input_587100!L:R,7,FALSE),VLOOKUP(tables_587100!C101,input_587100!A:H,8,FALSE))</f>
        <v>8351.5384599999998</v>
      </c>
      <c r="P101" s="46">
        <f t="shared" ca="1" si="4"/>
        <v>3.9543269223409945E-4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input_587100!A$2</f>
        <v>587100</v>
      </c>
      <c r="B102" s="5">
        <v>226</v>
      </c>
      <c r="C102" s="7" t="str">
        <f t="shared" si="8"/>
        <v>Premium3</v>
      </c>
      <c r="D102" s="7" t="str">
        <f t="shared" si="9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IFERROR(VLOOKUP(B102,input_587100!L:R,7,FALSE),VLOOKUP(tables_587100!C102,input_587100!A:H,8,FALSE))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input_587100!A$2</f>
        <v>587100</v>
      </c>
      <c r="B103" s="5">
        <v>227</v>
      </c>
      <c r="C103" s="7" t="str">
        <f t="shared" si="8"/>
        <v>Premium4</v>
      </c>
      <c r="D103" s="7" t="str">
        <f t="shared" si="9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IFERROR(VLOOKUP(B103,input_587100!L:R,7,FALSE),VLOOKUP(tables_587100!C103,input_587100!A:H,8,FALSE))</f>
        <v>180180</v>
      </c>
      <c r="P103" s="46">
        <f t="shared" ca="1" si="4"/>
        <v>8.53124999998384E-3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input_587100!A$2</f>
        <v>587100</v>
      </c>
      <c r="B104" s="5">
        <v>228</v>
      </c>
      <c r="C104" s="7" t="str">
        <f t="shared" si="8"/>
        <v>Premium5</v>
      </c>
      <c r="D104" s="7" t="str">
        <f t="shared" si="9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IFERROR(VLOOKUP(B104,input_587100!L:R,7,FALSE),VLOOKUP(tables_587100!C104,input_587100!A:H,8,FALSE))</f>
        <v>8351.5384599999998</v>
      </c>
      <c r="P104" s="46">
        <f t="shared" ca="1" si="4"/>
        <v>3.9543269223409945E-4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input_587100!A$2</f>
        <v>587100</v>
      </c>
      <c r="B105" s="5">
        <v>229</v>
      </c>
      <c r="C105" s="7" t="str">
        <f t="shared" si="8"/>
        <v>Premium3</v>
      </c>
      <c r="D105" s="7" t="str">
        <f t="shared" si="9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IFERROR(VLOOKUP(B105,input_587100!L:R,7,FALSE),VLOOKUP(tables_587100!C105,input_587100!A:H,8,FALSE))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input_587100!A$2</f>
        <v>587100</v>
      </c>
      <c r="B106" s="5">
        <v>230</v>
      </c>
      <c r="C106" s="7" t="str">
        <f t="shared" si="8"/>
        <v>Premium4</v>
      </c>
      <c r="D106" s="7" t="str">
        <f t="shared" si="9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IFERROR(VLOOKUP(B106,input_587100!L:R,7,FALSE),VLOOKUP(tables_587100!C106,input_587100!A:H,8,FALSE))</f>
        <v>180180</v>
      </c>
      <c r="P106" s="46">
        <f t="shared" ca="1" si="4"/>
        <v>8.53124999998384E-3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input_587100!A$2</f>
        <v>587100</v>
      </c>
      <c r="B107" s="5">
        <v>231</v>
      </c>
      <c r="C107" s="7" t="str">
        <f t="shared" si="8"/>
        <v>Premium5</v>
      </c>
      <c r="D107" s="7" t="str">
        <f t="shared" si="9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IFERROR(VLOOKUP(B107,input_587100!L:R,7,FALSE),VLOOKUP(tables_587100!C107,input_587100!A:H,8,FALSE))</f>
        <v>8351.5384599999998</v>
      </c>
      <c r="P107" s="46">
        <f t="shared" ca="1" si="4"/>
        <v>3.9543269223409945E-4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input_587100!A$2</f>
        <v>587100</v>
      </c>
      <c r="B108" s="5">
        <v>232</v>
      </c>
      <c r="C108" s="7" t="str">
        <f t="shared" si="8"/>
        <v>Premium3</v>
      </c>
      <c r="D108" s="7" t="str">
        <f t="shared" si="9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IFERROR(VLOOKUP(B108,input_587100!L:R,7,FALSE),VLOOKUP(tables_587100!C108,input_587100!A:H,8,FALSE))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input_587100!A$2</f>
        <v>587100</v>
      </c>
      <c r="B109" s="5">
        <v>233</v>
      </c>
      <c r="C109" s="7" t="str">
        <f t="shared" si="8"/>
        <v>Premium4</v>
      </c>
      <c r="D109" s="7" t="str">
        <f t="shared" si="9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IFERROR(VLOOKUP(B109,input_587100!L:R,7,FALSE),VLOOKUP(tables_587100!C109,input_587100!A:H,8,FALSE))</f>
        <v>180180</v>
      </c>
      <c r="P109" s="46">
        <f t="shared" ca="1" si="4"/>
        <v>8.53124999998384E-3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input_587100!A$2</f>
        <v>587100</v>
      </c>
      <c r="B110" s="5">
        <v>234</v>
      </c>
      <c r="C110" s="7" t="str">
        <f t="shared" si="8"/>
        <v>Premium5</v>
      </c>
      <c r="D110" s="7" t="str">
        <f t="shared" si="9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IFERROR(VLOOKUP(B110,input_587100!L:R,7,FALSE),VLOOKUP(tables_587100!C110,input_587100!A:H,8,FALSE))</f>
        <v>8351.5384599999998</v>
      </c>
      <c r="P110" s="46">
        <f t="shared" ca="1" si="4"/>
        <v>3.9543269223409945E-4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input_587100!A$2</f>
        <v>587100</v>
      </c>
      <c r="B111" s="5">
        <v>235</v>
      </c>
      <c r="C111" s="7" t="str">
        <f t="shared" si="8"/>
        <v>Premium3R6release</v>
      </c>
      <c r="D111" s="7" t="str">
        <f t="shared" si="9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IFERROR(VLOOKUP(B111,input_587100!L:R,7,FALSE),VLOOKUP(tables_587100!C111,input_587100!A:H,8,FALSE))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input_587100!A$2</f>
        <v>587100</v>
      </c>
      <c r="B112" s="5">
        <v>236</v>
      </c>
      <c r="C112" s="7" t="str">
        <f t="shared" si="8"/>
        <v>Premium4R6release</v>
      </c>
      <c r="D112" s="7" t="str">
        <f t="shared" si="9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IFERROR(VLOOKUP(B112,input_587100!L:R,7,FALSE),VLOOKUP(tables_587100!C112,input_587100!A:H,8,FALSE))</f>
        <v>180180</v>
      </c>
      <c r="P112" s="46">
        <f t="shared" ca="1" si="4"/>
        <v>8.53124999998384E-3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input_587100!A$2</f>
        <v>587100</v>
      </c>
      <c r="B113" s="5">
        <v>237</v>
      </c>
      <c r="C113" s="7" t="str">
        <f t="shared" si="8"/>
        <v>Premium5R6release</v>
      </c>
      <c r="D113" s="7" t="str">
        <f t="shared" si="9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IFERROR(VLOOKUP(B113,input_587100!L:R,7,FALSE),VLOOKUP(tables_587100!C113,input_587100!A:H,8,FALSE))</f>
        <v>20020</v>
      </c>
      <c r="P113" s="46">
        <f t="shared" ca="1" si="4"/>
        <v>9.4791666666487113E-4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input_587100!A$2</f>
        <v>587100</v>
      </c>
      <c r="B114" s="5">
        <v>238</v>
      </c>
      <c r="C114" s="7" t="str">
        <f t="shared" si="8"/>
        <v>Premium3</v>
      </c>
      <c r="D114" s="7" t="str">
        <f t="shared" si="9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IFERROR(VLOOKUP(B114,input_587100!L:R,7,FALSE),VLOOKUP(tables_587100!C114,input_587100!A:H,8,FALSE))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input_587100!A$2</f>
        <v>587100</v>
      </c>
      <c r="B115" s="5">
        <v>239</v>
      </c>
      <c r="C115" s="7" t="str">
        <f t="shared" si="8"/>
        <v>Premium4</v>
      </c>
      <c r="D115" s="7" t="str">
        <f t="shared" si="9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IFERROR(VLOOKUP(B115,input_587100!L:R,7,FALSE),VLOOKUP(tables_587100!C115,input_587100!A:H,8,FALSE))</f>
        <v>180180</v>
      </c>
      <c r="P115" s="46">
        <f t="shared" ca="1" si="4"/>
        <v>8.53124999998384E-3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input_587100!A$2</f>
        <v>587100</v>
      </c>
      <c r="B116" s="5">
        <v>240</v>
      </c>
      <c r="C116" s="7" t="str">
        <f t="shared" si="8"/>
        <v>Premium5</v>
      </c>
      <c r="D116" s="7" t="str">
        <f t="shared" si="9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IFERROR(VLOOKUP(B116,input_587100!L:R,7,FALSE),VLOOKUP(tables_587100!C116,input_587100!A:H,8,FALSE))</f>
        <v>8351.5384599999998</v>
      </c>
      <c r="P116" s="46">
        <f t="shared" ca="1" si="4"/>
        <v>3.9543269223409945E-4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input_587100!A$2</f>
        <v>587100</v>
      </c>
      <c r="B117" s="5">
        <v>241</v>
      </c>
      <c r="C117" s="7" t="str">
        <f t="shared" si="8"/>
        <v>Premium3</v>
      </c>
      <c r="D117" s="7" t="str">
        <f t="shared" si="9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IFERROR(VLOOKUP(B117,input_587100!L:R,7,FALSE),VLOOKUP(tables_587100!C117,input_587100!A:H,8,FALSE))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input_587100!A$2</f>
        <v>587100</v>
      </c>
      <c r="B118" s="5">
        <v>242</v>
      </c>
      <c r="C118" s="7" t="str">
        <f t="shared" si="8"/>
        <v>Premium4</v>
      </c>
      <c r="D118" s="7" t="str">
        <f t="shared" si="9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IFERROR(VLOOKUP(B118,input_587100!L:R,7,FALSE),VLOOKUP(tables_587100!C118,input_587100!A:H,8,FALSE))</f>
        <v>180180</v>
      </c>
      <c r="P118" s="46">
        <f t="shared" ca="1" si="4"/>
        <v>8.53124999998384E-3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input_587100!A$2</f>
        <v>587100</v>
      </c>
      <c r="B119" s="5">
        <v>243</v>
      </c>
      <c r="C119" s="7" t="str">
        <f t="shared" si="8"/>
        <v>Premium5</v>
      </c>
      <c r="D119" s="7" t="str">
        <f t="shared" si="9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IFERROR(VLOOKUP(B119,input_587100!L:R,7,FALSE),VLOOKUP(tables_587100!C119,input_587100!A:H,8,FALSE))</f>
        <v>8351.5384599999998</v>
      </c>
      <c r="P119" s="46">
        <f t="shared" ca="1" si="4"/>
        <v>3.9543269223409945E-4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input_587100!A$2</f>
        <v>587100</v>
      </c>
      <c r="B120" s="5">
        <v>244</v>
      </c>
      <c r="C120" s="7" t="str">
        <f t="shared" si="8"/>
        <v>Premium3</v>
      </c>
      <c r="D120" s="7" t="str">
        <f t="shared" si="9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IFERROR(VLOOKUP(B120,input_587100!L:R,7,FALSE),VLOOKUP(tables_587100!C120,input_587100!A:H,8,FALSE))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input_587100!A$2</f>
        <v>587100</v>
      </c>
      <c r="B121" s="5">
        <v>245</v>
      </c>
      <c r="C121" s="7" t="str">
        <f t="shared" si="8"/>
        <v>Premium4</v>
      </c>
      <c r="D121" s="7" t="str">
        <f t="shared" si="9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IFERROR(VLOOKUP(B121,input_587100!L:R,7,FALSE),VLOOKUP(tables_587100!C121,input_587100!A:H,8,FALSE))</f>
        <v>180180</v>
      </c>
      <c r="P121" s="46">
        <f t="shared" ca="1" si="4"/>
        <v>8.53124999998384E-3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input_587100!A$2</f>
        <v>587100</v>
      </c>
      <c r="B122" s="5">
        <v>246</v>
      </c>
      <c r="C122" s="7" t="str">
        <f t="shared" si="8"/>
        <v>Premium5</v>
      </c>
      <c r="D122" s="7" t="str">
        <f t="shared" si="9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IFERROR(VLOOKUP(B122,input_587100!L:R,7,FALSE),VLOOKUP(tables_587100!C122,input_587100!A:H,8,FALSE))</f>
        <v>8351.5384599999998</v>
      </c>
      <c r="P122" s="46">
        <f t="shared" ca="1" si="4"/>
        <v>3.9543269223409945E-4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input_587100!A$2</f>
        <v>587100</v>
      </c>
      <c r="B123" s="5">
        <v>247</v>
      </c>
      <c r="C123" s="7" t="str">
        <f t="shared" si="8"/>
        <v>Premium3</v>
      </c>
      <c r="D123" s="7" t="str">
        <f t="shared" si="9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IFERROR(VLOOKUP(B123,input_587100!L:R,7,FALSE),VLOOKUP(tables_587100!C123,input_587100!A:H,8,FALSE))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input_587100!A$2</f>
        <v>587100</v>
      </c>
      <c r="B124" s="5">
        <v>248</v>
      </c>
      <c r="C124" s="7" t="str">
        <f t="shared" si="8"/>
        <v>Premium4</v>
      </c>
      <c r="D124" s="7" t="str">
        <f t="shared" si="9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IFERROR(VLOOKUP(B124,input_587100!L:R,7,FALSE),VLOOKUP(tables_587100!C124,input_587100!A:H,8,FALSE))</f>
        <v>180180</v>
      </c>
      <c r="P124" s="46">
        <f t="shared" ca="1" si="4"/>
        <v>8.53124999998384E-3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input_587100!A$2</f>
        <v>587100</v>
      </c>
      <c r="B125" s="5">
        <v>249</v>
      </c>
      <c r="C125" s="7" t="str">
        <f t="shared" si="8"/>
        <v>Premium5</v>
      </c>
      <c r="D125" s="7" t="str">
        <f t="shared" si="9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IFERROR(VLOOKUP(B125,input_587100!L:R,7,FALSE),VLOOKUP(tables_587100!C125,input_587100!A:H,8,FALSE))</f>
        <v>8351.5384599999998</v>
      </c>
      <c r="P125" s="46">
        <f t="shared" ca="1" si="4"/>
        <v>3.9543269223409945E-4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input_587100!A$2</f>
        <v>587100</v>
      </c>
      <c r="B126" s="5">
        <v>250</v>
      </c>
      <c r="C126" s="7" t="str">
        <f t="shared" si="8"/>
        <v>Premium3</v>
      </c>
      <c r="D126" s="7" t="str">
        <f t="shared" si="9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IFERROR(VLOOKUP(B126,input_587100!L:R,7,FALSE),VLOOKUP(tables_587100!C126,input_587100!A:H,8,FALSE))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input_587100!A$2</f>
        <v>587100</v>
      </c>
      <c r="B127" s="5">
        <v>251</v>
      </c>
      <c r="C127" s="7" t="str">
        <f t="shared" si="8"/>
        <v>Premium4</v>
      </c>
      <c r="D127" s="7" t="str">
        <f t="shared" si="9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IFERROR(VLOOKUP(B127,input_587100!L:R,7,FALSE),VLOOKUP(tables_587100!C127,input_587100!A:H,8,FALSE))</f>
        <v>180180</v>
      </c>
      <c r="P127" s="46">
        <f t="shared" ca="1" si="4"/>
        <v>8.53124999998384E-3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input_587100!A$2</f>
        <v>587100</v>
      </c>
      <c r="B128" s="5">
        <v>252</v>
      </c>
      <c r="C128" s="7" t="str">
        <f t="shared" si="8"/>
        <v>Premium5</v>
      </c>
      <c r="D128" s="7" t="str">
        <f t="shared" si="9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IFERROR(VLOOKUP(B128,input_587100!L:R,7,FALSE),VLOOKUP(tables_587100!C128,input_587100!A:H,8,FALSE))</f>
        <v>8351.5384599999998</v>
      </c>
      <c r="P128" s="46">
        <f t="shared" ca="1" si="4"/>
        <v>3.9543269223409945E-4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input_587100!A$2</f>
        <v>587100</v>
      </c>
      <c r="B129" s="5">
        <v>253</v>
      </c>
      <c r="C129" s="7" t="str">
        <f t="shared" si="8"/>
        <v>Premium3</v>
      </c>
      <c r="D129" s="7" t="str">
        <f t="shared" si="9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IFERROR(VLOOKUP(B129,input_587100!L:R,7,FALSE),VLOOKUP(tables_587100!C129,input_587100!A:H,8,FALSE))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input_587100!A$2</f>
        <v>587100</v>
      </c>
      <c r="B130" s="5">
        <v>254</v>
      </c>
      <c r="C130" s="7" t="str">
        <f t="shared" si="8"/>
        <v>Premium4</v>
      </c>
      <c r="D130" s="7" t="str">
        <f t="shared" si="9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IFERROR(VLOOKUP(B130,input_587100!L:R,7,FALSE),VLOOKUP(tables_587100!C130,input_587100!A:H,8,FALSE))</f>
        <v>180180</v>
      </c>
      <c r="P130" s="46">
        <f t="shared" ref="P130:P193" ca="1" si="10">O130/SUM(O:O)</f>
        <v>8.53124999998384E-3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input_587100!A$2</f>
        <v>587100</v>
      </c>
      <c r="B131" s="5">
        <v>255</v>
      </c>
      <c r="C131" s="7" t="str">
        <f t="shared" si="8"/>
        <v>Premium5</v>
      </c>
      <c r="D131" s="7" t="str">
        <f t="shared" si="9"/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IFERROR(VLOOKUP(B131,input_587100!L:R,7,FALSE),VLOOKUP(tables_587100!C131,input_587100!A:H,8,FALSE))</f>
        <v>8351.5384599999998</v>
      </c>
      <c r="P131" s="46">
        <f t="shared" ca="1" si="10"/>
        <v>3.9543269223409945E-4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input_587100!A$2</f>
        <v>587100</v>
      </c>
      <c r="B132" s="5">
        <v>256</v>
      </c>
      <c r="C132" s="7" t="str">
        <f t="shared" si="8"/>
        <v>Premium3</v>
      </c>
      <c r="D132" s="7" t="str">
        <f t="shared" si="9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IFERROR(VLOOKUP(B132,input_587100!L:R,7,FALSE),VLOOKUP(tables_587100!C132,input_587100!A:H,8,FALSE))</f>
        <v>0</v>
      </c>
      <c r="P132" s="46">
        <f t="shared" ca="1" si="10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input_587100!A$2</f>
        <v>587100</v>
      </c>
      <c r="B133" s="5">
        <v>257</v>
      </c>
      <c r="C133" s="7" t="str">
        <f t="shared" si="8"/>
        <v>Premium4</v>
      </c>
      <c r="D133" s="7" t="str">
        <f t="shared" si="9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IFERROR(VLOOKUP(B133,input_587100!L:R,7,FALSE),VLOOKUP(tables_587100!C133,input_587100!A:H,8,FALSE))</f>
        <v>180180</v>
      </c>
      <c r="P133" s="46">
        <f t="shared" ca="1" si="10"/>
        <v>8.53124999998384E-3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input_587100!A$2</f>
        <v>587100</v>
      </c>
      <c r="B134" s="5">
        <v>258</v>
      </c>
      <c r="C134" s="7" t="str">
        <f t="shared" si="8"/>
        <v>Premium5</v>
      </c>
      <c r="D134" s="7" t="str">
        <f t="shared" si="9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IFERROR(VLOOKUP(B134,input_587100!L:R,7,FALSE),VLOOKUP(tables_587100!C134,input_587100!A:H,8,FALSE))</f>
        <v>8351.5384599999998</v>
      </c>
      <c r="P134" s="46">
        <f t="shared" ca="1" si="10"/>
        <v>3.9543269223409945E-4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input_587100!A$2</f>
        <v>587100</v>
      </c>
      <c r="B135" s="5">
        <v>259</v>
      </c>
      <c r="C135" s="7" t="str">
        <f t="shared" si="8"/>
        <v>Premium3</v>
      </c>
      <c r="D135" s="7" t="str">
        <f t="shared" si="9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IFERROR(VLOOKUP(B135,input_587100!L:R,7,FALSE),VLOOKUP(tables_587100!C135,input_587100!A:H,8,FALSE))</f>
        <v>0</v>
      </c>
      <c r="P135" s="46">
        <f t="shared" ca="1" si="10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input_587100!A$2</f>
        <v>587100</v>
      </c>
      <c r="B136" s="5">
        <v>260</v>
      </c>
      <c r="C136" s="7" t="str">
        <f t="shared" si="8"/>
        <v>Premium4</v>
      </c>
      <c r="D136" s="7" t="str">
        <f t="shared" si="9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IFERROR(VLOOKUP(B136,input_587100!L:R,7,FALSE),VLOOKUP(tables_587100!C136,input_587100!A:H,8,FALSE))</f>
        <v>180180</v>
      </c>
      <c r="P136" s="46">
        <f t="shared" ca="1" si="10"/>
        <v>8.53124999998384E-3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input_587100!A$2</f>
        <v>587100</v>
      </c>
      <c r="B137" s="5">
        <v>261</v>
      </c>
      <c r="C137" s="7" t="str">
        <f t="shared" si="8"/>
        <v>Premium5</v>
      </c>
      <c r="D137" s="7" t="str">
        <f t="shared" si="9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IFERROR(VLOOKUP(B137,input_587100!L:R,7,FALSE),VLOOKUP(tables_587100!C137,input_587100!A:H,8,FALSE))</f>
        <v>8351.5384599999998</v>
      </c>
      <c r="P137" s="46">
        <f t="shared" ca="1" si="10"/>
        <v>3.9543269223409945E-4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input_587100!A$2</f>
        <v>587100</v>
      </c>
      <c r="B138" s="5">
        <v>320</v>
      </c>
      <c r="C138" s="7" t="str">
        <f t="shared" ref="C138:C201" si="11">D138&amp;J138&amp;E138&amp;F138&amp;G138</f>
        <v>PremiumSS4</v>
      </c>
      <c r="D138" s="7" t="str">
        <f t="shared" ref="D138:D201" si="12">IF(OR(I138="PremiumSS",I138="PremiumSSw"),"PremiumSS",IF(I138="PremiumSSS",I138,IF(I138="PremiumW",IF(J138=5,"premium",I138),"Premium")))</f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IFERROR(VLOOKUP(B138,input_587100!L:R,7,FALSE),VLOOKUP(tables_587100!C138,input_587100!A:H,8,FALSE))</f>
        <v>28285.71429</v>
      </c>
      <c r="P138" s="46">
        <f t="shared" ca="1" si="10"/>
        <v>1.3392857144860994E-3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input_587100!A$2</f>
        <v>587100</v>
      </c>
      <c r="B139" s="5">
        <v>321</v>
      </c>
      <c r="C139" s="7" t="str">
        <f t="shared" si="11"/>
        <v>PremiumSS5</v>
      </c>
      <c r="D139" s="7" t="str">
        <f t="shared" si="12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IFERROR(VLOOKUP(B139,input_587100!L:R,7,FALSE),VLOOKUP(tables_587100!C139,input_587100!A:H,8,FALSE))</f>
        <v>11000</v>
      </c>
      <c r="P139" s="46">
        <f t="shared" ca="1" si="10"/>
        <v>5.2083333333234681E-4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input_587100!A$2</f>
        <v>587100</v>
      </c>
      <c r="B140" s="5">
        <v>322</v>
      </c>
      <c r="C140" s="7" t="str">
        <f t="shared" si="11"/>
        <v>PremiumSS4</v>
      </c>
      <c r="D140" s="7" t="str">
        <f t="shared" si="12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IFERROR(VLOOKUP(B140,input_587100!L:R,7,FALSE),VLOOKUP(tables_587100!C140,input_587100!A:H,8,FALSE))</f>
        <v>28285.71429</v>
      </c>
      <c r="P140" s="46">
        <f t="shared" ca="1" si="10"/>
        <v>1.3392857144860994E-3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input_587100!A$2</f>
        <v>587100</v>
      </c>
      <c r="B141" s="5">
        <v>323</v>
      </c>
      <c r="C141" s="7" t="str">
        <f t="shared" si="11"/>
        <v>PremiumSS5</v>
      </c>
      <c r="D141" s="7" t="str">
        <f t="shared" si="12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IFERROR(VLOOKUP(B141,input_587100!L:R,7,FALSE),VLOOKUP(tables_587100!C141,input_587100!A:H,8,FALSE))</f>
        <v>11000</v>
      </c>
      <c r="P141" s="46">
        <f t="shared" ca="1" si="10"/>
        <v>5.2083333333234681E-4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input_587100!A$2</f>
        <v>587100</v>
      </c>
      <c r="B142" s="5">
        <v>324</v>
      </c>
      <c r="C142" s="7" t="str">
        <f t="shared" si="11"/>
        <v>PremiumSS4</v>
      </c>
      <c r="D142" s="7" t="str">
        <f t="shared" si="12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IFERROR(VLOOKUP(B142,input_587100!L:R,7,FALSE),VLOOKUP(tables_587100!C142,input_587100!A:H,8,FALSE))</f>
        <v>28285.71429</v>
      </c>
      <c r="P142" s="46">
        <f t="shared" ca="1" si="10"/>
        <v>1.3392857144860994E-3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input_587100!A$2</f>
        <v>587100</v>
      </c>
      <c r="B143" s="5">
        <v>325</v>
      </c>
      <c r="C143" s="7" t="str">
        <f t="shared" si="11"/>
        <v>PremiumSS5</v>
      </c>
      <c r="D143" s="7" t="str">
        <f t="shared" si="12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IFERROR(VLOOKUP(B143,input_587100!L:R,7,FALSE),VLOOKUP(tables_587100!C143,input_587100!A:H,8,FALSE))</f>
        <v>11000</v>
      </c>
      <c r="P143" s="46">
        <f t="shared" ca="1" si="10"/>
        <v>5.2083333333234681E-4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input_587100!A$2</f>
        <v>587100</v>
      </c>
      <c r="B144" s="5">
        <v>326</v>
      </c>
      <c r="C144" s="7" t="str">
        <f t="shared" si="11"/>
        <v>PremiumSS4</v>
      </c>
      <c r="D144" s="7" t="str">
        <f t="shared" si="12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IFERROR(VLOOKUP(B144,input_587100!L:R,7,FALSE),VLOOKUP(tables_587100!C144,input_587100!A:H,8,FALSE))</f>
        <v>28285.71429</v>
      </c>
      <c r="P144" s="46">
        <f t="shared" ca="1" si="10"/>
        <v>1.3392857144860994E-3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input_587100!A$2</f>
        <v>587100</v>
      </c>
      <c r="B145" s="5">
        <v>327</v>
      </c>
      <c r="C145" s="7" t="str">
        <f t="shared" si="11"/>
        <v>PremiumSS5</v>
      </c>
      <c r="D145" s="7" t="str">
        <f t="shared" si="12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IFERROR(VLOOKUP(B145,input_587100!L:R,7,FALSE),VLOOKUP(tables_587100!C145,input_587100!A:H,8,FALSE))</f>
        <v>11000</v>
      </c>
      <c r="P145" s="46">
        <f t="shared" ca="1" si="10"/>
        <v>5.2083333333234681E-4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input_587100!A$2</f>
        <v>587100</v>
      </c>
      <c r="B146" s="5">
        <v>380</v>
      </c>
      <c r="C146" s="7" t="str">
        <f t="shared" si="11"/>
        <v>Premium3</v>
      </c>
      <c r="D146" s="7" t="str">
        <f t="shared" si="12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IFERROR(VLOOKUP(B146,input_587100!L:R,7,FALSE),VLOOKUP(tables_587100!C146,input_587100!A:H,8,FALSE))</f>
        <v>0</v>
      </c>
      <c r="P146" s="46">
        <f t="shared" ca="1" si="10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input_587100!A$2</f>
        <v>587100</v>
      </c>
      <c r="B147" s="5">
        <v>381</v>
      </c>
      <c r="C147" s="7" t="str">
        <f t="shared" si="11"/>
        <v>Premium4</v>
      </c>
      <c r="D147" s="7" t="str">
        <f t="shared" si="12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IFERROR(VLOOKUP(B147,input_587100!L:R,7,FALSE),VLOOKUP(tables_587100!C147,input_587100!A:H,8,FALSE))</f>
        <v>180180</v>
      </c>
      <c r="P147" s="46">
        <f t="shared" ca="1" si="10"/>
        <v>8.53124999998384E-3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input_587100!A$2</f>
        <v>587100</v>
      </c>
      <c r="B148" s="5">
        <v>382</v>
      </c>
      <c r="C148" s="7" t="str">
        <f t="shared" si="11"/>
        <v>Premium5</v>
      </c>
      <c r="D148" s="7" t="str">
        <f t="shared" si="12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IFERROR(VLOOKUP(B148,input_587100!L:R,7,FALSE),VLOOKUP(tables_587100!C148,input_587100!A:H,8,FALSE))</f>
        <v>8351.5384599999998</v>
      </c>
      <c r="P148" s="46">
        <f t="shared" ca="1" si="10"/>
        <v>3.9543269223409945E-4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input_587100!A$2</f>
        <v>587100</v>
      </c>
      <c r="B149" s="5">
        <v>383</v>
      </c>
      <c r="C149" s="7" t="str">
        <f t="shared" si="11"/>
        <v>PremiumSS4</v>
      </c>
      <c r="D149" s="7" t="str">
        <f t="shared" si="12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IFERROR(VLOOKUP(B149,input_587100!L:R,7,FALSE),VLOOKUP(tables_587100!C149,input_587100!A:H,8,FALSE))</f>
        <v>28285.71429</v>
      </c>
      <c r="P149" s="46">
        <f t="shared" ca="1" si="10"/>
        <v>1.3392857144860994E-3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input_587100!A$2</f>
        <v>587100</v>
      </c>
      <c r="B150" s="5">
        <v>384</v>
      </c>
      <c r="C150" s="7" t="str">
        <f t="shared" si="11"/>
        <v>PremiumSS5</v>
      </c>
      <c r="D150" s="7" t="str">
        <f t="shared" si="12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IFERROR(VLOOKUP(B150,input_587100!L:R,7,FALSE),VLOOKUP(tables_587100!C150,input_587100!A:H,8,FALSE))</f>
        <v>11000</v>
      </c>
      <c r="P150" s="46">
        <f t="shared" ca="1" si="10"/>
        <v>5.2083333333234681E-4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input_587100!A$2</f>
        <v>587100</v>
      </c>
      <c r="B151" s="5">
        <v>385</v>
      </c>
      <c r="C151" s="7" t="str">
        <f t="shared" si="11"/>
        <v>PremiumSS4</v>
      </c>
      <c r="D151" s="7" t="str">
        <f t="shared" si="12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IFERROR(VLOOKUP(B151,input_587100!L:R,7,FALSE),VLOOKUP(tables_587100!C151,input_587100!A:H,8,FALSE))</f>
        <v>28285.71429</v>
      </c>
      <c r="P151" s="46">
        <f t="shared" ca="1" si="10"/>
        <v>1.3392857144860994E-3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input_587100!A$2</f>
        <v>587100</v>
      </c>
      <c r="B152" s="5">
        <v>386</v>
      </c>
      <c r="C152" s="7" t="str">
        <f t="shared" si="11"/>
        <v>PremiumSS5</v>
      </c>
      <c r="D152" s="7" t="str">
        <f t="shared" si="12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IFERROR(VLOOKUP(B152,input_587100!L:R,7,FALSE),VLOOKUP(tables_587100!C152,input_587100!A:H,8,FALSE))</f>
        <v>11000</v>
      </c>
      <c r="P152" s="46">
        <f t="shared" ca="1" si="10"/>
        <v>5.2083333333234681E-4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input_587100!A$2</f>
        <v>587100</v>
      </c>
      <c r="B153" s="5">
        <v>387</v>
      </c>
      <c r="C153" s="7" t="str">
        <f t="shared" si="11"/>
        <v>Premium3</v>
      </c>
      <c r="D153" s="7" t="str">
        <f t="shared" si="12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IFERROR(VLOOKUP(B153,input_587100!L:R,7,FALSE),VLOOKUP(tables_587100!C153,input_587100!A:H,8,FALSE))</f>
        <v>0</v>
      </c>
      <c r="P153" s="46">
        <f t="shared" ca="1" si="10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input_587100!A$2</f>
        <v>587100</v>
      </c>
      <c r="B154" s="5">
        <v>388</v>
      </c>
      <c r="C154" s="7" t="str">
        <f t="shared" si="11"/>
        <v>Premium4</v>
      </c>
      <c r="D154" s="7" t="str">
        <f t="shared" si="12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IFERROR(VLOOKUP(B154,input_587100!L:R,7,FALSE),VLOOKUP(tables_587100!C154,input_587100!A:H,8,FALSE))</f>
        <v>180180</v>
      </c>
      <c r="P154" s="46">
        <f t="shared" ca="1" si="10"/>
        <v>8.53124999998384E-3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input_587100!A$2</f>
        <v>587100</v>
      </c>
      <c r="B155" s="5">
        <v>389</v>
      </c>
      <c r="C155" s="7" t="str">
        <f t="shared" si="11"/>
        <v>Premium5</v>
      </c>
      <c r="D155" s="7" t="str">
        <f t="shared" si="12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IFERROR(VLOOKUP(B155,input_587100!L:R,7,FALSE),VLOOKUP(tables_587100!C155,input_587100!A:H,8,FALSE))</f>
        <v>8351.5384599999998</v>
      </c>
      <c r="P155" s="46">
        <f t="shared" ca="1" si="10"/>
        <v>3.9543269223409945E-4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input_587100!A$2</f>
        <v>587100</v>
      </c>
      <c r="B156" s="5">
        <v>390</v>
      </c>
      <c r="C156" s="7" t="str">
        <f t="shared" si="11"/>
        <v>PremiumSS4</v>
      </c>
      <c r="D156" s="7" t="str">
        <f t="shared" si="12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IFERROR(VLOOKUP(B156,input_587100!L:R,7,FALSE),VLOOKUP(tables_587100!C156,input_587100!A:H,8,FALSE))</f>
        <v>28285.71429</v>
      </c>
      <c r="P156" s="46">
        <f t="shared" ca="1" si="10"/>
        <v>1.3392857144860994E-3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input_587100!A$2</f>
        <v>587100</v>
      </c>
      <c r="B157" s="5">
        <v>391</v>
      </c>
      <c r="C157" s="7" t="str">
        <f t="shared" si="11"/>
        <v>PremiumSS5</v>
      </c>
      <c r="D157" s="7" t="str">
        <f t="shared" si="12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IFERROR(VLOOKUP(B157,input_587100!L:R,7,FALSE),VLOOKUP(tables_587100!C157,input_587100!A:H,8,FALSE))</f>
        <v>11000</v>
      </c>
      <c r="P157" s="46">
        <f t="shared" ca="1" si="10"/>
        <v>5.2083333333234681E-4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input_587100!A$2</f>
        <v>587100</v>
      </c>
      <c r="B158" s="5">
        <v>392</v>
      </c>
      <c r="C158" s="7" t="str">
        <f t="shared" si="11"/>
        <v>Premium3</v>
      </c>
      <c r="D158" s="7" t="str">
        <f t="shared" si="12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IFERROR(VLOOKUP(B158,input_587100!L:R,7,FALSE),VLOOKUP(tables_587100!C158,input_587100!A:H,8,FALSE))</f>
        <v>0</v>
      </c>
      <c r="P158" s="46">
        <f t="shared" ca="1" si="10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input_587100!A$2</f>
        <v>587100</v>
      </c>
      <c r="B159" s="5">
        <v>393</v>
      </c>
      <c r="C159" s="7" t="str">
        <f t="shared" si="11"/>
        <v>Premium4</v>
      </c>
      <c r="D159" s="7" t="str">
        <f t="shared" si="12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IFERROR(VLOOKUP(B159,input_587100!L:R,7,FALSE),VLOOKUP(tables_587100!C159,input_587100!A:H,8,FALSE))</f>
        <v>180180</v>
      </c>
      <c r="P159" s="46">
        <f t="shared" ca="1" si="10"/>
        <v>8.53124999998384E-3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input_587100!A$2</f>
        <v>587100</v>
      </c>
      <c r="B160" s="5">
        <v>394</v>
      </c>
      <c r="C160" s="7" t="str">
        <f t="shared" si="11"/>
        <v>Premium5</v>
      </c>
      <c r="D160" s="7" t="str">
        <f t="shared" si="12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IFERROR(VLOOKUP(B160,input_587100!L:R,7,FALSE),VLOOKUP(tables_587100!C160,input_587100!A:H,8,FALSE))</f>
        <v>8351.5384599999998</v>
      </c>
      <c r="P160" s="46">
        <f t="shared" ca="1" si="10"/>
        <v>3.9543269223409945E-4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input_587100!A$2</f>
        <v>587100</v>
      </c>
      <c r="B161" s="5">
        <v>395</v>
      </c>
      <c r="C161" s="7" t="str">
        <f t="shared" si="11"/>
        <v>Premium3</v>
      </c>
      <c r="D161" s="7" t="str">
        <f t="shared" si="12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IFERROR(VLOOKUP(B161,input_587100!L:R,7,FALSE),VLOOKUP(tables_587100!C161,input_587100!A:H,8,FALSE))</f>
        <v>0</v>
      </c>
      <c r="P161" s="46">
        <f t="shared" ca="1" si="10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input_587100!A$2</f>
        <v>587100</v>
      </c>
      <c r="B162" s="5">
        <v>396</v>
      </c>
      <c r="C162" s="7" t="str">
        <f t="shared" si="11"/>
        <v>Premium4</v>
      </c>
      <c r="D162" s="7" t="str">
        <f t="shared" si="12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IFERROR(VLOOKUP(B162,input_587100!L:R,7,FALSE),VLOOKUP(tables_587100!C162,input_587100!A:H,8,FALSE))</f>
        <v>180180</v>
      </c>
      <c r="P162" s="46">
        <f t="shared" ca="1" si="10"/>
        <v>8.53124999998384E-3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input_587100!A$2</f>
        <v>587100</v>
      </c>
      <c r="B163" s="5">
        <v>397</v>
      </c>
      <c r="C163" s="7" t="str">
        <f t="shared" si="11"/>
        <v>Premium5</v>
      </c>
      <c r="D163" s="7" t="str">
        <f t="shared" si="12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IFERROR(VLOOKUP(B163,input_587100!L:R,7,FALSE),VLOOKUP(tables_587100!C163,input_587100!A:H,8,FALSE))</f>
        <v>8351.5384599999998</v>
      </c>
      <c r="P163" s="46">
        <f t="shared" ca="1" si="10"/>
        <v>3.9543269223409945E-4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input_587100!A$2</f>
        <v>587100</v>
      </c>
      <c r="B164" s="5">
        <v>398</v>
      </c>
      <c r="C164" s="7" t="str">
        <f t="shared" si="11"/>
        <v>PremiumSS4</v>
      </c>
      <c r="D164" s="7" t="str">
        <f t="shared" si="12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IFERROR(VLOOKUP(B164,input_587100!L:R,7,FALSE),VLOOKUP(tables_587100!C164,input_587100!A:H,8,FALSE))</f>
        <v>28285.71429</v>
      </c>
      <c r="P164" s="46">
        <f t="shared" ca="1" si="10"/>
        <v>1.3392857144860994E-3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input_587100!A$2</f>
        <v>587100</v>
      </c>
      <c r="B165" s="5">
        <v>399</v>
      </c>
      <c r="C165" s="7" t="str">
        <f t="shared" si="11"/>
        <v>PremiumSS5</v>
      </c>
      <c r="D165" s="7" t="str">
        <f t="shared" si="12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IFERROR(VLOOKUP(B165,input_587100!L:R,7,FALSE),VLOOKUP(tables_587100!C165,input_587100!A:H,8,FALSE))</f>
        <v>11000</v>
      </c>
      <c r="P165" s="46">
        <f t="shared" ca="1" si="10"/>
        <v>5.2083333333234681E-4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input_587100!A$2</f>
        <v>587100</v>
      </c>
      <c r="B166" s="5">
        <v>400</v>
      </c>
      <c r="C166" s="7" t="str">
        <f t="shared" si="11"/>
        <v>Premium3</v>
      </c>
      <c r="D166" s="7" t="str">
        <f t="shared" si="12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IFERROR(VLOOKUP(B166,input_587100!L:R,7,FALSE),VLOOKUP(tables_587100!C166,input_587100!A:H,8,FALSE))</f>
        <v>0</v>
      </c>
      <c r="P166" s="46">
        <f t="shared" ca="1" si="10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input_587100!A$2</f>
        <v>587100</v>
      </c>
      <c r="B167" s="5">
        <v>401</v>
      </c>
      <c r="C167" s="7" t="str">
        <f t="shared" si="11"/>
        <v>Premium4</v>
      </c>
      <c r="D167" s="7" t="str">
        <f t="shared" si="12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IFERROR(VLOOKUP(B167,input_587100!L:R,7,FALSE),VLOOKUP(tables_587100!C167,input_587100!A:H,8,FALSE))</f>
        <v>180180</v>
      </c>
      <c r="P167" s="46">
        <f t="shared" ca="1" si="10"/>
        <v>8.53124999998384E-3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input_587100!A$2</f>
        <v>587100</v>
      </c>
      <c r="B168" s="5">
        <v>402</v>
      </c>
      <c r="C168" s="7" t="str">
        <f t="shared" si="11"/>
        <v>Premium5</v>
      </c>
      <c r="D168" s="7" t="str">
        <f t="shared" si="12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IFERROR(VLOOKUP(B168,input_587100!L:R,7,FALSE),VLOOKUP(tables_587100!C168,input_587100!A:H,8,FALSE))</f>
        <v>8351.5384599999998</v>
      </c>
      <c r="P168" s="46">
        <f t="shared" ca="1" si="10"/>
        <v>3.9543269223409945E-4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input_587100!A$2</f>
        <v>587100</v>
      </c>
      <c r="B169" s="5">
        <v>403</v>
      </c>
      <c r="C169" s="7" t="str">
        <f t="shared" si="11"/>
        <v>PremiumSS4</v>
      </c>
      <c r="D169" s="7" t="str">
        <f t="shared" si="12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IFERROR(VLOOKUP(B169,input_587100!L:R,7,FALSE),VLOOKUP(tables_587100!C169,input_587100!A:H,8,FALSE))</f>
        <v>28285.71429</v>
      </c>
      <c r="P169" s="46">
        <f t="shared" ca="1" si="10"/>
        <v>1.3392857144860994E-3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input_587100!A$2</f>
        <v>587100</v>
      </c>
      <c r="B170" s="5">
        <v>404</v>
      </c>
      <c r="C170" s="7" t="str">
        <f t="shared" si="11"/>
        <v>PremiumSS5</v>
      </c>
      <c r="D170" s="7" t="str">
        <f t="shared" si="12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IFERROR(VLOOKUP(B170,input_587100!L:R,7,FALSE),VLOOKUP(tables_587100!C170,input_587100!A:H,8,FALSE))</f>
        <v>11000</v>
      </c>
      <c r="P170" s="46">
        <f t="shared" ca="1" si="10"/>
        <v>5.2083333333234681E-4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input_587100!A$2</f>
        <v>587100</v>
      </c>
      <c r="B171" s="5">
        <v>405</v>
      </c>
      <c r="C171" s="7" t="str">
        <f t="shared" si="11"/>
        <v>Premium3</v>
      </c>
      <c r="D171" s="7" t="str">
        <f t="shared" si="12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IFERROR(VLOOKUP(B171,input_587100!L:R,7,FALSE),VLOOKUP(tables_587100!C171,input_587100!A:H,8,FALSE))</f>
        <v>0</v>
      </c>
      <c r="P171" s="46">
        <f t="shared" ca="1" si="10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input_587100!A$2</f>
        <v>587100</v>
      </c>
      <c r="B172" s="5">
        <v>406</v>
      </c>
      <c r="C172" s="7" t="str">
        <f t="shared" si="11"/>
        <v>Premium4</v>
      </c>
      <c r="D172" s="7" t="str">
        <f t="shared" si="12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IFERROR(VLOOKUP(B172,input_587100!L:R,7,FALSE),VLOOKUP(tables_587100!C172,input_587100!A:H,8,FALSE))</f>
        <v>180180</v>
      </c>
      <c r="P172" s="46">
        <f t="shared" ca="1" si="10"/>
        <v>8.53124999998384E-3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input_587100!A$2</f>
        <v>587100</v>
      </c>
      <c r="B173" s="5">
        <v>407</v>
      </c>
      <c r="C173" s="7" t="str">
        <f t="shared" si="11"/>
        <v>Premium5</v>
      </c>
      <c r="D173" s="7" t="str">
        <f t="shared" si="12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IFERROR(VLOOKUP(B173,input_587100!L:R,7,FALSE),VLOOKUP(tables_587100!C173,input_587100!A:H,8,FALSE))</f>
        <v>8351.5384599999998</v>
      </c>
      <c r="P173" s="46">
        <f t="shared" ca="1" si="10"/>
        <v>3.9543269223409945E-4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input_587100!A$2</f>
        <v>587100</v>
      </c>
      <c r="B174" s="5">
        <v>408</v>
      </c>
      <c r="C174" s="7" t="str">
        <f t="shared" si="11"/>
        <v>PremiumSS4</v>
      </c>
      <c r="D174" s="7" t="str">
        <f t="shared" si="12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IFERROR(VLOOKUP(B174,input_587100!L:R,7,FALSE),VLOOKUP(tables_587100!C174,input_587100!A:H,8,FALSE))</f>
        <v>28285.71429</v>
      </c>
      <c r="P174" s="46">
        <f t="shared" ca="1" si="10"/>
        <v>1.3392857144860994E-3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input_587100!A$2</f>
        <v>587100</v>
      </c>
      <c r="B175" s="5">
        <v>409</v>
      </c>
      <c r="C175" s="7" t="str">
        <f t="shared" si="11"/>
        <v>PremiumSS5</v>
      </c>
      <c r="D175" s="7" t="str">
        <f t="shared" si="12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IFERROR(VLOOKUP(B175,input_587100!L:R,7,FALSE),VLOOKUP(tables_587100!C175,input_587100!A:H,8,FALSE))</f>
        <v>11000</v>
      </c>
      <c r="P175" s="46">
        <f t="shared" ca="1" si="10"/>
        <v>5.2083333333234681E-4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input_587100!A$2</f>
        <v>587100</v>
      </c>
      <c r="B176" s="5">
        <v>434</v>
      </c>
      <c r="C176" s="7" t="str">
        <f t="shared" si="11"/>
        <v>PremiumSS4</v>
      </c>
      <c r="D176" s="7" t="str">
        <f t="shared" si="12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IFERROR(VLOOKUP(B176,input_587100!L:R,7,FALSE),VLOOKUP(tables_587100!C176,input_587100!A:H,8,FALSE))</f>
        <v>28285.71429</v>
      </c>
      <c r="P176" s="46">
        <f t="shared" ca="1" si="10"/>
        <v>1.3392857144860994E-3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input_587100!A$2</f>
        <v>587100</v>
      </c>
      <c r="B177" s="5">
        <v>435</v>
      </c>
      <c r="C177" s="7" t="str">
        <f t="shared" si="11"/>
        <v>PremiumSS5</v>
      </c>
      <c r="D177" s="7" t="str">
        <f t="shared" si="12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IFERROR(VLOOKUP(B177,input_587100!L:R,7,FALSE),VLOOKUP(tables_587100!C177,input_587100!A:H,8,FALSE))</f>
        <v>11000</v>
      </c>
      <c r="P177" s="46">
        <f t="shared" ca="1" si="10"/>
        <v>5.2083333333234681E-4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input_587100!A$2</f>
        <v>587100</v>
      </c>
      <c r="B178" s="5">
        <v>436</v>
      </c>
      <c r="C178" s="7" t="str">
        <f t="shared" si="11"/>
        <v>Premium3</v>
      </c>
      <c r="D178" s="7" t="str">
        <f t="shared" si="12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IFERROR(VLOOKUP(B178,input_587100!L:R,7,FALSE),VLOOKUP(tables_587100!C178,input_587100!A:H,8,FALSE))</f>
        <v>0</v>
      </c>
      <c r="P178" s="46">
        <f t="shared" ca="1" si="10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input_587100!A$2</f>
        <v>587100</v>
      </c>
      <c r="B179" s="5">
        <v>437</v>
      </c>
      <c r="C179" s="7" t="str">
        <f t="shared" si="11"/>
        <v>Premium4</v>
      </c>
      <c r="D179" s="7" t="str">
        <f t="shared" si="12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IFERROR(VLOOKUP(B179,input_587100!L:R,7,FALSE),VLOOKUP(tables_587100!C179,input_587100!A:H,8,FALSE))</f>
        <v>180180</v>
      </c>
      <c r="P179" s="46">
        <f t="shared" ca="1" si="10"/>
        <v>8.53124999998384E-3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input_587100!A$2</f>
        <v>587100</v>
      </c>
      <c r="B180" s="5">
        <v>438</v>
      </c>
      <c r="C180" s="7" t="str">
        <f t="shared" si="11"/>
        <v>Premium5</v>
      </c>
      <c r="D180" s="7" t="str">
        <f t="shared" si="12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IFERROR(VLOOKUP(B180,input_587100!L:R,7,FALSE),VLOOKUP(tables_587100!C180,input_587100!A:H,8,FALSE))</f>
        <v>8351.5384599999998</v>
      </c>
      <c r="P180" s="46">
        <f t="shared" ca="1" si="10"/>
        <v>3.9543269223409945E-4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input_587100!A$2</f>
        <v>587100</v>
      </c>
      <c r="B181" s="5">
        <v>439</v>
      </c>
      <c r="C181" s="7" t="str">
        <f t="shared" si="11"/>
        <v>Premium3</v>
      </c>
      <c r="D181" s="7" t="str">
        <f t="shared" si="12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IFERROR(VLOOKUP(B181,input_587100!L:R,7,FALSE),VLOOKUP(tables_587100!C181,input_587100!A:H,8,FALSE))</f>
        <v>0</v>
      </c>
      <c r="P181" s="46">
        <f t="shared" ca="1" si="10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input_587100!A$2</f>
        <v>587100</v>
      </c>
      <c r="B182" s="5">
        <v>440</v>
      </c>
      <c r="C182" s="7" t="str">
        <f t="shared" si="11"/>
        <v>Premium4</v>
      </c>
      <c r="D182" s="7" t="str">
        <f t="shared" si="12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IFERROR(VLOOKUP(B182,input_587100!L:R,7,FALSE),VLOOKUP(tables_587100!C182,input_587100!A:H,8,FALSE))</f>
        <v>180180</v>
      </c>
      <c r="P182" s="46">
        <f t="shared" ca="1" si="10"/>
        <v>8.53124999998384E-3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input_587100!A$2</f>
        <v>587100</v>
      </c>
      <c r="B183" s="5">
        <v>441</v>
      </c>
      <c r="C183" s="7" t="str">
        <f t="shared" si="11"/>
        <v>Premium5</v>
      </c>
      <c r="D183" s="7" t="str">
        <f t="shared" si="12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IFERROR(VLOOKUP(B183,input_587100!L:R,7,FALSE),VLOOKUP(tables_587100!C183,input_587100!A:H,8,FALSE))</f>
        <v>8351.5384599999998</v>
      </c>
      <c r="P183" s="46">
        <f t="shared" ca="1" si="10"/>
        <v>3.9543269223409945E-4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input_587100!A$2</f>
        <v>587100</v>
      </c>
      <c r="B184" s="5">
        <v>442</v>
      </c>
      <c r="C184" s="7" t="str">
        <f t="shared" si="11"/>
        <v>PremiumSS4</v>
      </c>
      <c r="D184" s="7" t="str">
        <f t="shared" si="12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IFERROR(VLOOKUP(B184,input_587100!L:R,7,FALSE),VLOOKUP(tables_587100!C184,input_587100!A:H,8,FALSE))</f>
        <v>28285.71429</v>
      </c>
      <c r="P184" s="46">
        <f t="shared" ca="1" si="10"/>
        <v>1.3392857144860994E-3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input_587100!A$2</f>
        <v>587100</v>
      </c>
      <c r="B185" s="5">
        <v>443</v>
      </c>
      <c r="C185" s="7" t="str">
        <f t="shared" si="11"/>
        <v>PremiumSS5</v>
      </c>
      <c r="D185" s="7" t="str">
        <f t="shared" si="12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IFERROR(VLOOKUP(B185,input_587100!L:R,7,FALSE),VLOOKUP(tables_587100!C185,input_587100!A:H,8,FALSE))</f>
        <v>11000</v>
      </c>
      <c r="P185" s="46">
        <f t="shared" ca="1" si="10"/>
        <v>5.2083333333234681E-4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input_587100!A$2</f>
        <v>587100</v>
      </c>
      <c r="B186" s="5">
        <v>462</v>
      </c>
      <c r="C186" s="7" t="str">
        <f t="shared" si="11"/>
        <v>Premium3</v>
      </c>
      <c r="D186" s="7" t="str">
        <f t="shared" si="12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IFERROR(VLOOKUP(B186,input_587100!L:R,7,FALSE),VLOOKUP(tables_587100!C186,input_587100!A:H,8,FALSE))</f>
        <v>0</v>
      </c>
      <c r="P186" s="46">
        <f t="shared" ca="1" si="10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input_587100!A$2</f>
        <v>587100</v>
      </c>
      <c r="B187" s="5">
        <v>463</v>
      </c>
      <c r="C187" s="7" t="str">
        <f t="shared" si="11"/>
        <v>Premium4</v>
      </c>
      <c r="D187" s="7" t="str">
        <f t="shared" si="12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IFERROR(VLOOKUP(B187,input_587100!L:R,7,FALSE),VLOOKUP(tables_587100!C187,input_587100!A:H,8,FALSE))</f>
        <v>180180</v>
      </c>
      <c r="P187" s="46">
        <f t="shared" ca="1" si="10"/>
        <v>8.53124999998384E-3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input_587100!A$2</f>
        <v>587100</v>
      </c>
      <c r="B188" s="5">
        <v>464</v>
      </c>
      <c r="C188" s="7" t="str">
        <f t="shared" si="11"/>
        <v>Premium5</v>
      </c>
      <c r="D188" s="7" t="str">
        <f t="shared" si="12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IFERROR(VLOOKUP(B188,input_587100!L:R,7,FALSE),VLOOKUP(tables_587100!C188,input_587100!A:H,8,FALSE))</f>
        <v>8351.5384599999998</v>
      </c>
      <c r="P188" s="46">
        <f t="shared" ca="1" si="10"/>
        <v>3.9543269223409945E-4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input_587100!A$2</f>
        <v>587100</v>
      </c>
      <c r="B189" s="5">
        <v>465</v>
      </c>
      <c r="C189" s="7" t="str">
        <f t="shared" si="11"/>
        <v>PremiumSS4</v>
      </c>
      <c r="D189" s="7" t="str">
        <f t="shared" si="12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IFERROR(VLOOKUP(B189,input_587100!L:R,7,FALSE),VLOOKUP(tables_587100!C189,input_587100!A:H,8,FALSE))</f>
        <v>28285.71429</v>
      </c>
      <c r="P189" s="46">
        <f t="shared" ca="1" si="10"/>
        <v>1.3392857144860994E-3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ht="21" customHeight="1" x14ac:dyDescent="0.15">
      <c r="A190" s="2" t="str">
        <f ca="1">input_587100!A$2</f>
        <v>587100</v>
      </c>
      <c r="B190" s="5">
        <v>466</v>
      </c>
      <c r="C190" s="7" t="str">
        <f t="shared" si="11"/>
        <v>PremiumSS5</v>
      </c>
      <c r="D190" s="7" t="str">
        <f t="shared" si="12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IFERROR(VLOOKUP(B190,input_587100!L:R,7,FALSE),VLOOKUP(tables_587100!C190,input_587100!A:H,8,FALSE))</f>
        <v>11000</v>
      </c>
      <c r="P190" s="46">
        <f t="shared" ca="1" si="10"/>
        <v>5.2083333333234681E-4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input_587100!A$2</f>
        <v>587100</v>
      </c>
      <c r="B191" s="5">
        <v>467</v>
      </c>
      <c r="C191" s="7" t="str">
        <f t="shared" si="11"/>
        <v>PremiumSS4</v>
      </c>
      <c r="D191" s="7" t="str">
        <f t="shared" si="12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IFERROR(VLOOKUP(B191,input_587100!L:R,7,FALSE),VLOOKUP(tables_587100!C191,input_587100!A:H,8,FALSE))</f>
        <v>28285.71429</v>
      </c>
      <c r="P191" s="46">
        <f t="shared" ca="1" si="10"/>
        <v>1.3392857144860994E-3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input_587100!A$2</f>
        <v>587100</v>
      </c>
      <c r="B192" s="5">
        <v>468</v>
      </c>
      <c r="C192" s="7" t="str">
        <f t="shared" si="11"/>
        <v>PremiumSS5</v>
      </c>
      <c r="D192" s="7" t="str">
        <f t="shared" si="12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IFERROR(VLOOKUP(B192,input_587100!L:R,7,FALSE),VLOOKUP(tables_587100!C192,input_587100!A:H,8,FALSE))</f>
        <v>11000</v>
      </c>
      <c r="P192" s="46">
        <f t="shared" ca="1" si="10"/>
        <v>5.2083333333234681E-4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input_587100!A$2</f>
        <v>587100</v>
      </c>
      <c r="B193" s="5">
        <v>469</v>
      </c>
      <c r="C193" s="7" t="str">
        <f t="shared" si="11"/>
        <v>Premium3</v>
      </c>
      <c r="D193" s="7" t="str">
        <f t="shared" si="12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IFERROR(VLOOKUP(B193,input_587100!L:R,7,FALSE),VLOOKUP(tables_587100!C193,input_587100!A:H,8,FALSE))</f>
        <v>0</v>
      </c>
      <c r="P193" s="46">
        <f t="shared" ca="1" si="10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input_587100!A$2</f>
        <v>587100</v>
      </c>
      <c r="B194" s="5">
        <v>470</v>
      </c>
      <c r="C194" s="7" t="str">
        <f t="shared" si="11"/>
        <v>Premium4</v>
      </c>
      <c r="D194" s="7" t="str">
        <f t="shared" si="12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IFERROR(VLOOKUP(B194,input_587100!L:R,7,FALSE),VLOOKUP(tables_587100!C194,input_587100!A:H,8,FALSE))</f>
        <v>180180</v>
      </c>
      <c r="P194" s="46">
        <f t="shared" ref="P194:P257" ca="1" si="13">O194/SUM(O:O)</f>
        <v>8.53124999998384E-3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input_587100!A$2</f>
        <v>587100</v>
      </c>
      <c r="B195" s="5">
        <v>471</v>
      </c>
      <c r="C195" s="7" t="str">
        <f t="shared" si="11"/>
        <v>Premium5</v>
      </c>
      <c r="D195" s="7" t="str">
        <f t="shared" si="12"/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IFERROR(VLOOKUP(B195,input_587100!L:R,7,FALSE),VLOOKUP(tables_587100!C195,input_587100!A:H,8,FALSE))</f>
        <v>8351.5384599999998</v>
      </c>
      <c r="P195" s="46">
        <f t="shared" ca="1" si="13"/>
        <v>3.9543269223409945E-4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input_587100!A$2</f>
        <v>587100</v>
      </c>
      <c r="B196" s="5">
        <v>474</v>
      </c>
      <c r="C196" s="7" t="str">
        <f t="shared" si="11"/>
        <v>PremiumSS4</v>
      </c>
      <c r="D196" s="7" t="str">
        <f t="shared" si="12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IFERROR(VLOOKUP(B196,input_587100!L:R,7,FALSE),VLOOKUP(tables_587100!C196,input_587100!A:H,8,FALSE))</f>
        <v>28285.71429</v>
      </c>
      <c r="P196" s="46">
        <f t="shared" ca="1" si="13"/>
        <v>1.3392857144860994E-3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input_587100!A$2</f>
        <v>587100</v>
      </c>
      <c r="B197" s="5">
        <v>475</v>
      </c>
      <c r="C197" s="7" t="str">
        <f t="shared" si="11"/>
        <v>PremiumSS5</v>
      </c>
      <c r="D197" s="7" t="str">
        <f t="shared" si="12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IFERROR(VLOOKUP(B197,input_587100!L:R,7,FALSE),VLOOKUP(tables_587100!C197,input_587100!A:H,8,FALSE))</f>
        <v>11000</v>
      </c>
      <c r="P197" s="46">
        <f t="shared" ca="1" si="13"/>
        <v>5.2083333333234681E-4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input_587100!A$2</f>
        <v>587100</v>
      </c>
      <c r="B198" s="5">
        <v>476</v>
      </c>
      <c r="C198" s="7" t="str">
        <f t="shared" si="11"/>
        <v>Premium3</v>
      </c>
      <c r="D198" s="7" t="str">
        <f t="shared" si="12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IFERROR(VLOOKUP(B198,input_587100!L:R,7,FALSE),VLOOKUP(tables_587100!C198,input_587100!A:H,8,FALSE))</f>
        <v>0</v>
      </c>
      <c r="P198" s="46">
        <f t="shared" ca="1" si="13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input_587100!A$2</f>
        <v>587100</v>
      </c>
      <c r="B199" s="5">
        <v>477</v>
      </c>
      <c r="C199" s="7" t="str">
        <f t="shared" si="11"/>
        <v>Premium4</v>
      </c>
      <c r="D199" s="7" t="str">
        <f t="shared" si="12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IFERROR(VLOOKUP(B199,input_587100!L:R,7,FALSE),VLOOKUP(tables_587100!C199,input_587100!A:H,8,FALSE))</f>
        <v>180180</v>
      </c>
      <c r="P199" s="46">
        <f t="shared" ca="1" si="13"/>
        <v>8.53124999998384E-3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input_587100!A$2</f>
        <v>587100</v>
      </c>
      <c r="B200" s="5">
        <v>478</v>
      </c>
      <c r="C200" s="7" t="str">
        <f t="shared" si="11"/>
        <v>Premium5</v>
      </c>
      <c r="D200" s="7" t="str">
        <f t="shared" si="12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IFERROR(VLOOKUP(B200,input_587100!L:R,7,FALSE),VLOOKUP(tables_587100!C200,input_587100!A:H,8,FALSE))</f>
        <v>8351.5384599999998</v>
      </c>
      <c r="P200" s="46">
        <f t="shared" ca="1" si="13"/>
        <v>3.9543269223409945E-4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input_587100!A$2</f>
        <v>587100</v>
      </c>
      <c r="B201" s="5">
        <v>479</v>
      </c>
      <c r="C201" s="7" t="str">
        <f t="shared" si="11"/>
        <v>PremiumSS4</v>
      </c>
      <c r="D201" s="7" t="str">
        <f t="shared" si="12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IFERROR(VLOOKUP(B201,input_587100!L:R,7,FALSE),VLOOKUP(tables_587100!C201,input_587100!A:H,8,FALSE))</f>
        <v>28285.71429</v>
      </c>
      <c r="P201" s="46">
        <f t="shared" ca="1" si="13"/>
        <v>1.3392857144860994E-3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input_587100!A$2</f>
        <v>587100</v>
      </c>
      <c r="B202" s="5">
        <v>480</v>
      </c>
      <c r="C202" s="7" t="str">
        <f t="shared" ref="C202:C265" si="14">D202&amp;J202&amp;E202&amp;F202&amp;G202</f>
        <v>PremiumSS5</v>
      </c>
      <c r="D202" s="7" t="str">
        <f t="shared" ref="D202:D265" si="15">IF(OR(I202="PremiumSS",I202="PremiumSSw"),"PremiumSS",IF(I202="PremiumSSS",I202,IF(I202="PremiumW",IF(J202=5,"premium",I202),"Premium")))</f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IFERROR(VLOOKUP(B202,input_587100!L:R,7,FALSE),VLOOKUP(tables_587100!C202,input_587100!A:H,8,FALSE))</f>
        <v>11000</v>
      </c>
      <c r="P202" s="46">
        <f t="shared" ca="1" si="13"/>
        <v>5.2083333333234681E-4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input_587100!A$2</f>
        <v>587100</v>
      </c>
      <c r="B203" s="5">
        <v>481</v>
      </c>
      <c r="C203" s="7" t="str">
        <f t="shared" si="14"/>
        <v>Premium3</v>
      </c>
      <c r="D203" s="7" t="str">
        <f t="shared" si="15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IFERROR(VLOOKUP(B203,input_587100!L:R,7,FALSE),VLOOKUP(tables_587100!C203,input_587100!A:H,8,FALSE))</f>
        <v>0</v>
      </c>
      <c r="P203" s="46">
        <f t="shared" ca="1" si="13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input_587100!A$2</f>
        <v>587100</v>
      </c>
      <c r="B204" s="5">
        <v>482</v>
      </c>
      <c r="C204" s="7" t="str">
        <f t="shared" si="14"/>
        <v>Premium4</v>
      </c>
      <c r="D204" s="7" t="str">
        <f t="shared" si="15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IFERROR(VLOOKUP(B204,input_587100!L:R,7,FALSE),VLOOKUP(tables_587100!C204,input_587100!A:H,8,FALSE))</f>
        <v>180180</v>
      </c>
      <c r="P204" s="46">
        <f t="shared" ca="1" si="13"/>
        <v>8.53124999998384E-3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input_587100!A$2</f>
        <v>587100</v>
      </c>
      <c r="B205" s="5">
        <v>483</v>
      </c>
      <c r="C205" s="7" t="str">
        <f t="shared" si="14"/>
        <v>Premium5</v>
      </c>
      <c r="D205" s="7" t="str">
        <f t="shared" si="15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IFERROR(VLOOKUP(B205,input_587100!L:R,7,FALSE),VLOOKUP(tables_587100!C205,input_587100!A:H,8,FALSE))</f>
        <v>8351.5384599999998</v>
      </c>
      <c r="P205" s="46">
        <f t="shared" ca="1" si="13"/>
        <v>3.9543269223409945E-4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input_587100!A$2</f>
        <v>587100</v>
      </c>
      <c r="B206" s="5">
        <v>492</v>
      </c>
      <c r="C206" s="7" t="str">
        <f t="shared" si="14"/>
        <v>PremiumSS4</v>
      </c>
      <c r="D206" s="7" t="str">
        <f t="shared" si="15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IFERROR(VLOOKUP(B206,input_587100!L:R,7,FALSE),VLOOKUP(tables_587100!C206,input_587100!A:H,8,FALSE))</f>
        <v>28285.71429</v>
      </c>
      <c r="P206" s="46">
        <f t="shared" ca="1" si="13"/>
        <v>1.3392857144860994E-3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input_587100!A$2</f>
        <v>587100</v>
      </c>
      <c r="B207" s="5">
        <v>493</v>
      </c>
      <c r="C207" s="7" t="str">
        <f t="shared" si="14"/>
        <v>PremiumSS5</v>
      </c>
      <c r="D207" s="7" t="str">
        <f t="shared" si="15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IFERROR(VLOOKUP(B207,input_587100!L:R,7,FALSE),VLOOKUP(tables_587100!C207,input_587100!A:H,8,FALSE))</f>
        <v>11000</v>
      </c>
      <c r="P207" s="46">
        <f t="shared" ca="1" si="13"/>
        <v>5.2083333333234681E-4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input_587100!A$2</f>
        <v>587100</v>
      </c>
      <c r="B208" s="5">
        <v>494</v>
      </c>
      <c r="C208" s="7" t="str">
        <f t="shared" si="14"/>
        <v>PremiumSS4</v>
      </c>
      <c r="D208" s="7" t="str">
        <f t="shared" si="15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IFERROR(VLOOKUP(B208,input_587100!L:R,7,FALSE),VLOOKUP(tables_587100!C208,input_587100!A:H,8,FALSE))</f>
        <v>28285.71429</v>
      </c>
      <c r="P208" s="46">
        <f t="shared" ca="1" si="13"/>
        <v>1.3392857144860994E-3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input_587100!A$2</f>
        <v>587100</v>
      </c>
      <c r="B209" s="5">
        <v>495</v>
      </c>
      <c r="C209" s="7" t="str">
        <f t="shared" si="14"/>
        <v>PremiumSS5</v>
      </c>
      <c r="D209" s="7" t="str">
        <f t="shared" si="15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IFERROR(VLOOKUP(B209,input_587100!L:R,7,FALSE),VLOOKUP(tables_587100!C209,input_587100!A:H,8,FALSE))</f>
        <v>11000</v>
      </c>
      <c r="P209" s="46">
        <f t="shared" ca="1" si="13"/>
        <v>5.2083333333234681E-4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input_587100!A$2</f>
        <v>587100</v>
      </c>
      <c r="B210" s="5">
        <v>496</v>
      </c>
      <c r="C210" s="7" t="str">
        <f t="shared" si="14"/>
        <v>Premium3</v>
      </c>
      <c r="D210" s="7" t="str">
        <f t="shared" si="15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IFERROR(VLOOKUP(B210,input_587100!L:R,7,FALSE),VLOOKUP(tables_587100!C210,input_587100!A:H,8,FALSE))</f>
        <v>0</v>
      </c>
      <c r="P210" s="46">
        <f t="shared" ca="1" si="13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input_587100!A$2</f>
        <v>587100</v>
      </c>
      <c r="B211" s="5">
        <v>497</v>
      </c>
      <c r="C211" s="7" t="str">
        <f t="shared" si="14"/>
        <v>Premium4</v>
      </c>
      <c r="D211" s="7" t="str">
        <f t="shared" si="15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IFERROR(VLOOKUP(B211,input_587100!L:R,7,FALSE),VLOOKUP(tables_587100!C211,input_587100!A:H,8,FALSE))</f>
        <v>180180</v>
      </c>
      <c r="P211" s="46">
        <f t="shared" ca="1" si="13"/>
        <v>8.53124999998384E-3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input_587100!A$2</f>
        <v>587100</v>
      </c>
      <c r="B212" s="5">
        <v>498</v>
      </c>
      <c r="C212" s="7" t="str">
        <f t="shared" si="14"/>
        <v>Premium5</v>
      </c>
      <c r="D212" s="7" t="str">
        <f t="shared" si="15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IFERROR(VLOOKUP(B212,input_587100!L:R,7,FALSE),VLOOKUP(tables_587100!C212,input_587100!A:H,8,FALSE))</f>
        <v>8351.5384599999998</v>
      </c>
      <c r="P212" s="46">
        <f t="shared" ca="1" si="13"/>
        <v>3.9543269223409945E-4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input_587100!A$2</f>
        <v>587100</v>
      </c>
      <c r="B213" s="5">
        <v>499</v>
      </c>
      <c r="C213" s="7" t="str">
        <f t="shared" si="14"/>
        <v>PremiumSS4</v>
      </c>
      <c r="D213" s="7" t="str">
        <f t="shared" si="15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IFERROR(VLOOKUP(B213,input_587100!L:R,7,FALSE),VLOOKUP(tables_587100!C213,input_587100!A:H,8,FALSE))</f>
        <v>28285.71429</v>
      </c>
      <c r="P213" s="46">
        <f t="shared" ca="1" si="13"/>
        <v>1.3392857144860994E-3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input_587100!A$2</f>
        <v>587100</v>
      </c>
      <c r="B214" s="5">
        <v>500</v>
      </c>
      <c r="C214" s="7" t="str">
        <f t="shared" si="14"/>
        <v>PremiumSS5</v>
      </c>
      <c r="D214" s="7" t="str">
        <f t="shared" si="15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IFERROR(VLOOKUP(B214,input_587100!L:R,7,FALSE),VLOOKUP(tables_587100!C214,input_587100!A:H,8,FALSE))</f>
        <v>11000</v>
      </c>
      <c r="P214" s="46">
        <f t="shared" ca="1" si="13"/>
        <v>5.2083333333234681E-4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input_587100!A$2</f>
        <v>587100</v>
      </c>
      <c r="B215" s="5">
        <v>560</v>
      </c>
      <c r="C215" s="7" t="str">
        <f t="shared" si="14"/>
        <v>premium5R3less</v>
      </c>
      <c r="D215" s="7" t="str">
        <f t="shared" si="15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IFERROR(VLOOKUP(B215,input_587100!L:R,7,FALSE),VLOOKUP(tables_587100!C215,input_587100!A:H,8,FALSE))</f>
        <v>20020</v>
      </c>
      <c r="P215" s="46">
        <f t="shared" ca="1" si="13"/>
        <v>9.4791666666487113E-4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input_587100!A$2</f>
        <v>587100</v>
      </c>
      <c r="B216" s="5">
        <v>561</v>
      </c>
      <c r="C216" s="7" t="str">
        <f t="shared" si="14"/>
        <v>premium5R3less</v>
      </c>
      <c r="D216" s="7" t="str">
        <f t="shared" si="15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IFERROR(VLOOKUP(B216,input_587100!L:R,7,FALSE),VLOOKUP(tables_587100!C216,input_587100!A:H,8,FALSE))</f>
        <v>20020</v>
      </c>
      <c r="P216" s="46">
        <f t="shared" ca="1" si="13"/>
        <v>9.4791666666487113E-4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input_587100!A$2</f>
        <v>587100</v>
      </c>
      <c r="B217" s="5">
        <v>562</v>
      </c>
      <c r="C217" s="7" t="str">
        <f t="shared" si="14"/>
        <v>premium5R3less</v>
      </c>
      <c r="D217" s="7" t="str">
        <f t="shared" si="15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IFERROR(VLOOKUP(B217,input_587100!L:R,7,FALSE),VLOOKUP(tables_587100!C217,input_587100!A:H,8,FALSE))</f>
        <v>20020</v>
      </c>
      <c r="P217" s="46">
        <f t="shared" ca="1" si="13"/>
        <v>9.4791666666487113E-4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input_587100!A$2</f>
        <v>587100</v>
      </c>
      <c r="B218" s="5">
        <v>563</v>
      </c>
      <c r="C218" s="7" t="str">
        <f t="shared" si="14"/>
        <v>premium5R3less</v>
      </c>
      <c r="D218" s="7" t="str">
        <f t="shared" si="15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IFERROR(VLOOKUP(B218,input_587100!L:R,7,FALSE),VLOOKUP(tables_587100!C218,input_587100!A:H,8,FALSE))</f>
        <v>20020</v>
      </c>
      <c r="P218" s="46">
        <f t="shared" ca="1" si="13"/>
        <v>9.4791666666487113E-4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input_587100!A$2</f>
        <v>587100</v>
      </c>
      <c r="B219" s="5">
        <v>566</v>
      </c>
      <c r="C219" s="7" t="str">
        <f t="shared" si="14"/>
        <v>premium5R3less</v>
      </c>
      <c r="D219" s="7" t="str">
        <f t="shared" si="15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IFERROR(VLOOKUP(B219,input_587100!L:R,7,FALSE),VLOOKUP(tables_587100!C219,input_587100!A:H,8,FALSE))</f>
        <v>20020</v>
      </c>
      <c r="P219" s="46">
        <f t="shared" ca="1" si="13"/>
        <v>9.4791666666487113E-4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input_587100!A$2</f>
        <v>587100</v>
      </c>
      <c r="B220" s="5">
        <v>567</v>
      </c>
      <c r="C220" s="7" t="str">
        <f t="shared" si="14"/>
        <v>premium5R3less</v>
      </c>
      <c r="D220" s="7" t="str">
        <f t="shared" si="15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IFERROR(VLOOKUP(B220,input_587100!L:R,7,FALSE),VLOOKUP(tables_587100!C220,input_587100!A:H,8,FALSE))</f>
        <v>20020</v>
      </c>
      <c r="P220" s="46">
        <f t="shared" ca="1" si="13"/>
        <v>9.4791666666487113E-4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input_587100!A$2</f>
        <v>587100</v>
      </c>
      <c r="B221" s="5">
        <v>586</v>
      </c>
      <c r="C221" s="7" t="str">
        <f t="shared" si="14"/>
        <v>PremiumSS4</v>
      </c>
      <c r="D221" s="7" t="str">
        <f t="shared" si="15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IFERROR(VLOOKUP(B221,input_587100!L:R,7,FALSE),VLOOKUP(tables_587100!C221,input_587100!A:H,8,FALSE))</f>
        <v>28285.71429</v>
      </c>
      <c r="P221" s="46">
        <f t="shared" ca="1" si="13"/>
        <v>1.3392857144860994E-3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input_587100!A$2</f>
        <v>587100</v>
      </c>
      <c r="B222" s="5">
        <v>587</v>
      </c>
      <c r="C222" s="7" t="str">
        <f t="shared" si="14"/>
        <v>PremiumSS5</v>
      </c>
      <c r="D222" s="7" t="str">
        <f t="shared" si="15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IFERROR(VLOOKUP(B222,input_587100!L:R,7,FALSE),VLOOKUP(tables_587100!C222,input_587100!A:H,8,FALSE))</f>
        <v>11000</v>
      </c>
      <c r="P222" s="46">
        <f t="shared" ca="1" si="13"/>
        <v>5.2083333333234681E-4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input_587100!A$2</f>
        <v>587100</v>
      </c>
      <c r="B223" s="5">
        <v>588</v>
      </c>
      <c r="C223" s="7" t="str">
        <f t="shared" si="14"/>
        <v>Premium3</v>
      </c>
      <c r="D223" s="7" t="str">
        <f t="shared" si="15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IFERROR(VLOOKUP(B223,input_587100!L:R,7,FALSE),VLOOKUP(tables_587100!C223,input_587100!A:H,8,FALSE))</f>
        <v>0</v>
      </c>
      <c r="P223" s="46">
        <f t="shared" ca="1" si="13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input_587100!A$2</f>
        <v>587100</v>
      </c>
      <c r="B224" s="5">
        <v>589</v>
      </c>
      <c r="C224" s="7" t="str">
        <f t="shared" si="14"/>
        <v>Premium4</v>
      </c>
      <c r="D224" s="7" t="str">
        <f t="shared" si="15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IFERROR(VLOOKUP(B224,input_587100!L:R,7,FALSE),VLOOKUP(tables_587100!C224,input_587100!A:H,8,FALSE))</f>
        <v>180180</v>
      </c>
      <c r="P224" s="46">
        <f t="shared" ca="1" si="13"/>
        <v>8.53124999998384E-3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input_587100!A$2</f>
        <v>587100</v>
      </c>
      <c r="B225" s="5">
        <v>590</v>
      </c>
      <c r="C225" s="7" t="str">
        <f t="shared" si="14"/>
        <v>Premium5</v>
      </c>
      <c r="D225" s="7" t="str">
        <f t="shared" si="15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IFERROR(VLOOKUP(B225,input_587100!L:R,7,FALSE),VLOOKUP(tables_587100!C225,input_587100!A:H,8,FALSE))</f>
        <v>8351.5384599999998</v>
      </c>
      <c r="P225" s="46">
        <f t="shared" ca="1" si="13"/>
        <v>3.9543269223409945E-4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input_587100!A$2</f>
        <v>587100</v>
      </c>
      <c r="B226" s="5">
        <v>591</v>
      </c>
      <c r="C226" s="7" t="str">
        <f t="shared" si="14"/>
        <v>Premium3</v>
      </c>
      <c r="D226" s="7" t="str">
        <f t="shared" si="15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IFERROR(VLOOKUP(B226,input_587100!L:R,7,FALSE),VLOOKUP(tables_587100!C226,input_587100!A:H,8,FALSE))</f>
        <v>0</v>
      </c>
      <c r="P226" s="46">
        <f t="shared" ca="1" si="13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input_587100!A$2</f>
        <v>587100</v>
      </c>
      <c r="B227" s="5">
        <v>592</v>
      </c>
      <c r="C227" s="7" t="str">
        <f t="shared" si="14"/>
        <v>Premium4</v>
      </c>
      <c r="D227" s="7" t="str">
        <f t="shared" si="15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IFERROR(VLOOKUP(B227,input_587100!L:R,7,FALSE),VLOOKUP(tables_587100!C227,input_587100!A:H,8,FALSE))</f>
        <v>180180</v>
      </c>
      <c r="P227" s="46">
        <f t="shared" ca="1" si="13"/>
        <v>8.53124999998384E-3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input_587100!A$2</f>
        <v>587100</v>
      </c>
      <c r="B228" s="5">
        <v>593</v>
      </c>
      <c r="C228" s="7" t="str">
        <f t="shared" si="14"/>
        <v>Premium5</v>
      </c>
      <c r="D228" s="7" t="str">
        <f t="shared" si="15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IFERROR(VLOOKUP(B228,input_587100!L:R,7,FALSE),VLOOKUP(tables_587100!C228,input_587100!A:H,8,FALSE))</f>
        <v>8351.5384599999998</v>
      </c>
      <c r="P228" s="46">
        <f t="shared" ca="1" si="13"/>
        <v>3.9543269223409945E-4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input_587100!A$2</f>
        <v>587100</v>
      </c>
      <c r="B229" s="5">
        <v>594</v>
      </c>
      <c r="C229" s="7" t="str">
        <f t="shared" si="14"/>
        <v>PremiumSS4</v>
      </c>
      <c r="D229" s="7" t="str">
        <f t="shared" si="15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IFERROR(VLOOKUP(B229,input_587100!L:R,7,FALSE),VLOOKUP(tables_587100!C229,input_587100!A:H,8,FALSE))</f>
        <v>28285.71429</v>
      </c>
      <c r="P229" s="46">
        <f t="shared" ca="1" si="13"/>
        <v>1.3392857144860994E-3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input_587100!A$2</f>
        <v>587100</v>
      </c>
      <c r="B230" s="5">
        <v>595</v>
      </c>
      <c r="C230" s="7" t="str">
        <f t="shared" si="14"/>
        <v>PremiumSS5</v>
      </c>
      <c r="D230" s="7" t="str">
        <f t="shared" si="15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IFERROR(VLOOKUP(B230,input_587100!L:R,7,FALSE),VLOOKUP(tables_587100!C230,input_587100!A:H,8,FALSE))</f>
        <v>11000</v>
      </c>
      <c r="P230" s="46">
        <f t="shared" ca="1" si="13"/>
        <v>5.2083333333234681E-4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input_587100!A$2</f>
        <v>587100</v>
      </c>
      <c r="B231" s="5">
        <v>596</v>
      </c>
      <c r="C231" s="7" t="str">
        <f t="shared" si="14"/>
        <v>Premium3</v>
      </c>
      <c r="D231" s="7" t="str">
        <f t="shared" si="15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IFERROR(VLOOKUP(B231,input_587100!L:R,7,FALSE),VLOOKUP(tables_587100!C231,input_587100!A:H,8,FALSE))</f>
        <v>0</v>
      </c>
      <c r="P231" s="46">
        <f t="shared" ca="1" si="13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input_587100!A$2</f>
        <v>587100</v>
      </c>
      <c r="B232" s="5">
        <v>597</v>
      </c>
      <c r="C232" s="7" t="str">
        <f t="shared" si="14"/>
        <v>Premium4</v>
      </c>
      <c r="D232" s="7" t="str">
        <f t="shared" si="15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IFERROR(VLOOKUP(B232,input_587100!L:R,7,FALSE),VLOOKUP(tables_587100!C232,input_587100!A:H,8,FALSE))</f>
        <v>180180</v>
      </c>
      <c r="P232" s="46">
        <f t="shared" ca="1" si="13"/>
        <v>8.53124999998384E-3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input_587100!A$2</f>
        <v>587100</v>
      </c>
      <c r="B233" s="5">
        <v>598</v>
      </c>
      <c r="C233" s="7" t="str">
        <f t="shared" si="14"/>
        <v>Premium5</v>
      </c>
      <c r="D233" s="7" t="str">
        <f t="shared" si="15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IFERROR(VLOOKUP(B233,input_587100!L:R,7,FALSE),VLOOKUP(tables_587100!C233,input_587100!A:H,8,FALSE))</f>
        <v>8351.5384599999998</v>
      </c>
      <c r="P233" s="46">
        <f t="shared" ca="1" si="13"/>
        <v>3.9543269223409945E-4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input_587100!A$2</f>
        <v>587100</v>
      </c>
      <c r="B234" s="5">
        <v>599</v>
      </c>
      <c r="C234" s="7" t="str">
        <f t="shared" si="14"/>
        <v>Premium3</v>
      </c>
      <c r="D234" s="7" t="str">
        <f t="shared" si="15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IFERROR(VLOOKUP(B234,input_587100!L:R,7,FALSE),VLOOKUP(tables_587100!C234,input_587100!A:H,8,FALSE))</f>
        <v>0</v>
      </c>
      <c r="P234" s="46">
        <f t="shared" ca="1" si="13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input_587100!A$2</f>
        <v>587100</v>
      </c>
      <c r="B235" s="5">
        <v>600</v>
      </c>
      <c r="C235" s="7" t="str">
        <f t="shared" si="14"/>
        <v>Premium4</v>
      </c>
      <c r="D235" s="7" t="str">
        <f t="shared" si="15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IFERROR(VLOOKUP(B235,input_587100!L:R,7,FALSE),VLOOKUP(tables_587100!C235,input_587100!A:H,8,FALSE))</f>
        <v>180180</v>
      </c>
      <c r="P235" s="46">
        <f t="shared" ca="1" si="13"/>
        <v>8.53124999998384E-3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input_587100!A$2</f>
        <v>587100</v>
      </c>
      <c r="B236" s="5">
        <v>601</v>
      </c>
      <c r="C236" s="7" t="str">
        <f t="shared" si="14"/>
        <v>Premium5</v>
      </c>
      <c r="D236" s="7" t="str">
        <f t="shared" si="15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IFERROR(VLOOKUP(B236,input_587100!L:R,7,FALSE),VLOOKUP(tables_587100!C236,input_587100!A:H,8,FALSE))</f>
        <v>8351.5384599999998</v>
      </c>
      <c r="P236" s="46">
        <f t="shared" ca="1" si="13"/>
        <v>3.9543269223409945E-4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input_587100!A$2</f>
        <v>587100</v>
      </c>
      <c r="B237" s="5">
        <v>602</v>
      </c>
      <c r="C237" s="7" t="str">
        <f t="shared" si="14"/>
        <v>PremiumSS4</v>
      </c>
      <c r="D237" s="7" t="str">
        <f t="shared" si="15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IFERROR(VLOOKUP(B237,input_587100!L:R,7,FALSE),VLOOKUP(tables_587100!C237,input_587100!A:H,8,FALSE))</f>
        <v>28285.71429</v>
      </c>
      <c r="P237" s="46">
        <f t="shared" ca="1" si="13"/>
        <v>1.3392857144860994E-3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input_587100!A$2</f>
        <v>587100</v>
      </c>
      <c r="B238" s="5">
        <v>603</v>
      </c>
      <c r="C238" s="7" t="str">
        <f t="shared" si="14"/>
        <v>PremiumSS5</v>
      </c>
      <c r="D238" s="7" t="str">
        <f t="shared" si="15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IFERROR(VLOOKUP(B238,input_587100!L:R,7,FALSE),VLOOKUP(tables_587100!C238,input_587100!A:H,8,FALSE))</f>
        <v>11000</v>
      </c>
      <c r="P238" s="46">
        <f t="shared" ca="1" si="13"/>
        <v>5.2083333333234681E-4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input_587100!A$2</f>
        <v>587100</v>
      </c>
      <c r="B239" s="5">
        <v>604</v>
      </c>
      <c r="C239" s="7" t="str">
        <f t="shared" si="14"/>
        <v>Premium3</v>
      </c>
      <c r="D239" s="7" t="str">
        <f t="shared" si="15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IFERROR(VLOOKUP(B239,input_587100!L:R,7,FALSE),VLOOKUP(tables_587100!C239,input_587100!A:H,8,FALSE))</f>
        <v>0</v>
      </c>
      <c r="P239" s="46">
        <f t="shared" ca="1" si="13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input_587100!A$2</f>
        <v>587100</v>
      </c>
      <c r="B240" s="5">
        <v>605</v>
      </c>
      <c r="C240" s="7" t="str">
        <f t="shared" si="14"/>
        <v>Premium4</v>
      </c>
      <c r="D240" s="7" t="str">
        <f t="shared" si="15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IFERROR(VLOOKUP(B240,input_587100!L:R,7,FALSE),VLOOKUP(tables_587100!C240,input_587100!A:H,8,FALSE))</f>
        <v>180180</v>
      </c>
      <c r="P240" s="46">
        <f t="shared" ca="1" si="13"/>
        <v>8.53124999998384E-3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input_587100!A$2</f>
        <v>587100</v>
      </c>
      <c r="B241" s="5">
        <v>606</v>
      </c>
      <c r="C241" s="7" t="str">
        <f t="shared" si="14"/>
        <v>Premium5</v>
      </c>
      <c r="D241" s="7" t="str">
        <f t="shared" si="15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IFERROR(VLOOKUP(B241,input_587100!L:R,7,FALSE),VLOOKUP(tables_587100!C241,input_587100!A:H,8,FALSE))</f>
        <v>8351.5384599999998</v>
      </c>
      <c r="P241" s="46">
        <f t="shared" ca="1" si="13"/>
        <v>3.9543269223409945E-4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input_587100!A$2</f>
        <v>587100</v>
      </c>
      <c r="B242" s="5">
        <v>658</v>
      </c>
      <c r="C242" s="7" t="str">
        <f t="shared" si="14"/>
        <v>PremiumSS4</v>
      </c>
      <c r="D242" s="7" t="str">
        <f t="shared" si="15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IFERROR(VLOOKUP(B242,input_587100!L:R,7,FALSE),VLOOKUP(tables_587100!C242,input_587100!A:H,8,FALSE))</f>
        <v>28285.71429</v>
      </c>
      <c r="P242" s="46">
        <f t="shared" ca="1" si="13"/>
        <v>1.3392857144860994E-3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input_587100!A$2</f>
        <v>587100</v>
      </c>
      <c r="B243" s="5">
        <v>659</v>
      </c>
      <c r="C243" s="7" t="str">
        <f t="shared" si="14"/>
        <v>PremiumSS5</v>
      </c>
      <c r="D243" s="7" t="str">
        <f t="shared" si="15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IFERROR(VLOOKUP(B243,input_587100!L:R,7,FALSE),VLOOKUP(tables_587100!C243,input_587100!A:H,8,FALSE))</f>
        <v>11000</v>
      </c>
      <c r="P243" s="46">
        <f t="shared" ca="1" si="13"/>
        <v>5.2083333333234681E-4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input_587100!A$2</f>
        <v>587100</v>
      </c>
      <c r="B244" s="5">
        <v>660</v>
      </c>
      <c r="C244" s="7" t="str">
        <f t="shared" si="14"/>
        <v>PremiumSS4</v>
      </c>
      <c r="D244" s="7" t="str">
        <f t="shared" si="15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IFERROR(VLOOKUP(B244,input_587100!L:R,7,FALSE),VLOOKUP(tables_587100!C244,input_587100!A:H,8,FALSE))</f>
        <v>28285.71429</v>
      </c>
      <c r="P244" s="46">
        <f t="shared" ca="1" si="13"/>
        <v>1.3392857144860994E-3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input_587100!A$2</f>
        <v>587100</v>
      </c>
      <c r="B245" s="5">
        <v>661</v>
      </c>
      <c r="C245" s="7" t="str">
        <f t="shared" si="14"/>
        <v>PremiumSS5</v>
      </c>
      <c r="D245" s="7" t="str">
        <f t="shared" si="15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IFERROR(VLOOKUP(B245,input_587100!L:R,7,FALSE),VLOOKUP(tables_587100!C245,input_587100!A:H,8,FALSE))</f>
        <v>11000</v>
      </c>
      <c r="P245" s="46">
        <f t="shared" ca="1" si="13"/>
        <v>5.2083333333234681E-4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input_587100!A$2</f>
        <v>587100</v>
      </c>
      <c r="B246" s="5">
        <v>662</v>
      </c>
      <c r="C246" s="7" t="str">
        <f t="shared" si="14"/>
        <v>Premium3</v>
      </c>
      <c r="D246" s="7" t="str">
        <f t="shared" si="15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IFERROR(VLOOKUP(B246,input_587100!L:R,7,FALSE),VLOOKUP(tables_587100!C246,input_587100!A:H,8,FALSE))</f>
        <v>0</v>
      </c>
      <c r="P246" s="46">
        <f t="shared" ca="1" si="13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input_587100!A$2</f>
        <v>587100</v>
      </c>
      <c r="B247" s="5">
        <v>663</v>
      </c>
      <c r="C247" s="7" t="str">
        <f t="shared" si="14"/>
        <v>Premium4</v>
      </c>
      <c r="D247" s="7" t="str">
        <f t="shared" si="15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IFERROR(VLOOKUP(B247,input_587100!L:R,7,FALSE),VLOOKUP(tables_587100!C247,input_587100!A:H,8,FALSE))</f>
        <v>180180</v>
      </c>
      <c r="P247" s="46">
        <f t="shared" ca="1" si="13"/>
        <v>8.53124999998384E-3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input_587100!A$2</f>
        <v>587100</v>
      </c>
      <c r="B248" s="5">
        <v>664</v>
      </c>
      <c r="C248" s="7" t="str">
        <f t="shared" si="14"/>
        <v>Premium5</v>
      </c>
      <c r="D248" s="7" t="str">
        <f t="shared" si="15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IFERROR(VLOOKUP(B248,input_587100!L:R,7,FALSE),VLOOKUP(tables_587100!C248,input_587100!A:H,8,FALSE))</f>
        <v>8351.5384599999998</v>
      </c>
      <c r="P248" s="46">
        <f t="shared" ca="1" si="13"/>
        <v>3.9543269223409945E-4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input_587100!A$2</f>
        <v>587100</v>
      </c>
      <c r="B249" s="5">
        <v>665</v>
      </c>
      <c r="C249" s="7" t="str">
        <f t="shared" si="14"/>
        <v>Premium3</v>
      </c>
      <c r="D249" s="7" t="str">
        <f t="shared" si="15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IFERROR(VLOOKUP(B249,input_587100!L:R,7,FALSE),VLOOKUP(tables_587100!C249,input_587100!A:H,8,FALSE))</f>
        <v>0</v>
      </c>
      <c r="P249" s="46">
        <f t="shared" ca="1" si="13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input_587100!A$2</f>
        <v>587100</v>
      </c>
      <c r="B250" s="5">
        <v>666</v>
      </c>
      <c r="C250" s="7" t="str">
        <f t="shared" si="14"/>
        <v>Premium4</v>
      </c>
      <c r="D250" s="7" t="str">
        <f t="shared" si="15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IFERROR(VLOOKUP(B250,input_587100!L:R,7,FALSE),VLOOKUP(tables_587100!C250,input_587100!A:H,8,FALSE))</f>
        <v>180180</v>
      </c>
      <c r="P250" s="46">
        <f t="shared" ca="1" si="13"/>
        <v>8.53124999998384E-3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input_587100!A$2</f>
        <v>587100</v>
      </c>
      <c r="B251" s="5">
        <v>667</v>
      </c>
      <c r="C251" s="7" t="str">
        <f t="shared" si="14"/>
        <v>Premium5</v>
      </c>
      <c r="D251" s="7" t="str">
        <f t="shared" si="15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IFERROR(VLOOKUP(B251,input_587100!L:R,7,FALSE),VLOOKUP(tables_587100!C251,input_587100!A:H,8,FALSE))</f>
        <v>8351.5384599999998</v>
      </c>
      <c r="P251" s="46">
        <f t="shared" ca="1" si="13"/>
        <v>3.9543269223409945E-4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input_587100!A$2</f>
        <v>587100</v>
      </c>
      <c r="B252" s="5">
        <v>668</v>
      </c>
      <c r="C252" s="7" t="str">
        <f t="shared" si="14"/>
        <v>Premium3</v>
      </c>
      <c r="D252" s="7" t="str">
        <f t="shared" si="15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IFERROR(VLOOKUP(B252,input_587100!L:R,7,FALSE),VLOOKUP(tables_587100!C252,input_587100!A:H,8,FALSE))</f>
        <v>0</v>
      </c>
      <c r="P252" s="46">
        <f t="shared" ca="1" si="13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input_587100!A$2</f>
        <v>587100</v>
      </c>
      <c r="B253" s="5">
        <v>669</v>
      </c>
      <c r="C253" s="7" t="str">
        <f t="shared" si="14"/>
        <v>Premium4</v>
      </c>
      <c r="D253" s="7" t="str">
        <f t="shared" si="15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IFERROR(VLOOKUP(B253,input_587100!L:R,7,FALSE),VLOOKUP(tables_587100!C253,input_587100!A:H,8,FALSE))</f>
        <v>180180</v>
      </c>
      <c r="P253" s="46">
        <f t="shared" ca="1" si="13"/>
        <v>8.53124999998384E-3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input_587100!A$2</f>
        <v>587100</v>
      </c>
      <c r="B254" s="5">
        <v>670</v>
      </c>
      <c r="C254" s="7" t="str">
        <f t="shared" si="14"/>
        <v>Premium5</v>
      </c>
      <c r="D254" s="7" t="str">
        <f t="shared" si="15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IFERROR(VLOOKUP(B254,input_587100!L:R,7,FALSE),VLOOKUP(tables_587100!C254,input_587100!A:H,8,FALSE))</f>
        <v>8351.5384599999998</v>
      </c>
      <c r="P254" s="46">
        <f t="shared" ca="1" si="13"/>
        <v>3.9543269223409945E-4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input_587100!A$2</f>
        <v>587100</v>
      </c>
      <c r="B255" s="5">
        <v>671</v>
      </c>
      <c r="C255" s="7" t="str">
        <f t="shared" si="14"/>
        <v>Premium3</v>
      </c>
      <c r="D255" s="7" t="str">
        <f t="shared" si="15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IFERROR(VLOOKUP(B255,input_587100!L:R,7,FALSE),VLOOKUP(tables_587100!C255,input_587100!A:H,8,FALSE))</f>
        <v>0</v>
      </c>
      <c r="P255" s="46">
        <f t="shared" ca="1" si="13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input_587100!A$2</f>
        <v>587100</v>
      </c>
      <c r="B256" s="5">
        <v>672</v>
      </c>
      <c r="C256" s="7" t="str">
        <f t="shared" si="14"/>
        <v>Premium4</v>
      </c>
      <c r="D256" s="7" t="str">
        <f t="shared" si="15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IFERROR(VLOOKUP(B256,input_587100!L:R,7,FALSE),VLOOKUP(tables_587100!C256,input_587100!A:H,8,FALSE))</f>
        <v>180180</v>
      </c>
      <c r="P256" s="46">
        <f t="shared" ca="1" si="13"/>
        <v>8.53124999998384E-3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input_587100!A$2</f>
        <v>587100</v>
      </c>
      <c r="B257" s="5">
        <v>673</v>
      </c>
      <c r="C257" s="7" t="str">
        <f t="shared" si="14"/>
        <v>Premium5</v>
      </c>
      <c r="D257" s="7" t="str">
        <f t="shared" si="15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IFERROR(VLOOKUP(B257,input_587100!L:R,7,FALSE),VLOOKUP(tables_587100!C257,input_587100!A:H,8,FALSE))</f>
        <v>8351.5384599999998</v>
      </c>
      <c r="P257" s="46">
        <f t="shared" ca="1" si="13"/>
        <v>3.9543269223409945E-4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input_587100!A$2</f>
        <v>587100</v>
      </c>
      <c r="B258" s="5">
        <v>674</v>
      </c>
      <c r="C258" s="7" t="str">
        <f t="shared" si="14"/>
        <v>PremiumSS4</v>
      </c>
      <c r="D258" s="7" t="str">
        <f t="shared" si="15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IFERROR(VLOOKUP(B258,input_587100!L:R,7,FALSE),VLOOKUP(tables_587100!C258,input_587100!A:H,8,FALSE))</f>
        <v>28285.71429</v>
      </c>
      <c r="P258" s="46">
        <f t="shared" ref="P258:P321" ca="1" si="16">O258/SUM(O:O)</f>
        <v>1.3392857144860994E-3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input_587100!A$2</f>
        <v>587100</v>
      </c>
      <c r="B259" s="5">
        <v>675</v>
      </c>
      <c r="C259" s="7" t="str">
        <f t="shared" si="14"/>
        <v>PremiumSS5</v>
      </c>
      <c r="D259" s="7" t="str">
        <f t="shared" si="15"/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IFERROR(VLOOKUP(B259,input_587100!L:R,7,FALSE),VLOOKUP(tables_587100!C259,input_587100!A:H,8,FALSE))</f>
        <v>11000</v>
      </c>
      <c r="P259" s="46">
        <f t="shared" ca="1" si="16"/>
        <v>5.2083333333234681E-4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input_587100!A$2</f>
        <v>587100</v>
      </c>
      <c r="B260" s="5">
        <v>676</v>
      </c>
      <c r="C260" s="7" t="str">
        <f t="shared" si="14"/>
        <v>PremiumSS4</v>
      </c>
      <c r="D260" s="7" t="str">
        <f t="shared" si="15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IFERROR(VLOOKUP(B260,input_587100!L:R,7,FALSE),VLOOKUP(tables_587100!C260,input_587100!A:H,8,FALSE))</f>
        <v>28285.71429</v>
      </c>
      <c r="P260" s="46">
        <f t="shared" ca="1" si="16"/>
        <v>1.3392857144860994E-3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input_587100!A$2</f>
        <v>587100</v>
      </c>
      <c r="B261" s="5">
        <v>677</v>
      </c>
      <c r="C261" s="7" t="str">
        <f t="shared" si="14"/>
        <v>PremiumSS5</v>
      </c>
      <c r="D261" s="7" t="str">
        <f t="shared" si="15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IFERROR(VLOOKUP(B261,input_587100!L:R,7,FALSE),VLOOKUP(tables_587100!C261,input_587100!A:H,8,FALSE))</f>
        <v>11000</v>
      </c>
      <c r="P261" s="46">
        <f t="shared" ca="1" si="16"/>
        <v>5.2083333333234681E-4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input_587100!A$2</f>
        <v>587100</v>
      </c>
      <c r="B262" s="5">
        <v>728</v>
      </c>
      <c r="C262" s="7" t="str">
        <f t="shared" si="14"/>
        <v>Premium4R3less</v>
      </c>
      <c r="D262" s="7" t="str">
        <f t="shared" si="15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IFERROR(VLOOKUP(B262,input_587100!L:R,7,FALSE),VLOOKUP(tables_587100!C262,input_587100!A:H,8,FALSE))</f>
        <v>174174</v>
      </c>
      <c r="P262" s="46">
        <f t="shared" ca="1" si="16"/>
        <v>8.2468749999843778E-3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input_587100!A$2</f>
        <v>587100</v>
      </c>
      <c r="B263" s="5">
        <v>729</v>
      </c>
      <c r="C263" s="7" t="str">
        <f t="shared" si="14"/>
        <v>Premium5R3less</v>
      </c>
      <c r="D263" s="7" t="str">
        <f t="shared" si="15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IFERROR(VLOOKUP(B263,input_587100!L:R,7,FALSE),VLOOKUP(tables_587100!C263,input_587100!A:H,8,FALSE))</f>
        <v>20020</v>
      </c>
      <c r="P263" s="46">
        <f t="shared" ca="1" si="16"/>
        <v>9.4791666666487113E-4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input_587100!A$2</f>
        <v>587100</v>
      </c>
      <c r="B264" s="5">
        <v>730</v>
      </c>
      <c r="C264" s="7" t="str">
        <f t="shared" si="14"/>
        <v>Premium4R3less</v>
      </c>
      <c r="D264" s="7" t="str">
        <f t="shared" si="15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IFERROR(VLOOKUP(B264,input_587100!L:R,7,FALSE),VLOOKUP(tables_587100!C264,input_587100!A:H,8,FALSE))</f>
        <v>174174</v>
      </c>
      <c r="P264" s="46">
        <f t="shared" ca="1" si="16"/>
        <v>8.2468749999843778E-3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input_587100!A$2</f>
        <v>587100</v>
      </c>
      <c r="B265" s="5">
        <v>731</v>
      </c>
      <c r="C265" s="7" t="str">
        <f t="shared" si="14"/>
        <v>Premium5R3less</v>
      </c>
      <c r="D265" s="7" t="str">
        <f t="shared" si="15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IFERROR(VLOOKUP(B265,input_587100!L:R,7,FALSE),VLOOKUP(tables_587100!C265,input_587100!A:H,8,FALSE))</f>
        <v>20020</v>
      </c>
      <c r="P265" s="46">
        <f t="shared" ca="1" si="16"/>
        <v>9.4791666666487113E-4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input_587100!A$2</f>
        <v>587100</v>
      </c>
      <c r="B266" s="5">
        <v>732</v>
      </c>
      <c r="C266" s="7" t="str">
        <f t="shared" ref="C266:C329" si="17">D266&amp;J266&amp;E266&amp;F266&amp;G266</f>
        <v>PremiumSS5R5only</v>
      </c>
      <c r="D266" s="7" t="str">
        <f t="shared" ref="D266:D329" si="18">IF(OR(I266="PremiumSS",I266="PremiumSSw"),"PremiumSS",IF(I266="PremiumSSS",I266,IF(I266="PremiumW",IF(J266=5,"premium",I266),"Premium")))</f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IFERROR(VLOOKUP(B266,input_587100!L:R,7,FALSE),VLOOKUP(tables_587100!C266,input_587100!A:H,8,FALSE))</f>
        <v>11000</v>
      </c>
      <c r="P266" s="46">
        <f t="shared" ca="1" si="16"/>
        <v>5.2083333333234681E-4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input_587100!A$2</f>
        <v>587100</v>
      </c>
      <c r="B267" s="5">
        <v>734</v>
      </c>
      <c r="C267" s="7" t="str">
        <f t="shared" si="17"/>
        <v>PremiumSS5R5only</v>
      </c>
      <c r="D267" s="7" t="str">
        <f t="shared" si="18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IFERROR(VLOOKUP(B267,input_587100!L:R,7,FALSE),VLOOKUP(tables_587100!C267,input_587100!A:H,8,FALSE))</f>
        <v>11000</v>
      </c>
      <c r="P267" s="46">
        <f t="shared" ca="1" si="16"/>
        <v>5.2083333333234681E-4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input_587100!A$2</f>
        <v>587100</v>
      </c>
      <c r="B268" s="5">
        <v>742</v>
      </c>
      <c r="C268" s="7" t="str">
        <f t="shared" si="17"/>
        <v>PremiumSS5R5only</v>
      </c>
      <c r="D268" s="7" t="str">
        <f t="shared" si="18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IFERROR(VLOOKUP(B268,input_587100!L:R,7,FALSE),VLOOKUP(tables_587100!C268,input_587100!A:H,8,FALSE))</f>
        <v>11000</v>
      </c>
      <c r="P268" s="46">
        <f t="shared" ca="1" si="16"/>
        <v>5.2083333333234681E-4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input_587100!A$2</f>
        <v>587100</v>
      </c>
      <c r="B269" s="5">
        <v>744</v>
      </c>
      <c r="C269" s="7" t="str">
        <f t="shared" si="17"/>
        <v>PremiumSS5R5only</v>
      </c>
      <c r="D269" s="7" t="str">
        <f t="shared" si="18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IFERROR(VLOOKUP(B269,input_587100!L:R,7,FALSE),VLOOKUP(tables_587100!C269,input_587100!A:H,8,FALSE))</f>
        <v>11000</v>
      </c>
      <c r="P269" s="46">
        <f t="shared" ca="1" si="16"/>
        <v>5.2083333333234681E-4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input_587100!A$2</f>
        <v>587100</v>
      </c>
      <c r="B270" s="5">
        <v>746</v>
      </c>
      <c r="C270" s="7" t="str">
        <f t="shared" si="17"/>
        <v>Premium4R3less</v>
      </c>
      <c r="D270" s="7" t="str">
        <f t="shared" si="18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IFERROR(VLOOKUP(B270,input_587100!L:R,7,FALSE),VLOOKUP(tables_587100!C270,input_587100!A:H,8,FALSE))</f>
        <v>174174</v>
      </c>
      <c r="P270" s="46">
        <f t="shared" ca="1" si="16"/>
        <v>8.2468749999843778E-3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input_587100!A$2</f>
        <v>587100</v>
      </c>
      <c r="B271" s="5">
        <v>747</v>
      </c>
      <c r="C271" s="7" t="str">
        <f t="shared" si="17"/>
        <v>Premium5R3less</v>
      </c>
      <c r="D271" s="7" t="str">
        <f t="shared" si="18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IFERROR(VLOOKUP(B271,input_587100!L:R,7,FALSE),VLOOKUP(tables_587100!C271,input_587100!A:H,8,FALSE))</f>
        <v>20020</v>
      </c>
      <c r="P271" s="46">
        <f t="shared" ca="1" si="16"/>
        <v>9.4791666666487113E-4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input_587100!A$2</f>
        <v>587100</v>
      </c>
      <c r="B272" s="5">
        <v>748</v>
      </c>
      <c r="C272" s="7" t="str">
        <f t="shared" si="17"/>
        <v>Premium4R3less</v>
      </c>
      <c r="D272" s="7" t="str">
        <f t="shared" si="18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IFERROR(VLOOKUP(B272,input_587100!L:R,7,FALSE),VLOOKUP(tables_587100!C272,input_587100!A:H,8,FALSE))</f>
        <v>174174</v>
      </c>
      <c r="P272" s="46">
        <f t="shared" ca="1" si="16"/>
        <v>8.2468749999843778E-3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input_587100!A$2</f>
        <v>587100</v>
      </c>
      <c r="B273" s="5">
        <v>749</v>
      </c>
      <c r="C273" s="7" t="str">
        <f t="shared" si="17"/>
        <v>Premium5R3less</v>
      </c>
      <c r="D273" s="7" t="str">
        <f t="shared" si="18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IFERROR(VLOOKUP(B273,input_587100!L:R,7,FALSE),VLOOKUP(tables_587100!C273,input_587100!A:H,8,FALSE))</f>
        <v>20020</v>
      </c>
      <c r="P273" s="46">
        <f t="shared" ca="1" si="16"/>
        <v>9.4791666666487113E-4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input_587100!A$2</f>
        <v>587100</v>
      </c>
      <c r="B274" s="5">
        <v>770</v>
      </c>
      <c r="C274" s="7" t="str">
        <f t="shared" si="17"/>
        <v>PremiumSS4</v>
      </c>
      <c r="D274" s="7" t="str">
        <f t="shared" si="18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IFERROR(VLOOKUP(B274,input_587100!L:R,7,FALSE),VLOOKUP(tables_587100!C274,input_587100!A:H,8,FALSE))</f>
        <v>28285.71429</v>
      </c>
      <c r="P274" s="46">
        <f t="shared" ca="1" si="16"/>
        <v>1.3392857144860994E-3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input_587100!A$2</f>
        <v>587100</v>
      </c>
      <c r="B275" s="5">
        <v>771</v>
      </c>
      <c r="C275" s="7" t="str">
        <f t="shared" si="17"/>
        <v>PremiumSS5</v>
      </c>
      <c r="D275" s="7" t="str">
        <f t="shared" si="18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IFERROR(VLOOKUP(B275,input_587100!L:R,7,FALSE),VLOOKUP(tables_587100!C275,input_587100!A:H,8,FALSE))</f>
        <v>11000</v>
      </c>
      <c r="P275" s="46">
        <f t="shared" ca="1" si="16"/>
        <v>5.2083333333234681E-4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input_587100!A$2</f>
        <v>587100</v>
      </c>
      <c r="B276" s="5">
        <v>772</v>
      </c>
      <c r="C276" s="7" t="str">
        <f t="shared" si="17"/>
        <v>PremiumSS4</v>
      </c>
      <c r="D276" s="7" t="str">
        <f t="shared" si="18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IFERROR(VLOOKUP(B276,input_587100!L:R,7,FALSE),VLOOKUP(tables_587100!C276,input_587100!A:H,8,FALSE))</f>
        <v>28285.71429</v>
      </c>
      <c r="P276" s="46">
        <f t="shared" ca="1" si="16"/>
        <v>1.3392857144860994E-3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input_587100!A$2</f>
        <v>587100</v>
      </c>
      <c r="B277" s="5">
        <v>773</v>
      </c>
      <c r="C277" s="7" t="str">
        <f t="shared" si="17"/>
        <v>PremiumSS5</v>
      </c>
      <c r="D277" s="7" t="str">
        <f t="shared" si="18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IFERROR(VLOOKUP(B277,input_587100!L:R,7,FALSE),VLOOKUP(tables_587100!C277,input_587100!A:H,8,FALSE))</f>
        <v>11000</v>
      </c>
      <c r="P277" s="46">
        <f t="shared" ca="1" si="16"/>
        <v>5.2083333333234681E-4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input_587100!A$2</f>
        <v>587100</v>
      </c>
      <c r="B278" s="5">
        <v>774</v>
      </c>
      <c r="C278" s="7" t="str">
        <f t="shared" si="17"/>
        <v>Premium3</v>
      </c>
      <c r="D278" s="7" t="str">
        <f t="shared" si="18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IFERROR(VLOOKUP(B278,input_587100!L:R,7,FALSE),VLOOKUP(tables_587100!C278,input_587100!A:H,8,FALSE))</f>
        <v>0</v>
      </c>
      <c r="P278" s="46">
        <f t="shared" ca="1" si="16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input_587100!A$2</f>
        <v>587100</v>
      </c>
      <c r="B279" s="5">
        <v>775</v>
      </c>
      <c r="C279" s="7" t="str">
        <f t="shared" si="17"/>
        <v>Premium4</v>
      </c>
      <c r="D279" s="7" t="str">
        <f t="shared" si="18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IFERROR(VLOOKUP(B279,input_587100!L:R,7,FALSE),VLOOKUP(tables_587100!C279,input_587100!A:H,8,FALSE))</f>
        <v>180180</v>
      </c>
      <c r="P279" s="46">
        <f t="shared" ca="1" si="16"/>
        <v>8.53124999998384E-3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input_587100!A$2</f>
        <v>587100</v>
      </c>
      <c r="B280" s="5">
        <v>776</v>
      </c>
      <c r="C280" s="7" t="str">
        <f t="shared" si="17"/>
        <v>Premium5</v>
      </c>
      <c r="D280" s="7" t="str">
        <f t="shared" si="18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IFERROR(VLOOKUP(B280,input_587100!L:R,7,FALSE),VLOOKUP(tables_587100!C280,input_587100!A:H,8,FALSE))</f>
        <v>8351.5384599999998</v>
      </c>
      <c r="P280" s="46">
        <f t="shared" ca="1" si="16"/>
        <v>3.9543269223409945E-4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input_587100!A$2</f>
        <v>587100</v>
      </c>
      <c r="B281" s="5">
        <v>777</v>
      </c>
      <c r="C281" s="7" t="str">
        <f t="shared" si="17"/>
        <v>Premium3</v>
      </c>
      <c r="D281" s="7" t="str">
        <f t="shared" si="18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IFERROR(VLOOKUP(B281,input_587100!L:R,7,FALSE),VLOOKUP(tables_587100!C281,input_587100!A:H,8,FALSE))</f>
        <v>0</v>
      </c>
      <c r="P281" s="46">
        <f t="shared" ca="1" si="16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input_587100!A$2</f>
        <v>587100</v>
      </c>
      <c r="B282" s="5">
        <v>778</v>
      </c>
      <c r="C282" s="7" t="str">
        <f t="shared" si="17"/>
        <v>Premium4</v>
      </c>
      <c r="D282" s="7" t="str">
        <f t="shared" si="18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IFERROR(VLOOKUP(B282,input_587100!L:R,7,FALSE),VLOOKUP(tables_587100!C282,input_587100!A:H,8,FALSE))</f>
        <v>180180</v>
      </c>
      <c r="P282" s="46">
        <f t="shared" ca="1" si="16"/>
        <v>8.53124999998384E-3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input_587100!A$2</f>
        <v>587100</v>
      </c>
      <c r="B283" s="5">
        <v>779</v>
      </c>
      <c r="C283" s="7" t="str">
        <f t="shared" si="17"/>
        <v>Premium5</v>
      </c>
      <c r="D283" s="7" t="str">
        <f t="shared" si="18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IFERROR(VLOOKUP(B283,input_587100!L:R,7,FALSE),VLOOKUP(tables_587100!C283,input_587100!A:H,8,FALSE))</f>
        <v>8351.5384599999998</v>
      </c>
      <c r="P283" s="46">
        <f t="shared" ca="1" si="16"/>
        <v>3.9543269223409945E-4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input_587100!A$2</f>
        <v>587100</v>
      </c>
      <c r="B284" s="5">
        <v>848</v>
      </c>
      <c r="C284" s="7" t="str">
        <f t="shared" si="17"/>
        <v>PremiumSS5R5only</v>
      </c>
      <c r="D284" s="7" t="str">
        <f t="shared" si="18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IFERROR(VLOOKUP(B284,input_587100!L:R,7,FALSE),VLOOKUP(tables_587100!C284,input_587100!A:H,8,FALSE))</f>
        <v>11000</v>
      </c>
      <c r="P284" s="46">
        <f t="shared" ca="1" si="16"/>
        <v>5.2083333333234681E-4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input_587100!A$2</f>
        <v>587100</v>
      </c>
      <c r="B285" s="5">
        <v>850</v>
      </c>
      <c r="C285" s="7" t="str">
        <f t="shared" si="17"/>
        <v>PremiumSS5R5only</v>
      </c>
      <c r="D285" s="7" t="str">
        <f t="shared" si="18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IFERROR(VLOOKUP(B285,input_587100!L:R,7,FALSE),VLOOKUP(tables_587100!C285,input_587100!A:H,8,FALSE))</f>
        <v>11000</v>
      </c>
      <c r="P285" s="46">
        <f t="shared" ca="1" si="16"/>
        <v>5.2083333333234681E-4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input_587100!A$2</f>
        <v>587100</v>
      </c>
      <c r="B286" s="5">
        <v>852</v>
      </c>
      <c r="C286" s="7" t="str">
        <f t="shared" si="17"/>
        <v>Premium4R3less</v>
      </c>
      <c r="D286" s="7" t="str">
        <f t="shared" si="18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IFERROR(VLOOKUP(B286,input_587100!L:R,7,FALSE),VLOOKUP(tables_587100!C286,input_587100!A:H,8,FALSE))</f>
        <v>174174</v>
      </c>
      <c r="P286" s="46">
        <f t="shared" ca="1" si="16"/>
        <v>8.2468749999843778E-3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input_587100!A$2</f>
        <v>587100</v>
      </c>
      <c r="B287" s="5">
        <v>853</v>
      </c>
      <c r="C287" s="7" t="str">
        <f t="shared" si="17"/>
        <v>Premium5R3less</v>
      </c>
      <c r="D287" s="7" t="str">
        <f t="shared" si="18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IFERROR(VLOOKUP(B287,input_587100!L:R,7,FALSE),VLOOKUP(tables_587100!C287,input_587100!A:H,8,FALSE))</f>
        <v>20020</v>
      </c>
      <c r="P287" s="46">
        <f t="shared" ca="1" si="16"/>
        <v>9.4791666666487113E-4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input_587100!A$2</f>
        <v>587100</v>
      </c>
      <c r="B288" s="5">
        <v>854</v>
      </c>
      <c r="C288" s="7" t="str">
        <f t="shared" si="17"/>
        <v>Premium4R3less</v>
      </c>
      <c r="D288" s="7" t="str">
        <f t="shared" si="18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IFERROR(VLOOKUP(B288,input_587100!L:R,7,FALSE),VLOOKUP(tables_587100!C288,input_587100!A:H,8,FALSE))</f>
        <v>174174</v>
      </c>
      <c r="P288" s="46">
        <f t="shared" ca="1" si="16"/>
        <v>8.2468749999843778E-3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input_587100!A$2</f>
        <v>587100</v>
      </c>
      <c r="B289" s="5">
        <v>855</v>
      </c>
      <c r="C289" s="7" t="str">
        <f t="shared" si="17"/>
        <v>Premium5R3less</v>
      </c>
      <c r="D289" s="7" t="str">
        <f t="shared" si="18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IFERROR(VLOOKUP(B289,input_587100!L:R,7,FALSE),VLOOKUP(tables_587100!C289,input_587100!A:H,8,FALSE))</f>
        <v>20020</v>
      </c>
      <c r="P289" s="46">
        <f t="shared" ca="1" si="16"/>
        <v>9.4791666666487113E-4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input_587100!A$2</f>
        <v>587100</v>
      </c>
      <c r="B290" s="5">
        <v>862</v>
      </c>
      <c r="C290" s="7" t="str">
        <f t="shared" si="17"/>
        <v>Premium4R3less</v>
      </c>
      <c r="D290" s="7" t="str">
        <f t="shared" si="18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IFERROR(VLOOKUP(B290,input_587100!L:R,7,FALSE),VLOOKUP(tables_587100!C290,input_587100!A:H,8,FALSE))</f>
        <v>174174</v>
      </c>
      <c r="P290" s="46">
        <f t="shared" ca="1" si="16"/>
        <v>8.2468749999843778E-3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input_587100!A$2</f>
        <v>587100</v>
      </c>
      <c r="B291" s="5">
        <v>863</v>
      </c>
      <c r="C291" s="7" t="str">
        <f t="shared" si="17"/>
        <v>Premium5R3less</v>
      </c>
      <c r="D291" s="7" t="str">
        <f t="shared" si="18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IFERROR(VLOOKUP(B291,input_587100!L:R,7,FALSE),VLOOKUP(tables_587100!C291,input_587100!A:H,8,FALSE))</f>
        <v>20020</v>
      </c>
      <c r="P291" s="46">
        <f t="shared" ca="1" si="16"/>
        <v>9.4791666666487113E-4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input_587100!A$2</f>
        <v>587100</v>
      </c>
      <c r="B292" s="5">
        <v>864</v>
      </c>
      <c r="C292" s="7" t="str">
        <f t="shared" si="17"/>
        <v>Premium4R3less</v>
      </c>
      <c r="D292" s="7" t="str">
        <f t="shared" si="18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IFERROR(VLOOKUP(B292,input_587100!L:R,7,FALSE),VLOOKUP(tables_587100!C292,input_587100!A:H,8,FALSE))</f>
        <v>174174</v>
      </c>
      <c r="P292" s="46">
        <f t="shared" ca="1" si="16"/>
        <v>8.2468749999843778E-3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input_587100!A$2</f>
        <v>587100</v>
      </c>
      <c r="B293" s="5">
        <v>865</v>
      </c>
      <c r="C293" s="7" t="str">
        <f t="shared" si="17"/>
        <v>Premium5R3less</v>
      </c>
      <c r="D293" s="7" t="str">
        <f t="shared" si="18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IFERROR(VLOOKUP(B293,input_587100!L:R,7,FALSE),VLOOKUP(tables_587100!C293,input_587100!A:H,8,FALSE))</f>
        <v>20020</v>
      </c>
      <c r="P293" s="46">
        <f t="shared" ca="1" si="16"/>
        <v>9.4791666666487113E-4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input_587100!A$2</f>
        <v>587100</v>
      </c>
      <c r="B294" s="5">
        <v>866</v>
      </c>
      <c r="C294" s="7" t="str">
        <f t="shared" si="17"/>
        <v>PremiumSS5R5only</v>
      </c>
      <c r="D294" s="7" t="str">
        <f t="shared" si="18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IFERROR(VLOOKUP(B294,input_587100!L:R,7,FALSE),VLOOKUP(tables_587100!C294,input_587100!A:H,8,FALSE))</f>
        <v>11000</v>
      </c>
      <c r="P294" s="46">
        <f t="shared" ca="1" si="16"/>
        <v>5.2083333333234681E-4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input_587100!A$2</f>
        <v>587100</v>
      </c>
      <c r="B295" s="5">
        <v>868</v>
      </c>
      <c r="C295" s="7" t="str">
        <f t="shared" si="17"/>
        <v>PremiumSS5R5only</v>
      </c>
      <c r="D295" s="7" t="str">
        <f t="shared" si="18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IFERROR(VLOOKUP(B295,input_587100!L:R,7,FALSE),VLOOKUP(tables_587100!C295,input_587100!A:H,8,FALSE))</f>
        <v>11000</v>
      </c>
      <c r="P295" s="46">
        <f t="shared" ca="1" si="16"/>
        <v>5.2083333333234681E-4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input_587100!A$2</f>
        <v>587100</v>
      </c>
      <c r="B296" s="5">
        <v>937</v>
      </c>
      <c r="C296" s="7" t="str">
        <f t="shared" si="17"/>
        <v>PremiumSS5R5only</v>
      </c>
      <c r="D296" s="7" t="str">
        <f t="shared" si="18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IFERROR(VLOOKUP(B296,input_587100!L:R,7,FALSE),VLOOKUP(tables_587100!C296,input_587100!A:H,8,FALSE))</f>
        <v>11000</v>
      </c>
      <c r="P296" s="46">
        <f t="shared" ca="1" si="16"/>
        <v>5.2083333333234681E-4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input_587100!A$2</f>
        <v>587100</v>
      </c>
      <c r="B297" s="5">
        <v>939</v>
      </c>
      <c r="C297" s="7" t="str">
        <f t="shared" si="17"/>
        <v>Premium4R3less</v>
      </c>
      <c r="D297" s="7" t="str">
        <f t="shared" si="18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IFERROR(VLOOKUP(B297,input_587100!L:R,7,FALSE),VLOOKUP(tables_587100!C297,input_587100!A:H,8,FALSE))</f>
        <v>174174</v>
      </c>
      <c r="P297" s="46">
        <f t="shared" ca="1" si="16"/>
        <v>8.2468749999843778E-3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input_587100!A$2</f>
        <v>587100</v>
      </c>
      <c r="B298" s="5">
        <v>940</v>
      </c>
      <c r="C298" s="7" t="str">
        <f t="shared" si="17"/>
        <v>Premium5R3less</v>
      </c>
      <c r="D298" s="7" t="str">
        <f t="shared" si="18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IFERROR(VLOOKUP(B298,input_587100!L:R,7,FALSE),VLOOKUP(tables_587100!C298,input_587100!A:H,8,FALSE))</f>
        <v>20020</v>
      </c>
      <c r="P298" s="46">
        <f t="shared" ca="1" si="16"/>
        <v>9.4791666666487113E-4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input_587100!A$2</f>
        <v>587100</v>
      </c>
      <c r="B299" s="5">
        <v>941</v>
      </c>
      <c r="C299" s="7" t="str">
        <f t="shared" si="17"/>
        <v>PremiumSS5R5only</v>
      </c>
      <c r="D299" s="7" t="str">
        <f t="shared" si="18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IFERROR(VLOOKUP(B299,input_587100!L:R,7,FALSE),VLOOKUP(tables_587100!C299,input_587100!A:H,8,FALSE))</f>
        <v>11000</v>
      </c>
      <c r="P299" s="46">
        <f t="shared" ca="1" si="16"/>
        <v>5.2083333333234681E-4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input_587100!A$2</f>
        <v>587100</v>
      </c>
      <c r="B300" s="5">
        <v>943</v>
      </c>
      <c r="C300" s="7" t="str">
        <f t="shared" si="17"/>
        <v>PremiumSS5R5only</v>
      </c>
      <c r="D300" s="7" t="str">
        <f t="shared" si="18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IFERROR(VLOOKUP(B300,input_587100!L:R,7,FALSE),VLOOKUP(tables_587100!C300,input_587100!A:H,8,FALSE))</f>
        <v>11000</v>
      </c>
      <c r="P300" s="46">
        <f t="shared" ca="1" si="16"/>
        <v>5.2083333333234681E-4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input_587100!A$2</f>
        <v>587100</v>
      </c>
      <c r="B301" s="5">
        <v>1012</v>
      </c>
      <c r="C301" s="7" t="str">
        <f t="shared" si="17"/>
        <v>PremiumSS5R5only</v>
      </c>
      <c r="D301" s="7" t="str">
        <f t="shared" si="18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IFERROR(VLOOKUP(B301,input_587100!L:R,7,FALSE),VLOOKUP(tables_587100!C301,input_587100!A:H,8,FALSE))</f>
        <v>11000</v>
      </c>
      <c r="P301" s="46">
        <f t="shared" ca="1" si="16"/>
        <v>5.2083333333234681E-4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input_587100!A$2</f>
        <v>587100</v>
      </c>
      <c r="B302" s="5">
        <v>1014</v>
      </c>
      <c r="C302" s="7" t="str">
        <f t="shared" si="17"/>
        <v>PremiumSS5R5only</v>
      </c>
      <c r="D302" s="7" t="str">
        <f t="shared" si="18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IFERROR(VLOOKUP(B302,input_587100!L:R,7,FALSE),VLOOKUP(tables_587100!C302,input_587100!A:H,8,FALSE))</f>
        <v>11000</v>
      </c>
      <c r="P302" s="46">
        <f t="shared" ca="1" si="16"/>
        <v>5.2083333333234681E-4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input_587100!A$2</f>
        <v>587100</v>
      </c>
      <c r="B303" s="5">
        <v>1016</v>
      </c>
      <c r="C303" s="7" t="str">
        <f t="shared" si="17"/>
        <v>Premium4R3less</v>
      </c>
      <c r="D303" s="7" t="str">
        <f t="shared" si="18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IFERROR(VLOOKUP(B303,input_587100!L:R,7,FALSE),VLOOKUP(tables_587100!C303,input_587100!A:H,8,FALSE))</f>
        <v>174174</v>
      </c>
      <c r="P303" s="46">
        <f t="shared" ca="1" si="16"/>
        <v>8.2468749999843778E-3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input_587100!A$2</f>
        <v>587100</v>
      </c>
      <c r="B304" s="5">
        <v>1017</v>
      </c>
      <c r="C304" s="7" t="str">
        <f t="shared" si="17"/>
        <v>Premium5R3less</v>
      </c>
      <c r="D304" s="7" t="str">
        <f t="shared" si="18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IFERROR(VLOOKUP(B304,input_587100!L:R,7,FALSE),VLOOKUP(tables_587100!C304,input_587100!A:H,8,FALSE))</f>
        <v>20020</v>
      </c>
      <c r="P304" s="46">
        <f t="shared" ca="1" si="16"/>
        <v>9.4791666666487113E-4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input_587100!A$2</f>
        <v>587100</v>
      </c>
      <c r="B305" s="5">
        <v>1018</v>
      </c>
      <c r="C305" s="7" t="str">
        <f t="shared" si="17"/>
        <v>PremiumSS5R5only</v>
      </c>
      <c r="D305" s="7" t="str">
        <f t="shared" si="18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IFERROR(VLOOKUP(B305,input_587100!L:R,7,FALSE),VLOOKUP(tables_587100!C305,input_587100!A:H,8,FALSE))</f>
        <v>11000</v>
      </c>
      <c r="P305" s="46">
        <f t="shared" ca="1" si="16"/>
        <v>5.2083333333234681E-4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input_587100!A$2</f>
        <v>587100</v>
      </c>
      <c r="B306" s="5">
        <v>1026</v>
      </c>
      <c r="C306" s="7" t="str">
        <f t="shared" si="17"/>
        <v>Premium4R3less</v>
      </c>
      <c r="D306" s="7" t="str">
        <f t="shared" si="18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IFERROR(VLOOKUP(B306,input_587100!L:R,7,FALSE),VLOOKUP(tables_587100!C306,input_587100!A:H,8,FALSE))</f>
        <v>174174</v>
      </c>
      <c r="P306" s="46">
        <f t="shared" ca="1" si="16"/>
        <v>8.2468749999843778E-3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input_587100!A$2</f>
        <v>587100</v>
      </c>
      <c r="B307" s="5">
        <v>1027</v>
      </c>
      <c r="C307" s="7" t="str">
        <f t="shared" si="17"/>
        <v>Premium5R3less</v>
      </c>
      <c r="D307" s="7" t="str">
        <f t="shared" si="18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IFERROR(VLOOKUP(B307,input_587100!L:R,7,FALSE),VLOOKUP(tables_587100!C307,input_587100!A:H,8,FALSE))</f>
        <v>20020</v>
      </c>
      <c r="P307" s="46">
        <f t="shared" ca="1" si="16"/>
        <v>9.4791666666487113E-4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input_587100!A$2</f>
        <v>587100</v>
      </c>
      <c r="B308" s="5">
        <v>1028</v>
      </c>
      <c r="C308" s="7" t="str">
        <f t="shared" si="17"/>
        <v>PremiumSS5R5only</v>
      </c>
      <c r="D308" s="7" t="str">
        <f t="shared" si="1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IFERROR(VLOOKUP(B308,input_587100!L:R,7,FALSE),VLOOKUP(tables_587100!C308,input_587100!A:H,8,FALSE))</f>
        <v>11000</v>
      </c>
      <c r="P308" s="46">
        <f t="shared" ca="1" si="16"/>
        <v>5.2083333333234681E-4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input_587100!A$2</f>
        <v>587100</v>
      </c>
      <c r="B309" s="5">
        <v>1031</v>
      </c>
      <c r="C309" s="7" t="str">
        <f t="shared" si="17"/>
        <v>PremiumSS5R5only</v>
      </c>
      <c r="D309" s="7" t="str">
        <f t="shared" si="18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IFERROR(VLOOKUP(B309,input_587100!L:R,7,FALSE),VLOOKUP(tables_587100!C309,input_587100!A:H,8,FALSE))</f>
        <v>11000</v>
      </c>
      <c r="P309" s="46">
        <f t="shared" ca="1" si="16"/>
        <v>5.2083333333234681E-4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input_587100!A$2</f>
        <v>587100</v>
      </c>
      <c r="B310" s="5">
        <v>1033</v>
      </c>
      <c r="C310" s="7" t="str">
        <f t="shared" si="17"/>
        <v>PremiumSS5R5only</v>
      </c>
      <c r="D310" s="7" t="str">
        <f t="shared" si="18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IFERROR(VLOOKUP(B310,input_587100!L:R,7,FALSE),VLOOKUP(tables_587100!C310,input_587100!A:H,8,FALSE))</f>
        <v>11000</v>
      </c>
      <c r="P310" s="46">
        <f t="shared" ca="1" si="16"/>
        <v>5.2083333333234681E-4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input_587100!A$2</f>
        <v>587100</v>
      </c>
      <c r="B311" s="5">
        <v>1067</v>
      </c>
      <c r="C311" s="7" t="str">
        <f t="shared" si="17"/>
        <v>Premium4R3less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IFERROR(VLOOKUP(B311,input_587100!L:R,7,FALSE),VLOOKUP(tables_587100!C311,input_587100!A:H,8,FALSE))</f>
        <v>174174</v>
      </c>
      <c r="P311" s="46">
        <f t="shared" ca="1" si="16"/>
        <v>8.2468749999843778E-3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input_587100!A$2</f>
        <v>587100</v>
      </c>
      <c r="B312" s="5">
        <v>1068</v>
      </c>
      <c r="C312" s="7" t="str">
        <f t="shared" si="17"/>
        <v>Premium5R3less</v>
      </c>
      <c r="D312" s="7" t="str">
        <f t="shared" si="18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IFERROR(VLOOKUP(B312,input_587100!L:R,7,FALSE),VLOOKUP(tables_587100!C312,input_587100!A:H,8,FALSE))</f>
        <v>20020</v>
      </c>
      <c r="P312" s="46">
        <f t="shared" ca="1" si="16"/>
        <v>9.4791666666487113E-4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input_587100!A$2</f>
        <v>587100</v>
      </c>
      <c r="B313" s="5">
        <v>1069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IFERROR(VLOOKUP(B313,input_587100!L:R,7,FALSE),VLOOKUP(tables_587100!C313,input_587100!A:H,8,FALSE))</f>
        <v>11000</v>
      </c>
      <c r="P313" s="46">
        <f t="shared" ca="1" si="16"/>
        <v>5.2083333333234681E-4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input_587100!A$2</f>
        <v>587100</v>
      </c>
      <c r="B314" s="5">
        <v>1072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IFERROR(VLOOKUP(B314,input_587100!L:R,7,FALSE),VLOOKUP(tables_587100!C314,input_587100!A:H,8,FALSE))</f>
        <v>11000</v>
      </c>
      <c r="P314" s="46">
        <f t="shared" ca="1" si="16"/>
        <v>5.2083333333234681E-4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input_587100!A$2</f>
        <v>587100</v>
      </c>
      <c r="B315" s="5">
        <v>1074</v>
      </c>
      <c r="C315" s="7" t="str">
        <f t="shared" si="17"/>
        <v>PremiumSS5R5only</v>
      </c>
      <c r="D315" s="7" t="str">
        <f t="shared" si="18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IFERROR(VLOOKUP(B315,input_587100!L:R,7,FALSE),VLOOKUP(tables_587100!C315,input_587100!A:H,8,FALSE))</f>
        <v>11000</v>
      </c>
      <c r="P315" s="46">
        <f t="shared" ca="1" si="16"/>
        <v>5.2083333333234681E-4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input_587100!A$2</f>
        <v>587100</v>
      </c>
      <c r="B316" s="5">
        <v>1100</v>
      </c>
      <c r="C316" s="7" t="str">
        <f t="shared" si="17"/>
        <v>PremiumSS5R5only</v>
      </c>
      <c r="D316" s="7" t="str">
        <f t="shared" si="18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IFERROR(VLOOKUP(B316,input_587100!L:R,7,FALSE),VLOOKUP(tables_587100!C316,input_587100!A:H,8,FALSE))</f>
        <v>11000</v>
      </c>
      <c r="P316" s="46">
        <f t="shared" ca="1" si="16"/>
        <v>5.2083333333234681E-4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input_587100!A$2</f>
        <v>587100</v>
      </c>
      <c r="B317" s="5">
        <v>1102</v>
      </c>
      <c r="C317" s="7" t="str">
        <f t="shared" si="17"/>
        <v>PremiumSS5R5only</v>
      </c>
      <c r="D317" s="7" t="str">
        <f t="shared" si="18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IFERROR(VLOOKUP(B317,input_587100!L:R,7,FALSE),VLOOKUP(tables_587100!C317,input_587100!A:H,8,FALSE))</f>
        <v>11000</v>
      </c>
      <c r="P317" s="46">
        <f t="shared" ca="1" si="16"/>
        <v>5.2083333333234681E-4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input_587100!A$2</f>
        <v>587100</v>
      </c>
      <c r="B318" s="5">
        <v>1104</v>
      </c>
      <c r="C318" s="7" t="str">
        <f t="shared" si="17"/>
        <v>Premium4R3less</v>
      </c>
      <c r="D318" s="7" t="str">
        <f t="shared" si="18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IFERROR(VLOOKUP(B318,input_587100!L:R,7,FALSE),VLOOKUP(tables_587100!C318,input_587100!A:H,8,FALSE))</f>
        <v>174174</v>
      </c>
      <c r="P318" s="46">
        <f t="shared" ca="1" si="16"/>
        <v>8.2468749999843778E-3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input_587100!A$2</f>
        <v>587100</v>
      </c>
      <c r="B319" s="5">
        <v>1105</v>
      </c>
      <c r="C319" s="7" t="str">
        <f t="shared" si="17"/>
        <v>Premium5R3less</v>
      </c>
      <c r="D319" s="7" t="str">
        <f t="shared" si="18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IFERROR(VLOOKUP(B319,input_587100!L:R,7,FALSE),VLOOKUP(tables_587100!C319,input_587100!A:H,8,FALSE))</f>
        <v>20020</v>
      </c>
      <c r="P319" s="46">
        <f t="shared" ca="1" si="16"/>
        <v>9.4791666666487113E-4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input_587100!A$2</f>
        <v>587100</v>
      </c>
      <c r="B320" s="5">
        <v>1106</v>
      </c>
      <c r="C320" s="7" t="str">
        <f t="shared" si="17"/>
        <v>PremiumSS5R5only</v>
      </c>
      <c r="D320" s="7" t="str">
        <f t="shared" si="18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IFERROR(VLOOKUP(B320,input_587100!L:R,7,FALSE),VLOOKUP(tables_587100!C320,input_587100!A:H,8,FALSE))</f>
        <v>11000</v>
      </c>
      <c r="P320" s="46">
        <f t="shared" ca="1" si="16"/>
        <v>5.2083333333234681E-4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input_587100!A$2</f>
        <v>587100</v>
      </c>
      <c r="B321" s="5">
        <v>1137</v>
      </c>
      <c r="C321" s="7" t="str">
        <f t="shared" si="17"/>
        <v>PremiumSS5R5only</v>
      </c>
      <c r="D321" s="7" t="str">
        <f t="shared" si="18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IFERROR(VLOOKUP(B321,input_587100!L:R,7,FALSE),VLOOKUP(tables_587100!C321,input_587100!A:H,8,FALSE))</f>
        <v>11000</v>
      </c>
      <c r="P321" s="46">
        <f t="shared" ca="1" si="16"/>
        <v>5.2083333333234681E-4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input_587100!A$2</f>
        <v>587100</v>
      </c>
      <c r="B322" s="5">
        <v>1139</v>
      </c>
      <c r="C322" s="7" t="str">
        <f t="shared" si="17"/>
        <v>PremiumSS5R5only</v>
      </c>
      <c r="D322" s="7" t="str">
        <f t="shared" si="18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IFERROR(VLOOKUP(B322,input_587100!L:R,7,FALSE),VLOOKUP(tables_587100!C322,input_587100!A:H,8,FALSE))</f>
        <v>11000</v>
      </c>
      <c r="P322" s="46">
        <f t="shared" ref="P322:P385" ca="1" si="19">O322/SUM(O:O)</f>
        <v>5.2083333333234681E-4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input_587100!A$2</f>
        <v>587100</v>
      </c>
      <c r="B323" s="5">
        <v>1141</v>
      </c>
      <c r="C323" s="7" t="str">
        <f t="shared" si="17"/>
        <v>PremiumSS5R5only</v>
      </c>
      <c r="D323" s="7" t="str">
        <f t="shared" si="18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IFERROR(VLOOKUP(B323,input_587100!L:R,7,FALSE),VLOOKUP(tables_587100!C323,input_587100!A:H,8,FALSE))</f>
        <v>11000</v>
      </c>
      <c r="P323" s="46">
        <f t="shared" ca="1" si="19"/>
        <v>5.2083333333234681E-4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input_587100!A$2</f>
        <v>587100</v>
      </c>
      <c r="B324" s="5">
        <v>1143</v>
      </c>
      <c r="C324" s="7" t="str">
        <f t="shared" si="17"/>
        <v>Premium4R3less</v>
      </c>
      <c r="D324" s="7" t="str">
        <f t="shared" si="18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IFERROR(VLOOKUP(B324,input_587100!L:R,7,FALSE),VLOOKUP(tables_587100!C324,input_587100!A:H,8,FALSE))</f>
        <v>174174</v>
      </c>
      <c r="P324" s="46">
        <f t="shared" ca="1" si="19"/>
        <v>8.2468749999843778E-3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input_587100!A$2</f>
        <v>587100</v>
      </c>
      <c r="B325" s="5">
        <v>1144</v>
      </c>
      <c r="C325" s="7" t="str">
        <f t="shared" si="17"/>
        <v>Premium5R3less</v>
      </c>
      <c r="D325" s="7" t="str">
        <f t="shared" si="18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IFERROR(VLOOKUP(B325,input_587100!L:R,7,FALSE),VLOOKUP(tables_587100!C325,input_587100!A:H,8,FALSE))</f>
        <v>20020</v>
      </c>
      <c r="P325" s="46">
        <f t="shared" ca="1" si="19"/>
        <v>9.4791666666487113E-4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input_587100!A$2</f>
        <v>587100</v>
      </c>
      <c r="B326" s="5">
        <v>1151</v>
      </c>
      <c r="C326" s="7" t="str">
        <f t="shared" si="17"/>
        <v>Premium4R3less</v>
      </c>
      <c r="D326" s="7" t="str">
        <f t="shared" si="18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IFERROR(VLOOKUP(B326,input_587100!L:R,7,FALSE),VLOOKUP(tables_587100!C326,input_587100!A:H,8,FALSE))</f>
        <v>174174</v>
      </c>
      <c r="P326" s="46">
        <f t="shared" ca="1" si="19"/>
        <v>8.2468749999843778E-3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input_587100!A$2</f>
        <v>587100</v>
      </c>
      <c r="B327" s="5">
        <v>1152</v>
      </c>
      <c r="C327" s="7" t="str">
        <f t="shared" si="17"/>
        <v>Premium5R3less</v>
      </c>
      <c r="D327" s="7" t="str">
        <f t="shared" si="18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IFERROR(VLOOKUP(B327,input_587100!L:R,7,FALSE),VLOOKUP(tables_587100!C327,input_587100!A:H,8,FALSE))</f>
        <v>20020</v>
      </c>
      <c r="P327" s="46">
        <f t="shared" ca="1" si="19"/>
        <v>9.4791666666487113E-4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input_587100!A$2</f>
        <v>587100</v>
      </c>
      <c r="B328" s="5">
        <v>1153</v>
      </c>
      <c r="C328" s="7" t="str">
        <f t="shared" si="17"/>
        <v>PremiumSS5R5only</v>
      </c>
      <c r="D328" s="7" t="str">
        <f t="shared" si="18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IFERROR(VLOOKUP(B328,input_587100!L:R,7,FALSE),VLOOKUP(tables_587100!C328,input_587100!A:H,8,FALSE))</f>
        <v>11000</v>
      </c>
      <c r="P328" s="46">
        <f t="shared" ca="1" si="19"/>
        <v>5.2083333333234681E-4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input_587100!A$2</f>
        <v>587100</v>
      </c>
      <c r="B329" s="5">
        <v>1155</v>
      </c>
      <c r="C329" s="7" t="str">
        <f t="shared" si="17"/>
        <v>PremiumSS5R5only</v>
      </c>
      <c r="D329" s="7" t="str">
        <f t="shared" si="18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IFERROR(VLOOKUP(B329,input_587100!L:R,7,FALSE),VLOOKUP(tables_587100!C329,input_587100!A:H,8,FALSE))</f>
        <v>11000</v>
      </c>
      <c r="P329" s="46">
        <f t="shared" ca="1" si="19"/>
        <v>5.2083333333234681E-4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input_587100!A$2</f>
        <v>587100</v>
      </c>
      <c r="B330" s="5">
        <v>1157</v>
      </c>
      <c r="C330" s="7" t="str">
        <f t="shared" ref="C330:C355" si="20">D330&amp;J330&amp;E330&amp;F330&amp;G330</f>
        <v>PremiumSS5R5only</v>
      </c>
      <c r="D330" s="7" t="str">
        <f t="shared" ref="D330:D355" si="21">IF(OR(I330="PremiumSS",I330="PremiumSSw"),"PremiumSS",IF(I330="PremiumSSS",I330,IF(I330="PremiumW",IF(J330=5,"premium",I330),"Premium")))</f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IFERROR(VLOOKUP(B330,input_587100!L:R,7,FALSE),VLOOKUP(tables_587100!C330,input_587100!A:H,8,FALSE))</f>
        <v>11000</v>
      </c>
      <c r="P330" s="46">
        <f t="shared" ca="1" si="19"/>
        <v>5.2083333333234681E-4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input_587100!A$2</f>
        <v>587100</v>
      </c>
      <c r="B331" s="5">
        <v>1214</v>
      </c>
      <c r="C331" s="7" t="str">
        <f t="shared" si="20"/>
        <v>PremiumSS5R5only</v>
      </c>
      <c r="D331" s="7" t="str">
        <f t="shared" si="21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IFERROR(VLOOKUP(B331,input_587100!L:R,7,FALSE),VLOOKUP(tables_587100!C331,input_587100!A:H,8,FALSE))</f>
        <v>11000</v>
      </c>
      <c r="P331" s="46">
        <f t="shared" ca="1" si="19"/>
        <v>5.2083333333234681E-4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input_587100!A$2</f>
        <v>587100</v>
      </c>
      <c r="B332" s="5">
        <v>1212</v>
      </c>
      <c r="C332" s="7" t="str">
        <f t="shared" si="20"/>
        <v>PremiumSS5R5only</v>
      </c>
      <c r="D332" s="7" t="str">
        <f t="shared" si="21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IFERROR(VLOOKUP(B332,input_587100!L:R,7,FALSE),VLOOKUP(tables_587100!C332,input_587100!A:H,8,FALSE))</f>
        <v>11000</v>
      </c>
      <c r="P332" s="46">
        <f t="shared" ca="1" si="19"/>
        <v>5.2083333333234681E-4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input_587100!A$2</f>
        <v>587100</v>
      </c>
      <c r="B333" s="5">
        <v>1208</v>
      </c>
      <c r="C333" s="7" t="str">
        <f t="shared" si="20"/>
        <v>PremiumSS5R5only</v>
      </c>
      <c r="D333" s="7" t="str">
        <f t="shared" si="21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IFERROR(VLOOKUP(B333,input_587100!L:R,7,FALSE),VLOOKUP(tables_587100!C333,input_587100!A:H,8,FALSE))</f>
        <v>11000</v>
      </c>
      <c r="P333" s="46">
        <f t="shared" ca="1" si="19"/>
        <v>5.2083333333234681E-4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input_587100!A$2</f>
        <v>587100</v>
      </c>
      <c r="B334" s="5">
        <v>1210</v>
      </c>
      <c r="C334" s="7" t="str">
        <f t="shared" si="20"/>
        <v>Premium4R3less</v>
      </c>
      <c r="D334" s="7" t="str">
        <f t="shared" si="21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IFERROR(VLOOKUP(B334,input_587100!L:R,7,FALSE),VLOOKUP(tables_587100!C334,input_587100!A:H,8,FALSE))</f>
        <v>174174</v>
      </c>
      <c r="P334" s="46">
        <f t="shared" ca="1" si="19"/>
        <v>8.2468749999843778E-3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input_587100!A$2</f>
        <v>587100</v>
      </c>
      <c r="B335" s="5">
        <v>1211</v>
      </c>
      <c r="C335" s="7" t="str">
        <f t="shared" si="20"/>
        <v>Premium5R3less</v>
      </c>
      <c r="D335" s="7" t="str">
        <f t="shared" si="21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IFERROR(VLOOKUP(B335,input_587100!L:R,7,FALSE),VLOOKUP(tables_587100!C335,input_587100!A:H,8,FALSE))</f>
        <v>20020</v>
      </c>
      <c r="P335" s="46">
        <f t="shared" ca="1" si="19"/>
        <v>9.4791666666487113E-4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input_587100!A$2</f>
        <v>587100</v>
      </c>
      <c r="B336" s="5">
        <v>1224</v>
      </c>
      <c r="C336" s="7" t="str">
        <f t="shared" si="20"/>
        <v>Premium4R3less</v>
      </c>
      <c r="D336" s="7" t="str">
        <f t="shared" si="21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IFERROR(VLOOKUP(B336,input_587100!L:R,7,FALSE),VLOOKUP(tables_587100!C336,input_587100!A:H,8,FALSE))</f>
        <v>174174</v>
      </c>
      <c r="P336" s="46">
        <f t="shared" ca="1" si="19"/>
        <v>8.2468749999843778E-3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input_587100!A$2</f>
        <v>587100</v>
      </c>
      <c r="B337" s="5">
        <v>1225</v>
      </c>
      <c r="C337" s="7" t="str">
        <f t="shared" si="20"/>
        <v>Premium5R3less</v>
      </c>
      <c r="D337" s="7" t="str">
        <f t="shared" si="21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IFERROR(VLOOKUP(B337,input_587100!L:R,7,FALSE),VLOOKUP(tables_587100!C337,input_587100!A:H,8,FALSE))</f>
        <v>20020</v>
      </c>
      <c r="P337" s="46">
        <f t="shared" ca="1" si="19"/>
        <v>9.4791666666487113E-4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input_587100!A$2</f>
        <v>587100</v>
      </c>
      <c r="B338" s="5">
        <v>1226</v>
      </c>
      <c r="C338" s="7" t="str">
        <f t="shared" si="20"/>
        <v>PremiumSS5R5only</v>
      </c>
      <c r="D338" s="7" t="str">
        <f t="shared" si="2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IFERROR(VLOOKUP(B338,input_587100!L:R,7,FALSE),VLOOKUP(tables_587100!C338,input_587100!A:H,8,FALSE))</f>
        <v>11000</v>
      </c>
      <c r="P338" s="46">
        <f t="shared" ca="1" si="19"/>
        <v>5.2083333333234681E-4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input_587100!A$2</f>
        <v>587100</v>
      </c>
      <c r="B339" s="5">
        <v>1228</v>
      </c>
      <c r="C339" s="7" t="str">
        <f t="shared" si="20"/>
        <v>PremiumSS5R5only</v>
      </c>
      <c r="D339" s="7" t="str">
        <f t="shared" si="21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IFERROR(VLOOKUP(B339,input_587100!L:R,7,FALSE),VLOOKUP(tables_587100!C339,input_587100!A:H,8,FALSE))</f>
        <v>11000</v>
      </c>
      <c r="P339" s="46">
        <f t="shared" ca="1" si="19"/>
        <v>5.2083333333234681E-4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input_587100!A$2</f>
        <v>587100</v>
      </c>
      <c r="B340" s="5">
        <v>1230</v>
      </c>
      <c r="C340" s="7" t="str">
        <f t="shared" si="20"/>
        <v>PremiumSS5R5only</v>
      </c>
      <c r="D340" s="7" t="str">
        <f t="shared" si="21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IFERROR(VLOOKUP(B340,input_587100!L:R,7,FALSE),VLOOKUP(tables_587100!C340,input_587100!A:H,8,FALSE))</f>
        <v>11000</v>
      </c>
      <c r="P340" s="46">
        <f t="shared" ca="1" si="19"/>
        <v>5.2083333333234681E-4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input_587100!A$2</f>
        <v>587100</v>
      </c>
      <c r="B341" s="5">
        <v>1250</v>
      </c>
      <c r="C341" s="7" t="str">
        <f t="shared" si="20"/>
        <v>PremiumSS5R5only</v>
      </c>
      <c r="D341" s="7" t="str">
        <f t="shared" si="21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真田幸村</v>
      </c>
      <c r="I341" s="7" t="str">
        <f>VLOOKUP(B341,[1]characters!$A:$J,10,FALSE)</f>
        <v>PremiumSSw</v>
      </c>
      <c r="J341" s="7">
        <f>VLOOKUP(B341,[1]characters!$A:$I,9,FALSE)</f>
        <v>5</v>
      </c>
      <c r="K341" s="7" t="str">
        <f>VLOOKUP(B341,[1]characters!$A:$H,8,FALSE)</f>
        <v>yellow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IFERROR(VLOOKUP(B341,input_587100!L:R,7,FALSE),VLOOKUP(tables_587100!C341,input_587100!A:H,8,FALSE))</f>
        <v>11000</v>
      </c>
      <c r="P341" s="46">
        <f t="shared" ca="1" si="19"/>
        <v>5.2083333333234681E-4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input_587100!A$2</f>
        <v>587100</v>
      </c>
      <c r="B342" s="5">
        <v>1248</v>
      </c>
      <c r="C342" s="7" t="str">
        <f t="shared" si="20"/>
        <v>Premium4R3less</v>
      </c>
      <c r="D342" s="7" t="str">
        <f t="shared" si="21"/>
        <v>Premium</v>
      </c>
      <c r="E342" s="7" t="str">
        <f>IF(COUNTIF('R6追加前'!A:A,B342)=0,IF(OR(I342="PremiumSS",I342="PremiumSSw"),"R5only","R3less"),"")</f>
        <v>R3less</v>
      </c>
      <c r="F342" s="7" t="str">
        <f>IF(COUNTIF('R6開放'!A:A,B342)&gt;0,"R6release","")</f>
        <v/>
      </c>
      <c r="G342" s="7"/>
      <c r="H342" s="7" t="str">
        <f>VLOOKUP(B342,[1]characters!$A:$C,3,FALSE)</f>
        <v>寧々</v>
      </c>
      <c r="I342" s="7" t="str">
        <f>VLOOKUP(B342,[1]characters!$A:$J,10,FALSE)</f>
        <v>PremiumS</v>
      </c>
      <c r="J342" s="7">
        <f>VLOOKUP(B342,[1]characters!$A:$I,9,FALSE)</f>
        <v>4</v>
      </c>
      <c r="K342" s="7" t="str">
        <f>VLOOKUP(B342,[1]characters!$A:$H,8,FALSE)</f>
        <v>blue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IFERROR(VLOOKUP(B342,input_587100!L:R,7,FALSE),VLOOKUP(tables_587100!C342,input_587100!A:H,8,FALSE))</f>
        <v>174174</v>
      </c>
      <c r="P342" s="46">
        <f t="shared" ca="1" si="19"/>
        <v>8.2468749999843778E-3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input_587100!A$2</f>
        <v>587100</v>
      </c>
      <c r="B343" s="5">
        <v>1249</v>
      </c>
      <c r="C343" s="7" t="str">
        <f t="shared" si="20"/>
        <v>Premium5R3less</v>
      </c>
      <c r="D343" s="7" t="str">
        <f t="shared" si="21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君臨する姐御様 寧々</v>
      </c>
      <c r="I343" s="7" t="str">
        <f>VLOOKUP(B343,[1]characters!$A:$J,10,FALSE)</f>
        <v>PremiumS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IFERROR(VLOOKUP(B343,input_587100!L:R,7,FALSE),VLOOKUP(tables_587100!C343,input_587100!A:H,8,FALSE))</f>
        <v>20020</v>
      </c>
      <c r="P343" s="46">
        <f t="shared" ca="1" si="19"/>
        <v>9.4791666666487113E-4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input_587100!A$2</f>
        <v>587100</v>
      </c>
      <c r="B344" s="5">
        <v>1246</v>
      </c>
      <c r="C344" s="7" t="str">
        <f t="shared" si="20"/>
        <v>PremiumSS5R5only</v>
      </c>
      <c r="D344" s="7" t="str">
        <f t="shared" si="21"/>
        <v>PremiumSS</v>
      </c>
      <c r="E344" s="7" t="str">
        <f>IF(COUNTIF('R6追加前'!A:A,B344)=0,IF(OR(I344="PremiumSS",I344="PremiumSSw"),"R5only","R3less"),"")</f>
        <v>R5only</v>
      </c>
      <c r="F344" s="7" t="str">
        <f>IF(COUNTIF('R6開放'!A:A,B344)&gt;0,"R6release","")</f>
        <v/>
      </c>
      <c r="G344" s="7"/>
      <c r="H344" s="7" t="str">
        <f>VLOOKUP(B344,[1]characters!$A:$C,3,FALSE)</f>
        <v>望月千代女</v>
      </c>
      <c r="I344" s="7" t="str">
        <f>VLOOKUP(B344,[1]characters!$A:$J,10,FALSE)</f>
        <v>PremiumSS</v>
      </c>
      <c r="J344" s="7">
        <f>VLOOKUP(B344,[1]characters!$A:$I,9,FALSE)</f>
        <v>5</v>
      </c>
      <c r="K344" s="7" t="str">
        <f>VLOOKUP(B344,[1]characters!$A:$H,8,FALSE)</f>
        <v>green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IFERROR(VLOOKUP(B344,input_587100!L:R,7,FALSE),VLOOKUP(tables_587100!C344,input_587100!A:H,8,FALSE))</f>
        <v>11000</v>
      </c>
      <c r="P344" s="46">
        <f t="shared" ca="1" si="19"/>
        <v>5.2083333333234681E-4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input_587100!A$2</f>
        <v>587100</v>
      </c>
      <c r="B345" s="5">
        <v>1244</v>
      </c>
      <c r="C345" s="7" t="str">
        <f t="shared" si="20"/>
        <v>PremiumSS5R5only</v>
      </c>
      <c r="D345" s="7" t="str">
        <f t="shared" si="21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猿飛佐助</v>
      </c>
      <c r="I345" s="7" t="str">
        <f>VLOOKUP(B345,[1]characters!$A:$J,10,FALSE)</f>
        <v>PremiumSS</v>
      </c>
      <c r="J345" s="7">
        <f>VLOOKUP(B345,[1]characters!$A:$I,9,FALSE)</f>
        <v>5</v>
      </c>
      <c r="K345" s="7" t="str">
        <f>VLOOKUP(B345,[1]characters!$A:$H,8,FALSE)</f>
        <v>red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IFERROR(VLOOKUP(B345,input_587100!L:R,7,FALSE),VLOOKUP(tables_587100!C345,input_587100!A:H,8,FALSE))</f>
        <v>11000</v>
      </c>
      <c r="P345" s="46">
        <f t="shared" ca="1" si="19"/>
        <v>5.2083333333234681E-4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input_587100!A$2</f>
        <v>587100</v>
      </c>
      <c r="B346" s="5">
        <v>1260</v>
      </c>
      <c r="C346" s="7" t="str">
        <f t="shared" si="20"/>
        <v>PremiumSS5R5only</v>
      </c>
      <c r="D346" s="7" t="str">
        <f t="shared" si="21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IFERROR(VLOOKUP(B346,input_587100!L:R,7,FALSE),VLOOKUP(tables_587100!C346,input_587100!A:H,8,FALSE))</f>
        <v>11000</v>
      </c>
      <c r="P346" s="46">
        <f t="shared" ca="1" si="19"/>
        <v>5.2083333333234681E-4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input_587100!A$2</f>
        <v>587100</v>
      </c>
      <c r="B347" s="5">
        <v>1262</v>
      </c>
      <c r="C347" s="7" t="str">
        <f t="shared" si="20"/>
        <v>PremiumSS5R5only</v>
      </c>
      <c r="D347" s="7" t="str">
        <f t="shared" si="21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IFERROR(VLOOKUP(B347,input_587100!L:R,7,FALSE),VLOOKUP(tables_587100!C347,input_587100!A:H,8,FALSE))</f>
        <v>11000</v>
      </c>
      <c r="P347" s="46">
        <f t="shared" ca="1" si="19"/>
        <v>5.2083333333234681E-4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input_587100!A$2</f>
        <v>587100</v>
      </c>
      <c r="B348" s="5">
        <v>1264</v>
      </c>
      <c r="C348" s="7" t="str">
        <f t="shared" si="20"/>
        <v>PremiumSS5R5only</v>
      </c>
      <c r="D348" s="7" t="str">
        <f t="shared" si="21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IFERROR(VLOOKUP(B348,input_587100!L:R,7,FALSE),VLOOKUP(tables_587100!C348,input_587100!A:H,8,FALSE))</f>
        <v>11000</v>
      </c>
      <c r="P348" s="46">
        <f t="shared" ca="1" si="19"/>
        <v>5.2083333333234681E-4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input_587100!A$2</f>
        <v>587100</v>
      </c>
      <c r="B349" s="5">
        <v>1266</v>
      </c>
      <c r="C349" s="7" t="str">
        <f t="shared" si="20"/>
        <v>Premium4R3less</v>
      </c>
      <c r="D349" s="7" t="str">
        <f t="shared" si="21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IFERROR(VLOOKUP(B349,input_587100!L:R,7,FALSE),VLOOKUP(tables_587100!C349,input_587100!A:H,8,FALSE))</f>
        <v>174174</v>
      </c>
      <c r="P349" s="46">
        <f t="shared" ca="1" si="19"/>
        <v>8.2468749999843778E-3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input_587100!A$2</f>
        <v>587100</v>
      </c>
      <c r="B350" s="5">
        <v>1267</v>
      </c>
      <c r="C350" s="7" t="str">
        <f t="shared" si="20"/>
        <v>Premium5R3less</v>
      </c>
      <c r="D350" s="7" t="str">
        <f t="shared" si="21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IFERROR(VLOOKUP(B350,input_587100!L:R,7,FALSE),VLOOKUP(tables_587100!C350,input_587100!A:H,8,FALSE))</f>
        <v>20020</v>
      </c>
      <c r="P350" s="46">
        <f t="shared" ca="1" si="19"/>
        <v>9.4791666666487113E-4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input_587100!A$2</f>
        <v>587100</v>
      </c>
      <c r="B351" s="5">
        <v>1332</v>
      </c>
      <c r="C351" s="7" t="str">
        <f t="shared" si="20"/>
        <v>PremiumSS5R5only</v>
      </c>
      <c r="D351" s="7" t="str">
        <f t="shared" si="21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IFERROR(VLOOKUP(B351,input_587100!L:R,7,FALSE),VLOOKUP(tables_587100!C351,input_587100!A:H,8,FALSE))</f>
        <v>11000</v>
      </c>
      <c r="P351" s="46">
        <f t="shared" ca="1" si="19"/>
        <v>5.2083333333234681E-4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input_587100!A$2</f>
        <v>587100</v>
      </c>
      <c r="B352" s="5">
        <v>1336</v>
      </c>
      <c r="C352" s="7" t="str">
        <f t="shared" si="20"/>
        <v>PremiumSS5R5only</v>
      </c>
      <c r="D352" s="7" t="str">
        <f t="shared" si="21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IFERROR(VLOOKUP(B352,input_587100!L:R,7,FALSE),VLOOKUP(tables_587100!C352,input_587100!A:H,8,FALSE))</f>
        <v>11000</v>
      </c>
      <c r="P352" s="46">
        <f t="shared" ca="1" si="19"/>
        <v>5.2083333333234681E-4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input_587100!A$2</f>
        <v>587100</v>
      </c>
      <c r="B353" s="5">
        <v>1338</v>
      </c>
      <c r="C353" s="7" t="str">
        <f t="shared" si="20"/>
        <v>PremiumSS5R5only</v>
      </c>
      <c r="D353" s="7" t="str">
        <f t="shared" si="21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IFERROR(VLOOKUP(B353,input_587100!L:R,7,FALSE),VLOOKUP(tables_587100!C353,input_587100!A:H,8,FALSE))</f>
        <v>11000</v>
      </c>
      <c r="P353" s="46">
        <f t="shared" ca="1" si="19"/>
        <v>5.2083333333234681E-4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input_587100!A$2</f>
        <v>587100</v>
      </c>
      <c r="B354" s="5">
        <v>1334</v>
      </c>
      <c r="C354" s="7" t="str">
        <f t="shared" si="20"/>
        <v>Premium4R3less</v>
      </c>
      <c r="D354" s="7" t="str">
        <f t="shared" si="21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IFERROR(VLOOKUP(B354,input_587100!L:R,7,FALSE),VLOOKUP(tables_587100!C354,input_587100!A:H,8,FALSE))</f>
        <v>174174</v>
      </c>
      <c r="P354" s="46">
        <f t="shared" ca="1" si="19"/>
        <v>8.2468749999843778E-3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input_587100!A$2</f>
        <v>587100</v>
      </c>
      <c r="B355" s="5">
        <v>1335</v>
      </c>
      <c r="C355" s="7" t="str">
        <f t="shared" si="20"/>
        <v>Premium5R3less</v>
      </c>
      <c r="D355" s="7" t="str">
        <f t="shared" si="21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IFERROR(VLOOKUP(B355,input_587100!L:R,7,FALSE),VLOOKUP(tables_587100!C355,input_587100!A:H,8,FALSE))</f>
        <v>20020</v>
      </c>
      <c r="P355" s="46">
        <f t="shared" ca="1" si="19"/>
        <v>9.4791666666487113E-4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input_587100!A$2</f>
        <v>587100</v>
      </c>
      <c r="B356" s="95">
        <v>1367</v>
      </c>
      <c r="C356" s="7" t="str">
        <f t="shared" ref="C356:C359" si="22">D356&amp;J356&amp;E356&amp;F356&amp;G356</f>
        <v>PremiumSSS5R3less</v>
      </c>
      <c r="D356" s="7" t="str">
        <f t="shared" ref="D356:D359" si="23">IF(OR(I356="PremiumSS",I356="PremiumSSw"),"PremiumSS",IF(I356="PremiumSSS",I356,IF(I356="PremiumW",IF(J356=5,"premium",I356),"Premium")))</f>
        <v>PremiumSSS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ベルヌーイ</v>
      </c>
      <c r="I356" s="7" t="str">
        <f>VLOOKUP(B356,[1]characters!$A:$J,10,FALSE)</f>
        <v>PremiumSSS</v>
      </c>
      <c r="J356" s="7">
        <f>VLOOKUP(B356,[1]characters!$A:$I,9,FALSE)</f>
        <v>5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academia</v>
      </c>
      <c r="N356" s="7">
        <f>VLOOKUP(B356,[1]characters!$A:$G,7,FALSE)</f>
        <v>0</v>
      </c>
      <c r="O356" s="45">
        <f>IFERROR(VLOOKUP(B356,input_587100!L:R,7,FALSE),VLOOKUP(tables_587100!C356,input_587100!A:H,8,FALSE))</f>
        <v>63360</v>
      </c>
      <c r="P356" s="46">
        <f t="shared" ca="1" si="19"/>
        <v>2.9999999999943175E-3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input_587100!A$2</f>
        <v>587100</v>
      </c>
      <c r="B357" s="95">
        <v>410</v>
      </c>
      <c r="C357" s="7" t="str">
        <f t="shared" si="22"/>
        <v>PremiumSSS4R3less</v>
      </c>
      <c r="D357" s="7" t="str">
        <f t="shared" si="23"/>
        <v>PremiumSSS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ファラデー</v>
      </c>
      <c r="I357" s="7" t="str">
        <f>VLOOKUP(B357,[1]characters!$A:$J,10,FALSE)</f>
        <v>PremiumSSS</v>
      </c>
      <c r="J357" s="7">
        <f>VLOOKUP(B357,[1]characters!$A:$I,9,FALSE)</f>
        <v>4</v>
      </c>
      <c r="K357" s="7" t="str">
        <f>VLOOKUP(B357,[1]characters!$A:$H,8,FALSE)</f>
        <v>yellow</v>
      </c>
      <c r="L357" s="7" t="str">
        <f>VLOOKUP(B357,[1]characters!$A:$K,11,FALSE)</f>
        <v>balance</v>
      </c>
      <c r="M357" s="7" t="str">
        <f>VLOOKUP(B357,[1]characters!$A:$M,13,FALSE)</f>
        <v>human</v>
      </c>
      <c r="N357" s="7" t="str">
        <f>VLOOKUP(B357,[1]characters!$A:$G,7,FALSE)</f>
        <v>女性</v>
      </c>
      <c r="O357" s="45">
        <f>IFERROR(VLOOKUP(B357,input_587100!L:R,7,FALSE),VLOOKUP(tables_587100!C357,input_587100!A:H,8,FALSE))</f>
        <v>31680</v>
      </c>
      <c r="P357" s="46">
        <f t="shared" ca="1" si="19"/>
        <v>1.4999999999971588E-3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input_587100!A$2</f>
        <v>587100</v>
      </c>
      <c r="B358" s="95">
        <v>411</v>
      </c>
      <c r="C358" s="7" t="str">
        <f t="shared" si="22"/>
        <v>PremiumSSS5R3less</v>
      </c>
      <c r="D358" s="7" t="str">
        <f t="shared" si="23"/>
        <v>PremiumSSS</v>
      </c>
      <c r="E358" s="7" t="str">
        <f>IF(COUNTIF('R6追加前'!A:A,B358)=0,IF(OR(I358="PremiumSS",I358="PremiumSSw"),"R5only","R3less"),"")</f>
        <v>R3less</v>
      </c>
      <c r="F358" s="7" t="str">
        <f>IF(COUNTIF('R6開放'!A:A,B358)&gt;0,"R6release","")</f>
        <v/>
      </c>
      <c r="G358" s="7"/>
      <c r="H358" s="7" t="str">
        <f>VLOOKUP(B358,[1]characters!$A:$C,3,FALSE)</f>
        <v>電隷の始祖 ファラデー</v>
      </c>
      <c r="I358" s="7" t="str">
        <f>VLOOKUP(B358,[1]characters!$A:$J,10,FALSE)</f>
        <v>PremiumSSS</v>
      </c>
      <c r="J358" s="7">
        <f>VLOOKUP(B358,[1]characters!$A:$I,9,FALSE)</f>
        <v>5</v>
      </c>
      <c r="K358" s="7" t="str">
        <f>VLOOKUP(B358,[1]characters!$A:$H,8,FALSE)</f>
        <v>yellow</v>
      </c>
      <c r="L358" s="7" t="str">
        <f>VLOOKUP(B358,[1]characters!$A:$K,11,FALSE)</f>
        <v>balance</v>
      </c>
      <c r="M358" s="7" t="str">
        <f>VLOOKUP(B358,[1]characters!$A:$M,13,FALSE)</f>
        <v>human</v>
      </c>
      <c r="N358" s="7" t="str">
        <f>VLOOKUP(B358,[1]characters!$A:$G,7,FALSE)</f>
        <v>女性</v>
      </c>
      <c r="O358" s="45">
        <f>IFERROR(VLOOKUP(B358,input_587100!L:R,7,FALSE),VLOOKUP(tables_587100!C358,input_587100!A:H,8,FALSE))</f>
        <v>31680</v>
      </c>
      <c r="P358" s="46">
        <f t="shared" ca="1" si="19"/>
        <v>1.4999999999971588E-3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input_587100!A$2</f>
        <v>587100</v>
      </c>
      <c r="B359" s="95">
        <v>1109</v>
      </c>
      <c r="C359" s="7" t="str">
        <f t="shared" si="22"/>
        <v>PremiumSSS5R3less</v>
      </c>
      <c r="D359" s="7" t="str">
        <f t="shared" si="23"/>
        <v>PremiumSSS</v>
      </c>
      <c r="E359" s="7" t="str">
        <f>IF(COUNTIF('R6追加前'!A:A,B359)=0,IF(OR(I359="PremiumSS",I359="PremiumSSw"),"R5only","R3less"),"")</f>
        <v>R3less</v>
      </c>
      <c r="F359" s="7" t="str">
        <f>IF(COUNTIF('R6開放'!A:A,B359)&gt;0,"R6release","")</f>
        <v/>
      </c>
      <c r="G359" s="7"/>
      <c r="H359" s="7" t="str">
        <f>VLOOKUP(B359,[1]characters!$A:$C,3,FALSE)</f>
        <v>セキ</v>
      </c>
      <c r="I359" s="7" t="str">
        <f>VLOOKUP(B359,[1]characters!$A:$J,10,FALSE)</f>
        <v>PremiumSSS</v>
      </c>
      <c r="J359" s="7">
        <f>VLOOKUP(B359,[1]characters!$A:$I,9,FALSE)</f>
        <v>5</v>
      </c>
      <c r="K359" s="7" t="str">
        <f>VLOOKUP(B359,[1]characters!$A:$H,8,FALSE)</f>
        <v>red</v>
      </c>
      <c r="L359" s="7" t="str">
        <f>VLOOKUP(B359,[1]characters!$A:$K,11,FALSE)</f>
        <v>technical</v>
      </c>
      <c r="M359" s="7" t="str">
        <f>VLOOKUP(B359,[1]characters!$A:$M,13,FALSE)</f>
        <v>academia</v>
      </c>
      <c r="N359" s="7" t="str">
        <f>VLOOKUP(B359,[1]characters!$A:$G,7,FALSE)</f>
        <v>不明</v>
      </c>
      <c r="O359" s="45">
        <f>IFERROR(VLOOKUP(B359,input_587100!L:R,7,FALSE),VLOOKUP(tables_587100!C359,input_587100!A:H,8,FALSE))</f>
        <v>63360</v>
      </c>
      <c r="P359" s="46">
        <f t="shared" ca="1" si="19"/>
        <v>2.9999999999943175E-3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input_587100!A$2</f>
        <v>587100</v>
      </c>
      <c r="B360" s="95">
        <v>750</v>
      </c>
      <c r="C360" s="7" t="str">
        <f t="shared" ref="C360" si="24">D360&amp;J360&amp;E360&amp;F360&amp;G360</f>
        <v>PremiumSSS5R3less</v>
      </c>
      <c r="D360" s="7" t="str">
        <f t="shared" ref="D360" si="25">IF(OR(I360="PremiumSS",I360="PremiumSSw"),"PremiumSS",IF(I360="PremiumSSS",I360,IF(I360="PremiumW",IF(J360=5,"premium",I360),"Premium")))</f>
        <v>PremiumSSS</v>
      </c>
      <c r="E360" s="7" t="str">
        <f>IF(COUNTIF('R6追加前'!A:A,B360)=0,IF(OR(I360="PremiumSS",I360="PremiumSSw"),"R5only","R3less"),"")</f>
        <v>R3less</v>
      </c>
      <c r="F360" s="7" t="str">
        <f>IF(COUNTIF('R6開放'!A:A,B360)&gt;0,"R6release","")</f>
        <v/>
      </c>
      <c r="G360" s="7"/>
      <c r="H360" s="7" t="str">
        <f>VLOOKUP(B360,[1]characters!$A:$C,3,FALSE)</f>
        <v>ポアソン</v>
      </c>
      <c r="I360" s="7" t="str">
        <f>VLOOKUP(B360,[1]characters!$A:$J,10,FALSE)</f>
        <v>PremiumSSS</v>
      </c>
      <c r="J360" s="7">
        <f>VLOOKUP(B360,[1]characters!$A:$I,9,FALSE)</f>
        <v>5</v>
      </c>
      <c r="K360" s="7" t="str">
        <f>VLOOKUP(B360,[1]characters!$A:$H,8,FALSE)</f>
        <v>green</v>
      </c>
      <c r="L360" s="7" t="str">
        <f>VLOOKUP(B360,[1]characters!$A:$K,11,FALSE)</f>
        <v>balance</v>
      </c>
      <c r="M360" s="7" t="str">
        <f>VLOOKUP(B360,[1]characters!$A:$M,13,FALSE)</f>
        <v>academia</v>
      </c>
      <c r="N360" s="7" t="str">
        <f>VLOOKUP(B360,[1]characters!$A:$G,7,FALSE)</f>
        <v>男性</v>
      </c>
      <c r="O360" s="45">
        <f>IFERROR(VLOOKUP(B360,input_587100!L:R,7,FALSE),VLOOKUP(tables_587100!C360,input_587100!A:H,8,FALSE))</f>
        <v>63360</v>
      </c>
      <c r="P360" s="46">
        <f t="shared" ca="1" si="19"/>
        <v>2.9999999999943175E-3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input_587100!A$2</f>
        <v>587100</v>
      </c>
      <c r="B361" s="100">
        <v>1348</v>
      </c>
      <c r="C361" s="7" t="str">
        <f t="shared" ref="C361" si="26">D361&amp;J361&amp;E361&amp;F361&amp;G361</f>
        <v>PremiumSSS5R3less</v>
      </c>
      <c r="D361" s="7" t="str">
        <f t="shared" ref="D361" si="27">IF(OR(I361="PremiumSS",I361="PremiumSSw"),"PremiumSS",IF(I361="PremiumSSS",I361,IF(I361="PremiumW",IF(J361=5,"premium",I361),"Premium")))</f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パウリ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green</v>
      </c>
      <c r="L361" s="7" t="str">
        <f>VLOOKUP(B361,[1]characters!$A:$K,11,FALSE)</f>
        <v>hp</v>
      </c>
      <c r="M361" s="7" t="str">
        <f>VLOOKUP(B361,[1]characters!$A:$M,13,FALSE)</f>
        <v>academia</v>
      </c>
      <c r="N361" s="7">
        <f>VLOOKUP(B361,[1]characters!$A:$G,7,FALSE)</f>
        <v>0</v>
      </c>
      <c r="O361" s="45">
        <f>IFERROR(VLOOKUP(B361,input_587100!L:R,7,FALSE),VLOOKUP(tables_587100!C361,input_587100!A:H,8,FALSE))</f>
        <v>63360</v>
      </c>
      <c r="P361" s="46">
        <f t="shared" ca="1" si="19"/>
        <v>2.9999999999943175E-3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</sheetData>
  <autoFilter ref="A1:V359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Y161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J160" sqref="J2:J16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5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5" ht="21" customHeight="1" x14ac:dyDescent="0.15">
      <c r="A2" s="2" t="str">
        <f ca="1">input_587100!A$2</f>
        <v>587100</v>
      </c>
      <c r="B2" s="6">
        <v>168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猛進の大逆者 ベリアル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f>VLOOKUP(D2,$W$2:$Y$4,3,FALSE)</f>
        <v>32760</v>
      </c>
      <c r="P2" s="46">
        <f t="shared" ref="P2:P33" si="1">O2/SUM(O:O)</f>
        <v>1.1097560975609756E-2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  <c r="W2" s="1" t="s">
        <v>252</v>
      </c>
      <c r="X2" s="1">
        <f>COUNTIF(D:D,"Premium")</f>
        <v>82</v>
      </c>
      <c r="Y2" s="1">
        <f>X5/X2*0.91</f>
        <v>32760</v>
      </c>
    </row>
    <row r="3" spans="1:25" ht="21" customHeight="1" x14ac:dyDescent="0.15">
      <c r="A3" s="2" t="str">
        <f ca="1">input_587100!A$2</f>
        <v>587100</v>
      </c>
      <c r="B3" s="6">
        <v>171</v>
      </c>
      <c r="C3" s="7" t="str">
        <f t="shared" si="0"/>
        <v>Premium5R6release</v>
      </c>
      <c r="D3" s="7" t="str">
        <f t="shared" ref="D3:D37" si="2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>R6release</v>
      </c>
      <c r="G3" s="7"/>
      <c r="H3" s="7" t="str">
        <f>VLOOKUP(B3,[1]characters!$A:$C,3,FALSE)</f>
        <v>精解の預知者 オセ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attack</v>
      </c>
      <c r="M3" s="7" t="str">
        <f>VLOOKUP(B3,[1]characters!$A:$M,13,FALSE)</f>
        <v>god</v>
      </c>
      <c r="N3" s="7" t="str">
        <f>VLOOKUP(B3,[1]characters!$A:$G,7,FALSE)</f>
        <v>女性</v>
      </c>
      <c r="O3" s="45">
        <f>VLOOKUP(D3,$W$2:$Y$4,3,FALSE)</f>
        <v>32760</v>
      </c>
      <c r="P3" s="46">
        <f t="shared" si="1"/>
        <v>1.1097560975609756E-2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  <c r="W3" s="1" t="s">
        <v>253</v>
      </c>
      <c r="X3" s="1">
        <f>COUNTIF(D:D,"PremiumSS")</f>
        <v>72</v>
      </c>
      <c r="Y3" s="1">
        <f>X5/X3*0.075</f>
        <v>3075</v>
      </c>
    </row>
    <row r="4" spans="1:25" ht="21" customHeight="1" x14ac:dyDescent="0.15">
      <c r="A4" s="2" t="str">
        <f ca="1">input_587100!A$2</f>
        <v>587100</v>
      </c>
      <c r="B4" s="6">
        <v>174</v>
      </c>
      <c r="C4" s="7" t="str">
        <f t="shared" si="0"/>
        <v>Premium5R6release</v>
      </c>
      <c r="D4" s="7" t="str">
        <f t="shared" si="2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>R6release</v>
      </c>
      <c r="G4" s="7"/>
      <c r="H4" s="7" t="str">
        <f>VLOOKUP(B4,[1]characters!$A:$C,3,FALSE)</f>
        <v>偽愛の大公爵 フォルネウス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god</v>
      </c>
      <c r="N4" s="7" t="str">
        <f>VLOOKUP(B4,[1]characters!$A:$G,7,FALSE)</f>
        <v>女性</v>
      </c>
      <c r="O4" s="45">
        <f>VLOOKUP(D4,$W$2:$Y$4,3,FALSE)</f>
        <v>32760</v>
      </c>
      <c r="P4" s="46">
        <f t="shared" si="1"/>
        <v>1.1097560975609756E-2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  <c r="W4" s="1" t="s">
        <v>250</v>
      </c>
      <c r="X4" s="1">
        <f>COUNTIF(D:D,"PremiumSSS")</f>
        <v>5</v>
      </c>
      <c r="Y4" s="1">
        <f>X5/X4*0.015</f>
        <v>8856</v>
      </c>
    </row>
    <row r="5" spans="1:25" ht="21" customHeight="1" x14ac:dyDescent="0.15">
      <c r="A5" s="2" t="str">
        <f ca="1">input_587100!A$2</f>
        <v>587100</v>
      </c>
      <c r="B5" s="6">
        <v>177</v>
      </c>
      <c r="C5" s="7" t="str">
        <f t="shared" si="0"/>
        <v>Premium5</v>
      </c>
      <c r="D5" s="7" t="str">
        <f t="shared" si="2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黒魔の異端師 バフォメット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attack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ref="O5:O66" si="3">VLOOKUP(D5,$W$2:$Y$4,3,FALSE)</f>
        <v>32760</v>
      </c>
      <c r="P5" s="46">
        <f t="shared" si="1"/>
        <v>1.1097560975609756E-2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  <c r="X5" s="1">
        <f>X2*X3*X4*100</f>
        <v>2952000</v>
      </c>
    </row>
    <row r="6" spans="1:25" ht="21" customHeight="1" x14ac:dyDescent="0.15">
      <c r="A6" s="2" t="str">
        <f ca="1">input_587100!A$2</f>
        <v>587100</v>
      </c>
      <c r="B6" s="6">
        <v>180</v>
      </c>
      <c r="C6" s="7" t="str">
        <f t="shared" si="0"/>
        <v>Premium5</v>
      </c>
      <c r="D6" s="7" t="str">
        <f t="shared" si="2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地獄の大門番 ケルベロス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balance</v>
      </c>
      <c r="M6" s="7" t="str">
        <f>VLOOKUP(B6,[1]characters!$A:$M,13,FALSE)</f>
        <v>animal</v>
      </c>
      <c r="N6" s="7" t="str">
        <f>VLOOKUP(B6,[1]characters!$A:$G,7,FALSE)</f>
        <v>女性</v>
      </c>
      <c r="O6" s="45">
        <f t="shared" si="3"/>
        <v>32760</v>
      </c>
      <c r="P6" s="46">
        <f t="shared" si="1"/>
        <v>1.1097560975609756E-2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5" ht="21" customHeight="1" x14ac:dyDescent="0.15">
      <c r="A7" s="2" t="str">
        <f ca="1">input_587100!A$2</f>
        <v>587100</v>
      </c>
      <c r="B7" s="6">
        <v>183</v>
      </c>
      <c r="C7" s="7" t="str">
        <f t="shared" si="0"/>
        <v>Premium5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鈍重な彷徨者 ベヒモス</v>
      </c>
      <c r="I7" s="7" t="str">
        <f>VLOOKUP(B7,[1]characters!$A:$J,10,FALSE)</f>
        <v>PremiumN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animal</v>
      </c>
      <c r="N7" s="7" t="str">
        <f>VLOOKUP(B7,[1]characters!$A:$G,7,FALSE)</f>
        <v>女性</v>
      </c>
      <c r="O7" s="45">
        <f t="shared" si="3"/>
        <v>32760</v>
      </c>
      <c r="P7" s="46">
        <f t="shared" si="1"/>
        <v>1.1097560975609756E-2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5" ht="21" customHeight="1" x14ac:dyDescent="0.15">
      <c r="A8" s="2" t="str">
        <f ca="1">input_587100!A$2</f>
        <v>587100</v>
      </c>
      <c r="B8" s="6">
        <v>186</v>
      </c>
      <c r="C8" s="7" t="str">
        <f t="shared" si="0"/>
        <v>Premium5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誇り高き多触姫・クラーケン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blue</v>
      </c>
      <c r="L8" s="7" t="str">
        <f>VLOOKUP(B8,[1]characters!$A:$K,11,FALSE)</f>
        <v>heal</v>
      </c>
      <c r="M8" s="7" t="str">
        <f>VLOOKUP(B8,[1]characters!$A:$M,13,FALSE)</f>
        <v>animal</v>
      </c>
      <c r="N8" s="7" t="str">
        <f>VLOOKUP(B8,[1]characters!$A:$G,7,FALSE)</f>
        <v>女性</v>
      </c>
      <c r="O8" s="45">
        <f t="shared" si="3"/>
        <v>32760</v>
      </c>
      <c r="P8" s="46">
        <f t="shared" si="1"/>
        <v>1.1097560975609756E-2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5" ht="21" customHeight="1" x14ac:dyDescent="0.15">
      <c r="A9" s="2" t="str">
        <f ca="1">input_587100!A$2</f>
        <v>587100</v>
      </c>
      <c r="B9" s="6">
        <v>189</v>
      </c>
      <c r="C9" s="7" t="str">
        <f t="shared" si="0"/>
        <v>Premium5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迅雷の王禽 ホルス</v>
      </c>
      <c r="I9" s="7" t="str">
        <f>VLOOKUP(B9,[1]characters!$A:$J,10,FALSE)</f>
        <v>PremiumN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t="shared" si="3"/>
        <v>32760</v>
      </c>
      <c r="P9" s="46">
        <f t="shared" si="1"/>
        <v>1.1097560975609756E-2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5" ht="21" customHeight="1" x14ac:dyDescent="0.15">
      <c r="A10" s="2" t="str">
        <f ca="1">input_587100!A$2</f>
        <v>587100</v>
      </c>
      <c r="B10" s="6">
        <v>192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荘厳なる始祖帝 卑弥呼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3"/>
        <v>32760</v>
      </c>
      <c r="P10" s="46">
        <f t="shared" si="1"/>
        <v>1.1097560975609756E-2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5" ht="21" customHeight="1" x14ac:dyDescent="0.15">
      <c r="A11" s="2" t="str">
        <f ca="1">input_587100!A$2</f>
        <v>587100</v>
      </c>
      <c r="B11" s="6">
        <v>195</v>
      </c>
      <c r="C11" s="7" t="str">
        <f t="shared" si="0"/>
        <v>Premium5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グランドハンター ロビンフッド</v>
      </c>
      <c r="I11" s="7" t="str">
        <f>VLOOKUP(B11,[1]characters!$A:$J,10,FALSE)</f>
        <v>PremiumN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t="shared" si="3"/>
        <v>32760</v>
      </c>
      <c r="P11" s="46">
        <f t="shared" si="1"/>
        <v>1.1097560975609756E-2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5" ht="21" customHeight="1" x14ac:dyDescent="0.15">
      <c r="A12" s="2" t="str">
        <f ca="1">input_587100!A$2</f>
        <v>587100</v>
      </c>
      <c r="B12" s="8">
        <v>198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砕骨の剛腕 アキレス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t="shared" si="3"/>
        <v>32760</v>
      </c>
      <c r="P12" s="46">
        <f t="shared" si="1"/>
        <v>1.1097560975609756E-2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5" ht="21" customHeight="1" x14ac:dyDescent="0.15">
      <c r="A13" s="2" t="str">
        <f ca="1">input_587100!A$2</f>
        <v>587100</v>
      </c>
      <c r="B13" s="8">
        <v>201</v>
      </c>
      <c r="C13" s="7" t="str">
        <f t="shared" si="0"/>
        <v>Premium5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斬空の大破剣 ジークフリート</v>
      </c>
      <c r="I13" s="7" t="str">
        <f>VLOOKUP(B13,[1]characters!$A:$J,10,FALSE)</f>
        <v>PremiumN</v>
      </c>
      <c r="J13" s="7">
        <f>VLOOKUP(B13,[1]characters!$A:$I,9,FALSE)</f>
        <v>5</v>
      </c>
      <c r="K13" s="7" t="str">
        <f>VLOOKUP(B13,[1]characters!$A:$H,8,FALSE)</f>
        <v>blue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男性</v>
      </c>
      <c r="O13" s="45">
        <f t="shared" si="3"/>
        <v>32760</v>
      </c>
      <c r="P13" s="46">
        <f t="shared" si="1"/>
        <v>1.1097560975609756E-2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5" ht="21" customHeight="1" x14ac:dyDescent="0.15">
      <c r="A14" s="2" t="str">
        <f ca="1">input_587100!A$2</f>
        <v>587100</v>
      </c>
      <c r="B14" s="6">
        <v>204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慟哭の巨焔 プロメテウス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red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男性</v>
      </c>
      <c r="O14" s="45">
        <f t="shared" si="3"/>
        <v>32760</v>
      </c>
      <c r="P14" s="46">
        <f t="shared" si="1"/>
        <v>1.1097560975609756E-2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5" ht="21" customHeight="1" x14ac:dyDescent="0.15">
      <c r="A15" s="2" t="str">
        <f ca="1">input_587100!A$2</f>
        <v>587100</v>
      </c>
      <c r="B15" s="6">
        <v>207</v>
      </c>
      <c r="C15" s="7" t="str">
        <f t="shared" si="0"/>
        <v>Premium5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豊穣の麗神・アフロディーテ</v>
      </c>
      <c r="I15" s="7" t="str">
        <f>VLOOKUP(B15,[1]characters!$A:$J,10,FALSE)</f>
        <v>PremiumN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god</v>
      </c>
      <c r="N15" s="7" t="str">
        <f>VLOOKUP(B15,[1]characters!$A:$G,7,FALSE)</f>
        <v>女性</v>
      </c>
      <c r="O15" s="45">
        <f t="shared" si="3"/>
        <v>32760</v>
      </c>
      <c r="P15" s="46">
        <f t="shared" si="1"/>
        <v>1.1097560975609756E-2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5" ht="21" customHeight="1" x14ac:dyDescent="0.15">
      <c r="A16" s="2" t="str">
        <f ca="1">input_587100!A$2</f>
        <v>587100</v>
      </c>
      <c r="B16" s="10">
        <v>210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海底の孤高神 テティス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blue</v>
      </c>
      <c r="L16" s="7" t="str">
        <f>VLOOKUP(B16,[1]characters!$A:$K,11,FALSE)</f>
        <v>hp</v>
      </c>
      <c r="M16" s="7" t="str">
        <f>VLOOKUP(B16,[1]characters!$A:$M,13,FALSE)</f>
        <v>god</v>
      </c>
      <c r="N16" s="7" t="str">
        <f>VLOOKUP(B16,[1]characters!$A:$G,7,FALSE)</f>
        <v>女性</v>
      </c>
      <c r="O16" s="45">
        <f t="shared" si="3"/>
        <v>32760</v>
      </c>
      <c r="P16" s="46">
        <f t="shared" si="1"/>
        <v>1.1097560975609756E-2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input_587100!A$2</f>
        <v>587100</v>
      </c>
      <c r="B17" s="11">
        <v>213</v>
      </c>
      <c r="C17" s="7" t="str">
        <f t="shared" si="0"/>
        <v>Premium5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満天の星降神 アストライアー</v>
      </c>
      <c r="I17" s="7" t="str">
        <f>VLOOKUP(B17,[1]characters!$A:$J,10,FALSE)</f>
        <v>PremiumN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god</v>
      </c>
      <c r="N17" s="7" t="str">
        <f>VLOOKUP(B17,[1]characters!$A:$G,7,FALSE)</f>
        <v>女性</v>
      </c>
      <c r="O17" s="45">
        <f t="shared" si="3"/>
        <v>32760</v>
      </c>
      <c r="P17" s="46">
        <f t="shared" si="1"/>
        <v>1.1097560975609756E-2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input_587100!A$2</f>
        <v>587100</v>
      </c>
      <c r="B18" s="6">
        <v>216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百読の死導司書 アズラエル</v>
      </c>
      <c r="I18" s="7" t="str">
        <f>VLOOKUP(B18,[1]characters!$A:$J,10,FALSE)</f>
        <v>PremiumN</v>
      </c>
      <c r="J18" s="7">
        <f>VLOOKUP(B18,[1]characters!$A:$I,9,FALSE)</f>
        <v>5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god</v>
      </c>
      <c r="N18" s="7" t="str">
        <f>VLOOKUP(B18,[1]characters!$A:$G,7,FALSE)</f>
        <v>女性</v>
      </c>
      <c r="O18" s="45">
        <f t="shared" si="3"/>
        <v>32760</v>
      </c>
      <c r="P18" s="46">
        <f t="shared" si="1"/>
        <v>1.1097560975609756E-2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input_587100!A$2</f>
        <v>587100</v>
      </c>
      <c r="B19" s="6">
        <v>219</v>
      </c>
      <c r="C19" s="7" t="str">
        <f t="shared" si="0"/>
        <v>Premium5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覇翼の聖蛇竜 ケツァクアトル</v>
      </c>
      <c r="I19" s="7" t="str">
        <f>VLOOKUP(B19,[1]characters!$A:$J,10,FALSE)</f>
        <v>PremiumN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hp</v>
      </c>
      <c r="M19" s="7" t="str">
        <f>VLOOKUP(B19,[1]characters!$A:$M,13,FALSE)</f>
        <v>dragon</v>
      </c>
      <c r="N19" s="7" t="str">
        <f>VLOOKUP(B19,[1]characters!$A:$G,7,FALSE)</f>
        <v>女性</v>
      </c>
      <c r="O19" s="45">
        <f t="shared" si="3"/>
        <v>32760</v>
      </c>
      <c r="P19" s="46">
        <f t="shared" si="1"/>
        <v>1.1097560975609756E-2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input_587100!A$2</f>
        <v>587100</v>
      </c>
      <c r="B20" s="10">
        <v>222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避光の鉄鎖宰相 ルキフグス</v>
      </c>
      <c r="I20" s="7" t="str">
        <f>VLOOKUP(B20,[1]characters!$A:$J,10,FALSE)</f>
        <v>PremiumN</v>
      </c>
      <c r="J20" s="7">
        <f>VLOOKUP(B20,[1]characters!$A:$I,9,FALSE)</f>
        <v>5</v>
      </c>
      <c r="K20" s="7" t="str">
        <f>VLOOKUP(B20,[1]characters!$A:$H,8,FALSE)</f>
        <v>blue</v>
      </c>
      <c r="L20" s="7" t="str">
        <f>VLOOKUP(B20,[1]characters!$A:$K,11,FALSE)</f>
        <v>balance</v>
      </c>
      <c r="M20" s="7" t="str">
        <f>VLOOKUP(B20,[1]characters!$A:$M,13,FALSE)</f>
        <v>god</v>
      </c>
      <c r="N20" s="7" t="str">
        <f>VLOOKUP(B20,[1]characters!$A:$G,7,FALSE)</f>
        <v>女性</v>
      </c>
      <c r="O20" s="45">
        <f t="shared" si="3"/>
        <v>32760</v>
      </c>
      <c r="P20" s="46">
        <f t="shared" si="1"/>
        <v>1.1097560975609756E-2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input_587100!A$2</f>
        <v>587100</v>
      </c>
      <c r="B21" s="6">
        <v>225</v>
      </c>
      <c r="C21" s="7" t="str">
        <f t="shared" si="0"/>
        <v>Premium5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咆哮の巨獅腕 ヘラクレス</v>
      </c>
      <c r="I21" s="7" t="str">
        <f>VLOOKUP(B21,[1]characters!$A:$J,10,FALSE)</f>
        <v>PremiumN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balance</v>
      </c>
      <c r="M21" s="7" t="str">
        <f>VLOOKUP(B21,[1]characters!$A:$M,13,FALSE)</f>
        <v>human</v>
      </c>
      <c r="N21" s="7" t="str">
        <f>VLOOKUP(B21,[1]characters!$A:$G,7,FALSE)</f>
        <v>男性</v>
      </c>
      <c r="O21" s="45">
        <f t="shared" si="3"/>
        <v>32760</v>
      </c>
      <c r="P21" s="46">
        <f t="shared" si="1"/>
        <v>1.1097560975609756E-2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input_587100!A$2</f>
        <v>587100</v>
      </c>
      <c r="B22" s="6">
        <v>228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殲滅の掃射砲 アレス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god</v>
      </c>
      <c r="N22" s="7" t="str">
        <f>VLOOKUP(B22,[1]characters!$A:$G,7,FALSE)</f>
        <v>男性</v>
      </c>
      <c r="O22" s="45">
        <f t="shared" si="3"/>
        <v>32760</v>
      </c>
      <c r="P22" s="46">
        <f t="shared" si="1"/>
        <v>1.1097560975609756E-2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input_587100!A$2</f>
        <v>587100</v>
      </c>
      <c r="B23" s="6">
        <v>231</v>
      </c>
      <c r="C23" s="7" t="str">
        <f t="shared" si="0"/>
        <v>Premium5</v>
      </c>
      <c r="D23" s="7" t="str">
        <f t="shared" si="2"/>
        <v>Premium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必中の咬銃 ヨルムンガンド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technical</v>
      </c>
      <c r="M23" s="7" t="str">
        <f>VLOOKUP(B23,[1]characters!$A:$M,13,FALSE)</f>
        <v>dragon</v>
      </c>
      <c r="N23" s="7" t="str">
        <f>VLOOKUP(B23,[1]characters!$A:$G,7,FALSE)</f>
        <v>女性</v>
      </c>
      <c r="O23" s="45">
        <f t="shared" si="3"/>
        <v>32760</v>
      </c>
      <c r="P23" s="46">
        <f t="shared" si="1"/>
        <v>1.1097560975609756E-2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input_587100!A$2</f>
        <v>587100</v>
      </c>
      <c r="B24" s="6">
        <v>234</v>
      </c>
      <c r="C24" s="7" t="str">
        <f t="shared" si="0"/>
        <v>Premium5</v>
      </c>
      <c r="D24" s="7" t="str">
        <f t="shared" si="2"/>
        <v>Premium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精密なる照準 パーシヴァル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blue</v>
      </c>
      <c r="L24" s="7" t="str">
        <f>VLOOKUP(B24,[1]characters!$A:$K,11,FALSE)</f>
        <v>technical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t="shared" si="3"/>
        <v>32760</v>
      </c>
      <c r="P24" s="46">
        <f t="shared" si="1"/>
        <v>1.1097560975609756E-2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input_587100!A$2</f>
        <v>587100</v>
      </c>
      <c r="B25" s="6">
        <v>237</v>
      </c>
      <c r="C25" s="7" t="str">
        <f t="shared" si="0"/>
        <v>Premium5R6release</v>
      </c>
      <c r="D25" s="7" t="str">
        <f t="shared" si="2"/>
        <v>Premium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>R6release</v>
      </c>
      <c r="G25" s="7"/>
      <c r="H25" s="7" t="str">
        <f>VLOOKUP(B25,[1]characters!$A:$C,3,FALSE)</f>
        <v>森羅万象の神母 イザナミ</v>
      </c>
      <c r="I25" s="7" t="str">
        <f>VLOOKUP(B25,[1]characters!$A:$J,10,FALSE)</f>
        <v>PremiumS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attack</v>
      </c>
      <c r="M25" s="7" t="str">
        <f>VLOOKUP(B25,[1]characters!$A:$M,13,FALSE)</f>
        <v>god</v>
      </c>
      <c r="N25" s="7" t="str">
        <f>VLOOKUP(B25,[1]characters!$A:$G,7,FALSE)</f>
        <v>女性</v>
      </c>
      <c r="O25" s="45">
        <f t="shared" si="3"/>
        <v>32760</v>
      </c>
      <c r="P25" s="46">
        <f t="shared" si="1"/>
        <v>1.1097560975609756E-2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input_587100!A$2</f>
        <v>587100</v>
      </c>
      <c r="B26" s="6">
        <v>240</v>
      </c>
      <c r="C26" s="7" t="str">
        <f t="shared" si="0"/>
        <v>Premium5</v>
      </c>
      <c r="D26" s="7" t="str">
        <f t="shared" si="2"/>
        <v>Premium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轟炎の天使 ウリエル・スレイヤー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red</v>
      </c>
      <c r="L26" s="7" t="str">
        <f>VLOOKUP(B26,[1]characters!$A:$K,11,FALSE)</f>
        <v>hp</v>
      </c>
      <c r="M26" s="7" t="str">
        <f>VLOOKUP(B26,[1]characters!$A:$M,13,FALSE)</f>
        <v>machine</v>
      </c>
      <c r="N26" s="7" t="str">
        <f>VLOOKUP(B26,[1]characters!$A:$G,7,FALSE)</f>
        <v>女性</v>
      </c>
      <c r="O26" s="45">
        <f t="shared" si="3"/>
        <v>32760</v>
      </c>
      <c r="P26" s="46">
        <f t="shared" si="1"/>
        <v>1.1097560975609756E-2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input_587100!A$2</f>
        <v>587100</v>
      </c>
      <c r="B27" s="6">
        <v>243</v>
      </c>
      <c r="C27" s="7" t="str">
        <f t="shared" si="0"/>
        <v>Premium5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万花の天使 ガブリエル・ブルーム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balance</v>
      </c>
      <c r="M27" s="7" t="str">
        <f>VLOOKUP(B27,[1]characters!$A:$M,13,FALSE)</f>
        <v>machine</v>
      </c>
      <c r="N27" s="7" t="str">
        <f>VLOOKUP(B27,[1]characters!$A:$G,7,FALSE)</f>
        <v>女性</v>
      </c>
      <c r="O27" s="45">
        <f t="shared" si="3"/>
        <v>32760</v>
      </c>
      <c r="P27" s="46">
        <f t="shared" si="1"/>
        <v>1.1097560975609756E-2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input_587100!A$2</f>
        <v>587100</v>
      </c>
      <c r="B28" s="6">
        <v>246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真癒の天使 ラファエル・メディカ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blue</v>
      </c>
      <c r="L28" s="7" t="str">
        <f>VLOOKUP(B28,[1]characters!$A:$K,11,FALSE)</f>
        <v>balance</v>
      </c>
      <c r="M28" s="7" t="str">
        <f>VLOOKUP(B28,[1]characters!$A:$M,13,FALSE)</f>
        <v>machine</v>
      </c>
      <c r="N28" s="7" t="str">
        <f>VLOOKUP(B28,[1]characters!$A:$G,7,FALSE)</f>
        <v>女性</v>
      </c>
      <c r="O28" s="45">
        <f t="shared" si="3"/>
        <v>32760</v>
      </c>
      <c r="P28" s="46">
        <f t="shared" si="1"/>
        <v>1.1097560975609756E-2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input_587100!A$2</f>
        <v>587100</v>
      </c>
      <c r="B29" s="6">
        <v>249</v>
      </c>
      <c r="C29" s="7" t="str">
        <f t="shared" si="0"/>
        <v>Premium5</v>
      </c>
      <c r="D29" s="7" t="str">
        <f t="shared" si="2"/>
        <v>Premium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雷電の天使 ミカエル・ゲイナー</v>
      </c>
      <c r="I29" s="7" t="str">
        <f>VLOOKUP(B29,[1]characters!$A:$J,10,FALSE)</f>
        <v>PremiumS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attack</v>
      </c>
      <c r="M29" s="7" t="str">
        <f>VLOOKUP(B29,[1]characters!$A:$M,13,FALSE)</f>
        <v>machine</v>
      </c>
      <c r="N29" s="7" t="str">
        <f>VLOOKUP(B29,[1]characters!$A:$G,7,FALSE)</f>
        <v>女性</v>
      </c>
      <c r="O29" s="45">
        <f t="shared" si="3"/>
        <v>32760</v>
      </c>
      <c r="P29" s="46">
        <f t="shared" si="1"/>
        <v>1.1097560975609756E-2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input_587100!A$2</f>
        <v>587100</v>
      </c>
      <c r="B30" s="6">
        <v>252</v>
      </c>
      <c r="C30" s="7" t="str">
        <f t="shared" si="0"/>
        <v>Premium5</v>
      </c>
      <c r="D30" s="7" t="str">
        <f t="shared" si="2"/>
        <v>Premium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強欲の沸騰 マンモン</v>
      </c>
      <c r="I30" s="7" t="str">
        <f>VLOOKUP(B30,[1]characters!$A:$J,10,FALSE)</f>
        <v>PremiumS</v>
      </c>
      <c r="J30" s="7">
        <f>VLOOKUP(B30,[1]characters!$A:$I,9,FALSE)</f>
        <v>5</v>
      </c>
      <c r="K30" s="7" t="str">
        <f>VLOOKUP(B30,[1]characters!$A:$H,8,FALSE)</f>
        <v>red</v>
      </c>
      <c r="L30" s="7" t="str">
        <f>VLOOKUP(B30,[1]characters!$A:$K,11,FALSE)</f>
        <v>balance</v>
      </c>
      <c r="M30" s="7" t="str">
        <f>VLOOKUP(B30,[1]characters!$A:$M,13,FALSE)</f>
        <v>god</v>
      </c>
      <c r="N30" s="7" t="str">
        <f>VLOOKUP(B30,[1]characters!$A:$G,7,FALSE)</f>
        <v>女性</v>
      </c>
      <c r="O30" s="45">
        <f t="shared" si="3"/>
        <v>32760</v>
      </c>
      <c r="P30" s="46">
        <f t="shared" si="1"/>
        <v>1.1097560975609756E-2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input_587100!A$2</f>
        <v>587100</v>
      </c>
      <c r="B31" s="6">
        <v>255</v>
      </c>
      <c r="C31" s="7" t="str">
        <f t="shared" si="0"/>
        <v>Premium5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怠惰の頂点 ベルフェゴール</v>
      </c>
      <c r="I31" s="7" t="str">
        <f>VLOOKUP(B31,[1]characters!$A:$J,10,FALSE)</f>
        <v>PremiumS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女性</v>
      </c>
      <c r="O31" s="45">
        <f t="shared" si="3"/>
        <v>32760</v>
      </c>
      <c r="P31" s="46">
        <f t="shared" si="1"/>
        <v>1.1097560975609756E-2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input_587100!A$2</f>
        <v>587100</v>
      </c>
      <c r="B32" s="6">
        <v>258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色欲の源流 アスモデウス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blue</v>
      </c>
      <c r="L32" s="7" t="str">
        <f>VLOOKUP(B32,[1]characters!$A:$K,11,FALSE)</f>
        <v>attack</v>
      </c>
      <c r="M32" s="7" t="str">
        <f>VLOOKUP(B32,[1]characters!$A:$M,13,FALSE)</f>
        <v>god</v>
      </c>
      <c r="N32" s="7" t="str">
        <f>VLOOKUP(B32,[1]characters!$A:$G,7,FALSE)</f>
        <v>女性</v>
      </c>
      <c r="O32" s="45">
        <f t="shared" si="3"/>
        <v>32760</v>
      </c>
      <c r="P32" s="46">
        <f t="shared" si="1"/>
        <v>1.1097560975609756E-2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input_587100!A$2</f>
        <v>587100</v>
      </c>
      <c r="B33" s="6">
        <v>261</v>
      </c>
      <c r="C33" s="7" t="str">
        <f t="shared" si="0"/>
        <v>Premium5</v>
      </c>
      <c r="D33" s="7" t="str">
        <f t="shared" si="2"/>
        <v>Premium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輪廻の蛇龍 ウロボロス</v>
      </c>
      <c r="I33" s="7" t="str">
        <f>VLOOKUP(B33,[1]characters!$A:$J,10,FALSE)</f>
        <v>PremiumS</v>
      </c>
      <c r="J33" s="7">
        <f>VLOOKUP(B33,[1]characters!$A:$I,9,FALSE)</f>
        <v>5</v>
      </c>
      <c r="K33" s="7" t="str">
        <f>VLOOKUP(B33,[1]characters!$A:$H,8,FALSE)</f>
        <v>yellow</v>
      </c>
      <c r="L33" s="7" t="str">
        <f>VLOOKUP(B33,[1]characters!$A:$K,11,FALSE)</f>
        <v>balance</v>
      </c>
      <c r="M33" s="7" t="str">
        <f>VLOOKUP(B33,[1]characters!$A:$M,13,FALSE)</f>
        <v>dragon</v>
      </c>
      <c r="N33" s="7" t="str">
        <f>VLOOKUP(B33,[1]characters!$A:$G,7,FALSE)</f>
        <v>女性</v>
      </c>
      <c r="O33" s="45">
        <f t="shared" si="3"/>
        <v>32760</v>
      </c>
      <c r="P33" s="46">
        <f t="shared" si="1"/>
        <v>1.1097560975609756E-2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input_587100!A$2</f>
        <v>587100</v>
      </c>
      <c r="B34" s="6">
        <v>321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巌鉄の烈志士 近藤勇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red</v>
      </c>
      <c r="L34" s="7" t="str">
        <f>VLOOKUP(B34,[1]characters!$A:$K,11,FALSE)</f>
        <v>hp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t="shared" si="3"/>
        <v>3075</v>
      </c>
      <c r="P34" s="46">
        <f t="shared" ref="P34:P65" si="4">O34/SUM(O:O)</f>
        <v>1.0416666666666667E-3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input_587100!A$2</f>
        <v>587100</v>
      </c>
      <c r="B35" s="6">
        <v>323</v>
      </c>
      <c r="C35" s="7" t="str">
        <f t="shared" si="0"/>
        <v>PremiumSS5</v>
      </c>
      <c r="D35" s="7" t="str">
        <f t="shared" si="2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流麗の愛志士 土方歳三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t="shared" si="3"/>
        <v>3075</v>
      </c>
      <c r="P35" s="46">
        <f t="shared" si="4"/>
        <v>1.0416666666666667E-3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input_587100!A$2</f>
        <v>587100</v>
      </c>
      <c r="B36" s="6">
        <v>325</v>
      </c>
      <c r="C36" s="7" t="str">
        <f t="shared" si="0"/>
        <v>PremiumSS5</v>
      </c>
      <c r="D36" s="7" t="str">
        <f t="shared" si="2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天賦の凛志士 沖田総司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blue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t="shared" si="3"/>
        <v>3075</v>
      </c>
      <c r="P36" s="46">
        <f t="shared" si="4"/>
        <v>1.0416666666666667E-3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input_587100!A$2</f>
        <v>587100</v>
      </c>
      <c r="B37" s="6">
        <v>327</v>
      </c>
      <c r="C37" s="7" t="str">
        <f t="shared" si="0"/>
        <v>PremiumSS5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千殺の妖志士 斎藤一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yellow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t="shared" si="3"/>
        <v>3075</v>
      </c>
      <c r="P37" s="46">
        <f t="shared" si="4"/>
        <v>1.0416666666666667E-3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input_587100!A$2</f>
        <v>587100</v>
      </c>
      <c r="B38" s="60">
        <v>382</v>
      </c>
      <c r="C38" s="7" t="str">
        <f t="shared" ref="C38:C43" si="5">D38&amp;J38&amp;E38&amp;F38&amp;G38</f>
        <v>Premium5</v>
      </c>
      <c r="D38" s="7" t="str">
        <f t="shared" ref="D38:D43" si="6">IF(OR(I38="PremiumSS",I38="PremiumSSw"),"PremiumSS",IF(I38="PremiumSSS",I38,IF(I38="PremiumW",IF(J38=5,"premium",I38),"Premium")))</f>
        <v>Premium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激情の愛炎 バハムート</v>
      </c>
      <c r="I38" s="7" t="str">
        <f>VLOOKUP(B38,[1]characters!$A:$J,10,FALSE)</f>
        <v>PremiumS</v>
      </c>
      <c r="J38" s="7">
        <f>VLOOKUP(B38,[1]characters!$A:$I,9,FALSE)</f>
        <v>5</v>
      </c>
      <c r="K38" s="7" t="str">
        <f>VLOOKUP(B38,[1]characters!$A:$H,8,FALSE)</f>
        <v>red</v>
      </c>
      <c r="L38" s="7" t="str">
        <f>VLOOKUP(B38,[1]characters!$A:$K,11,FALSE)</f>
        <v>technical</v>
      </c>
      <c r="M38" s="7" t="str">
        <f>VLOOKUP(B38,[1]characters!$A:$M,13,FALSE)</f>
        <v>dragon</v>
      </c>
      <c r="N38" s="7" t="str">
        <f>VLOOKUP(B38,[1]characters!$A:$G,7,FALSE)</f>
        <v>女性</v>
      </c>
      <c r="O38" s="45">
        <f t="shared" si="3"/>
        <v>32760</v>
      </c>
      <c r="P38" s="46">
        <f t="shared" si="4"/>
        <v>1.1097560975609756E-2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input_587100!A$2</f>
        <v>587100</v>
      </c>
      <c r="B39" s="60">
        <v>384</v>
      </c>
      <c r="C39" s="7" t="str">
        <f t="shared" si="5"/>
        <v>PremiumSS5</v>
      </c>
      <c r="D39" s="7" t="str">
        <f t="shared" si="6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破国の呑龍 ヤマタノオロチ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hp</v>
      </c>
      <c r="M39" s="7" t="str">
        <f>VLOOKUP(B39,[1]characters!$A:$M,13,FALSE)</f>
        <v>dragon</v>
      </c>
      <c r="N39" s="7" t="str">
        <f>VLOOKUP(B39,[1]characters!$A:$G,7,FALSE)</f>
        <v>女性</v>
      </c>
      <c r="O39" s="45">
        <f t="shared" si="3"/>
        <v>3075</v>
      </c>
      <c r="P39" s="46">
        <f t="shared" si="4"/>
        <v>1.0416666666666667E-3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input_587100!A$2</f>
        <v>587100</v>
      </c>
      <c r="B40" s="60">
        <v>386</v>
      </c>
      <c r="C40" s="7" t="str">
        <f t="shared" si="5"/>
        <v>PremiumSS5</v>
      </c>
      <c r="D40" s="7" t="str">
        <f t="shared" si="6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氾乱の海龍 リヴァイアサン</v>
      </c>
      <c r="I40" s="7" t="str">
        <f>VLOOKUP(B40,[1]characters!$A:$J,10,FALSE)</f>
        <v>PremiumSS</v>
      </c>
      <c r="J40" s="7">
        <f>VLOOKUP(B40,[1]characters!$A:$I,9,FALSE)</f>
        <v>5</v>
      </c>
      <c r="K40" s="7" t="str">
        <f>VLOOKUP(B40,[1]characters!$A:$H,8,FALSE)</f>
        <v>blue</v>
      </c>
      <c r="L40" s="7" t="str">
        <f>VLOOKUP(B40,[1]characters!$A:$K,11,FALSE)</f>
        <v>balance</v>
      </c>
      <c r="M40" s="7" t="str">
        <f>VLOOKUP(B40,[1]characters!$A:$M,13,FALSE)</f>
        <v>dragon</v>
      </c>
      <c r="N40" s="7" t="str">
        <f>VLOOKUP(B40,[1]characters!$A:$G,7,FALSE)</f>
        <v>女性</v>
      </c>
      <c r="O40" s="45">
        <f t="shared" si="3"/>
        <v>3075</v>
      </c>
      <c r="P40" s="46">
        <f t="shared" si="4"/>
        <v>1.0416666666666667E-3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input_587100!A$2</f>
        <v>587100</v>
      </c>
      <c r="B41" s="60">
        <v>389</v>
      </c>
      <c r="C41" s="7" t="str">
        <f t="shared" si="5"/>
        <v>Premium5</v>
      </c>
      <c r="D41" s="7" t="str">
        <f t="shared" si="6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操神の愛姫 スフィンクス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heal</v>
      </c>
      <c r="M41" s="7" t="str">
        <f>VLOOKUP(B41,[1]characters!$A:$M,13,FALSE)</f>
        <v>animal</v>
      </c>
      <c r="N41" s="7" t="str">
        <f>VLOOKUP(B41,[1]characters!$A:$G,7,FALSE)</f>
        <v>女性</v>
      </c>
      <c r="O41" s="45">
        <f t="shared" si="3"/>
        <v>32760</v>
      </c>
      <c r="P41" s="46">
        <f t="shared" si="4"/>
        <v>1.1097560975609756E-2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input_587100!A$2</f>
        <v>587100</v>
      </c>
      <c r="B42" s="60">
        <v>391</v>
      </c>
      <c r="C42" s="7" t="str">
        <f t="shared" si="5"/>
        <v>PremiumSS5</v>
      </c>
      <c r="D42" s="7" t="str">
        <f t="shared" si="6"/>
        <v>PremiumSS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燕翼の旅人 親指姫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red</v>
      </c>
      <c r="L42" s="7" t="str">
        <f>VLOOKUP(B42,[1]characters!$A:$K,11,FALSE)</f>
        <v>heal</v>
      </c>
      <c r="M42" s="7" t="str">
        <f>VLOOKUP(B42,[1]characters!$A:$M,13,FALSE)</f>
        <v>human</v>
      </c>
      <c r="N42" s="7" t="str">
        <f>VLOOKUP(B42,[1]characters!$A:$G,7,FALSE)</f>
        <v>女性</v>
      </c>
      <c r="O42" s="45">
        <f t="shared" si="3"/>
        <v>3075</v>
      </c>
      <c r="P42" s="46">
        <f t="shared" si="4"/>
        <v>1.0416666666666667E-3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input_587100!A$2</f>
        <v>587100</v>
      </c>
      <c r="B43" s="89">
        <v>394</v>
      </c>
      <c r="C43" s="7" t="str">
        <f t="shared" si="5"/>
        <v>Premium5</v>
      </c>
      <c r="D43" s="7" t="str">
        <f t="shared" si="6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影求の悪童 ピーターパン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human</v>
      </c>
      <c r="N43" s="7" t="str">
        <f>VLOOKUP(B43,[1]characters!$A:$G,7,FALSE)</f>
        <v>男性</v>
      </c>
      <c r="O43" s="45">
        <f t="shared" si="3"/>
        <v>32760</v>
      </c>
      <c r="P43" s="46">
        <f t="shared" si="4"/>
        <v>1.1097560975609756E-2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input_587100!A$2</f>
        <v>587100</v>
      </c>
      <c r="B44" s="1">
        <v>397</v>
      </c>
      <c r="C44" s="7" t="str">
        <f t="shared" ref="C44:C107" si="7">D44&amp;J44&amp;E44&amp;F44&amp;G44</f>
        <v>Premium5</v>
      </c>
      <c r="D44" s="7" t="str">
        <f t="shared" ref="D44:D107" si="8">IF(OR(I44="PremiumSS",I44="PremiumSSw"),"PremiumSS",IF(I44="PremiumSSS",I44,IF(I44="PremiumW",IF(J44=5,"premium",I44),"Premium")))</f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禁断の追箱 乙姫</v>
      </c>
      <c r="I44" s="7" t="str">
        <f>VLOOKUP(B44,[1]characters!$A:$J,10,FALSE)</f>
        <v>PremiumS</v>
      </c>
      <c r="J44" s="7">
        <f>VLOOKUP(B44,[1]characters!$A:$I,9,FALSE)</f>
        <v>5</v>
      </c>
      <c r="K44" s="7" t="str">
        <f>VLOOKUP(B44,[1]characters!$A:$H,8,FALSE)</f>
        <v>blue</v>
      </c>
      <c r="L44" s="7" t="str">
        <f>VLOOKUP(B44,[1]characters!$A:$K,11,FALSE)</f>
        <v>hp</v>
      </c>
      <c r="M44" s="7" t="str">
        <f>VLOOKUP(B44,[1]characters!$A:$M,13,FALSE)</f>
        <v>human</v>
      </c>
      <c r="N44" s="7" t="str">
        <f>VLOOKUP(B44,[1]characters!$A:$G,7,FALSE)</f>
        <v>女性</v>
      </c>
      <c r="O44" s="45">
        <f t="shared" si="3"/>
        <v>32760</v>
      </c>
      <c r="P44" s="46">
        <f t="shared" si="4"/>
        <v>1.1097560975609756E-2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input_587100!A$2</f>
        <v>587100</v>
      </c>
      <c r="B45" s="1">
        <v>399</v>
      </c>
      <c r="C45" s="7" t="str">
        <f t="shared" si="7"/>
        <v>PremiumSS5</v>
      </c>
      <c r="D45" s="7" t="str">
        <f t="shared" si="8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信愛の兄妹 ヘンゼル＆グレーテル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yellow</v>
      </c>
      <c r="L45" s="7" t="str">
        <f>VLOOKUP(B45,[1]characters!$A:$K,11,FALSE)</f>
        <v>balance</v>
      </c>
      <c r="M45" s="7" t="str">
        <f>VLOOKUP(B45,[1]characters!$A:$M,13,FALSE)</f>
        <v>human</v>
      </c>
      <c r="N45" s="7" t="str">
        <f>VLOOKUP(B45,[1]characters!$A:$G,7,FALSE)</f>
        <v>女性</v>
      </c>
      <c r="O45" s="45">
        <f t="shared" si="3"/>
        <v>3075</v>
      </c>
      <c r="P45" s="46">
        <f t="shared" si="4"/>
        <v>1.0416666666666667E-3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input_587100!A$2</f>
        <v>587100</v>
      </c>
      <c r="B46" s="1">
        <v>402</v>
      </c>
      <c r="C46" s="7" t="str">
        <f t="shared" si="7"/>
        <v>Premium5</v>
      </c>
      <c r="D46" s="7" t="str">
        <f t="shared" si="8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天災の神狼 フェンリル</v>
      </c>
      <c r="I46" s="7" t="str">
        <f>VLOOKUP(B46,[1]characters!$A:$J,10,FALSE)</f>
        <v>PremiumS</v>
      </c>
      <c r="J46" s="7">
        <f>VLOOKUP(B46,[1]characters!$A:$I,9,FALSE)</f>
        <v>5</v>
      </c>
      <c r="K46" s="7" t="str">
        <f>VLOOKUP(B46,[1]characters!$A:$H,8,FALSE)</f>
        <v>red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女性</v>
      </c>
      <c r="O46" s="45">
        <f t="shared" si="3"/>
        <v>32760</v>
      </c>
      <c r="P46" s="46">
        <f t="shared" si="4"/>
        <v>1.1097560975609756E-2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input_587100!A$2</f>
        <v>587100</v>
      </c>
      <c r="B47" s="1">
        <v>404</v>
      </c>
      <c r="C47" s="7" t="str">
        <f t="shared" si="7"/>
        <v>PremiumSS5</v>
      </c>
      <c r="D47" s="7" t="str">
        <f t="shared" si="8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空襲の神眼 八咫烏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45">
        <f t="shared" si="3"/>
        <v>3075</v>
      </c>
      <c r="P47" s="46">
        <f t="shared" si="4"/>
        <v>1.0416666666666667E-3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input_587100!A$2</f>
        <v>587100</v>
      </c>
      <c r="B48" s="1">
        <v>407</v>
      </c>
      <c r="C48" s="7" t="str">
        <f t="shared" si="7"/>
        <v>Premium5</v>
      </c>
      <c r="D48" s="7" t="str">
        <f t="shared" si="8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/>
      </c>
      <c r="G48" s="7"/>
      <c r="H48" s="7" t="str">
        <f>VLOOKUP(B48,[1]characters!$A:$C,3,FALSE)</f>
        <v>蠱惑の飛刀 エキドナ</v>
      </c>
      <c r="I48" s="7" t="str">
        <f>VLOOKUP(B48,[1]characters!$A:$J,10,FALSE)</f>
        <v>PremiumS</v>
      </c>
      <c r="J48" s="7">
        <f>VLOOKUP(B48,[1]characters!$A:$I,9,FALSE)</f>
        <v>5</v>
      </c>
      <c r="K48" s="7" t="str">
        <f>VLOOKUP(B48,[1]characters!$A:$H,8,FALSE)</f>
        <v>blue</v>
      </c>
      <c r="L48" s="7" t="str">
        <f>VLOOKUP(B48,[1]characters!$A:$K,11,FALSE)</f>
        <v>technical</v>
      </c>
      <c r="M48" s="7" t="str">
        <f>VLOOKUP(B48,[1]characters!$A:$M,13,FALSE)</f>
        <v>animal</v>
      </c>
      <c r="N48" s="7" t="str">
        <f>VLOOKUP(B48,[1]characters!$A:$G,7,FALSE)</f>
        <v>女性</v>
      </c>
      <c r="O48" s="45">
        <f t="shared" si="3"/>
        <v>32760</v>
      </c>
      <c r="P48" s="46">
        <f t="shared" si="4"/>
        <v>1.1097560975609756E-2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input_587100!A$2</f>
        <v>587100</v>
      </c>
      <c r="B49" s="1">
        <v>409</v>
      </c>
      <c r="C49" s="7" t="str">
        <f t="shared" si="7"/>
        <v>PremiumSS5</v>
      </c>
      <c r="D49" s="7" t="str">
        <f t="shared" si="8"/>
        <v>PremiumSS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/>
      </c>
      <c r="G49" s="7"/>
      <c r="H49" s="7" t="str">
        <f>VLOOKUP(B49,[1]characters!$A:$C,3,FALSE)</f>
        <v>天眼の皇貴魔 アスタロト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yellow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男性</v>
      </c>
      <c r="O49" s="45">
        <f t="shared" si="3"/>
        <v>3075</v>
      </c>
      <c r="P49" s="46">
        <f t="shared" si="4"/>
        <v>1.0416666666666667E-3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input_587100!A$2</f>
        <v>587100</v>
      </c>
      <c r="B50" s="1">
        <v>435</v>
      </c>
      <c r="C50" s="7" t="str">
        <f t="shared" si="7"/>
        <v>PremiumSS5</v>
      </c>
      <c r="D50" s="7" t="str">
        <f t="shared" si="8"/>
        <v>PremiumSS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/>
      </c>
      <c r="G50" s="7"/>
      <c r="H50" s="7" t="str">
        <f>VLOOKUP(B50,[1]characters!$A:$C,3,FALSE)</f>
        <v>曝弾の密偵 D.R.T.H.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red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女性</v>
      </c>
      <c r="O50" s="45">
        <f t="shared" si="3"/>
        <v>3075</v>
      </c>
      <c r="P50" s="46">
        <f t="shared" si="4"/>
        <v>1.0416666666666667E-3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input_587100!A$2</f>
        <v>587100</v>
      </c>
      <c r="B51" s="1">
        <v>438</v>
      </c>
      <c r="C51" s="7" t="str">
        <f t="shared" si="7"/>
        <v>Premium5</v>
      </c>
      <c r="D51" s="7" t="str">
        <f t="shared" si="8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記憶の奪還 カカシ</v>
      </c>
      <c r="I51" s="7" t="str">
        <f>VLOOKUP(B51,[1]characters!$A:$J,10,FALSE)</f>
        <v>PremiumS</v>
      </c>
      <c r="J51" s="7">
        <f>VLOOKUP(B51,[1]characters!$A:$I,9,FALSE)</f>
        <v>5</v>
      </c>
      <c r="K51" s="7" t="str">
        <f>VLOOKUP(B51,[1]characters!$A:$H,8,FALSE)</f>
        <v>green</v>
      </c>
      <c r="L51" s="7" t="str">
        <f>VLOOKUP(B51,[1]characters!$A:$K,11,FALSE)</f>
        <v>technical</v>
      </c>
      <c r="M51" s="7" t="str">
        <f>VLOOKUP(B51,[1]characters!$A:$M,13,FALSE)</f>
        <v>human</v>
      </c>
      <c r="N51" s="7" t="str">
        <f>VLOOKUP(B51,[1]characters!$A:$G,7,FALSE)</f>
        <v>男性</v>
      </c>
      <c r="O51" s="45">
        <f>VLOOKUP(D51,$W$2:$Y$4,3,FALSE)</f>
        <v>32760</v>
      </c>
      <c r="P51" s="46">
        <f t="shared" si="4"/>
        <v>1.1097560975609756E-2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input_587100!A$2</f>
        <v>587100</v>
      </c>
      <c r="B52" s="1">
        <v>441</v>
      </c>
      <c r="C52" s="7" t="str">
        <f t="shared" si="7"/>
        <v>Premium5</v>
      </c>
      <c r="D52" s="7" t="str">
        <f t="shared" si="8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求心の錻装 ブリキロガー</v>
      </c>
      <c r="I52" s="7" t="str">
        <f>VLOOKUP(B52,[1]characters!$A:$J,10,FALSE)</f>
        <v>PremiumS</v>
      </c>
      <c r="J52" s="7">
        <f>VLOOKUP(B52,[1]characters!$A:$I,9,FALSE)</f>
        <v>5</v>
      </c>
      <c r="K52" s="7" t="str">
        <f>VLOOKUP(B52,[1]characters!$A:$H,8,FALSE)</f>
        <v>blue</v>
      </c>
      <c r="L52" s="7" t="str">
        <f>VLOOKUP(B52,[1]characters!$A:$K,11,FALSE)</f>
        <v>attack</v>
      </c>
      <c r="M52" s="7" t="str">
        <f>VLOOKUP(B52,[1]characters!$A:$M,13,FALSE)</f>
        <v>machine</v>
      </c>
      <c r="N52" s="7" t="str">
        <f>VLOOKUP(B52,[1]characters!$A:$G,7,FALSE)</f>
        <v>不明</v>
      </c>
      <c r="O52" s="45">
        <f t="shared" si="3"/>
        <v>32760</v>
      </c>
      <c r="P52" s="46">
        <f t="shared" si="4"/>
        <v>1.1097560975609756E-2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input_587100!A$2</f>
        <v>587100</v>
      </c>
      <c r="B53" s="1">
        <v>443</v>
      </c>
      <c r="C53" s="7" t="str">
        <f t="shared" si="7"/>
        <v>PremiumSS5</v>
      </c>
      <c r="D53" s="7" t="str">
        <f t="shared" si="8"/>
        <v>PremiumSS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勇機結集 ブレイブリー・ライオン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hp</v>
      </c>
      <c r="M53" s="7" t="str">
        <f>VLOOKUP(B53,[1]characters!$A:$M,13,FALSE)</f>
        <v>animal</v>
      </c>
      <c r="N53" s="7" t="str">
        <f>VLOOKUP(B53,[1]characters!$A:$G,7,FALSE)</f>
        <v>不明</v>
      </c>
      <c r="O53" s="45">
        <f t="shared" si="3"/>
        <v>3075</v>
      </c>
      <c r="P53" s="46">
        <f t="shared" si="4"/>
        <v>1.0416666666666667E-3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input_587100!A$2</f>
        <v>587100</v>
      </c>
      <c r="B54" s="1">
        <v>464</v>
      </c>
      <c r="C54" s="7" t="str">
        <f t="shared" si="7"/>
        <v>Premium5</v>
      </c>
      <c r="D54" s="7" t="str">
        <f t="shared" si="8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円熟の弾導 ガウェイン</v>
      </c>
      <c r="I54" s="7" t="str">
        <f>VLOOKUP(B54,[1]characters!$A:$J,10,FALSE)</f>
        <v>PremiumS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hp</v>
      </c>
      <c r="M54" s="7" t="str">
        <f>VLOOKUP(B54,[1]characters!$A:$M,13,FALSE)</f>
        <v>human</v>
      </c>
      <c r="N54" s="7" t="str">
        <f>VLOOKUP(B54,[1]characters!$A:$G,7,FALSE)</f>
        <v>男性</v>
      </c>
      <c r="O54" s="45">
        <f t="shared" si="3"/>
        <v>32760</v>
      </c>
      <c r="P54" s="46">
        <f t="shared" si="4"/>
        <v>1.1097560975609756E-2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input_587100!A$2</f>
        <v>587100</v>
      </c>
      <c r="B55" s="1">
        <v>466</v>
      </c>
      <c r="C55" s="7" t="str">
        <f t="shared" si="7"/>
        <v>PremiumSS5</v>
      </c>
      <c r="D55" s="7" t="str">
        <f t="shared" si="8"/>
        <v>PremiumSS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真断の勇覇 ランスロット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balance</v>
      </c>
      <c r="M55" s="7" t="str">
        <f>VLOOKUP(B55,[1]characters!$A:$M,13,FALSE)</f>
        <v>human</v>
      </c>
      <c r="N55" s="7" t="str">
        <f>VLOOKUP(B55,[1]characters!$A:$G,7,FALSE)</f>
        <v>男性</v>
      </c>
      <c r="O55" s="45">
        <f t="shared" si="3"/>
        <v>3075</v>
      </c>
      <c r="P55" s="46">
        <f t="shared" si="4"/>
        <v>1.0416666666666667E-3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input_587100!A$2</f>
        <v>587100</v>
      </c>
      <c r="B56" s="1">
        <v>468</v>
      </c>
      <c r="C56" s="7" t="str">
        <f t="shared" si="7"/>
        <v>PremiumSS5</v>
      </c>
      <c r="D56" s="7" t="str">
        <f t="shared" si="8"/>
        <v>PremiumSS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憎愛の尖鋒 モルドレッド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blue</v>
      </c>
      <c r="L56" s="7" t="str">
        <f>VLOOKUP(B56,[1]characters!$A:$K,11,FALSE)</f>
        <v>technical</v>
      </c>
      <c r="M56" s="7" t="str">
        <f>VLOOKUP(B56,[1]characters!$A:$M,13,FALSE)</f>
        <v>human</v>
      </c>
      <c r="N56" s="7" t="str">
        <f>VLOOKUP(B56,[1]characters!$A:$G,7,FALSE)</f>
        <v>女性</v>
      </c>
      <c r="O56" s="45">
        <f t="shared" si="3"/>
        <v>3075</v>
      </c>
      <c r="P56" s="46">
        <f t="shared" si="4"/>
        <v>1.0416666666666667E-3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input_587100!A$2</f>
        <v>587100</v>
      </c>
      <c r="B57" s="1">
        <v>471</v>
      </c>
      <c r="C57" s="7" t="str">
        <f t="shared" si="7"/>
        <v>Premium5</v>
      </c>
      <c r="D57" s="7" t="str">
        <f t="shared" si="8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不可避の爆激 トリスタン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yellow</v>
      </c>
      <c r="L57" s="7" t="str">
        <f>VLOOKUP(B57,[1]characters!$A:$K,11,FALSE)</f>
        <v>attack</v>
      </c>
      <c r="M57" s="7" t="str">
        <f>VLOOKUP(B57,[1]characters!$A:$M,13,FALSE)</f>
        <v>human</v>
      </c>
      <c r="N57" s="7" t="str">
        <f>VLOOKUP(B57,[1]characters!$A:$G,7,FALSE)</f>
        <v>男性</v>
      </c>
      <c r="O57" s="45">
        <f t="shared" si="3"/>
        <v>32760</v>
      </c>
      <c r="P57" s="46">
        <f t="shared" si="4"/>
        <v>1.1097560975609756E-2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input_587100!A$2</f>
        <v>587100</v>
      </c>
      <c r="B58" s="1">
        <v>475</v>
      </c>
      <c r="C58" s="7" t="str">
        <f t="shared" si="7"/>
        <v>PremiumSS5</v>
      </c>
      <c r="D58" s="7" t="str">
        <f t="shared" si="8"/>
        <v>PremiumSS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緋王 キング・ドライグ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red</v>
      </c>
      <c r="L58" s="7" t="str">
        <f>VLOOKUP(B58,[1]characters!$A:$K,11,FALSE)</f>
        <v>attack</v>
      </c>
      <c r="M58" s="7" t="str">
        <f>VLOOKUP(B58,[1]characters!$A:$M,13,FALSE)</f>
        <v>dragon</v>
      </c>
      <c r="N58" s="7" t="str">
        <f>VLOOKUP(B58,[1]characters!$A:$G,7,FALSE)</f>
        <v>不明</v>
      </c>
      <c r="O58" s="45">
        <f t="shared" si="3"/>
        <v>3075</v>
      </c>
      <c r="P58" s="46">
        <f t="shared" si="4"/>
        <v>1.0416666666666667E-3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input_587100!A$2</f>
        <v>587100</v>
      </c>
      <c r="B59" s="1">
        <v>478</v>
      </c>
      <c r="C59" s="7" t="str">
        <f t="shared" si="7"/>
        <v>Premium5</v>
      </c>
      <c r="D59" s="7" t="str">
        <f t="shared" si="8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時計仕掛けの愛羽妖精 ファータ</v>
      </c>
      <c r="I59" s="7" t="str">
        <f>VLOOKUP(B59,[1]characters!$A:$J,10,FALSE)</f>
        <v>PremiumS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heal</v>
      </c>
      <c r="M59" s="7" t="str">
        <f>VLOOKUP(B59,[1]characters!$A:$M,13,FALSE)</f>
        <v>unknown</v>
      </c>
      <c r="N59" s="7" t="str">
        <f>VLOOKUP(B59,[1]characters!$A:$G,7,FALSE)</f>
        <v>女性</v>
      </c>
      <c r="O59" s="45">
        <f t="shared" si="3"/>
        <v>32760</v>
      </c>
      <c r="P59" s="46">
        <f t="shared" si="4"/>
        <v>1.1097560975609756E-2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input_587100!A$2</f>
        <v>587100</v>
      </c>
      <c r="B60" s="1">
        <v>480</v>
      </c>
      <c r="C60" s="7" t="str">
        <f t="shared" si="7"/>
        <v>PremiumSS5</v>
      </c>
      <c r="D60" s="7" t="str">
        <f t="shared" si="8"/>
        <v>PremiumSS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夢幻の愚者フール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blue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t="shared" si="3"/>
        <v>3075</v>
      </c>
      <c r="P60" s="46">
        <f t="shared" si="4"/>
        <v>1.0416666666666667E-3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input_587100!A$2</f>
        <v>587100</v>
      </c>
      <c r="B61" s="1">
        <v>483</v>
      </c>
      <c r="C61" s="7" t="str">
        <f t="shared" si="7"/>
        <v>Premium5</v>
      </c>
      <c r="D61" s="7" t="str">
        <f t="shared" si="8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 xml:space="preserve">命経死遂 沢庵宗彭 </v>
      </c>
      <c r="I61" s="7" t="str">
        <f>VLOOKUP(B61,[1]characters!$A:$J,10,FALSE)</f>
        <v>PremiumS</v>
      </c>
      <c r="J61" s="7">
        <f>VLOOKUP(B61,[1]characters!$A:$I,9,FALSE)</f>
        <v>5</v>
      </c>
      <c r="K61" s="7" t="str">
        <f>VLOOKUP(B61,[1]characters!$A:$H,8,FALSE)</f>
        <v>yellow</v>
      </c>
      <c r="L61" s="7" t="str">
        <f>VLOOKUP(B61,[1]characters!$A:$K,11,FALSE)</f>
        <v>hp</v>
      </c>
      <c r="M61" s="7" t="str">
        <f>VLOOKUP(B61,[1]characters!$A:$M,13,FALSE)</f>
        <v>human</v>
      </c>
      <c r="N61" s="7" t="str">
        <f>VLOOKUP(B61,[1]characters!$A:$G,7,FALSE)</f>
        <v>男性</v>
      </c>
      <c r="O61" s="45">
        <f t="shared" si="3"/>
        <v>32760</v>
      </c>
      <c r="P61" s="46">
        <f t="shared" si="4"/>
        <v>1.1097560975609756E-2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input_587100!A$2</f>
        <v>587100</v>
      </c>
      <c r="B62" s="1">
        <v>493</v>
      </c>
      <c r="C62" s="7" t="str">
        <f t="shared" si="7"/>
        <v>PremiumSS5</v>
      </c>
      <c r="D62" s="7" t="str">
        <f t="shared" si="8"/>
        <v>PremiumSS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跋扈の機脚 ブートレグ・ペロー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red</v>
      </c>
      <c r="L62" s="7" t="str">
        <f>VLOOKUP(B62,[1]characters!$A:$K,11,FALSE)</f>
        <v>hp</v>
      </c>
      <c r="M62" s="7" t="str">
        <f>VLOOKUP(B62,[1]characters!$A:$M,13,FALSE)</f>
        <v>animal</v>
      </c>
      <c r="N62" s="7" t="str">
        <f>VLOOKUP(B62,[1]characters!$A:$G,7,FALSE)</f>
        <v>不明</v>
      </c>
      <c r="O62" s="45">
        <f t="shared" si="3"/>
        <v>3075</v>
      </c>
      <c r="P62" s="46">
        <f t="shared" si="4"/>
        <v>1.0416666666666667E-3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input_587100!A$2</f>
        <v>587100</v>
      </c>
      <c r="B63" s="1">
        <v>495</v>
      </c>
      <c r="C63" s="7" t="str">
        <f t="shared" si="7"/>
        <v>PremiumSS5</v>
      </c>
      <c r="D63" s="7" t="str">
        <f t="shared" si="8"/>
        <v>PremiumSS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鼠災呼ぶ笛音 ハーメルン</v>
      </c>
      <c r="I63" s="7" t="str">
        <f>VLOOKUP(B63,[1]characters!$A:$J,10,FALSE)</f>
        <v>PremiumSS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technical</v>
      </c>
      <c r="M63" s="7" t="str">
        <f>VLOOKUP(B63,[1]characters!$A:$M,13,FALSE)</f>
        <v>human</v>
      </c>
      <c r="N63" s="7" t="str">
        <f>VLOOKUP(B63,[1]characters!$A:$G,7,FALSE)</f>
        <v>男性</v>
      </c>
      <c r="O63" s="45">
        <f t="shared" si="3"/>
        <v>3075</v>
      </c>
      <c r="P63" s="46">
        <f t="shared" si="4"/>
        <v>1.0416666666666667E-3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input_587100!A$2</f>
        <v>587100</v>
      </c>
      <c r="B64" s="1">
        <v>498</v>
      </c>
      <c r="C64" s="7" t="str">
        <f t="shared" si="7"/>
        <v>Premium5</v>
      </c>
      <c r="D64" s="7" t="str">
        <f t="shared" si="8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自愛の高魔 エスタブ</v>
      </c>
      <c r="I64" s="7" t="str">
        <f>VLOOKUP(B64,[1]characters!$A:$J,10,FALSE)</f>
        <v>PremiumS</v>
      </c>
      <c r="J64" s="7">
        <f>VLOOKUP(B64,[1]characters!$A:$I,9,FALSE)</f>
        <v>5</v>
      </c>
      <c r="K64" s="7" t="str">
        <f>VLOOKUP(B64,[1]characters!$A:$H,8,FALSE)</f>
        <v>blue</v>
      </c>
      <c r="L64" s="7" t="str">
        <f>VLOOKUP(B64,[1]characters!$A:$K,11,FALSE)</f>
        <v>attack</v>
      </c>
      <c r="M64" s="7" t="str">
        <f>VLOOKUP(B64,[1]characters!$A:$M,13,FALSE)</f>
        <v>human</v>
      </c>
      <c r="N64" s="7" t="str">
        <f>VLOOKUP(B64,[1]characters!$A:$G,7,FALSE)</f>
        <v>男性</v>
      </c>
      <c r="O64" s="45">
        <f t="shared" si="3"/>
        <v>32760</v>
      </c>
      <c r="P64" s="46">
        <f t="shared" si="4"/>
        <v>1.1097560975609756E-2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input_587100!A$2</f>
        <v>587100</v>
      </c>
      <c r="B65" s="1">
        <v>500</v>
      </c>
      <c r="C65" s="7" t="str">
        <f t="shared" si="7"/>
        <v>PremiumSS5</v>
      </c>
      <c r="D65" s="7" t="str">
        <f t="shared" si="8"/>
        <v>PremiumSS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脈動の禁髪 ラプンツェル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balance</v>
      </c>
      <c r="M65" s="7" t="str">
        <f>VLOOKUP(B65,[1]characters!$A:$M,13,FALSE)</f>
        <v>human</v>
      </c>
      <c r="N65" s="7" t="str">
        <f>VLOOKUP(B65,[1]characters!$A:$G,7,FALSE)</f>
        <v>女性</v>
      </c>
      <c r="O65" s="45">
        <f t="shared" si="3"/>
        <v>3075</v>
      </c>
      <c r="P65" s="46">
        <f t="shared" si="4"/>
        <v>1.0416666666666667E-3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2" t="str">
        <f ca="1">input_587100!A$2</f>
        <v>587100</v>
      </c>
      <c r="B66" s="1">
        <v>560</v>
      </c>
      <c r="C66" s="7" t="str">
        <f t="shared" si="7"/>
        <v>premium5R3less</v>
      </c>
      <c r="D66" s="7" t="str">
        <f t="shared" si="8"/>
        <v>premium</v>
      </c>
      <c r="E66" s="7" t="str">
        <f>IF(COUNTIF('R6追加前'!A:A,B66)=0,IF(OR(I66="PremiumSS",I66="PremiumSSw"),"R5only","R3less"),"")</f>
        <v>R3less</v>
      </c>
      <c r="F66" s="7" t="str">
        <f>IF(COUNTIF('R6開放'!A:A,B66)&gt;0,"R6release","")</f>
        <v/>
      </c>
      <c r="G66" s="7"/>
      <c r="H66" s="7" t="str">
        <f>VLOOKUP(B66,[1]characters!$A:$C,3,FALSE)</f>
        <v>暴骨炎舞の狂賢者 ユノ</v>
      </c>
      <c r="I66" s="7" t="str">
        <f>VLOOKUP(B66,[1]characters!$A:$J,10,FALSE)</f>
        <v>PremiumW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t="shared" si="3"/>
        <v>32760</v>
      </c>
      <c r="P66" s="46">
        <f t="shared" ref="P66:P97" si="9">O66/SUM(O:O)</f>
        <v>1.1097560975609756E-2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input_587100!A$2</f>
        <v>587100</v>
      </c>
      <c r="B67" s="1">
        <v>561</v>
      </c>
      <c r="C67" s="7" t="str">
        <f t="shared" si="7"/>
        <v>premium5R3less</v>
      </c>
      <c r="D67" s="7" t="str">
        <f t="shared" si="8"/>
        <v>premium</v>
      </c>
      <c r="E67" s="7" t="str">
        <f>IF(COUNTIF('R6追加前'!A:A,B67)=0,IF(OR(I67="PremiumSS",I67="PremiumSSw"),"R5only","R3less"),"")</f>
        <v>R3less</v>
      </c>
      <c r="F67" s="7" t="str">
        <f>IF(COUNTIF('R6開放'!A:A,B67)&gt;0,"R6release","")</f>
        <v/>
      </c>
      <c r="G67" s="7"/>
      <c r="H67" s="7" t="str">
        <f>VLOOKUP(B67,[1]characters!$A:$C,3,FALSE)</f>
        <v>森翠統べる獣姫 アマラ</v>
      </c>
      <c r="I67" s="7" t="str">
        <f>VLOOKUP(B67,[1]characters!$A:$J,10,FALSE)</f>
        <v>PremiumW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attack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t="shared" ref="O67:O71" si="10">VLOOKUP(D67,$W$2:$Y$4,3,FALSE)</f>
        <v>32760</v>
      </c>
      <c r="P67" s="46">
        <f t="shared" si="9"/>
        <v>1.1097560975609756E-2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input_587100!A$2</f>
        <v>587100</v>
      </c>
      <c r="B68" s="1">
        <v>562</v>
      </c>
      <c r="C68" s="7" t="str">
        <f t="shared" si="7"/>
        <v>premium5R3less</v>
      </c>
      <c r="D68" s="7" t="str">
        <f t="shared" si="8"/>
        <v>premium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月夜砕く蒼狂狼 ローレンス</v>
      </c>
      <c r="I68" s="7" t="str">
        <f>VLOOKUP(B68,[1]characters!$A:$J,10,FALSE)</f>
        <v>PremiumW</v>
      </c>
      <c r="J68" s="7">
        <f>VLOOKUP(B68,[1]characters!$A:$I,9,FALSE)</f>
        <v>5</v>
      </c>
      <c r="K68" s="7" t="str">
        <f>VLOOKUP(B68,[1]characters!$A:$H,8,FALSE)</f>
        <v>blue</v>
      </c>
      <c r="L68" s="7" t="str">
        <f>VLOOKUP(B68,[1]characters!$A:$K,11,FALSE)</f>
        <v>attack</v>
      </c>
      <c r="M68" s="7" t="str">
        <f>VLOOKUP(B68,[1]characters!$A:$M,13,FALSE)</f>
        <v>animal</v>
      </c>
      <c r="N68" s="7" t="str">
        <f>VLOOKUP(B68,[1]characters!$A:$G,7,FALSE)</f>
        <v>不明</v>
      </c>
      <c r="O68" s="45">
        <f t="shared" si="10"/>
        <v>32760</v>
      </c>
      <c r="P68" s="46">
        <f t="shared" si="9"/>
        <v>1.1097560975609756E-2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input_587100!A$2</f>
        <v>587100</v>
      </c>
      <c r="B69" s="1">
        <v>563</v>
      </c>
      <c r="C69" s="7" t="str">
        <f t="shared" si="7"/>
        <v>premium5R3less</v>
      </c>
      <c r="D69" s="7" t="str">
        <f t="shared" si="8"/>
        <v>premium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電翔紫閃の雷刃 ハヤト</v>
      </c>
      <c r="I69" s="7" t="str">
        <f>VLOOKUP(B69,[1]characters!$A:$J,10,FALSE)</f>
        <v>PremiumW</v>
      </c>
      <c r="J69" s="7">
        <f>VLOOKUP(B69,[1]characters!$A:$I,9,FALSE)</f>
        <v>5</v>
      </c>
      <c r="K69" s="7" t="str">
        <f>VLOOKUP(B69,[1]characters!$A:$H,8,FALSE)</f>
        <v>yellow</v>
      </c>
      <c r="L69" s="7" t="str">
        <f>VLOOKUP(B69,[1]characters!$A:$K,11,FALSE)</f>
        <v>attack</v>
      </c>
      <c r="M69" s="7" t="str">
        <f>VLOOKUP(B69,[1]characters!$A:$M,13,FALSE)</f>
        <v>human</v>
      </c>
      <c r="N69" s="7" t="str">
        <f>VLOOKUP(B69,[1]characters!$A:$G,7,FALSE)</f>
        <v>男性</v>
      </c>
      <c r="O69" s="45">
        <f t="shared" si="10"/>
        <v>32760</v>
      </c>
      <c r="P69" s="46">
        <f t="shared" si="9"/>
        <v>1.1097560975609756E-2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input_587100!A$2</f>
        <v>587100</v>
      </c>
      <c r="B70" s="1">
        <v>566</v>
      </c>
      <c r="C70" s="7" t="str">
        <f t="shared" si="7"/>
        <v>premium5R3less</v>
      </c>
      <c r="D70" s="7" t="str">
        <f t="shared" si="8"/>
        <v>premium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遊歩遊泳プリンセス マーメイド</v>
      </c>
      <c r="I70" s="7" t="str">
        <f>VLOOKUP(B70,[1]characters!$A:$J,10,FALSE)</f>
        <v>PremiumW</v>
      </c>
      <c r="J70" s="7">
        <f>VLOOKUP(B70,[1]characters!$A:$I,9,FALSE)</f>
        <v>5</v>
      </c>
      <c r="K70" s="7" t="str">
        <f>VLOOKUP(B70,[1]characters!$A:$H,8,FALSE)</f>
        <v>blue</v>
      </c>
      <c r="L70" s="7" t="str">
        <f>VLOOKUP(B70,[1]characters!$A:$K,11,FALSE)</f>
        <v>hp</v>
      </c>
      <c r="M70" s="7" t="str">
        <f>VLOOKUP(B70,[1]characters!$A:$M,13,FALSE)</f>
        <v>human</v>
      </c>
      <c r="N70" s="7" t="str">
        <f>VLOOKUP(B70,[1]characters!$A:$G,7,FALSE)</f>
        <v>不明</v>
      </c>
      <c r="O70" s="45">
        <f t="shared" si="10"/>
        <v>32760</v>
      </c>
      <c r="P70" s="46">
        <f t="shared" si="9"/>
        <v>1.1097560975609756E-2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input_587100!A$2</f>
        <v>587100</v>
      </c>
      <c r="B71" s="1">
        <v>567</v>
      </c>
      <c r="C71" s="7" t="str">
        <f t="shared" si="7"/>
        <v>premium5R3less</v>
      </c>
      <c r="D71" s="7" t="str">
        <f t="shared" si="8"/>
        <v>premium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紅揚の祭狐宴舞 タマモ</v>
      </c>
      <c r="I71" s="7" t="str">
        <f>VLOOKUP(B71,[1]characters!$A:$J,10,FALSE)</f>
        <v>PremiumW</v>
      </c>
      <c r="J71" s="7">
        <f>VLOOKUP(B71,[1]characters!$A:$I,9,FALSE)</f>
        <v>5</v>
      </c>
      <c r="K71" s="7" t="str">
        <f>VLOOKUP(B71,[1]characters!$A:$H,8,FALSE)</f>
        <v>yellow</v>
      </c>
      <c r="L71" s="7" t="str">
        <f>VLOOKUP(B71,[1]characters!$A:$K,11,FALSE)</f>
        <v>balance</v>
      </c>
      <c r="M71" s="7" t="str">
        <f>VLOOKUP(B71,[1]characters!$A:$M,13,FALSE)</f>
        <v>animal</v>
      </c>
      <c r="N71" s="7" t="str">
        <f>VLOOKUP(B71,[1]characters!$A:$G,7,FALSE)</f>
        <v>不明</v>
      </c>
      <c r="O71" s="45">
        <f t="shared" si="10"/>
        <v>32760</v>
      </c>
      <c r="P71" s="46">
        <f t="shared" si="9"/>
        <v>1.1097560975609756E-2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input_587100!A$2</f>
        <v>587100</v>
      </c>
      <c r="B72" s="1">
        <v>587</v>
      </c>
      <c r="C72" s="7" t="str">
        <f t="shared" si="7"/>
        <v>PremiumSS5</v>
      </c>
      <c r="D72" s="7" t="str">
        <f t="shared" si="8"/>
        <v>PremiumSS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原初の煉鋼巨刃 ユミル</v>
      </c>
      <c r="I72" s="7" t="str">
        <f>VLOOKUP(B72,[1]characters!$A:$J,10,FALSE)</f>
        <v>PremiumSS</v>
      </c>
      <c r="J72" s="7">
        <f>VLOOKUP(B72,[1]characters!$A:$I,9,FALSE)</f>
        <v>5</v>
      </c>
      <c r="K72" s="7" t="str">
        <f>VLOOKUP(B72,[1]characters!$A:$H,8,FALSE)</f>
        <v>red</v>
      </c>
      <c r="L72" s="7" t="str">
        <f>VLOOKUP(B72,[1]characters!$A:$K,11,FALSE)</f>
        <v>hp</v>
      </c>
      <c r="M72" s="7" t="str">
        <f>VLOOKUP(B72,[1]characters!$A:$M,13,FALSE)</f>
        <v>machine</v>
      </c>
      <c r="N72" s="7" t="str">
        <f>VLOOKUP(B72,[1]characters!$A:$G,7,FALSE)</f>
        <v>不明</v>
      </c>
      <c r="O72" s="45">
        <f>VLOOKUP(D72,$W$2:$Y$4,3,FALSE)</f>
        <v>3075</v>
      </c>
      <c r="P72" s="46">
        <f t="shared" si="9"/>
        <v>1.0416666666666667E-3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input_587100!A$2</f>
        <v>587100</v>
      </c>
      <c r="B73" s="1">
        <v>590</v>
      </c>
      <c r="C73" s="7" t="str">
        <f t="shared" si="7"/>
        <v>Premium5</v>
      </c>
      <c r="D73" s="7" t="str">
        <f t="shared" si="8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永遠を廻る呪い ニーベルゲン</v>
      </c>
      <c r="I73" s="7" t="str">
        <f>VLOOKUP(B73,[1]characters!$A:$J,10,FALSE)</f>
        <v>PremiumS</v>
      </c>
      <c r="J73" s="7">
        <f>VLOOKUP(B73,[1]characters!$A:$I,9,FALSE)</f>
        <v>5</v>
      </c>
      <c r="K73" s="7" t="str">
        <f>VLOOKUP(B73,[1]characters!$A:$H,8,FALSE)</f>
        <v>green</v>
      </c>
      <c r="L73" s="7" t="str">
        <f>VLOOKUP(B73,[1]characters!$A:$K,11,FALSE)</f>
        <v>balance</v>
      </c>
      <c r="M73" s="7" t="str">
        <f>VLOOKUP(B73,[1]characters!$A:$M,13,FALSE)</f>
        <v>unknown</v>
      </c>
      <c r="N73" s="7" t="str">
        <f>VLOOKUP(B73,[1]characters!$A:$G,7,FALSE)</f>
        <v>女性</v>
      </c>
      <c r="O73" s="45">
        <f t="shared" ref="O73:O99" si="11">VLOOKUP(D73,$W$2:$Y$4,3,FALSE)</f>
        <v>32760</v>
      </c>
      <c r="P73" s="46">
        <f t="shared" si="9"/>
        <v>1.1097560975609756E-2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input_587100!A$2</f>
        <v>587100</v>
      </c>
      <c r="B74" s="1">
        <v>593</v>
      </c>
      <c r="C74" s="7" t="str">
        <f t="shared" si="7"/>
        <v>Premium5</v>
      </c>
      <c r="D74" s="7" t="str">
        <f t="shared" si="8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妄執する邪毒龍 ファフニール</v>
      </c>
      <c r="I74" s="7" t="str">
        <f>VLOOKUP(B74,[1]characters!$A:$J,10,FALSE)</f>
        <v>PremiumS</v>
      </c>
      <c r="J74" s="7">
        <f>VLOOKUP(B74,[1]characters!$A:$I,9,FALSE)</f>
        <v>5</v>
      </c>
      <c r="K74" s="7" t="str">
        <f>VLOOKUP(B74,[1]characters!$A:$H,8,FALSE)</f>
        <v>blue</v>
      </c>
      <c r="L74" s="7" t="str">
        <f>VLOOKUP(B74,[1]characters!$A:$K,11,FALSE)</f>
        <v>technical</v>
      </c>
      <c r="M74" s="7" t="str">
        <f>VLOOKUP(B74,[1]characters!$A:$M,13,FALSE)</f>
        <v>dragon</v>
      </c>
      <c r="N74" s="7" t="str">
        <f>VLOOKUP(B74,[1]characters!$A:$G,7,FALSE)</f>
        <v>不明</v>
      </c>
      <c r="O74" s="45">
        <f t="shared" si="11"/>
        <v>32760</v>
      </c>
      <c r="P74" s="46">
        <f t="shared" si="9"/>
        <v>1.1097560975609756E-2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input_587100!A$2</f>
        <v>587100</v>
      </c>
      <c r="B75" s="1">
        <v>595</v>
      </c>
      <c r="C75" s="7" t="str">
        <f t="shared" si="7"/>
        <v>PremiumSS5</v>
      </c>
      <c r="D75" s="7" t="str">
        <f t="shared" si="8"/>
        <v>PremiumSS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光華なる神域 アルフヘイム</v>
      </c>
      <c r="I75" s="7" t="str">
        <f>VLOOKUP(B75,[1]characters!$A:$J,10,FALSE)</f>
        <v>PremiumSS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attack</v>
      </c>
      <c r="M75" s="7" t="str">
        <f>VLOOKUP(B75,[1]characters!$A:$M,13,FALSE)</f>
        <v>dragon</v>
      </c>
      <c r="N75" s="7" t="str">
        <f>VLOOKUP(B75,[1]characters!$A:$G,7,FALSE)</f>
        <v>不明</v>
      </c>
      <c r="O75" s="45">
        <f t="shared" si="11"/>
        <v>3075</v>
      </c>
      <c r="P75" s="46">
        <f t="shared" si="9"/>
        <v>1.0416666666666667E-3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input_587100!A$2</f>
        <v>587100</v>
      </c>
      <c r="B76" s="1">
        <v>598</v>
      </c>
      <c r="C76" s="7" t="str">
        <f t="shared" si="7"/>
        <v>Premium5</v>
      </c>
      <c r="D76" s="7" t="str">
        <f t="shared" si="8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焼燃の情熱 ムスペルヘイム</v>
      </c>
      <c r="I76" s="7" t="str">
        <f>VLOOKUP(B76,[1]characters!$A:$J,10,FALSE)</f>
        <v>PremiumS</v>
      </c>
      <c r="J76" s="7">
        <f>VLOOKUP(B76,[1]characters!$A:$I,9,FALSE)</f>
        <v>5</v>
      </c>
      <c r="K76" s="7" t="str">
        <f>VLOOKUP(B76,[1]characters!$A:$H,8,FALSE)</f>
        <v>red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t="shared" si="11"/>
        <v>32760</v>
      </c>
      <c r="P76" s="46">
        <f t="shared" si="9"/>
        <v>1.1097560975609756E-2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input_587100!A$2</f>
        <v>587100</v>
      </c>
      <c r="B77" s="1">
        <v>601</v>
      </c>
      <c r="C77" s="7" t="str">
        <f t="shared" si="7"/>
        <v>Premium5</v>
      </c>
      <c r="D77" s="7" t="str">
        <f t="shared" si="8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界根蝕む悪食 ニーズヘッグ</v>
      </c>
      <c r="I77" s="7" t="str">
        <f>VLOOKUP(B77,[1]characters!$A:$J,10,FALSE)</f>
        <v>PremiumS</v>
      </c>
      <c r="J77" s="7">
        <f>VLOOKUP(B77,[1]characters!$A:$I,9,FALSE)</f>
        <v>5</v>
      </c>
      <c r="K77" s="7" t="str">
        <f>VLOOKUP(B77,[1]characters!$A:$H,8,FALSE)</f>
        <v>green</v>
      </c>
      <c r="L77" s="7" t="str">
        <f>VLOOKUP(B77,[1]characters!$A:$K,11,FALSE)</f>
        <v>attack</v>
      </c>
      <c r="M77" s="7" t="str">
        <f>VLOOKUP(B77,[1]characters!$A:$M,13,FALSE)</f>
        <v>dragon</v>
      </c>
      <c r="N77" s="7" t="str">
        <f>VLOOKUP(B77,[1]characters!$A:$G,7,FALSE)</f>
        <v>不明</v>
      </c>
      <c r="O77" s="45">
        <f t="shared" si="11"/>
        <v>32760</v>
      </c>
      <c r="P77" s="46">
        <f t="shared" si="9"/>
        <v>1.1097560975609756E-2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input_587100!A$2</f>
        <v>587100</v>
      </c>
      <c r="B78" s="1">
        <v>603</v>
      </c>
      <c r="C78" s="7" t="str">
        <f t="shared" si="7"/>
        <v>PremiumSS5</v>
      </c>
      <c r="D78" s="7" t="str">
        <f t="shared" si="8"/>
        <v>PremiumSS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掌愛の豊穣女神 フレイヤ</v>
      </c>
      <c r="I78" s="7" t="str">
        <f>VLOOKUP(B78,[1]characters!$A:$J,10,FALSE)</f>
        <v>PremiumSS</v>
      </c>
      <c r="J78" s="7">
        <f>VLOOKUP(B78,[1]characters!$A:$I,9,FALSE)</f>
        <v>5</v>
      </c>
      <c r="K78" s="7" t="str">
        <f>VLOOKUP(B78,[1]characters!$A:$H,8,FALSE)</f>
        <v>blue</v>
      </c>
      <c r="L78" s="7" t="str">
        <f>VLOOKUP(B78,[1]characters!$A:$K,11,FALSE)</f>
        <v>heal</v>
      </c>
      <c r="M78" s="7" t="str">
        <f>VLOOKUP(B78,[1]characters!$A:$M,13,FALSE)</f>
        <v>animal</v>
      </c>
      <c r="N78" s="7" t="str">
        <f>VLOOKUP(B78,[1]characters!$A:$G,7,FALSE)</f>
        <v>女性</v>
      </c>
      <c r="O78" s="45">
        <f t="shared" si="11"/>
        <v>3075</v>
      </c>
      <c r="P78" s="46">
        <f t="shared" si="9"/>
        <v>1.0416666666666667E-3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input_587100!A$2</f>
        <v>587100</v>
      </c>
      <c r="B79" s="1">
        <v>606</v>
      </c>
      <c r="C79" s="7" t="str">
        <f t="shared" si="7"/>
        <v>Premium5</v>
      </c>
      <c r="D79" s="7" t="str">
        <f t="shared" si="8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冀望の光芒 バルドル</v>
      </c>
      <c r="I79" s="7" t="str">
        <f>VLOOKUP(B79,[1]characters!$A:$J,10,FALSE)</f>
        <v>PremiumS</v>
      </c>
      <c r="J79" s="7">
        <f>VLOOKUP(B79,[1]characters!$A:$I,9,FALSE)</f>
        <v>5</v>
      </c>
      <c r="K79" s="7" t="str">
        <f>VLOOKUP(B79,[1]characters!$A:$H,8,FALSE)</f>
        <v>yellow</v>
      </c>
      <c r="L79" s="7" t="str">
        <f>VLOOKUP(B79,[1]characters!$A:$K,11,FALSE)</f>
        <v>heal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t="shared" si="11"/>
        <v>32760</v>
      </c>
      <c r="P79" s="46">
        <f t="shared" si="9"/>
        <v>1.1097560975609756E-2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input_587100!A$2</f>
        <v>587100</v>
      </c>
      <c r="B80" s="1">
        <v>659</v>
      </c>
      <c r="C80" s="7" t="str">
        <f t="shared" si="7"/>
        <v>PremiumSS5</v>
      </c>
      <c r="D80" s="7" t="str">
        <f t="shared" si="8"/>
        <v>PremiumSS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跳梁する化猫 クルミ</v>
      </c>
      <c r="I80" s="7" t="str">
        <f>VLOOKUP(B80,[1]characters!$A:$J,10,FALSE)</f>
        <v>PremiumSS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attack</v>
      </c>
      <c r="M80" s="7" t="str">
        <f>VLOOKUP(B80,[1]characters!$A:$M,13,FALSE)</f>
        <v>animal</v>
      </c>
      <c r="N80" s="7" t="str">
        <f>VLOOKUP(B80,[1]characters!$A:$G,7,FALSE)</f>
        <v>女性</v>
      </c>
      <c r="O80" s="45">
        <f t="shared" si="11"/>
        <v>3075</v>
      </c>
      <c r="P80" s="46">
        <f t="shared" si="9"/>
        <v>1.0416666666666667E-3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input_587100!A$2</f>
        <v>587100</v>
      </c>
      <c r="B81" s="1">
        <v>661</v>
      </c>
      <c r="C81" s="7" t="str">
        <f t="shared" si="7"/>
        <v>PremiumSS5</v>
      </c>
      <c r="D81" s="7" t="str">
        <f t="shared" si="8"/>
        <v>PremiumSS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疾風の天狗礫 フウガ</v>
      </c>
      <c r="I81" s="7" t="str">
        <f>VLOOKUP(B81,[1]characters!$A:$J,10,FALSE)</f>
        <v>PremiumSS</v>
      </c>
      <c r="J81" s="7">
        <f>VLOOKUP(B81,[1]characters!$A:$I,9,FALSE)</f>
        <v>5</v>
      </c>
      <c r="K81" s="7" t="str">
        <f>VLOOKUP(B81,[1]characters!$A:$H,8,FALSE)</f>
        <v>green</v>
      </c>
      <c r="L81" s="7" t="str">
        <f>VLOOKUP(B81,[1]characters!$A:$K,11,FALSE)</f>
        <v>balance</v>
      </c>
      <c r="M81" s="7" t="str">
        <f>VLOOKUP(B81,[1]characters!$A:$M,13,FALSE)</f>
        <v>animal</v>
      </c>
      <c r="N81" s="7" t="str">
        <f>VLOOKUP(B81,[1]characters!$A:$G,7,FALSE)</f>
        <v>男性</v>
      </c>
      <c r="O81" s="45">
        <f t="shared" si="11"/>
        <v>3075</v>
      </c>
      <c r="P81" s="46">
        <f t="shared" si="9"/>
        <v>1.0416666666666667E-3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input_587100!A$2</f>
        <v>587100</v>
      </c>
      <c r="B82" s="1">
        <v>664</v>
      </c>
      <c r="C82" s="7" t="str">
        <f t="shared" si="7"/>
        <v>Premium5</v>
      </c>
      <c r="D82" s="7" t="str">
        <f t="shared" si="8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山掴み国造り ダイダラ</v>
      </c>
      <c r="I82" s="7" t="str">
        <f>VLOOKUP(B82,[1]characters!$A:$J,10,FALSE)</f>
        <v>PremiumS</v>
      </c>
      <c r="J82" s="7">
        <f>VLOOKUP(B82,[1]characters!$A:$I,9,FALSE)</f>
        <v>5</v>
      </c>
      <c r="K82" s="7" t="str">
        <f>VLOOKUP(B82,[1]characters!$A:$H,8,FALSE)</f>
        <v>blue</v>
      </c>
      <c r="L82" s="7" t="str">
        <f>VLOOKUP(B82,[1]characters!$A:$K,11,FALSE)</f>
        <v>hp</v>
      </c>
      <c r="M82" s="7" t="str">
        <f>VLOOKUP(B82,[1]characters!$A:$M,13,FALSE)</f>
        <v>unknown</v>
      </c>
      <c r="N82" s="7" t="str">
        <f>VLOOKUP(B82,[1]characters!$A:$G,7,FALSE)</f>
        <v>不明</v>
      </c>
      <c r="O82" s="45">
        <f t="shared" si="11"/>
        <v>32760</v>
      </c>
      <c r="P82" s="46">
        <f t="shared" si="9"/>
        <v>1.1097560975609756E-2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input_587100!A$2</f>
        <v>587100</v>
      </c>
      <c r="B83" s="1">
        <v>667</v>
      </c>
      <c r="C83" s="7" t="str">
        <f t="shared" si="7"/>
        <v>Premium5</v>
      </c>
      <c r="D83" s="7" t="str">
        <f t="shared" si="8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最幸運の妖童 テマリ</v>
      </c>
      <c r="I83" s="7" t="str">
        <f>VLOOKUP(B83,[1]characters!$A:$J,10,FALSE)</f>
        <v>PremiumS</v>
      </c>
      <c r="J83" s="7">
        <f>VLOOKUP(B83,[1]characters!$A:$I,9,FALSE)</f>
        <v>5</v>
      </c>
      <c r="K83" s="7" t="str">
        <f>VLOOKUP(B83,[1]characters!$A:$H,8,FALSE)</f>
        <v>yellow</v>
      </c>
      <c r="L83" s="7" t="str">
        <f>VLOOKUP(B83,[1]characters!$A:$K,11,FALSE)</f>
        <v>balance</v>
      </c>
      <c r="M83" s="7" t="str">
        <f>VLOOKUP(B83,[1]characters!$A:$M,13,FALSE)</f>
        <v>unknown</v>
      </c>
      <c r="N83" s="7" t="str">
        <f>VLOOKUP(B83,[1]characters!$A:$G,7,FALSE)</f>
        <v>女性</v>
      </c>
      <c r="O83" s="45">
        <f t="shared" si="11"/>
        <v>32760</v>
      </c>
      <c r="P83" s="46">
        <f t="shared" si="9"/>
        <v>1.1097560975609756E-2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input_587100!A$2</f>
        <v>587100</v>
      </c>
      <c r="B84" s="1">
        <v>670</v>
      </c>
      <c r="C84" s="7" t="str">
        <f t="shared" si="7"/>
        <v>Premium5</v>
      </c>
      <c r="D84" s="7" t="str">
        <f t="shared" si="8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陽天の噴煙 アグニ</v>
      </c>
      <c r="I84" s="7" t="str">
        <f>VLOOKUP(B84,[1]characters!$A:$J,10,FALSE)</f>
        <v>PremiumS</v>
      </c>
      <c r="J84" s="7">
        <f>VLOOKUP(B84,[1]characters!$A:$I,9,FALSE)</f>
        <v>5</v>
      </c>
      <c r="K84" s="7" t="str">
        <f>VLOOKUP(B84,[1]characters!$A:$H,8,FALSE)</f>
        <v>red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男性</v>
      </c>
      <c r="O84" s="45">
        <f t="shared" si="11"/>
        <v>32760</v>
      </c>
      <c r="P84" s="46">
        <f t="shared" si="9"/>
        <v>1.1097560975609756E-2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input_587100!A$2</f>
        <v>587100</v>
      </c>
      <c r="B85" s="1">
        <v>673</v>
      </c>
      <c r="C85" s="7" t="str">
        <f t="shared" si="7"/>
        <v>Premium5</v>
      </c>
      <c r="D85" s="7" t="str">
        <f t="shared" si="8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変幻自在の猿王 ハヌマーン</v>
      </c>
      <c r="I85" s="7" t="str">
        <f>VLOOKUP(B85,[1]characters!$A:$J,10,FALSE)</f>
        <v>PremiumS</v>
      </c>
      <c r="J85" s="7">
        <f>VLOOKUP(B85,[1]characters!$A:$I,9,FALSE)</f>
        <v>5</v>
      </c>
      <c r="K85" s="7" t="str">
        <f>VLOOKUP(B85,[1]characters!$A:$H,8,FALSE)</f>
        <v>green</v>
      </c>
      <c r="L85" s="7" t="str">
        <f>VLOOKUP(B85,[1]characters!$A:$K,11,FALSE)</f>
        <v>attack</v>
      </c>
      <c r="M85" s="7" t="str">
        <f>VLOOKUP(B85,[1]characters!$A:$M,13,FALSE)</f>
        <v>animal</v>
      </c>
      <c r="N85" s="7" t="str">
        <f>VLOOKUP(B85,[1]characters!$A:$G,7,FALSE)</f>
        <v>男性</v>
      </c>
      <c r="O85" s="45">
        <f t="shared" si="11"/>
        <v>32760</v>
      </c>
      <c r="P85" s="46">
        <f t="shared" si="9"/>
        <v>1.1097560975609756E-2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input_587100!A$2</f>
        <v>587100</v>
      </c>
      <c r="B86" s="1">
        <v>675</v>
      </c>
      <c r="C86" s="7" t="str">
        <f t="shared" si="7"/>
        <v>PremiumSS5</v>
      </c>
      <c r="D86" s="7" t="str">
        <f t="shared" si="8"/>
        <v>PremiumSS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芸楽の奔流 サラスヴァティ</v>
      </c>
      <c r="I86" s="7" t="str">
        <f>VLOOKUP(B86,[1]characters!$A:$J,10,FALSE)</f>
        <v>PremiumSS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balance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t="shared" si="11"/>
        <v>3075</v>
      </c>
      <c r="P86" s="46">
        <f t="shared" si="9"/>
        <v>1.0416666666666667E-3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input_587100!A$2</f>
        <v>587100</v>
      </c>
      <c r="B87" s="1">
        <v>677</v>
      </c>
      <c r="C87" s="7" t="str">
        <f t="shared" si="7"/>
        <v>PremiumSS5</v>
      </c>
      <c r="D87" s="7" t="str">
        <f t="shared" si="8"/>
        <v>PremiumSS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武遊闊歩 ヴィシュヌ</v>
      </c>
      <c r="I87" s="7" t="str">
        <f>VLOOKUP(B87,[1]characters!$A:$J,10,FALSE)</f>
        <v>PremiumSS</v>
      </c>
      <c r="J87" s="7">
        <f>VLOOKUP(B87,[1]characters!$A:$I,9,FALSE)</f>
        <v>5</v>
      </c>
      <c r="K87" s="7" t="str">
        <f>VLOOKUP(B87,[1]characters!$A:$H,8,FALSE)</f>
        <v>yellow</v>
      </c>
      <c r="L87" s="7" t="str">
        <f>VLOOKUP(B87,[1]characters!$A:$K,11,FALSE)</f>
        <v>attack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t="shared" si="11"/>
        <v>3075</v>
      </c>
      <c r="P87" s="46">
        <f t="shared" si="9"/>
        <v>1.0416666666666667E-3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input_587100!A$2</f>
        <v>587100</v>
      </c>
      <c r="B88" s="1">
        <v>729</v>
      </c>
      <c r="C88" s="7" t="str">
        <f t="shared" si="7"/>
        <v>Premium5R3less</v>
      </c>
      <c r="D88" s="7" t="str">
        <f t="shared" si="8"/>
        <v>Premium</v>
      </c>
      <c r="E88" s="7" t="str">
        <f>IF(COUNTIF('R6追加前'!A:A,B88)=0,IF(OR(I88="PremiumSS",I88="PremiumSSw"),"R5only","R3less"),"")</f>
        <v>R3less</v>
      </c>
      <c r="F88" s="7" t="str">
        <f>IF(COUNTIF('R6開放'!A:A,B88)&gt;0,"R6release","")</f>
        <v/>
      </c>
      <c r="G88" s="7"/>
      <c r="H88" s="7" t="str">
        <f>VLOOKUP(B88,[1]characters!$A:$C,3,FALSE)</f>
        <v>暗厄の双刀 井伊直虎</v>
      </c>
      <c r="I88" s="7" t="str">
        <f>VLOOKUP(B88,[1]characters!$A:$J,10,FALSE)</f>
        <v>PremiumS</v>
      </c>
      <c r="J88" s="7">
        <f>VLOOKUP(B88,[1]characters!$A:$I,9,FALSE)</f>
        <v>5</v>
      </c>
      <c r="K88" s="7" t="str">
        <f>VLOOKUP(B88,[1]characters!$A:$H,8,FALSE)</f>
        <v>red</v>
      </c>
      <c r="L88" s="7" t="str">
        <f>VLOOKUP(B88,[1]characters!$A:$K,11,FALSE)</f>
        <v>balance</v>
      </c>
      <c r="M88" s="7" t="str">
        <f>VLOOKUP(B88,[1]characters!$A:$M,13,FALSE)</f>
        <v>human</v>
      </c>
      <c r="N88" s="7" t="str">
        <f>VLOOKUP(B88,[1]characters!$A:$G,7,FALSE)</f>
        <v>女性</v>
      </c>
      <c r="O88" s="45">
        <f t="shared" si="11"/>
        <v>32760</v>
      </c>
      <c r="P88" s="46">
        <f t="shared" si="9"/>
        <v>1.1097560975609756E-2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input_587100!A$2</f>
        <v>587100</v>
      </c>
      <c r="B89" s="1">
        <v>731</v>
      </c>
      <c r="C89" s="7" t="str">
        <f t="shared" si="7"/>
        <v>Premium5R3less</v>
      </c>
      <c r="D89" s="7" t="str">
        <f t="shared" si="8"/>
        <v>Premium</v>
      </c>
      <c r="E89" s="7" t="str">
        <f>IF(COUNTIF('R6追加前'!A:A,B89)=0,IF(OR(I89="PremiumSS",I89="PremiumSSw"),"R5only","R3less"),"")</f>
        <v>R3less</v>
      </c>
      <c r="F89" s="7" t="str">
        <f>IF(COUNTIF('R6開放'!A:A,B89)&gt;0,"R6release","")</f>
        <v/>
      </c>
      <c r="G89" s="7"/>
      <c r="H89" s="7" t="str">
        <f>VLOOKUP(B89,[1]characters!$A:$C,3,FALSE)</f>
        <v>敬虔なる追銃 ガラシャ</v>
      </c>
      <c r="I89" s="7" t="str">
        <f>VLOOKUP(B89,[1]characters!$A:$J,10,FALSE)</f>
        <v>PremiumS</v>
      </c>
      <c r="J89" s="7">
        <f>VLOOKUP(B89,[1]characters!$A:$I,9,FALSE)</f>
        <v>5</v>
      </c>
      <c r="K89" s="7" t="str">
        <f>VLOOKUP(B89,[1]characters!$A:$H,8,FALSE)</f>
        <v>green</v>
      </c>
      <c r="L89" s="7" t="str">
        <f>VLOOKUP(B89,[1]characters!$A:$K,11,FALSE)</f>
        <v>heal</v>
      </c>
      <c r="M89" s="7" t="str">
        <f>VLOOKUP(B89,[1]characters!$A:$M,13,FALSE)</f>
        <v>human</v>
      </c>
      <c r="N89" s="7" t="str">
        <f>VLOOKUP(B89,[1]characters!$A:$G,7,FALSE)</f>
        <v>女性</v>
      </c>
      <c r="O89" s="45">
        <f t="shared" si="11"/>
        <v>32760</v>
      </c>
      <c r="P89" s="46">
        <f t="shared" si="9"/>
        <v>1.1097560975609756E-2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input_587100!A$2</f>
        <v>587100</v>
      </c>
      <c r="B90" s="1">
        <v>732</v>
      </c>
      <c r="C90" s="7" t="str">
        <f t="shared" si="7"/>
        <v>PremiumSS5R5only</v>
      </c>
      <c r="D90" s="7" t="str">
        <f t="shared" si="8"/>
        <v>PremiumSS</v>
      </c>
      <c r="E90" s="7" t="str">
        <f>IF(COUNTIF('R6追加前'!A:A,B90)=0,IF(OR(I90="PremiumSS",I90="PremiumSSw"),"R5only","R3less"),"")</f>
        <v>R5only</v>
      </c>
      <c r="F90" s="7" t="str">
        <f>IF(COUNTIF('R6開放'!A:A,B90)&gt;0,"R6release","")</f>
        <v/>
      </c>
      <c r="G90" s="7"/>
      <c r="H90" s="7" t="str">
        <f>VLOOKUP(B90,[1]characters!$A:$C,3,FALSE)</f>
        <v>上杉謙信</v>
      </c>
      <c r="I90" s="7" t="str">
        <f>VLOOKUP(B90,[1]characters!$A:$J,10,FALSE)</f>
        <v>PremiumSS</v>
      </c>
      <c r="J90" s="7">
        <f>VLOOKUP(B90,[1]characters!$A:$I,9,FALSE)</f>
        <v>5</v>
      </c>
      <c r="K90" s="7" t="str">
        <f>VLOOKUP(B90,[1]characters!$A:$H,8,FALSE)</f>
        <v>blue</v>
      </c>
      <c r="L90" s="7" t="str">
        <f>VLOOKUP(B90,[1]characters!$A:$K,11,FALSE)</f>
        <v>attack</v>
      </c>
      <c r="M90" s="7" t="str">
        <f>VLOOKUP(B90,[1]characters!$A:$M,13,FALSE)</f>
        <v>human</v>
      </c>
      <c r="N90" s="7" t="str">
        <f>VLOOKUP(B90,[1]characters!$A:$G,7,FALSE)</f>
        <v>女性</v>
      </c>
      <c r="O90" s="45">
        <f t="shared" si="11"/>
        <v>3075</v>
      </c>
      <c r="P90" s="46">
        <f t="shared" si="9"/>
        <v>1.0416666666666667E-3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input_587100!A$2</f>
        <v>587100</v>
      </c>
      <c r="B91" s="1">
        <v>734</v>
      </c>
      <c r="C91" s="7" t="str">
        <f t="shared" si="7"/>
        <v>PremiumSS5R5only</v>
      </c>
      <c r="D91" s="7" t="str">
        <f t="shared" si="8"/>
        <v>PremiumSS</v>
      </c>
      <c r="E91" s="7" t="str">
        <f>IF(COUNTIF('R6追加前'!A:A,B91)=0,IF(OR(I91="PremiumSS",I91="PremiumSSw"),"R5only","R3less"),"")</f>
        <v>R5only</v>
      </c>
      <c r="F91" s="7" t="str">
        <f>IF(COUNTIF('R6開放'!A:A,B91)&gt;0,"R6release","")</f>
        <v/>
      </c>
      <c r="G91" s="7"/>
      <c r="H91" s="7" t="str">
        <f>VLOOKUP(B91,[1]characters!$A:$C,3,FALSE)</f>
        <v>伊達政宗</v>
      </c>
      <c r="I91" s="7" t="str">
        <f>VLOOKUP(B91,[1]characters!$A:$J,10,FALSE)</f>
        <v>PremiumSS</v>
      </c>
      <c r="J91" s="7">
        <f>VLOOKUP(B91,[1]characters!$A:$I,9,FALSE)</f>
        <v>5</v>
      </c>
      <c r="K91" s="7" t="str">
        <f>VLOOKUP(B91,[1]characters!$A:$H,8,FALSE)</f>
        <v>yellow</v>
      </c>
      <c r="L91" s="7" t="str">
        <f>VLOOKUP(B91,[1]characters!$A:$K,11,FALSE)</f>
        <v>balance</v>
      </c>
      <c r="M91" s="7" t="str">
        <f>VLOOKUP(B91,[1]characters!$A:$M,13,FALSE)</f>
        <v>human</v>
      </c>
      <c r="N91" s="7" t="str">
        <f>VLOOKUP(B91,[1]characters!$A:$G,7,FALSE)</f>
        <v>男性</v>
      </c>
      <c r="O91" s="45">
        <f t="shared" si="11"/>
        <v>3075</v>
      </c>
      <c r="P91" s="46">
        <f t="shared" si="9"/>
        <v>1.0416666666666667E-3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input_587100!A$2</f>
        <v>587100</v>
      </c>
      <c r="B92" s="1">
        <v>742</v>
      </c>
      <c r="C92" s="7" t="str">
        <f t="shared" si="7"/>
        <v>PremiumSS5R5only</v>
      </c>
      <c r="D92" s="7" t="str">
        <f t="shared" si="8"/>
        <v>PremiumSS</v>
      </c>
      <c r="E92" s="7" t="str">
        <f>IF(COUNTIF('R6追加前'!A:A,B92)=0,IF(OR(I92="PremiumSS",I92="PremiumSSw"),"R5only","R3less"),"")</f>
        <v>R5only</v>
      </c>
      <c r="F92" s="7" t="str">
        <f>IF(COUNTIF('R6開放'!A:A,B92)&gt;0,"R6release","")</f>
        <v/>
      </c>
      <c r="G92" s="7"/>
      <c r="H92" s="7" t="str">
        <f>VLOOKUP(B92,[1]characters!$A:$C,3,FALSE)</f>
        <v>アポロン</v>
      </c>
      <c r="I92" s="7" t="str">
        <f>VLOOKUP(B92,[1]characters!$A:$J,10,FALSE)</f>
        <v>PremiumSS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attack</v>
      </c>
      <c r="M92" s="7" t="str">
        <f>VLOOKUP(B92,[1]characters!$A:$M,13,FALSE)</f>
        <v>god</v>
      </c>
      <c r="N92" s="7" t="str">
        <f>VLOOKUP(B92,[1]characters!$A:$G,7,FALSE)</f>
        <v>男性</v>
      </c>
      <c r="O92" s="45">
        <f t="shared" si="11"/>
        <v>3075</v>
      </c>
      <c r="P92" s="46">
        <f t="shared" si="9"/>
        <v>1.0416666666666667E-3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input_587100!A$2</f>
        <v>587100</v>
      </c>
      <c r="B93" s="1">
        <v>744</v>
      </c>
      <c r="C93" s="7" t="str">
        <f t="shared" si="7"/>
        <v>PremiumSS5R5only</v>
      </c>
      <c r="D93" s="7" t="str">
        <f t="shared" si="8"/>
        <v>PremiumSS</v>
      </c>
      <c r="E93" s="7" t="str">
        <f>IF(COUNTIF('R6追加前'!A:A,B93)=0,IF(OR(I93="PremiumSS",I93="PremiumSSw"),"R5only","R3less"),"")</f>
        <v>R5only</v>
      </c>
      <c r="F93" s="7" t="str">
        <f>IF(COUNTIF('R6開放'!A:A,B93)&gt;0,"R6release","")</f>
        <v/>
      </c>
      <c r="G93" s="7"/>
      <c r="H93" s="7" t="str">
        <f>VLOOKUP(B93,[1]characters!$A:$C,3,FALSE)</f>
        <v>ヘルメス</v>
      </c>
      <c r="I93" s="7" t="str">
        <f>VLOOKUP(B93,[1]characters!$A:$J,10,FALSE)</f>
        <v>PremiumSS</v>
      </c>
      <c r="J93" s="7">
        <f>VLOOKUP(B93,[1]characters!$A:$I,9,FALSE)</f>
        <v>5</v>
      </c>
      <c r="K93" s="7" t="str">
        <f>VLOOKUP(B93,[1]characters!$A:$H,8,FALSE)</f>
        <v>green</v>
      </c>
      <c r="L93" s="7" t="str">
        <f>VLOOKUP(B93,[1]characters!$A:$K,11,FALSE)</f>
        <v>technical</v>
      </c>
      <c r="M93" s="7" t="str">
        <f>VLOOKUP(B93,[1]characters!$A:$M,13,FALSE)</f>
        <v>god</v>
      </c>
      <c r="N93" s="7" t="str">
        <f>VLOOKUP(B93,[1]characters!$A:$G,7,FALSE)</f>
        <v>男性</v>
      </c>
      <c r="O93" s="45">
        <f t="shared" si="11"/>
        <v>3075</v>
      </c>
      <c r="P93" s="46">
        <f t="shared" si="9"/>
        <v>1.0416666666666667E-3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input_587100!A$2</f>
        <v>587100</v>
      </c>
      <c r="B94" s="1">
        <v>747</v>
      </c>
      <c r="C94" s="7" t="str">
        <f t="shared" si="7"/>
        <v>Premium5R3less</v>
      </c>
      <c r="D94" s="7" t="str">
        <f t="shared" si="8"/>
        <v>Premium</v>
      </c>
      <c r="E94" s="7" t="str">
        <f>IF(COUNTIF('R6追加前'!A:A,B94)=0,IF(OR(I94="PremiumSS",I94="PremiumSSw"),"R5only","R3less"),"")</f>
        <v>R3less</v>
      </c>
      <c r="F94" s="7" t="str">
        <f>IF(COUNTIF('R6開放'!A:A,B94)&gt;0,"R6release","")</f>
        <v/>
      </c>
      <c r="G94" s="7"/>
      <c r="H94" s="7" t="str">
        <f>VLOOKUP(B94,[1]characters!$A:$C,3,FALSE)</f>
        <v>潔碧の巡励神 ノルン</v>
      </c>
      <c r="I94" s="7" t="str">
        <f>VLOOKUP(B94,[1]characters!$A:$J,10,FALSE)</f>
        <v>PremiumS</v>
      </c>
      <c r="J94" s="7">
        <f>VLOOKUP(B94,[1]characters!$A:$I,9,FALSE)</f>
        <v>5</v>
      </c>
      <c r="K94" s="7" t="str">
        <f>VLOOKUP(B94,[1]characters!$A:$H,8,FALSE)</f>
        <v>blue</v>
      </c>
      <c r="L94" s="7" t="str">
        <f>VLOOKUP(B94,[1]characters!$A:$K,11,FALSE)</f>
        <v>balance</v>
      </c>
      <c r="M94" s="7" t="str">
        <f>VLOOKUP(B94,[1]characters!$A:$M,13,FALSE)</f>
        <v>god</v>
      </c>
      <c r="N94" s="7" t="str">
        <f>VLOOKUP(B94,[1]characters!$A:$G,7,FALSE)</f>
        <v>男性</v>
      </c>
      <c r="O94" s="45">
        <f t="shared" si="11"/>
        <v>32760</v>
      </c>
      <c r="P94" s="46">
        <f t="shared" si="9"/>
        <v>1.1097560975609756E-2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input_587100!A$2</f>
        <v>587100</v>
      </c>
      <c r="B95" s="1">
        <v>749</v>
      </c>
      <c r="C95" s="7" t="str">
        <f t="shared" si="7"/>
        <v>Premium5R3less</v>
      </c>
      <c r="D95" s="7" t="str">
        <f t="shared" si="8"/>
        <v>Premium</v>
      </c>
      <c r="E95" s="7" t="str">
        <f>IF(COUNTIF('R6追加前'!A:A,B95)=0,IF(OR(I95="PremiumSS",I95="PremiumSSw"),"R5only","R3less"),"")</f>
        <v>R3less</v>
      </c>
      <c r="F95" s="7" t="str">
        <f>IF(COUNTIF('R6開放'!A:A,B95)&gt;0,"R6release","")</f>
        <v/>
      </c>
      <c r="G95" s="7"/>
      <c r="H95" s="7" t="str">
        <f>VLOOKUP(B95,[1]characters!$A:$C,3,FALSE)</f>
        <v>光喜の牧童 パーン</v>
      </c>
      <c r="I95" s="7" t="str">
        <f>VLOOKUP(B95,[1]characters!$A:$J,10,FALSE)</f>
        <v>PremiumS</v>
      </c>
      <c r="J95" s="7">
        <f>VLOOKUP(B95,[1]characters!$A:$I,9,FALSE)</f>
        <v>5</v>
      </c>
      <c r="K95" s="7" t="str">
        <f>VLOOKUP(B95,[1]characters!$A:$H,8,FALSE)</f>
        <v>yellow</v>
      </c>
      <c r="L95" s="7" t="str">
        <f>VLOOKUP(B95,[1]characters!$A:$K,11,FALSE)</f>
        <v>heal</v>
      </c>
      <c r="M95" s="7" t="str">
        <f>VLOOKUP(B95,[1]characters!$A:$M,13,FALSE)</f>
        <v>animal</v>
      </c>
      <c r="N95" s="7" t="str">
        <f>VLOOKUP(B95,[1]characters!$A:$G,7,FALSE)</f>
        <v>男性</v>
      </c>
      <c r="O95" s="45">
        <f t="shared" si="11"/>
        <v>32760</v>
      </c>
      <c r="P95" s="46">
        <f t="shared" si="9"/>
        <v>1.1097560975609756E-2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input_587100!A$2</f>
        <v>587100</v>
      </c>
      <c r="B96" s="1">
        <v>771</v>
      </c>
      <c r="C96" s="7" t="str">
        <f t="shared" si="7"/>
        <v>PremiumSS5</v>
      </c>
      <c r="D96" s="7" t="str">
        <f t="shared" si="8"/>
        <v>PremiumSS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天織羽鶴 ハヅル</v>
      </c>
      <c r="I96" s="7" t="str">
        <f>VLOOKUP(B96,[1]characters!$A:$J,10,FALSE)</f>
        <v>PremiumSS</v>
      </c>
      <c r="J96" s="7">
        <f>VLOOKUP(B96,[1]characters!$A:$I,9,FALSE)</f>
        <v>5</v>
      </c>
      <c r="K96" s="7" t="str">
        <f>VLOOKUP(B96,[1]characters!$A:$H,8,FALSE)</f>
        <v>red</v>
      </c>
      <c r="L96" s="7" t="str">
        <f>VLOOKUP(B96,[1]characters!$A:$K,11,FALSE)</f>
        <v>balance</v>
      </c>
      <c r="M96" s="7" t="str">
        <f>VLOOKUP(B96,[1]characters!$A:$M,13,FALSE)</f>
        <v>animal</v>
      </c>
      <c r="N96" s="7" t="str">
        <f>VLOOKUP(B96,[1]characters!$A:$G,7,FALSE)</f>
        <v>女性</v>
      </c>
      <c r="O96" s="45">
        <f t="shared" si="11"/>
        <v>3075</v>
      </c>
      <c r="P96" s="46">
        <f t="shared" si="9"/>
        <v>1.0416666666666667E-3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input_587100!A$2</f>
        <v>587100</v>
      </c>
      <c r="B97" s="1">
        <v>773</v>
      </c>
      <c r="C97" s="7" t="str">
        <f t="shared" si="7"/>
        <v>PremiumSS5</v>
      </c>
      <c r="D97" s="7" t="str">
        <f t="shared" si="8"/>
        <v>PremiumSS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浮跳天兎 イナバ</v>
      </c>
      <c r="I97" s="7" t="str">
        <f>VLOOKUP(B97,[1]characters!$A:$J,10,FALSE)</f>
        <v>PremiumSS</v>
      </c>
      <c r="J97" s="7">
        <f>VLOOKUP(B97,[1]characters!$A:$I,9,FALSE)</f>
        <v>5</v>
      </c>
      <c r="K97" s="7" t="str">
        <f>VLOOKUP(B97,[1]characters!$A:$H,8,FALSE)</f>
        <v>green</v>
      </c>
      <c r="L97" s="7" t="str">
        <f>VLOOKUP(B97,[1]characters!$A:$K,11,FALSE)</f>
        <v>balance</v>
      </c>
      <c r="M97" s="7" t="str">
        <f>VLOOKUP(B97,[1]characters!$A:$M,13,FALSE)</f>
        <v>animal</v>
      </c>
      <c r="N97" s="7" t="str">
        <f>VLOOKUP(B97,[1]characters!$A:$G,7,FALSE)</f>
        <v>女性</v>
      </c>
      <c r="O97" s="45">
        <f t="shared" si="11"/>
        <v>3075</v>
      </c>
      <c r="P97" s="46">
        <f t="shared" si="9"/>
        <v>1.0416666666666667E-3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input_587100!A$2</f>
        <v>587100</v>
      </c>
      <c r="B98" s="1">
        <v>776</v>
      </c>
      <c r="C98" s="7" t="str">
        <f t="shared" si="7"/>
        <v>Premium5</v>
      </c>
      <c r="D98" s="7" t="str">
        <f t="shared" si="8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水竜底主 ミズチ</v>
      </c>
      <c r="I98" s="7" t="str">
        <f>VLOOKUP(B98,[1]characters!$A:$J,10,FALSE)</f>
        <v>PremiumS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heal</v>
      </c>
      <c r="M98" s="7" t="str">
        <f>VLOOKUP(B98,[1]characters!$A:$M,13,FALSE)</f>
        <v>dragon</v>
      </c>
      <c r="N98" s="7" t="str">
        <f>VLOOKUP(B98,[1]characters!$A:$G,7,FALSE)</f>
        <v>不明</v>
      </c>
      <c r="O98" s="45">
        <f t="shared" si="11"/>
        <v>32760</v>
      </c>
      <c r="P98" s="46">
        <f t="shared" ref="P98:P129" si="12">O98/SUM(O:O)</f>
        <v>1.1097560975609756E-2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input_587100!A$2</f>
        <v>587100</v>
      </c>
      <c r="B99" s="1">
        <v>779</v>
      </c>
      <c r="C99" s="7" t="str">
        <f t="shared" si="7"/>
        <v>Premium5</v>
      </c>
      <c r="D99" s="7" t="str">
        <f t="shared" si="8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頑堅咬亀 ガメック</v>
      </c>
      <c r="I99" s="7" t="str">
        <f>VLOOKUP(B99,[1]characters!$A:$J,10,FALSE)</f>
        <v>PremiumS</v>
      </c>
      <c r="J99" s="7">
        <f>VLOOKUP(B99,[1]characters!$A:$I,9,FALSE)</f>
        <v>5</v>
      </c>
      <c r="K99" s="7" t="str">
        <f>VLOOKUP(B99,[1]characters!$A:$H,8,FALSE)</f>
        <v>yellow</v>
      </c>
      <c r="L99" s="7" t="str">
        <f>VLOOKUP(B99,[1]characters!$A:$K,11,FALSE)</f>
        <v>hp</v>
      </c>
      <c r="M99" s="7" t="str">
        <f>VLOOKUP(B99,[1]characters!$A:$M,13,FALSE)</f>
        <v>animal</v>
      </c>
      <c r="N99" s="7" t="str">
        <f>VLOOKUP(B99,[1]characters!$A:$G,7,FALSE)</f>
        <v>不明</v>
      </c>
      <c r="O99" s="45">
        <f t="shared" si="11"/>
        <v>32760</v>
      </c>
      <c r="P99" s="46">
        <f t="shared" si="12"/>
        <v>1.1097560975609756E-2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input_587100!A$2</f>
        <v>587100</v>
      </c>
      <c r="B100" s="1">
        <v>848</v>
      </c>
      <c r="C100" s="7" t="str">
        <f t="shared" si="7"/>
        <v>PremiumSS5R5only</v>
      </c>
      <c r="D100" s="7" t="str">
        <f t="shared" si="8"/>
        <v>PremiumSS</v>
      </c>
      <c r="E100" s="7" t="str">
        <f>IF(COUNTIF('R6追加前'!A:A,B100)=0,IF(OR(I100="PremiumSS",I100="PremiumSSw"),"R5only","R3less"),"")</f>
        <v>R5only</v>
      </c>
      <c r="F100" s="7" t="str">
        <f>IF(COUNTIF('R6開放'!A:A,B100)&gt;0,"R6release","")</f>
        <v/>
      </c>
      <c r="G100" s="7"/>
      <c r="H100" s="7" t="str">
        <f>VLOOKUP(B100,[1]characters!$A:$C,3,FALSE)</f>
        <v>メタトロン</v>
      </c>
      <c r="I100" s="7" t="str">
        <f>VLOOKUP(B100,[1]characters!$A:$J,10,FALSE)</f>
        <v>PremiumSS</v>
      </c>
      <c r="J100" s="7">
        <f>VLOOKUP(B100,[1]characters!$A:$I,9,FALSE)</f>
        <v>5</v>
      </c>
      <c r="K100" s="7" t="str">
        <f>VLOOKUP(B100,[1]characters!$A:$H,8,FALSE)</f>
        <v>red</v>
      </c>
      <c r="L100" s="7" t="str">
        <f>VLOOKUP(B100,[1]characters!$A:$K,11,FALSE)</f>
        <v>balance</v>
      </c>
      <c r="M100" s="7" t="str">
        <f>VLOOKUP(B100,[1]characters!$A:$M,13,FALSE)</f>
        <v>god</v>
      </c>
      <c r="N100" s="7" t="str">
        <f>VLOOKUP(B100,[1]characters!$A:$G,7,FALSE)</f>
        <v>男性</v>
      </c>
      <c r="O100" s="45">
        <f>VLOOKUP(D100,$W$2:$Y$4,3,FALSE)</f>
        <v>3075</v>
      </c>
      <c r="P100" s="46">
        <f t="shared" si="12"/>
        <v>1.0416666666666667E-3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input_587100!A$2</f>
        <v>587100</v>
      </c>
      <c r="B101" s="1">
        <v>850</v>
      </c>
      <c r="C101" s="7" t="str">
        <f t="shared" si="7"/>
        <v>PremiumSS5R5only</v>
      </c>
      <c r="D101" s="7" t="str">
        <f t="shared" si="8"/>
        <v>PremiumSS</v>
      </c>
      <c r="E101" s="7" t="str">
        <f>IF(COUNTIF('R6追加前'!A:A,B101)=0,IF(OR(I101="PremiumSS",I101="PremiumSSw"),"R5only","R3less"),"")</f>
        <v>R5only</v>
      </c>
      <c r="F101" s="7" t="str">
        <f>IF(COUNTIF('R6開放'!A:A,B101)&gt;0,"R6release","")</f>
        <v/>
      </c>
      <c r="G101" s="7"/>
      <c r="H101" s="7" t="str">
        <f>VLOOKUP(B101,[1]characters!$A:$C,3,FALSE)</f>
        <v>バアル</v>
      </c>
      <c r="I101" s="7" t="str">
        <f>VLOOKUP(B101,[1]characters!$A:$J,10,FALSE)</f>
        <v>PremiumSS</v>
      </c>
      <c r="J101" s="7">
        <f>VLOOKUP(B101,[1]characters!$A:$I,9,FALSE)</f>
        <v>5</v>
      </c>
      <c r="K101" s="7" t="str">
        <f>VLOOKUP(B101,[1]characters!$A:$H,8,FALSE)</f>
        <v>green</v>
      </c>
      <c r="L101" s="7" t="str">
        <f>VLOOKUP(B101,[1]characters!$A:$K,11,FALSE)</f>
        <v>technical</v>
      </c>
      <c r="M101" s="7" t="str">
        <f>VLOOKUP(B101,[1]characters!$A:$M,13,FALSE)</f>
        <v>god</v>
      </c>
      <c r="N101" s="7" t="str">
        <f>VLOOKUP(B101,[1]characters!$A:$G,7,FALSE)</f>
        <v>男性</v>
      </c>
      <c r="O101" s="45">
        <f t="shared" ref="O101:O117" si="13">VLOOKUP(D101,$W$2:$Y$4,3,FALSE)</f>
        <v>3075</v>
      </c>
      <c r="P101" s="46">
        <f t="shared" si="12"/>
        <v>1.0416666666666667E-3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input_587100!A$2</f>
        <v>587100</v>
      </c>
      <c r="B102" s="1">
        <v>853</v>
      </c>
      <c r="C102" s="7" t="str">
        <f t="shared" si="7"/>
        <v>Premium5R3less</v>
      </c>
      <c r="D102" s="7" t="str">
        <f t="shared" si="8"/>
        <v>Premium</v>
      </c>
      <c r="E102" s="7" t="str">
        <f>IF(COUNTIF('R6追加前'!A:A,B102)=0,IF(OR(I102="PremiumSS",I102="PremiumSSw"),"R5only","R3less"),"")</f>
        <v>R3less</v>
      </c>
      <c r="F102" s="7" t="str">
        <f>IF(COUNTIF('R6開放'!A:A,B102)&gt;0,"R6release","")</f>
        <v/>
      </c>
      <c r="G102" s="7"/>
      <c r="H102" s="7" t="str">
        <f>VLOOKUP(B102,[1]characters!$A:$C,3,FALSE)</f>
        <v>裂爪の天使 サキエル・ティア</v>
      </c>
      <c r="I102" s="7" t="str">
        <f>VLOOKUP(B102,[1]characters!$A:$J,10,FALSE)</f>
        <v>PremiumS</v>
      </c>
      <c r="J102" s="7">
        <f>VLOOKUP(B102,[1]characters!$A:$I,9,FALSE)</f>
        <v>5</v>
      </c>
      <c r="K102" s="7" t="str">
        <f>VLOOKUP(B102,[1]characters!$A:$H,8,FALSE)</f>
        <v>blue</v>
      </c>
      <c r="L102" s="7" t="str">
        <f>VLOOKUP(B102,[1]characters!$A:$K,11,FALSE)</f>
        <v>hp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t="shared" si="13"/>
        <v>32760</v>
      </c>
      <c r="P102" s="46">
        <f t="shared" si="12"/>
        <v>1.1097560975609756E-2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input_587100!A$2</f>
        <v>587100</v>
      </c>
      <c r="B103" s="1">
        <v>855</v>
      </c>
      <c r="C103" s="7" t="str">
        <f t="shared" si="7"/>
        <v>Premium5R3less</v>
      </c>
      <c r="D103" s="7" t="str">
        <f t="shared" si="8"/>
        <v>Premium</v>
      </c>
      <c r="E103" s="7" t="str">
        <f>IF(COUNTIF('R6追加前'!A:A,B103)=0,IF(OR(I103="PremiumSS",I103="PremiumSSw"),"R5only","R3less"),"")</f>
        <v>R3less</v>
      </c>
      <c r="F103" s="7" t="str">
        <f>IF(COUNTIF('R6開放'!A:A,B103)&gt;0,"R6release","")</f>
        <v/>
      </c>
      <c r="G103" s="7"/>
      <c r="H103" s="7" t="str">
        <f>VLOOKUP(B103,[1]characters!$A:$C,3,FALSE)</f>
        <v>豹魔の侠客 フラウロス</v>
      </c>
      <c r="I103" s="7" t="str">
        <f>VLOOKUP(B103,[1]characters!$A:$J,10,FALSE)</f>
        <v>PremiumS</v>
      </c>
      <c r="J103" s="7">
        <f>VLOOKUP(B103,[1]characters!$A:$I,9,FALSE)</f>
        <v>5</v>
      </c>
      <c r="K103" s="7" t="str">
        <f>VLOOKUP(B103,[1]characters!$A:$H,8,FALSE)</f>
        <v>yellow</v>
      </c>
      <c r="L103" s="7" t="str">
        <f>VLOOKUP(B103,[1]characters!$A:$K,11,FALSE)</f>
        <v>attack</v>
      </c>
      <c r="M103" s="7" t="str">
        <f>VLOOKUP(B103,[1]characters!$A:$M,13,FALSE)</f>
        <v>animal</v>
      </c>
      <c r="N103" s="7" t="str">
        <f>VLOOKUP(B103,[1]characters!$A:$G,7,FALSE)</f>
        <v>男性</v>
      </c>
      <c r="O103" s="45">
        <f t="shared" si="13"/>
        <v>32760</v>
      </c>
      <c r="P103" s="46">
        <f t="shared" si="12"/>
        <v>1.1097560975609756E-2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input_587100!A$2</f>
        <v>587100</v>
      </c>
      <c r="B104" s="1">
        <v>863</v>
      </c>
      <c r="C104" s="7" t="str">
        <f t="shared" si="7"/>
        <v>Premium5R3less</v>
      </c>
      <c r="D104" s="7" t="str">
        <f t="shared" si="8"/>
        <v>Premium</v>
      </c>
      <c r="E104" s="7" t="str">
        <f>IF(COUNTIF('R6追加前'!A:A,B104)=0,IF(OR(I104="PremiumSS",I104="PremiumSSw"),"R5only","R3less"),"")</f>
        <v>R3less</v>
      </c>
      <c r="F104" s="7" t="str">
        <f>IF(COUNTIF('R6開放'!A:A,B104)&gt;0,"R6release","")</f>
        <v/>
      </c>
      <c r="G104" s="7"/>
      <c r="H104" s="7" t="str">
        <f>VLOOKUP(B104,[1]characters!$A:$C,3,FALSE)</f>
        <v>歓揮の楽団長 ブレーメン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balance</v>
      </c>
      <c r="M104" s="7" t="str">
        <f>VLOOKUP(B104,[1]characters!$A:$M,13,FALSE)</f>
        <v>animal</v>
      </c>
      <c r="N104" s="7" t="str">
        <f>VLOOKUP(B104,[1]characters!$A:$G,7,FALSE)</f>
        <v>男性</v>
      </c>
      <c r="O104" s="45">
        <f t="shared" si="13"/>
        <v>32760</v>
      </c>
      <c r="P104" s="46">
        <f t="shared" si="12"/>
        <v>1.1097560975609756E-2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input_587100!A$2</f>
        <v>587100</v>
      </c>
      <c r="B105" s="1">
        <v>865</v>
      </c>
      <c r="C105" s="7" t="str">
        <f t="shared" si="7"/>
        <v>Premium5R3less</v>
      </c>
      <c r="D105" s="7" t="str">
        <f t="shared" si="8"/>
        <v>Premium</v>
      </c>
      <c r="E105" s="7" t="str">
        <f>IF(COUNTIF('R6追加前'!A:A,B105)=0,IF(OR(I105="PremiumSS",I105="PremiumSSw"),"R5only","R3less"),"")</f>
        <v>R3less</v>
      </c>
      <c r="F105" s="7" t="str">
        <f>IF(COUNTIF('R6開放'!A:A,B105)&gt;0,"R6release","")</f>
        <v/>
      </c>
      <c r="G105" s="7"/>
      <c r="H105" s="7" t="str">
        <f>VLOOKUP(B105,[1]characters!$A:$C,3,FALSE)</f>
        <v>無情の感線 ピノキオ</v>
      </c>
      <c r="I105" s="7" t="str">
        <f>VLOOKUP(B105,[1]characters!$A:$J,10,FALSE)</f>
        <v>PremiumS</v>
      </c>
      <c r="J105" s="7">
        <f>VLOOKUP(B105,[1]characters!$A:$I,9,FALSE)</f>
        <v>5</v>
      </c>
      <c r="K105" s="7" t="str">
        <f>VLOOKUP(B105,[1]characters!$A:$H,8,FALSE)</f>
        <v>green</v>
      </c>
      <c r="L105" s="7" t="str">
        <f>VLOOKUP(B105,[1]characters!$A:$K,11,FALSE)</f>
        <v>attack</v>
      </c>
      <c r="M105" s="7" t="str">
        <f>VLOOKUP(B105,[1]characters!$A:$M,13,FALSE)</f>
        <v>machine</v>
      </c>
      <c r="N105" s="7" t="str">
        <f>VLOOKUP(B105,[1]characters!$A:$G,7,FALSE)</f>
        <v>男性</v>
      </c>
      <c r="O105" s="45">
        <f t="shared" si="13"/>
        <v>32760</v>
      </c>
      <c r="P105" s="46">
        <f t="shared" si="12"/>
        <v>1.1097560975609756E-2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input_587100!A$2</f>
        <v>587100</v>
      </c>
      <c r="B106" s="1">
        <v>866</v>
      </c>
      <c r="C106" s="7" t="str">
        <f t="shared" si="7"/>
        <v>PremiumSS5R5only</v>
      </c>
      <c r="D106" s="7" t="str">
        <f t="shared" si="8"/>
        <v>PremiumSS</v>
      </c>
      <c r="E106" s="7" t="str">
        <f>IF(COUNTIF('R6追加前'!A:A,B106)=0,IF(OR(I106="PremiumSS",I106="PremiumSSw"),"R5only","R3less"),"")</f>
        <v>R5only</v>
      </c>
      <c r="F106" s="7" t="str">
        <f>IF(COUNTIF('R6開放'!A:A,B106)&gt;0,"R6release","")</f>
        <v/>
      </c>
      <c r="G106" s="7"/>
      <c r="H106" s="7" t="str">
        <f>VLOOKUP(B106,[1]characters!$A:$C,3,FALSE)</f>
        <v>無敗の司令姫 白雪姫</v>
      </c>
      <c r="I106" s="7" t="str">
        <f>VLOOKUP(B106,[1]characters!$A:$J,10,FALSE)</f>
        <v>PremiumSS</v>
      </c>
      <c r="J106" s="7">
        <f>VLOOKUP(B106,[1]characters!$A:$I,9,FALSE)</f>
        <v>5</v>
      </c>
      <c r="K106" s="7" t="str">
        <f>VLOOKUP(B106,[1]characters!$A:$H,8,FALSE)</f>
        <v>blue</v>
      </c>
      <c r="L106" s="7" t="str">
        <f>VLOOKUP(B106,[1]characters!$A:$K,11,FALSE)</f>
        <v>balance</v>
      </c>
      <c r="M106" s="7" t="str">
        <f>VLOOKUP(B106,[1]characters!$A:$M,13,FALSE)</f>
        <v>human</v>
      </c>
      <c r="N106" s="7" t="str">
        <f>VLOOKUP(B106,[1]characters!$A:$G,7,FALSE)</f>
        <v>男性</v>
      </c>
      <c r="O106" s="45">
        <f t="shared" si="13"/>
        <v>3075</v>
      </c>
      <c r="P106" s="46">
        <f t="shared" si="12"/>
        <v>1.0416666666666667E-3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input_587100!A$2</f>
        <v>587100</v>
      </c>
      <c r="B107" s="1">
        <v>868</v>
      </c>
      <c r="C107" s="7" t="str">
        <f t="shared" si="7"/>
        <v>PremiumSS5R5only</v>
      </c>
      <c r="D107" s="7" t="str">
        <f t="shared" si="8"/>
        <v>PremiumSS</v>
      </c>
      <c r="E107" s="7" t="str">
        <f>IF(COUNTIF('R6追加前'!A:A,B107)=0,IF(OR(I107="PremiumSS",I107="PremiumSSw"),"R5only","R3less"),"")</f>
        <v>R5only</v>
      </c>
      <c r="F107" s="7" t="str">
        <f>IF(COUNTIF('R6開放'!A:A,B107)&gt;0,"R6release","")</f>
        <v/>
      </c>
      <c r="G107" s="7"/>
      <c r="H107" s="7" t="str">
        <f>VLOOKUP(B107,[1]characters!$A:$C,3,FALSE)</f>
        <v>アラジンと殲滅機兵LAMP</v>
      </c>
      <c r="I107" s="7" t="str">
        <f>VLOOKUP(B107,[1]characters!$A:$J,10,FALSE)</f>
        <v>PremiumSS</v>
      </c>
      <c r="J107" s="7">
        <f>VLOOKUP(B107,[1]characters!$A:$I,9,FALSE)</f>
        <v>5</v>
      </c>
      <c r="K107" s="7" t="str">
        <f>VLOOKUP(B107,[1]characters!$A:$H,8,FALSE)</f>
        <v>yellow</v>
      </c>
      <c r="L107" s="7" t="str">
        <f>VLOOKUP(B107,[1]characters!$A:$K,11,FALSE)</f>
        <v>hp</v>
      </c>
      <c r="M107" s="7" t="str">
        <f>VLOOKUP(B107,[1]characters!$A:$M,13,FALSE)</f>
        <v>human</v>
      </c>
      <c r="N107" s="7" t="str">
        <f>VLOOKUP(B107,[1]characters!$A:$G,7,FALSE)</f>
        <v>男性</v>
      </c>
      <c r="O107" s="45">
        <f t="shared" si="13"/>
        <v>3075</v>
      </c>
      <c r="P107" s="46">
        <f t="shared" si="12"/>
        <v>1.0416666666666667E-3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input_587100!A$2</f>
        <v>587100</v>
      </c>
      <c r="B108" s="1">
        <v>937</v>
      </c>
      <c r="C108" s="7" t="str">
        <f t="shared" ref="C108:C157" si="14">D108&amp;J108&amp;E108&amp;F108&amp;G108</f>
        <v>PremiumSS5R5only</v>
      </c>
      <c r="D108" s="7" t="str">
        <f t="shared" ref="D108:D157" si="15">IF(OR(I108="PremiumSS",I108="PremiumSSw"),"PremiumSS",IF(I108="PremiumSSS",I108,IF(I108="PremiumW",IF(J108=5,"premium",I108),"Premium")))</f>
        <v>PremiumSS</v>
      </c>
      <c r="E108" s="7" t="str">
        <f>IF(COUNTIF('R6追加前'!A:A,B108)=0,IF(OR(I108="PremiumSS",I108="PremiumSSw"),"R5only","R3less"),"")</f>
        <v>R5only</v>
      </c>
      <c r="F108" s="7" t="str">
        <f>IF(COUNTIF('R6開放'!A:A,B108)&gt;0,"R6release","")</f>
        <v/>
      </c>
      <c r="G108" s="7"/>
      <c r="H108" s="7" t="str">
        <f>VLOOKUP(B108,[1]characters!$A:$C,3,FALSE)</f>
        <v>ナポレオン</v>
      </c>
      <c r="I108" s="7" t="str">
        <f>VLOOKUP(B108,[1]characters!$A:$J,10,FALSE)</f>
        <v>PremiumSS</v>
      </c>
      <c r="J108" s="7">
        <f>VLOOKUP(B108,[1]characters!$A:$I,9,FALSE)</f>
        <v>5</v>
      </c>
      <c r="K108" s="7" t="str">
        <f>VLOOKUP(B108,[1]characters!$A:$H,8,FALSE)</f>
        <v>red</v>
      </c>
      <c r="L108" s="7" t="str">
        <f>VLOOKUP(B108,[1]characters!$A:$K,11,FALSE)</f>
        <v>balance</v>
      </c>
      <c r="M108" s="7" t="str">
        <f>VLOOKUP(B108,[1]characters!$A:$M,13,FALSE)</f>
        <v>human</v>
      </c>
      <c r="N108" s="7" t="str">
        <f>VLOOKUP(B108,[1]characters!$A:$G,7,FALSE)</f>
        <v>男性</v>
      </c>
      <c r="O108" s="45">
        <f t="shared" si="13"/>
        <v>3075</v>
      </c>
      <c r="P108" s="46">
        <f t="shared" si="12"/>
        <v>1.0416666666666667E-3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input_587100!A$2</f>
        <v>587100</v>
      </c>
      <c r="B109" s="1">
        <v>940</v>
      </c>
      <c r="C109" s="7" t="str">
        <f t="shared" si="14"/>
        <v>Premium5R3less</v>
      </c>
      <c r="D109" s="7" t="str">
        <f t="shared" si="15"/>
        <v>Premium</v>
      </c>
      <c r="E109" s="7" t="str">
        <f>IF(COUNTIF('R6追加前'!A:A,B109)=0,IF(OR(I109="PremiumSS",I109="PremiumSSw"),"R5only","R3less"),"")</f>
        <v>R3less</v>
      </c>
      <c r="F109" s="7" t="str">
        <f>IF(COUNTIF('R6開放'!A:A,B109)&gt;0,"R6release","")</f>
        <v/>
      </c>
      <c r="G109" s="7"/>
      <c r="H109" s="7" t="str">
        <f>VLOOKUP(B109,[1]characters!$A:$C,3,FALSE)</f>
        <v>不壊の大要塞 バスティーユ</v>
      </c>
      <c r="I109" s="7" t="str">
        <f>VLOOKUP(B109,[1]characters!$A:$J,10,FALSE)</f>
        <v>PremiumS</v>
      </c>
      <c r="J109" s="7">
        <f>VLOOKUP(B109,[1]characters!$A:$I,9,FALSE)</f>
        <v>5</v>
      </c>
      <c r="K109" s="7" t="str">
        <f>VLOOKUP(B109,[1]characters!$A:$H,8,FALSE)</f>
        <v>green</v>
      </c>
      <c r="L109" s="7" t="str">
        <f>VLOOKUP(B109,[1]characters!$A:$K,11,FALSE)</f>
        <v>hp</v>
      </c>
      <c r="M109" s="7" t="str">
        <f>VLOOKUP(B109,[1]characters!$A:$M,13,FALSE)</f>
        <v>unknown</v>
      </c>
      <c r="N109" s="7" t="str">
        <f>VLOOKUP(B109,[1]characters!$A:$G,7,FALSE)</f>
        <v>男性</v>
      </c>
      <c r="O109" s="45">
        <f t="shared" si="13"/>
        <v>32760</v>
      </c>
      <c r="P109" s="46">
        <f t="shared" si="12"/>
        <v>1.1097560975609756E-2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input_587100!A$2</f>
        <v>587100</v>
      </c>
      <c r="B110" s="1">
        <v>941</v>
      </c>
      <c r="C110" s="7" t="str">
        <f t="shared" si="14"/>
        <v>PremiumSS5R5only</v>
      </c>
      <c r="D110" s="7" t="str">
        <f t="shared" si="15"/>
        <v>PremiumSS</v>
      </c>
      <c r="E110" s="7" t="str">
        <f>IF(COUNTIF('R6追加前'!A:A,B110)=0,IF(OR(I110="PremiumSS",I110="PremiumSSw"),"R5only","R3less"),"")</f>
        <v>R5only</v>
      </c>
      <c r="F110" s="7" t="str">
        <f>IF(COUNTIF('R6開放'!A:A,B110)&gt;0,"R6release","")</f>
        <v/>
      </c>
      <c r="G110" s="7"/>
      <c r="H110" s="7" t="str">
        <f>VLOOKUP(B110,[1]characters!$A:$C,3,FALSE)</f>
        <v>アントワネット</v>
      </c>
      <c r="I110" s="7" t="str">
        <f>VLOOKUP(B110,[1]characters!$A:$J,10,FALSE)</f>
        <v>PremiumSS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男性</v>
      </c>
      <c r="O110" s="45">
        <f t="shared" si="13"/>
        <v>3075</v>
      </c>
      <c r="P110" s="46">
        <f t="shared" si="12"/>
        <v>1.0416666666666667E-3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input_587100!A$2</f>
        <v>587100</v>
      </c>
      <c r="B111" s="1">
        <v>943</v>
      </c>
      <c r="C111" s="7" t="str">
        <f t="shared" si="14"/>
        <v>PremiumSS5R5only</v>
      </c>
      <c r="D111" s="7" t="str">
        <f t="shared" si="15"/>
        <v>PremiumSS</v>
      </c>
      <c r="E111" s="7" t="str">
        <f>IF(COUNTIF('R6追加前'!A:A,B111)=0,IF(OR(I111="PremiumSS",I111="PremiumSSw"),"R5only","R3less"),"")</f>
        <v>R5only</v>
      </c>
      <c r="F111" s="7" t="str">
        <f>IF(COUNTIF('R6開放'!A:A,B111)&gt;0,"R6release","")</f>
        <v/>
      </c>
      <c r="G111" s="7"/>
      <c r="H111" s="7" t="str">
        <f>VLOOKUP(B111,[1]characters!$A:$C,3,FALSE)</f>
        <v>サンソン</v>
      </c>
      <c r="I111" s="7" t="str">
        <f>VLOOKUP(B111,[1]characters!$A:$J,10,FALSE)</f>
        <v>PremiumSS</v>
      </c>
      <c r="J111" s="7">
        <f>VLOOKUP(B111,[1]characters!$A:$I,9,FALSE)</f>
        <v>5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human</v>
      </c>
      <c r="N111" s="7" t="str">
        <f>VLOOKUP(B111,[1]characters!$A:$G,7,FALSE)</f>
        <v>男性</v>
      </c>
      <c r="O111" s="45">
        <f t="shared" si="13"/>
        <v>3075</v>
      </c>
      <c r="P111" s="46">
        <f t="shared" si="12"/>
        <v>1.0416666666666667E-3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input_587100!A$2</f>
        <v>587100</v>
      </c>
      <c r="B112" s="1">
        <v>1012</v>
      </c>
      <c r="C112" s="7" t="str">
        <f t="shared" si="14"/>
        <v>PremiumSS5R5only</v>
      </c>
      <c r="D112" s="7" t="str">
        <f t="shared" si="15"/>
        <v>PremiumSS</v>
      </c>
      <c r="E112" s="7" t="str">
        <f>IF(COUNTIF('R6追加前'!A:A,B112)=0,IF(OR(I112="PremiumSS",I112="PremiumSSw"),"R5only","R3less"),"")</f>
        <v>R5only</v>
      </c>
      <c r="F112" s="7" t="str">
        <f>IF(COUNTIF('R6開放'!A:A,B112)&gt;0,"R6release","")</f>
        <v/>
      </c>
      <c r="G112" s="7"/>
      <c r="H112" s="7" t="str">
        <f>VLOOKUP(B112,[1]characters!$A:$C,3,FALSE)</f>
        <v>ラー</v>
      </c>
      <c r="I112" s="7" t="str">
        <f>VLOOKUP(B112,[1]characters!$A:$J,10,FALSE)</f>
        <v>PremiumSS</v>
      </c>
      <c r="J112" s="7">
        <f>VLOOKUP(B112,[1]characters!$A:$I,9,FALSE)</f>
        <v>5</v>
      </c>
      <c r="K112" s="7" t="str">
        <f>VLOOKUP(B112,[1]characters!$A:$H,8,FALSE)</f>
        <v>red</v>
      </c>
      <c r="L112" s="7" t="str">
        <f>VLOOKUP(B112,[1]characters!$A:$K,11,FALSE)</f>
        <v>balance</v>
      </c>
      <c r="M112" s="7" t="str">
        <f>VLOOKUP(B112,[1]characters!$A:$M,13,FALSE)</f>
        <v>god</v>
      </c>
      <c r="N112" s="7" t="str">
        <f>VLOOKUP(B112,[1]characters!$A:$G,7,FALSE)</f>
        <v>男性</v>
      </c>
      <c r="O112" s="45">
        <f t="shared" si="13"/>
        <v>3075</v>
      </c>
      <c r="P112" s="46">
        <f t="shared" si="12"/>
        <v>1.0416666666666667E-3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input_587100!A$2</f>
        <v>587100</v>
      </c>
      <c r="B113" s="1">
        <v>1014</v>
      </c>
      <c r="C113" s="7" t="str">
        <f t="shared" si="14"/>
        <v>PremiumSS5R5only</v>
      </c>
      <c r="D113" s="7" t="str">
        <f t="shared" si="15"/>
        <v>PremiumSS</v>
      </c>
      <c r="E113" s="7" t="str">
        <f>IF(COUNTIF('R6追加前'!A:A,B113)=0,IF(OR(I113="PremiumSS",I113="PremiumSSw"),"R5only","R3less"),"")</f>
        <v>R5only</v>
      </c>
      <c r="F113" s="7" t="str">
        <f>IF(COUNTIF('R6開放'!A:A,B113)&gt;0,"R6release","")</f>
        <v/>
      </c>
      <c r="G113" s="7"/>
      <c r="H113" s="7" t="str">
        <f>VLOOKUP(B113,[1]characters!$A:$C,3,FALSE)</f>
        <v>イシス</v>
      </c>
      <c r="I113" s="7" t="str">
        <f>VLOOKUP(B113,[1]characters!$A:$J,10,FALSE)</f>
        <v>PremiumSS</v>
      </c>
      <c r="J113" s="7">
        <f>VLOOKUP(B113,[1]characters!$A:$I,9,FALSE)</f>
        <v>5</v>
      </c>
      <c r="K113" s="7" t="str">
        <f>VLOOKUP(B113,[1]characters!$A:$H,8,FALSE)</f>
        <v>green</v>
      </c>
      <c r="L113" s="7" t="str">
        <f>VLOOKUP(B113,[1]characters!$A:$K,11,FALSE)</f>
        <v>hp</v>
      </c>
      <c r="M113" s="7" t="str">
        <f>VLOOKUP(B113,[1]characters!$A:$M,13,FALSE)</f>
        <v>god</v>
      </c>
      <c r="N113" s="7" t="str">
        <f>VLOOKUP(B113,[1]characters!$A:$G,7,FALSE)</f>
        <v>男性</v>
      </c>
      <c r="O113" s="45">
        <f t="shared" si="13"/>
        <v>3075</v>
      </c>
      <c r="P113" s="46">
        <f t="shared" si="12"/>
        <v>1.0416666666666667E-3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input_587100!A$2</f>
        <v>587100</v>
      </c>
      <c r="B114" s="1">
        <v>1017</v>
      </c>
      <c r="C114" s="7" t="str">
        <f t="shared" si="14"/>
        <v>Premium5R3less</v>
      </c>
      <c r="D114" s="7" t="str">
        <f t="shared" si="15"/>
        <v>Premium</v>
      </c>
      <c r="E114" s="7" t="str">
        <f>IF(COUNTIF('R6追加前'!A:A,B114)=0,IF(OR(I114="PremiumSS",I114="PremiumSSw"),"R5only","R3less"),"")</f>
        <v>R3less</v>
      </c>
      <c r="F114" s="7" t="str">
        <f>IF(COUNTIF('R6開放'!A:A,B114)&gt;0,"R6release","")</f>
        <v/>
      </c>
      <c r="G114" s="7"/>
      <c r="H114" s="7" t="str">
        <f>VLOOKUP(B114,[1]characters!$A:$C,3,FALSE)</f>
        <v>命瞳の慈母神 ハトホル</v>
      </c>
      <c r="I114" s="7" t="str">
        <f>VLOOKUP(B114,[1]characters!$A:$J,10,FALSE)</f>
        <v>PremiumS</v>
      </c>
      <c r="J114" s="7">
        <f>VLOOKUP(B114,[1]characters!$A:$I,9,FALSE)</f>
        <v>5</v>
      </c>
      <c r="K114" s="7" t="str">
        <f>VLOOKUP(B114,[1]characters!$A:$H,8,FALSE)</f>
        <v>blue</v>
      </c>
      <c r="L114" s="7" t="str">
        <f>VLOOKUP(B114,[1]characters!$A:$K,11,FALSE)</f>
        <v>heal</v>
      </c>
      <c r="M114" s="7" t="str">
        <f>VLOOKUP(B114,[1]characters!$A:$M,13,FALSE)</f>
        <v>god</v>
      </c>
      <c r="N114" s="7" t="str">
        <f>VLOOKUP(B114,[1]characters!$A:$G,7,FALSE)</f>
        <v>男性</v>
      </c>
      <c r="O114" s="45">
        <f t="shared" si="13"/>
        <v>32760</v>
      </c>
      <c r="P114" s="46">
        <f t="shared" si="12"/>
        <v>1.1097560975609756E-2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input_587100!A$2</f>
        <v>587100</v>
      </c>
      <c r="B115" s="1">
        <v>1018</v>
      </c>
      <c r="C115" s="7" t="str">
        <f t="shared" si="14"/>
        <v>PremiumSS5R5only</v>
      </c>
      <c r="D115" s="7" t="str">
        <f t="shared" si="15"/>
        <v>PremiumSS</v>
      </c>
      <c r="E115" s="7" t="str">
        <f>IF(COUNTIF('R6追加前'!A:A,B115)=0,IF(OR(I115="PremiumSS",I115="PremiumSSw"),"R5only","R3less"),"")</f>
        <v>R5only</v>
      </c>
      <c r="F115" s="7" t="str">
        <f>IF(COUNTIF('R6開放'!A:A,B115)&gt;0,"R6release","")</f>
        <v/>
      </c>
      <c r="G115" s="7"/>
      <c r="H115" s="7" t="str">
        <f>VLOOKUP(B115,[1]characters!$A:$C,3,FALSE)</f>
        <v>バステト</v>
      </c>
      <c r="I115" s="7" t="str">
        <f>VLOOKUP(B115,[1]characters!$A:$J,10,FALSE)</f>
        <v>PremiumSS</v>
      </c>
      <c r="J115" s="7">
        <f>VLOOKUP(B115,[1]characters!$A:$I,9,FALSE)</f>
        <v>5</v>
      </c>
      <c r="K115" s="7" t="str">
        <f>VLOOKUP(B115,[1]characters!$A:$H,8,FALSE)</f>
        <v>yellow</v>
      </c>
      <c r="L115" s="7" t="str">
        <f>VLOOKUP(B115,[1]characters!$A:$K,11,FALSE)</f>
        <v>attack</v>
      </c>
      <c r="M115" s="7" t="str">
        <f>VLOOKUP(B115,[1]characters!$A:$M,13,FALSE)</f>
        <v>god</v>
      </c>
      <c r="N115" s="7" t="str">
        <f>VLOOKUP(B115,[1]characters!$A:$G,7,FALSE)</f>
        <v>男性</v>
      </c>
      <c r="O115" s="45">
        <f t="shared" si="13"/>
        <v>3075</v>
      </c>
      <c r="P115" s="46">
        <f t="shared" si="12"/>
        <v>1.0416666666666667E-3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input_587100!A$2</f>
        <v>587100</v>
      </c>
      <c r="B116" s="1">
        <v>1027</v>
      </c>
      <c r="C116" s="7" t="str">
        <f t="shared" si="14"/>
        <v>Premium5R3less</v>
      </c>
      <c r="D116" s="7" t="str">
        <f t="shared" si="15"/>
        <v>Premium</v>
      </c>
      <c r="E116" s="7" t="str">
        <f>IF(COUNTIF('R6追加前'!A:A,B116)=0,IF(OR(I116="PremiumSS",I116="PremiumSSw"),"R5only","R3less"),"")</f>
        <v>R3less</v>
      </c>
      <c r="F116" s="7" t="str">
        <f>IF(COUNTIF('R6開放'!A:A,B116)&gt;0,"R6release","")</f>
        <v/>
      </c>
      <c r="G116" s="7"/>
      <c r="H116" s="7" t="str">
        <f>VLOOKUP(B116,[1]characters!$A:$C,3,FALSE)</f>
        <v>弾丸多重奏 蝉丸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attack</v>
      </c>
      <c r="M116" s="7" t="str">
        <f>VLOOKUP(B116,[1]characters!$A:$M,13,FALSE)</f>
        <v>human</v>
      </c>
      <c r="N116" s="7" t="str">
        <f>VLOOKUP(B116,[1]characters!$A:$G,7,FALSE)</f>
        <v>男性</v>
      </c>
      <c r="O116" s="45">
        <f t="shared" si="13"/>
        <v>32760</v>
      </c>
      <c r="P116" s="46">
        <f t="shared" si="12"/>
        <v>1.1097560975609756E-2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input_587100!A$2</f>
        <v>587100</v>
      </c>
      <c r="B117" s="1">
        <v>1028</v>
      </c>
      <c r="C117" s="7" t="str">
        <f t="shared" si="14"/>
        <v>PremiumSS5R5only</v>
      </c>
      <c r="D117" s="7" t="str">
        <f t="shared" si="15"/>
        <v>PremiumSS</v>
      </c>
      <c r="E117" s="7" t="str">
        <f>IF(COUNTIF('R6追加前'!A:A,B117)=0,IF(OR(I117="PremiumSS",I117="PremiumSSw"),"R5only","R3less"),"")</f>
        <v>R5only</v>
      </c>
      <c r="F117" s="7" t="str">
        <f>IF(COUNTIF('R6開放'!A:A,B117)&gt;0,"R6release","")</f>
        <v/>
      </c>
      <c r="G117" s="7"/>
      <c r="H117" s="7" t="str">
        <f>VLOOKUP(B117,[1]characters!$A:$C,3,FALSE)</f>
        <v>牛若丸</v>
      </c>
      <c r="I117" s="7" t="str">
        <f>VLOOKUP(B117,[1]characters!$A:$J,10,FALSE)</f>
        <v>PremiumSS</v>
      </c>
      <c r="J117" s="7">
        <f>VLOOKUP(B117,[1]characters!$A:$I,9,FALSE)</f>
        <v>5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human</v>
      </c>
      <c r="N117" s="7" t="str">
        <f>VLOOKUP(B117,[1]characters!$A:$G,7,FALSE)</f>
        <v>男性</v>
      </c>
      <c r="O117" s="45">
        <f t="shared" si="13"/>
        <v>3075</v>
      </c>
      <c r="P117" s="46">
        <f t="shared" si="12"/>
        <v>1.0416666666666667E-3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input_587100!A$2</f>
        <v>587100</v>
      </c>
      <c r="B118" s="1">
        <v>1031</v>
      </c>
      <c r="C118" s="7" t="str">
        <f t="shared" si="14"/>
        <v>PremiumSS5R5only</v>
      </c>
      <c r="D118" s="7" t="str">
        <f t="shared" si="15"/>
        <v>PremiumSS</v>
      </c>
      <c r="E118" s="7" t="str">
        <f>IF(COUNTIF('R6追加前'!A:A,B118)=0,IF(OR(I118="PremiumSS",I118="PremiumSSw"),"R5only","R3less"),"")</f>
        <v>R5only</v>
      </c>
      <c r="F118" s="7" t="str">
        <f>IF(COUNTIF('R6開放'!A:A,B118)&gt;0,"R6release","")</f>
        <v/>
      </c>
      <c r="G118" s="7"/>
      <c r="H118" s="7" t="str">
        <f>VLOOKUP(B118,[1]characters!$A:$C,3,FALSE)</f>
        <v>紫式部</v>
      </c>
      <c r="I118" s="7" t="str">
        <f>VLOOKUP(B118,[1]characters!$A:$J,10,FALSE)</f>
        <v>PremiumSS</v>
      </c>
      <c r="J118" s="7">
        <f>VLOOKUP(B118,[1]characters!$A:$I,9,FALSE)</f>
        <v>5</v>
      </c>
      <c r="K118" s="7" t="str">
        <f>VLOOKUP(B118,[1]characters!$A:$H,8,FALSE)</f>
        <v>blue</v>
      </c>
      <c r="L118" s="7" t="str">
        <f>VLOOKUP(B118,[1]characters!$A:$K,11,FALSE)</f>
        <v>technical</v>
      </c>
      <c r="M118" s="7" t="str">
        <f>VLOOKUP(B118,[1]characters!$A:$M,13,FALSE)</f>
        <v>human</v>
      </c>
      <c r="N118" s="7" t="str">
        <f>VLOOKUP(B118,[1]characters!$A:$G,7,FALSE)</f>
        <v>男性</v>
      </c>
      <c r="O118" s="45">
        <f>VLOOKUP(D118,$W$2:$Y$4,3,FALSE)</f>
        <v>3075</v>
      </c>
      <c r="P118" s="46">
        <f t="shared" si="12"/>
        <v>1.0416666666666667E-3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input_587100!A$2</f>
        <v>587100</v>
      </c>
      <c r="B119" s="1">
        <v>1033</v>
      </c>
      <c r="C119" s="7" t="str">
        <f t="shared" si="14"/>
        <v>PremiumSS5R5only</v>
      </c>
      <c r="D119" s="7" t="str">
        <f t="shared" si="15"/>
        <v>PremiumSS</v>
      </c>
      <c r="E119" s="7" t="str">
        <f>IF(COUNTIF('R6追加前'!A:A,B119)=0,IF(OR(I119="PremiumSS",I119="PremiumSSw"),"R5only","R3less"),"")</f>
        <v>R5only</v>
      </c>
      <c r="F119" s="7" t="str">
        <f>IF(COUNTIF('R6開放'!A:A,B119)&gt;0,"R6release","")</f>
        <v/>
      </c>
      <c r="G119" s="7"/>
      <c r="H119" s="7" t="str">
        <f>VLOOKUP(B119,[1]characters!$A:$C,3,FALSE)</f>
        <v>清少納言</v>
      </c>
      <c r="I119" s="7" t="str">
        <f>VLOOKUP(B119,[1]characters!$A:$J,10,FALSE)</f>
        <v>PremiumSS</v>
      </c>
      <c r="J119" s="7">
        <f>VLOOKUP(B119,[1]characters!$A:$I,9,FALSE)</f>
        <v>5</v>
      </c>
      <c r="K119" s="7" t="str">
        <f>VLOOKUP(B119,[1]characters!$A:$H,8,FALSE)</f>
        <v>yellow</v>
      </c>
      <c r="L119" s="7" t="str">
        <f>VLOOKUP(B119,[1]characters!$A:$K,11,FALSE)</f>
        <v>heal</v>
      </c>
      <c r="M119" s="7" t="str">
        <f>VLOOKUP(B119,[1]characters!$A:$M,13,FALSE)</f>
        <v>human</v>
      </c>
      <c r="N119" s="7" t="str">
        <f>VLOOKUP(B119,[1]characters!$A:$G,7,FALSE)</f>
        <v>男性</v>
      </c>
      <c r="O119" s="45">
        <f t="shared" ref="O119:O148" si="16">VLOOKUP(D119,$W$2:$Y$4,3,FALSE)</f>
        <v>3075</v>
      </c>
      <c r="P119" s="46">
        <f t="shared" si="12"/>
        <v>1.0416666666666667E-3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input_587100!A$2</f>
        <v>587100</v>
      </c>
      <c r="B120" s="1">
        <v>1068</v>
      </c>
      <c r="C120" s="7" t="str">
        <f t="shared" si="14"/>
        <v>Premium5R3less</v>
      </c>
      <c r="D120" s="7" t="str">
        <f t="shared" si="15"/>
        <v>Premium</v>
      </c>
      <c r="E120" s="7" t="str">
        <f>IF(COUNTIF('R6追加前'!A:A,B120)=0,IF(OR(I120="PremiumSS",I120="PremiumSSw"),"R5only","R3less"),"")</f>
        <v>R3less</v>
      </c>
      <c r="F120" s="7" t="str">
        <f>IF(COUNTIF('R6開放'!A:A,B120)&gt;0,"R6release","")</f>
        <v/>
      </c>
      <c r="G120" s="7"/>
      <c r="H120" s="7" t="str">
        <f>VLOOKUP(B120,[1]characters!$A:$C,3,FALSE)</f>
        <v>想母の羽龍 ウシュムガル</v>
      </c>
      <c r="I120" s="7" t="str">
        <f>VLOOKUP(B120,[1]characters!$A:$J,10,FALSE)</f>
        <v>PremiumS</v>
      </c>
      <c r="J120" s="7">
        <f>VLOOKUP(B120,[1]characters!$A:$I,9,FALSE)</f>
        <v>5</v>
      </c>
      <c r="K120" s="7" t="str">
        <f>VLOOKUP(B120,[1]characters!$A:$H,8,FALSE)</f>
        <v>red</v>
      </c>
      <c r="L120" s="7" t="str">
        <f>VLOOKUP(B120,[1]characters!$A:$K,11,FALSE)</f>
        <v>balance</v>
      </c>
      <c r="M120" s="7" t="str">
        <f>VLOOKUP(B120,[1]characters!$A:$M,13,FALSE)</f>
        <v>dragon</v>
      </c>
      <c r="N120" s="7" t="str">
        <f>VLOOKUP(B120,[1]characters!$A:$G,7,FALSE)</f>
        <v>男性</v>
      </c>
      <c r="O120" s="45">
        <f t="shared" si="16"/>
        <v>32760</v>
      </c>
      <c r="P120" s="46">
        <f t="shared" si="12"/>
        <v>1.1097560975609756E-2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input_587100!A$2</f>
        <v>587100</v>
      </c>
      <c r="B121" s="1">
        <v>1069</v>
      </c>
      <c r="C121" s="7" t="str">
        <f t="shared" si="14"/>
        <v>PremiumSS5R5only</v>
      </c>
      <c r="D121" s="7" t="str">
        <f t="shared" si="15"/>
        <v>PremiumSS</v>
      </c>
      <c r="E121" s="7" t="str">
        <f>IF(COUNTIF('R6追加前'!A:A,B121)=0,IF(OR(I121="PremiumSS",I121="PremiumSSw"),"R5only","R3less"),"")</f>
        <v>R5only</v>
      </c>
      <c r="F121" s="7" t="str">
        <f>IF(COUNTIF('R6開放'!A:A,B121)&gt;0,"R6release","")</f>
        <v/>
      </c>
      <c r="G121" s="7"/>
      <c r="H121" s="7" t="str">
        <f>VLOOKUP(B121,[1]characters!$A:$C,3,FALSE)</f>
        <v>イシュタル</v>
      </c>
      <c r="I121" s="7" t="str">
        <f>VLOOKUP(B121,[1]characters!$A:$J,10,FALSE)</f>
        <v>PremiumSS</v>
      </c>
      <c r="J121" s="7">
        <f>VLOOKUP(B121,[1]characters!$A:$I,9,FALSE)</f>
        <v>5</v>
      </c>
      <c r="K121" s="7" t="str">
        <f>VLOOKUP(B121,[1]characters!$A:$H,8,FALSE)</f>
        <v>green</v>
      </c>
      <c r="L121" s="7" t="str">
        <f>VLOOKUP(B121,[1]characters!$A:$K,11,FALSE)</f>
        <v>technical</v>
      </c>
      <c r="M121" s="7" t="str">
        <f>VLOOKUP(B121,[1]characters!$A:$M,13,FALSE)</f>
        <v>god</v>
      </c>
      <c r="N121" s="7" t="str">
        <f>VLOOKUP(B121,[1]characters!$A:$G,7,FALSE)</f>
        <v>男性</v>
      </c>
      <c r="O121" s="45">
        <f t="shared" si="16"/>
        <v>3075</v>
      </c>
      <c r="P121" s="46">
        <f t="shared" si="12"/>
        <v>1.0416666666666667E-3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input_587100!A$2</f>
        <v>587100</v>
      </c>
      <c r="B122" s="1">
        <v>1072</v>
      </c>
      <c r="C122" s="7" t="str">
        <f t="shared" si="14"/>
        <v>PremiumSS5R5only</v>
      </c>
      <c r="D122" s="7" t="str">
        <f t="shared" si="15"/>
        <v>PremiumSS</v>
      </c>
      <c r="E122" s="7" t="str">
        <f>IF(COUNTIF('R6追加前'!A:A,B122)=0,IF(OR(I122="PremiumSS",I122="PremiumSSw"),"R5only","R3less"),"")</f>
        <v>R5only</v>
      </c>
      <c r="F122" s="7" t="str">
        <f>IF(COUNTIF('R6開放'!A:A,B122)&gt;0,"R6release","")</f>
        <v/>
      </c>
      <c r="G122" s="7"/>
      <c r="H122" s="7" t="str">
        <f>VLOOKUP(B122,[1]characters!$A:$C,3,FALSE)</f>
        <v>エンキドゥ</v>
      </c>
      <c r="I122" s="7" t="str">
        <f>VLOOKUP(B122,[1]characters!$A:$J,10,FALSE)</f>
        <v>PremiumSSw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attack</v>
      </c>
      <c r="M122" s="7" t="str">
        <f>VLOOKUP(B122,[1]characters!$A:$M,13,FALSE)</f>
        <v>human</v>
      </c>
      <c r="N122" s="7" t="str">
        <f>VLOOKUP(B122,[1]characters!$A:$G,7,FALSE)</f>
        <v>男性</v>
      </c>
      <c r="O122" s="45">
        <f t="shared" si="16"/>
        <v>3075</v>
      </c>
      <c r="P122" s="46">
        <f t="shared" si="12"/>
        <v>1.0416666666666667E-3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input_587100!A$2</f>
        <v>587100</v>
      </c>
      <c r="B123" s="1">
        <v>1074</v>
      </c>
      <c r="C123" s="7" t="str">
        <f t="shared" si="14"/>
        <v>PremiumSS5R5only</v>
      </c>
      <c r="D123" s="7" t="str">
        <f t="shared" si="15"/>
        <v>PremiumSS</v>
      </c>
      <c r="E123" s="7" t="str">
        <f>IF(COUNTIF('R6追加前'!A:A,B123)=0,IF(OR(I123="PremiumSS",I123="PremiumSSw"),"R5only","R3less"),"")</f>
        <v>R5only</v>
      </c>
      <c r="F123" s="7" t="str">
        <f>IF(COUNTIF('R6開放'!A:A,B123)&gt;0,"R6release","")</f>
        <v/>
      </c>
      <c r="G123" s="7"/>
      <c r="H123" s="7" t="str">
        <f>VLOOKUP(B123,[1]characters!$A:$C,3,FALSE)</f>
        <v>マルドゥク</v>
      </c>
      <c r="I123" s="7" t="str">
        <f>VLOOKUP(B123,[1]characters!$A:$J,10,FALSE)</f>
        <v>PremiumSS</v>
      </c>
      <c r="J123" s="7">
        <f>VLOOKUP(B123,[1]characters!$A:$I,9,FALSE)</f>
        <v>5</v>
      </c>
      <c r="K123" s="7" t="str">
        <f>VLOOKUP(B123,[1]characters!$A:$H,8,FALSE)</f>
        <v>yellow</v>
      </c>
      <c r="L123" s="7" t="str">
        <f>VLOOKUP(B123,[1]characters!$A:$K,11,FALSE)</f>
        <v>technical</v>
      </c>
      <c r="M123" s="7" t="str">
        <f>VLOOKUP(B123,[1]characters!$A:$M,13,FALSE)</f>
        <v>god</v>
      </c>
      <c r="N123" s="7" t="str">
        <f>VLOOKUP(B123,[1]characters!$A:$G,7,FALSE)</f>
        <v>男性</v>
      </c>
      <c r="O123" s="45">
        <f t="shared" si="16"/>
        <v>3075</v>
      </c>
      <c r="P123" s="46">
        <f t="shared" si="12"/>
        <v>1.0416666666666667E-3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input_587100!A$2</f>
        <v>587100</v>
      </c>
      <c r="B124" s="1">
        <v>1100</v>
      </c>
      <c r="C124" s="7" t="str">
        <f t="shared" si="14"/>
        <v>PremiumSS5R5only</v>
      </c>
      <c r="D124" s="7" t="str">
        <f t="shared" si="15"/>
        <v>PremiumSS</v>
      </c>
      <c r="E124" s="7" t="str">
        <f>IF(COUNTIF('R6追加前'!A:A,B124)=0,IF(OR(I124="PremiumSS",I124="PremiumSSw"),"R5only","R3less"),"")</f>
        <v>R5only</v>
      </c>
      <c r="F124" s="7" t="str">
        <f>IF(COUNTIF('R6開放'!A:A,B124)&gt;0,"R6release","")</f>
        <v/>
      </c>
      <c r="G124" s="7"/>
      <c r="H124" s="7" t="str">
        <f>VLOOKUP(B124,[1]characters!$A:$C,3,FALSE)</f>
        <v>北斎</v>
      </c>
      <c r="I124" s="7" t="str">
        <f>VLOOKUP(B124,[1]characters!$A:$J,10,FALSE)</f>
        <v>PremiumSS</v>
      </c>
      <c r="J124" s="7">
        <f>VLOOKUP(B124,[1]characters!$A:$I,9,FALSE)</f>
        <v>5</v>
      </c>
      <c r="K124" s="7" t="str">
        <f>VLOOKUP(B124,[1]characters!$A:$H,8,FALSE)</f>
        <v>red</v>
      </c>
      <c r="L124" s="7" t="str">
        <f>VLOOKUP(B124,[1]characters!$A:$K,11,FALSE)</f>
        <v>attack</v>
      </c>
      <c r="M124" s="7" t="str">
        <f>VLOOKUP(B124,[1]characters!$A:$M,13,FALSE)</f>
        <v>human</v>
      </c>
      <c r="N124" s="7" t="str">
        <f>VLOOKUP(B124,[1]characters!$A:$G,7,FALSE)</f>
        <v>不明</v>
      </c>
      <c r="O124" s="45">
        <f t="shared" si="16"/>
        <v>3075</v>
      </c>
      <c r="P124" s="46">
        <f t="shared" si="12"/>
        <v>1.0416666666666667E-3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input_587100!A$2</f>
        <v>587100</v>
      </c>
      <c r="B125" s="1">
        <v>1102</v>
      </c>
      <c r="C125" s="7" t="str">
        <f t="shared" si="14"/>
        <v>PremiumSS5R5only</v>
      </c>
      <c r="D125" s="7" t="str">
        <f t="shared" si="15"/>
        <v>PremiumSS</v>
      </c>
      <c r="E125" s="7" t="str">
        <f>IF(COUNTIF('R6追加前'!A:A,B125)=0,IF(OR(I125="PremiumSS",I125="PremiumSSw"),"R5only","R3less"),"")</f>
        <v>R5only</v>
      </c>
      <c r="F125" s="7" t="str">
        <f>IF(COUNTIF('R6開放'!A:A,B125)&gt;0,"R6release","")</f>
        <v/>
      </c>
      <c r="G125" s="7"/>
      <c r="H125" s="7" t="str">
        <f>VLOOKUP(B125,[1]characters!$A:$C,3,FALSE)</f>
        <v>ドガ</v>
      </c>
      <c r="I125" s="7" t="str">
        <f>VLOOKUP(B125,[1]characters!$A:$J,10,FALSE)</f>
        <v>PremiumSSw</v>
      </c>
      <c r="J125" s="7">
        <f>VLOOKUP(B125,[1]characters!$A:$I,9,FALSE)</f>
        <v>5</v>
      </c>
      <c r="K125" s="7" t="str">
        <f>VLOOKUP(B125,[1]characters!$A:$H,8,FALSE)</f>
        <v>green</v>
      </c>
      <c r="L125" s="7" t="str">
        <f>VLOOKUP(B125,[1]characters!$A:$K,11,FALSE)</f>
        <v>balance</v>
      </c>
      <c r="M125" s="7" t="str">
        <f>VLOOKUP(B125,[1]characters!$A:$M,13,FALSE)</f>
        <v>animal</v>
      </c>
      <c r="N125" s="7" t="str">
        <f>VLOOKUP(B125,[1]characters!$A:$G,7,FALSE)</f>
        <v>不明</v>
      </c>
      <c r="O125" s="45">
        <f t="shared" si="16"/>
        <v>3075</v>
      </c>
      <c r="P125" s="46">
        <f t="shared" si="12"/>
        <v>1.0416666666666667E-3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input_587100!A$2</f>
        <v>587100</v>
      </c>
      <c r="B126" s="1">
        <v>1105</v>
      </c>
      <c r="C126" s="7" t="str">
        <f t="shared" si="14"/>
        <v>Premium5R3less</v>
      </c>
      <c r="D126" s="7" t="str">
        <f t="shared" si="15"/>
        <v>Premium</v>
      </c>
      <c r="E126" s="7" t="str">
        <f>IF(COUNTIF('R6追加前'!A:A,B126)=0,IF(OR(I126="PremiumSS",I126="PremiumSSw"),"R5only","R3less"),"")</f>
        <v>R3less</v>
      </c>
      <c r="F126" s="7" t="str">
        <f>IF(COUNTIF('R6開放'!A:A,B126)&gt;0,"R6release","")</f>
        <v/>
      </c>
      <c r="G126" s="7"/>
      <c r="H126" s="7" t="str">
        <f>VLOOKUP(B126,[1]characters!$A:$C,3,FALSE)</f>
        <v>甘美なる背徳 クリムト</v>
      </c>
      <c r="I126" s="7" t="str">
        <f>VLOOKUP(B126,[1]characters!$A:$J,10,FALSE)</f>
        <v>PremiumS</v>
      </c>
      <c r="J126" s="7">
        <f>VLOOKUP(B126,[1]characters!$A:$I,9,FALSE)</f>
        <v>5</v>
      </c>
      <c r="K126" s="7" t="str">
        <f>VLOOKUP(B126,[1]characters!$A:$H,8,FALSE)</f>
        <v>blue</v>
      </c>
      <c r="L126" s="7" t="str">
        <f>VLOOKUP(B126,[1]characters!$A:$K,11,FALSE)</f>
        <v>technical</v>
      </c>
      <c r="M126" s="7" t="str">
        <f>VLOOKUP(B126,[1]characters!$A:$M,13,FALSE)</f>
        <v>human</v>
      </c>
      <c r="N126" s="7" t="str">
        <f>VLOOKUP(B126,[1]characters!$A:$G,7,FALSE)</f>
        <v>不明</v>
      </c>
      <c r="O126" s="45">
        <f t="shared" si="16"/>
        <v>32760</v>
      </c>
      <c r="P126" s="46">
        <f t="shared" si="12"/>
        <v>1.1097560975609756E-2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input_587100!A$2</f>
        <v>587100</v>
      </c>
      <c r="B127" s="1">
        <v>1106</v>
      </c>
      <c r="C127" s="7" t="str">
        <f t="shared" si="14"/>
        <v>PremiumSS5R5only</v>
      </c>
      <c r="D127" s="7" t="str">
        <f t="shared" si="15"/>
        <v>PremiumSS</v>
      </c>
      <c r="E127" s="7" t="str">
        <f>IF(COUNTIF('R6追加前'!A:A,B127)=0,IF(OR(I127="PremiumSS",I127="PremiumSSw"),"R5only","R3less"),"")</f>
        <v>R5only</v>
      </c>
      <c r="F127" s="7" t="str">
        <f>IF(COUNTIF('R6開放'!A:A,B127)&gt;0,"R6release","")</f>
        <v/>
      </c>
      <c r="G127" s="7"/>
      <c r="H127" s="7" t="str">
        <f>VLOOKUP(B127,[1]characters!$A:$C,3,FALSE)</f>
        <v>ラファエロ</v>
      </c>
      <c r="I127" s="7" t="str">
        <f>VLOOKUP(B127,[1]characters!$A:$J,10,FALSE)</f>
        <v>PremiumSS</v>
      </c>
      <c r="J127" s="7">
        <f>VLOOKUP(B127,[1]characters!$A:$I,9,FALSE)</f>
        <v>5</v>
      </c>
      <c r="K127" s="7" t="str">
        <f>VLOOKUP(B127,[1]characters!$A:$H,8,FALSE)</f>
        <v>yellow</v>
      </c>
      <c r="L127" s="7" t="str">
        <f>VLOOKUP(B127,[1]characters!$A:$K,11,FALSE)</f>
        <v>attack</v>
      </c>
      <c r="M127" s="7" t="str">
        <f>VLOOKUP(B127,[1]characters!$A:$M,13,FALSE)</f>
        <v>human</v>
      </c>
      <c r="N127" s="7" t="str">
        <f>VLOOKUP(B127,[1]characters!$A:$G,7,FALSE)</f>
        <v>不明</v>
      </c>
      <c r="O127" s="45">
        <f t="shared" si="16"/>
        <v>3075</v>
      </c>
      <c r="P127" s="46">
        <f t="shared" si="12"/>
        <v>1.0416666666666667E-3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input_587100!A$2</f>
        <v>587100</v>
      </c>
      <c r="B128" s="1">
        <v>1137</v>
      </c>
      <c r="C128" s="7" t="str">
        <f t="shared" si="14"/>
        <v>PremiumSS5R5only</v>
      </c>
      <c r="D128" s="7" t="str">
        <f t="shared" si="15"/>
        <v>PremiumSS</v>
      </c>
      <c r="E128" s="7" t="str">
        <f>IF(COUNTIF('R6追加前'!A:A,B128)=0,IF(OR(I128="PremiumSS",I128="PremiumSSw"),"R5only","R3less"),"")</f>
        <v>R5only</v>
      </c>
      <c r="F128" s="7" t="str">
        <f>IF(COUNTIF('R6開放'!A:A,B128)&gt;0,"R6release","")</f>
        <v/>
      </c>
      <c r="G128" s="7"/>
      <c r="H128" s="7" t="str">
        <f>VLOOKUP(B128,[1]characters!$A:$C,3,FALSE)</f>
        <v>諸葛亮</v>
      </c>
      <c r="I128" s="7" t="str">
        <f>VLOOKUP(B128,[1]characters!$A:$J,10,FALSE)</f>
        <v>PremiumSSw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technical</v>
      </c>
      <c r="M128" s="7" t="str">
        <f>VLOOKUP(B128,[1]characters!$A:$M,13,FALSE)</f>
        <v>samurai</v>
      </c>
      <c r="N128" s="7" t="str">
        <f>VLOOKUP(B128,[1]characters!$A:$G,7,FALSE)</f>
        <v>不明</v>
      </c>
      <c r="O128" s="45">
        <f t="shared" si="16"/>
        <v>3075</v>
      </c>
      <c r="P128" s="46">
        <f t="shared" si="12"/>
        <v>1.0416666666666667E-3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input_587100!A$2</f>
        <v>587100</v>
      </c>
      <c r="B129" s="1">
        <v>1139</v>
      </c>
      <c r="C129" s="7" t="str">
        <f t="shared" si="14"/>
        <v>PremiumSS5R5only</v>
      </c>
      <c r="D129" s="7" t="str">
        <f t="shared" si="15"/>
        <v>PremiumSS</v>
      </c>
      <c r="E129" s="7" t="str">
        <f>IF(COUNTIF('R6追加前'!A:A,B129)=0,IF(OR(I129="PremiumSS",I129="PremiumSSw"),"R5only","R3less"),"")</f>
        <v>R5only</v>
      </c>
      <c r="F129" s="7" t="str">
        <f>IF(COUNTIF('R6開放'!A:A,B129)&gt;0,"R6release","")</f>
        <v/>
      </c>
      <c r="G129" s="7"/>
      <c r="H129" s="7" t="str">
        <f>VLOOKUP(B129,[1]characters!$A:$C,3,FALSE)</f>
        <v>趙雲</v>
      </c>
      <c r="I129" s="7" t="str">
        <f>VLOOKUP(B129,[1]characters!$A:$J,10,FALSE)</f>
        <v>PremiumSS</v>
      </c>
      <c r="J129" s="7">
        <f>VLOOKUP(B129,[1]characters!$A:$I,9,FALSE)</f>
        <v>5</v>
      </c>
      <c r="K129" s="7" t="str">
        <f>VLOOKUP(B129,[1]characters!$A:$H,8,FALSE)</f>
        <v>green</v>
      </c>
      <c r="L129" s="7" t="str">
        <f>VLOOKUP(B129,[1]characters!$A:$K,11,FALSE)</f>
        <v>balance</v>
      </c>
      <c r="M129" s="7" t="str">
        <f>VLOOKUP(B129,[1]characters!$A:$M,13,FALSE)</f>
        <v>samurai</v>
      </c>
      <c r="N129" s="7" t="str">
        <f>VLOOKUP(B129,[1]characters!$A:$G,7,FALSE)</f>
        <v>不明</v>
      </c>
      <c r="O129" s="45">
        <f t="shared" si="16"/>
        <v>3075</v>
      </c>
      <c r="P129" s="46">
        <f t="shared" si="12"/>
        <v>1.0416666666666667E-3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input_587100!A$2</f>
        <v>587100</v>
      </c>
      <c r="B130" s="1">
        <v>1141</v>
      </c>
      <c r="C130" s="7" t="str">
        <f t="shared" si="14"/>
        <v>PremiumSS5R5only</v>
      </c>
      <c r="D130" s="7" t="str">
        <f t="shared" si="15"/>
        <v>PremiumSS</v>
      </c>
      <c r="E130" s="7" t="str">
        <f>IF(COUNTIF('R6追加前'!A:A,B130)=0,IF(OR(I130="PremiumSS",I130="PremiumSSw"),"R5only","R3less"),"")</f>
        <v>R5only</v>
      </c>
      <c r="F130" s="7" t="str">
        <f>IF(COUNTIF('R6開放'!A:A,B130)&gt;0,"R6release","")</f>
        <v/>
      </c>
      <c r="G130" s="7"/>
      <c r="H130" s="7" t="str">
        <f>VLOOKUP(B130,[1]characters!$A:$C,3,FALSE)</f>
        <v>月英</v>
      </c>
      <c r="I130" s="7" t="str">
        <f>VLOOKUP(B130,[1]characters!$A:$J,10,FALSE)</f>
        <v>PremiumSS</v>
      </c>
      <c r="J130" s="7">
        <f>VLOOKUP(B130,[1]characters!$A:$I,9,FALSE)</f>
        <v>5</v>
      </c>
      <c r="K130" s="7" t="str">
        <f>VLOOKUP(B130,[1]characters!$A:$H,8,FALSE)</f>
        <v>blue</v>
      </c>
      <c r="L130" s="7" t="str">
        <f>VLOOKUP(B130,[1]characters!$A:$K,11,FALSE)</f>
        <v>balance</v>
      </c>
      <c r="M130" s="7" t="str">
        <f>VLOOKUP(B130,[1]characters!$A:$M,13,FALSE)</f>
        <v>human</v>
      </c>
      <c r="N130" s="7" t="str">
        <f>VLOOKUP(B130,[1]characters!$A:$G,7,FALSE)</f>
        <v>不明</v>
      </c>
      <c r="O130" s="45">
        <f t="shared" si="16"/>
        <v>3075</v>
      </c>
      <c r="P130" s="46">
        <f t="shared" ref="P130:P159" si="17">O130/SUM(O:O)</f>
        <v>1.0416666666666667E-3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input_587100!A$2</f>
        <v>587100</v>
      </c>
      <c r="B131" s="1">
        <v>1144</v>
      </c>
      <c r="C131" s="7" t="str">
        <f t="shared" si="14"/>
        <v>Premium5R3less</v>
      </c>
      <c r="D131" s="7" t="str">
        <f t="shared" si="15"/>
        <v>Premium</v>
      </c>
      <c r="E131" s="7" t="str">
        <f>IF(COUNTIF('R6追加前'!A:A,B131)=0,IF(OR(I131="PremiumSS",I131="PremiumSSw"),"R5only","R3less"),"")</f>
        <v>R3less</v>
      </c>
      <c r="F131" s="7" t="str">
        <f>IF(COUNTIF('R6開放'!A:A,B131)&gt;0,"R6release","")</f>
        <v/>
      </c>
      <c r="G131" s="7"/>
      <c r="H131" s="7" t="str">
        <f>VLOOKUP(B131,[1]characters!$A:$C,3,FALSE)</f>
        <v>白星を射る老将 黄忠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yellow</v>
      </c>
      <c r="L131" s="7" t="str">
        <f>VLOOKUP(B131,[1]characters!$A:$K,11,FALSE)</f>
        <v>technical</v>
      </c>
      <c r="M131" s="7" t="str">
        <f>VLOOKUP(B131,[1]characters!$A:$M,13,FALSE)</f>
        <v>samurai</v>
      </c>
      <c r="N131" s="7" t="str">
        <f>VLOOKUP(B131,[1]characters!$A:$G,7,FALSE)</f>
        <v>不明</v>
      </c>
      <c r="O131" s="45">
        <f t="shared" si="16"/>
        <v>32760</v>
      </c>
      <c r="P131" s="46">
        <f t="shared" si="17"/>
        <v>1.1097560975609756E-2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input_587100!A$2</f>
        <v>587100</v>
      </c>
      <c r="B132" s="1">
        <v>1152</v>
      </c>
      <c r="C132" s="7" t="str">
        <f t="shared" si="14"/>
        <v>Premium5R3less</v>
      </c>
      <c r="D132" s="7" t="str">
        <f t="shared" si="15"/>
        <v>Premium</v>
      </c>
      <c r="E132" s="7" t="str">
        <f>IF(COUNTIF('R6追加前'!A:A,B132)=0,IF(OR(I132="PremiumSS",I132="PremiumSSw"),"R5only","R3less"),"")</f>
        <v>R3less</v>
      </c>
      <c r="F132" s="7" t="str">
        <f>IF(COUNTIF('R6開放'!A:A,B132)&gt;0,"R6release","")</f>
        <v/>
      </c>
      <c r="G132" s="7"/>
      <c r="H132" s="7" t="str">
        <f>VLOOKUP(B132,[1]characters!$A:$C,3,FALSE)</f>
        <v>衆知の富益神 ガネーシャ</v>
      </c>
      <c r="I132" s="7" t="str">
        <f>VLOOKUP(B132,[1]characters!$A:$J,10,FALSE)</f>
        <v>PremiumS</v>
      </c>
      <c r="J132" s="7">
        <f>VLOOKUP(B132,[1]characters!$A:$I,9,FALSE)</f>
        <v>5</v>
      </c>
      <c r="K132" s="7" t="str">
        <f>VLOOKUP(B132,[1]characters!$A:$H,8,FALSE)</f>
        <v>red</v>
      </c>
      <c r="L132" s="7" t="str">
        <f>VLOOKUP(B132,[1]characters!$A:$K,11,FALSE)</f>
        <v>heal</v>
      </c>
      <c r="M132" s="7" t="str">
        <f>VLOOKUP(B132,[1]characters!$A:$M,13,FALSE)</f>
        <v>god</v>
      </c>
      <c r="N132" s="7" t="str">
        <f>VLOOKUP(B132,[1]characters!$A:$G,7,FALSE)</f>
        <v>不明</v>
      </c>
      <c r="O132" s="45">
        <f t="shared" si="16"/>
        <v>32760</v>
      </c>
      <c r="P132" s="46">
        <f t="shared" si="17"/>
        <v>1.1097560975609756E-2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input_587100!A$2</f>
        <v>587100</v>
      </c>
      <c r="B133" s="1">
        <v>1153</v>
      </c>
      <c r="C133" s="7" t="str">
        <f t="shared" si="14"/>
        <v>PremiumSS5R5only</v>
      </c>
      <c r="D133" s="7" t="str">
        <f t="shared" si="15"/>
        <v>PremiumSS</v>
      </c>
      <c r="E133" s="7" t="str">
        <f>IF(COUNTIF('R6追加前'!A:A,B133)=0,IF(OR(I133="PremiumSS",I133="PremiumSSw"),"R5only","R3less"),"")</f>
        <v>R5only</v>
      </c>
      <c r="F133" s="7" t="str">
        <f>IF(COUNTIF('R6開放'!A:A,B133)&gt;0,"R6release","")</f>
        <v/>
      </c>
      <c r="G133" s="7"/>
      <c r="H133" s="7" t="str">
        <f>VLOOKUP(B133,[1]characters!$A:$C,3,FALSE)</f>
        <v>ラクシュミー</v>
      </c>
      <c r="I133" s="7" t="str">
        <f>VLOOKUP(B133,[1]characters!$A:$J,10,FALSE)</f>
        <v>PremiumSSw</v>
      </c>
      <c r="J133" s="7">
        <f>VLOOKUP(B133,[1]characters!$A:$I,9,FALSE)</f>
        <v>5</v>
      </c>
      <c r="K133" s="7" t="str">
        <f>VLOOKUP(B133,[1]characters!$A:$H,8,FALSE)</f>
        <v>green</v>
      </c>
      <c r="L133" s="7" t="str">
        <f>VLOOKUP(B133,[1]characters!$A:$K,11,FALSE)</f>
        <v>hp</v>
      </c>
      <c r="M133" s="7" t="str">
        <f>VLOOKUP(B133,[1]characters!$A:$M,13,FALSE)</f>
        <v>god</v>
      </c>
      <c r="N133" s="7" t="str">
        <f>VLOOKUP(B133,[1]characters!$A:$G,7,FALSE)</f>
        <v>不明</v>
      </c>
      <c r="O133" s="45">
        <f t="shared" si="16"/>
        <v>3075</v>
      </c>
      <c r="P133" s="46">
        <f t="shared" si="17"/>
        <v>1.0416666666666667E-3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input_587100!A$2</f>
        <v>587100</v>
      </c>
      <c r="B134" s="1">
        <v>1155</v>
      </c>
      <c r="C134" s="7" t="str">
        <f t="shared" si="14"/>
        <v>PremiumSS5R5only</v>
      </c>
      <c r="D134" s="7" t="str">
        <f t="shared" si="15"/>
        <v>PremiumSS</v>
      </c>
      <c r="E134" s="7" t="str">
        <f>IF(COUNTIF('R6追加前'!A:A,B134)=0,IF(OR(I134="PremiumSS",I134="PremiumSSw"),"R5only","R3less"),"")</f>
        <v>R5only</v>
      </c>
      <c r="F134" s="7" t="str">
        <f>IF(COUNTIF('R6開放'!A:A,B134)&gt;0,"R6release","")</f>
        <v/>
      </c>
      <c r="G134" s="7"/>
      <c r="H134" s="7" t="str">
        <f>VLOOKUP(B134,[1]characters!$A:$C,3,FALSE)</f>
        <v>ドゥルガー</v>
      </c>
      <c r="I134" s="7" t="str">
        <f>VLOOKUP(B134,[1]characters!$A:$J,10,FALSE)</f>
        <v>PremiumSS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balance</v>
      </c>
      <c r="M134" s="7" t="str">
        <f>VLOOKUP(B134,[1]characters!$A:$M,13,FALSE)</f>
        <v>god</v>
      </c>
      <c r="N134" s="7" t="str">
        <f>VLOOKUP(B134,[1]characters!$A:$G,7,FALSE)</f>
        <v>不明</v>
      </c>
      <c r="O134" s="45">
        <f t="shared" si="16"/>
        <v>3075</v>
      </c>
      <c r="P134" s="46">
        <f t="shared" si="17"/>
        <v>1.0416666666666667E-3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input_587100!A$2</f>
        <v>587100</v>
      </c>
      <c r="B135" s="1">
        <v>1157</v>
      </c>
      <c r="C135" s="7" t="str">
        <f t="shared" si="14"/>
        <v>PremiumSS5R5only</v>
      </c>
      <c r="D135" s="7" t="str">
        <f t="shared" si="15"/>
        <v>PremiumSS</v>
      </c>
      <c r="E135" s="7" t="str">
        <f>IF(COUNTIF('R6追加前'!A:A,B135)=0,IF(OR(I135="PremiumSS",I135="PremiumSSw"),"R5only","R3less"),"")</f>
        <v>R5only</v>
      </c>
      <c r="F135" s="7" t="str">
        <f>IF(COUNTIF('R6開放'!A:A,B135)&gt;0,"R6release","")</f>
        <v/>
      </c>
      <c r="G135" s="7"/>
      <c r="H135" s="7" t="str">
        <f>VLOOKUP(B135,[1]characters!$A:$C,3,FALSE)</f>
        <v>インドラ</v>
      </c>
      <c r="I135" s="7" t="str">
        <f>VLOOKUP(B135,[1]characters!$A:$J,10,FALSE)</f>
        <v>PremiumSS</v>
      </c>
      <c r="J135" s="7">
        <f>VLOOKUP(B135,[1]characters!$A:$I,9,FALSE)</f>
        <v>5</v>
      </c>
      <c r="K135" s="7" t="str">
        <f>VLOOKUP(B135,[1]characters!$A:$H,8,FALSE)</f>
        <v>yellow</v>
      </c>
      <c r="L135" s="7" t="str">
        <f>VLOOKUP(B135,[1]characters!$A:$K,11,FALSE)</f>
        <v>attack</v>
      </c>
      <c r="M135" s="7" t="str">
        <f>VLOOKUP(B135,[1]characters!$A:$M,13,FALSE)</f>
        <v>god</v>
      </c>
      <c r="N135" s="7" t="str">
        <f>VLOOKUP(B135,[1]characters!$A:$G,7,FALSE)</f>
        <v>不明</v>
      </c>
      <c r="O135" s="45">
        <f t="shared" si="16"/>
        <v>3075</v>
      </c>
      <c r="P135" s="46">
        <f t="shared" si="17"/>
        <v>1.0416666666666667E-3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input_587100!A$2</f>
        <v>587100</v>
      </c>
      <c r="B136" s="1">
        <v>1214</v>
      </c>
      <c r="C136" s="7" t="str">
        <f t="shared" si="14"/>
        <v>PremiumSS5R5only</v>
      </c>
      <c r="D136" s="7" t="str">
        <f t="shared" si="15"/>
        <v>PremiumSS</v>
      </c>
      <c r="E136" s="7" t="str">
        <f>IF(COUNTIF('R6追加前'!A:A,B136)=0,IF(OR(I136="PremiumSS",I136="PremiumSSw"),"R5only","R3less"),"")</f>
        <v>R5only</v>
      </c>
      <c r="F136" s="7" t="str">
        <f>IF(COUNTIF('R6開放'!A:A,B136)&gt;0,"R6release","")</f>
        <v/>
      </c>
      <c r="G136" s="7"/>
      <c r="H136" s="7" t="str">
        <f>VLOOKUP(B136,[1]characters!$A:$C,3,FALSE)</f>
        <v>アルテミス</v>
      </c>
      <c r="I136" s="7" t="str">
        <f>VLOOKUP(B136,[1]characters!$A:$J,10,FALSE)</f>
        <v>PremiumSSw</v>
      </c>
      <c r="J136" s="7">
        <f>VLOOKUP(B136,[1]characters!$A:$I,9,FALSE)</f>
        <v>5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god</v>
      </c>
      <c r="N136" s="7">
        <f>VLOOKUP(B136,[1]characters!$A:$G,7,FALSE)</f>
        <v>0</v>
      </c>
      <c r="O136" s="45">
        <f t="shared" si="16"/>
        <v>3075</v>
      </c>
      <c r="P136" s="46">
        <f t="shared" si="17"/>
        <v>1.0416666666666667E-3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input_587100!A$2</f>
        <v>587100</v>
      </c>
      <c r="B137" s="1">
        <v>1212</v>
      </c>
      <c r="C137" s="7" t="str">
        <f t="shared" si="14"/>
        <v>PremiumSS5R5only</v>
      </c>
      <c r="D137" s="7" t="str">
        <f t="shared" si="15"/>
        <v>PremiumSS</v>
      </c>
      <c r="E137" s="7" t="str">
        <f>IF(COUNTIF('R6追加前'!A:A,B137)=0,IF(OR(I137="PremiumSS",I137="PremiumSSw"),"R5only","R3less"),"")</f>
        <v>R5only</v>
      </c>
      <c r="F137" s="7" t="str">
        <f>IF(COUNTIF('R6開放'!A:A,B137)&gt;0,"R6release","")</f>
        <v/>
      </c>
      <c r="G137" s="7"/>
      <c r="H137" s="7" t="str">
        <f>VLOOKUP(B137,[1]characters!$A:$C,3,FALSE)</f>
        <v>クロノス</v>
      </c>
      <c r="I137" s="7" t="str">
        <f>VLOOKUP(B137,[1]characters!$A:$J,10,FALSE)</f>
        <v>PremiumSS</v>
      </c>
      <c r="J137" s="7">
        <f>VLOOKUP(B137,[1]characters!$A:$I,9,FALSE)</f>
        <v>5</v>
      </c>
      <c r="K137" s="7" t="str">
        <f>VLOOKUP(B137,[1]characters!$A:$H,8,FALSE)</f>
        <v>blue</v>
      </c>
      <c r="L137" s="7" t="str">
        <f>VLOOKUP(B137,[1]characters!$A:$K,11,FALSE)</f>
        <v>technical</v>
      </c>
      <c r="M137" s="7" t="str">
        <f>VLOOKUP(B137,[1]characters!$A:$M,13,FALSE)</f>
        <v>god</v>
      </c>
      <c r="N137" s="7">
        <f>VLOOKUP(B137,[1]characters!$A:$G,7,FALSE)</f>
        <v>0</v>
      </c>
      <c r="O137" s="45">
        <f t="shared" si="16"/>
        <v>3075</v>
      </c>
      <c r="P137" s="46">
        <f t="shared" si="17"/>
        <v>1.0416666666666667E-3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input_587100!A$2</f>
        <v>587100</v>
      </c>
      <c r="B138" s="1">
        <v>1208</v>
      </c>
      <c r="C138" s="7" t="str">
        <f t="shared" si="14"/>
        <v>PremiumSS5R5only</v>
      </c>
      <c r="D138" s="7" t="str">
        <f t="shared" si="15"/>
        <v>PremiumSS</v>
      </c>
      <c r="E138" s="7" t="str">
        <f>IF(COUNTIF('R6追加前'!A:A,B138)=0,IF(OR(I138="PremiumSS",I138="PremiumSSw"),"R5only","R3less"),"")</f>
        <v>R5only</v>
      </c>
      <c r="F138" s="7" t="str">
        <f>IF(COUNTIF('R6開放'!A:A,B138)&gt;0,"R6release","")</f>
        <v/>
      </c>
      <c r="G138" s="7"/>
      <c r="H138" s="7" t="str">
        <f>VLOOKUP(B138,[1]characters!$A:$C,3,FALSE)</f>
        <v>ネメシス</v>
      </c>
      <c r="I138" s="7" t="str">
        <f>VLOOKUP(B138,[1]characters!$A:$J,10,FALSE)</f>
        <v>PremiumSS</v>
      </c>
      <c r="J138" s="7">
        <f>VLOOKUP(B138,[1]characters!$A:$I,9,FALSE)</f>
        <v>5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god</v>
      </c>
      <c r="N138" s="7">
        <f>VLOOKUP(B138,[1]characters!$A:$G,7,FALSE)</f>
        <v>0</v>
      </c>
      <c r="O138" s="45">
        <f t="shared" si="16"/>
        <v>3075</v>
      </c>
      <c r="P138" s="46">
        <f t="shared" si="17"/>
        <v>1.0416666666666667E-3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input_587100!A$2</f>
        <v>587100</v>
      </c>
      <c r="B139" s="1">
        <v>1211</v>
      </c>
      <c r="C139" s="7" t="str">
        <f t="shared" si="14"/>
        <v>Premium5R3less</v>
      </c>
      <c r="D139" s="7" t="str">
        <f t="shared" si="15"/>
        <v>Premium</v>
      </c>
      <c r="E139" s="7" t="str">
        <f>IF(COUNTIF('R6追加前'!A:A,B139)=0,IF(OR(I139="PremiumSS",I139="PremiumSSw"),"R5only","R3less"),"")</f>
        <v>R3less</v>
      </c>
      <c r="F139" s="7" t="str">
        <f>IF(COUNTIF('R6開放'!A:A,B139)&gt;0,"R6release","")</f>
        <v/>
      </c>
      <c r="G139" s="7"/>
      <c r="H139" s="7" t="str">
        <f>VLOOKUP(B139,[1]characters!$A:$C,3,FALSE)</f>
        <v>奏駆の翻騎 ケンタウロス</v>
      </c>
      <c r="I139" s="7" t="str">
        <f>VLOOKUP(B139,[1]characters!$A:$J,10,FALSE)</f>
        <v>PremiumS</v>
      </c>
      <c r="J139" s="7">
        <f>VLOOKUP(B139,[1]characters!$A:$I,9,FALSE)</f>
        <v>5</v>
      </c>
      <c r="K139" s="7" t="str">
        <f>VLOOKUP(B139,[1]characters!$A:$H,8,FALSE)</f>
        <v>green</v>
      </c>
      <c r="L139" s="7" t="str">
        <f>VLOOKUP(B139,[1]characters!$A:$K,11,FALSE)</f>
        <v>attack</v>
      </c>
      <c r="M139" s="7" t="str">
        <f>VLOOKUP(B139,[1]characters!$A:$M,13,FALSE)</f>
        <v>god</v>
      </c>
      <c r="N139" s="7">
        <f>VLOOKUP(B139,[1]characters!$A:$G,7,FALSE)</f>
        <v>0</v>
      </c>
      <c r="O139" s="45">
        <f t="shared" si="16"/>
        <v>32760</v>
      </c>
      <c r="P139" s="46">
        <f t="shared" si="17"/>
        <v>1.1097560975609756E-2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input_587100!A$2</f>
        <v>587100</v>
      </c>
      <c r="B140" s="1">
        <v>1225</v>
      </c>
      <c r="C140" s="7" t="str">
        <f t="shared" si="14"/>
        <v>Premium5R3less</v>
      </c>
      <c r="D140" s="7" t="str">
        <f t="shared" si="15"/>
        <v>Premium</v>
      </c>
      <c r="E140" s="7" t="str">
        <f>IF(COUNTIF('R6追加前'!A:A,B140)=0,IF(OR(I140="PremiumSS",I140="PremiumSSw"),"R5only","R3less"),"")</f>
        <v>R3less</v>
      </c>
      <c r="F140" s="7" t="str">
        <f>IF(COUNTIF('R6開放'!A:A,B140)&gt;0,"R6release","")</f>
        <v/>
      </c>
      <c r="G140" s="7"/>
      <c r="H140" s="7" t="str">
        <f>VLOOKUP(B140,[1]characters!$A:$C,3,FALSE)</f>
        <v>優柔なる風断者 セルバンテス</v>
      </c>
      <c r="I140" s="7" t="str">
        <f>VLOOKUP(B140,[1]characters!$A:$J,10,FALSE)</f>
        <v>PremiumS</v>
      </c>
      <c r="J140" s="7">
        <f>VLOOKUP(B140,[1]characters!$A:$I,9,FALSE)</f>
        <v>5</v>
      </c>
      <c r="K140" s="7" t="str">
        <f>VLOOKUP(B140,[1]characters!$A:$H,8,FALSE)</f>
        <v>red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>
        <f>VLOOKUP(B140,[1]characters!$A:$G,7,FALSE)</f>
        <v>0</v>
      </c>
      <c r="O140" s="45">
        <f t="shared" si="16"/>
        <v>32760</v>
      </c>
      <c r="P140" s="46">
        <f t="shared" si="17"/>
        <v>1.1097560975609756E-2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input_587100!A$2</f>
        <v>587100</v>
      </c>
      <c r="B141" s="1">
        <v>1226</v>
      </c>
      <c r="C141" s="7" t="str">
        <f t="shared" si="14"/>
        <v>PremiumSS5R5only</v>
      </c>
      <c r="D141" s="7" t="str">
        <f t="shared" si="15"/>
        <v>PremiumSS</v>
      </c>
      <c r="E141" s="7" t="str">
        <f>IF(COUNTIF('R6追加前'!A:A,B141)=0,IF(OR(I141="PremiumSS",I141="PremiumSSw"),"R5only","R3less"),"")</f>
        <v>R5only</v>
      </c>
      <c r="F141" s="7" t="str">
        <f>IF(COUNTIF('R6開放'!A:A,B141)&gt;0,"R6release","")</f>
        <v/>
      </c>
      <c r="G141" s="7"/>
      <c r="H141" s="7" t="str">
        <f>VLOOKUP(B141,[1]characters!$A:$C,3,FALSE)</f>
        <v>トルストイ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>
        <f>VLOOKUP(B141,[1]characters!$A:$G,7,FALSE)</f>
        <v>0</v>
      </c>
      <c r="O141" s="45">
        <f t="shared" si="16"/>
        <v>3075</v>
      </c>
      <c r="P141" s="46">
        <f t="shared" si="17"/>
        <v>1.0416666666666667E-3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input_587100!A$2</f>
        <v>587100</v>
      </c>
      <c r="B142" s="1">
        <v>1228</v>
      </c>
      <c r="C142" s="7" t="str">
        <f t="shared" si="14"/>
        <v>PremiumSS5R5only</v>
      </c>
      <c r="D142" s="7" t="str">
        <f t="shared" si="15"/>
        <v>PremiumSS</v>
      </c>
      <c r="E142" s="7" t="str">
        <f>IF(COUNTIF('R6追加前'!A:A,B142)=0,IF(OR(I142="PremiumSS",I142="PremiumSSw"),"R5only","R3less"),"")</f>
        <v>R5only</v>
      </c>
      <c r="F142" s="7" t="str">
        <f>IF(COUNTIF('R6開放'!A:A,B142)&gt;0,"R6release","")</f>
        <v/>
      </c>
      <c r="G142" s="7"/>
      <c r="H142" s="7" t="str">
        <f>VLOOKUP(B142,[1]characters!$A:$C,3,FALSE)</f>
        <v>芥川龍之介</v>
      </c>
      <c r="I142" s="7" t="str">
        <f>VLOOKUP(B142,[1]characters!$A:$J,10,FALSE)</f>
        <v>PremiumSSw</v>
      </c>
      <c r="J142" s="7">
        <f>VLOOKUP(B142,[1]characters!$A:$I,9,FALSE)</f>
        <v>5</v>
      </c>
      <c r="K142" s="7" t="str">
        <f>VLOOKUP(B142,[1]characters!$A:$H,8,FALSE)</f>
        <v>blue</v>
      </c>
      <c r="L142" s="7" t="str">
        <f>VLOOKUP(B142,[1]characters!$A:$K,11,FALSE)</f>
        <v>attack</v>
      </c>
      <c r="M142" s="7" t="str">
        <f>VLOOKUP(B142,[1]characters!$A:$M,13,FALSE)</f>
        <v>human</v>
      </c>
      <c r="N142" s="7">
        <f>VLOOKUP(B142,[1]characters!$A:$G,7,FALSE)</f>
        <v>0</v>
      </c>
      <c r="O142" s="45">
        <f t="shared" si="16"/>
        <v>3075</v>
      </c>
      <c r="P142" s="46">
        <f t="shared" si="17"/>
        <v>1.0416666666666667E-3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ht="21" customHeight="1" x14ac:dyDescent="0.15">
      <c r="A143" s="2" t="str">
        <f ca="1">input_587100!A$2</f>
        <v>587100</v>
      </c>
      <c r="B143" s="1">
        <v>1230</v>
      </c>
      <c r="C143" s="7" t="str">
        <f t="shared" si="14"/>
        <v>PremiumSS5R5only</v>
      </c>
      <c r="D143" s="7" t="str">
        <f t="shared" si="15"/>
        <v>PremiumSS</v>
      </c>
      <c r="E143" s="7" t="str">
        <f>IF(COUNTIF('R6追加前'!A:A,B143)=0,IF(OR(I143="PremiumSS",I143="PremiumSSw"),"R5only","R3less"),"")</f>
        <v>R5only</v>
      </c>
      <c r="F143" s="7" t="str">
        <f>IF(COUNTIF('R6開放'!A:A,B143)&gt;0,"R6release","")</f>
        <v/>
      </c>
      <c r="G143" s="7"/>
      <c r="H143" s="7" t="str">
        <f>VLOOKUP(B143,[1]characters!$A:$C,3,FALSE)</f>
        <v>夏目漱石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yellow</v>
      </c>
      <c r="L143" s="7" t="str">
        <f>VLOOKUP(B143,[1]characters!$A:$K,11,FALSE)</f>
        <v>heal</v>
      </c>
      <c r="M143" s="7" t="str">
        <f>VLOOKUP(B143,[1]characters!$A:$M,13,FALSE)</f>
        <v>animal</v>
      </c>
      <c r="N143" s="7">
        <f>VLOOKUP(B143,[1]characters!$A:$G,7,FALSE)</f>
        <v>0</v>
      </c>
      <c r="O143" s="45">
        <f t="shared" si="16"/>
        <v>3075</v>
      </c>
      <c r="P143" s="46">
        <f t="shared" si="17"/>
        <v>1.0416666666666667E-3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input_587100!A$2</f>
        <v>587100</v>
      </c>
      <c r="B144" s="1">
        <v>1250</v>
      </c>
      <c r="C144" s="7" t="str">
        <f t="shared" si="14"/>
        <v>PremiumSS5R5only</v>
      </c>
      <c r="D144" s="7" t="str">
        <f t="shared" si="15"/>
        <v>PremiumSS</v>
      </c>
      <c r="E144" s="7" t="str">
        <f>IF(COUNTIF('R6追加前'!A:A,B144)=0,IF(OR(I144="PremiumSS",I144="PremiumSSw"),"R5only","R3less"),"")</f>
        <v>R5only</v>
      </c>
      <c r="F144" s="7" t="str">
        <f>IF(COUNTIF('R6開放'!A:A,B144)&gt;0,"R6release","")</f>
        <v/>
      </c>
      <c r="G144" s="7"/>
      <c r="H144" s="7" t="str">
        <f>VLOOKUP(B144,[1]characters!$A:$C,3,FALSE)</f>
        <v>真田幸村</v>
      </c>
      <c r="I144" s="7" t="str">
        <f>VLOOKUP(B144,[1]characters!$A:$J,10,FALSE)</f>
        <v>PremiumSSw</v>
      </c>
      <c r="J144" s="7">
        <f>VLOOKUP(B144,[1]characters!$A:$I,9,FALSE)</f>
        <v>5</v>
      </c>
      <c r="K144" s="7" t="str">
        <f>VLOOKUP(B144,[1]characters!$A:$H,8,FALSE)</f>
        <v>yellow</v>
      </c>
      <c r="L144" s="7" t="str">
        <f>VLOOKUP(B144,[1]characters!$A:$K,11,FALSE)</f>
        <v>attack</v>
      </c>
      <c r="M144" s="7" t="str">
        <f>VLOOKUP(B144,[1]characters!$A:$M,13,FALSE)</f>
        <v>human</v>
      </c>
      <c r="N144" s="7">
        <f>VLOOKUP(B144,[1]characters!$A:$G,7,FALSE)</f>
        <v>0</v>
      </c>
      <c r="O144" s="45">
        <f t="shared" si="16"/>
        <v>3075</v>
      </c>
      <c r="P144" s="46">
        <f t="shared" si="17"/>
        <v>1.0416666666666667E-3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input_587100!A$2</f>
        <v>587100</v>
      </c>
      <c r="B145" s="1">
        <v>1249</v>
      </c>
      <c r="C145" s="7" t="str">
        <f t="shared" si="14"/>
        <v>Premium5R3less</v>
      </c>
      <c r="D145" s="7" t="str">
        <f t="shared" si="15"/>
        <v>Premium</v>
      </c>
      <c r="E145" s="7" t="str">
        <f>IF(COUNTIF('R6追加前'!A:A,B145)=0,IF(OR(I145="PremiumSS",I145="PremiumSSw"),"R5only","R3less"),"")</f>
        <v>R3less</v>
      </c>
      <c r="F145" s="7" t="str">
        <f>IF(COUNTIF('R6開放'!A:A,B145)&gt;0,"R6release","")</f>
        <v/>
      </c>
      <c r="G145" s="7"/>
      <c r="H145" s="7" t="str">
        <f>VLOOKUP(B145,[1]characters!$A:$C,3,FALSE)</f>
        <v>君臨する姐御様 寧々</v>
      </c>
      <c r="I145" s="7" t="str">
        <f>VLOOKUP(B145,[1]characters!$A:$J,10,FALSE)</f>
        <v>PremiumS</v>
      </c>
      <c r="J145" s="7">
        <f>VLOOKUP(B145,[1]characters!$A:$I,9,FALSE)</f>
        <v>5</v>
      </c>
      <c r="K145" s="7" t="str">
        <f>VLOOKUP(B145,[1]characters!$A:$H,8,FALSE)</f>
        <v>blue</v>
      </c>
      <c r="L145" s="7" t="str">
        <f>VLOOKUP(B145,[1]characters!$A:$K,11,FALSE)</f>
        <v>heal</v>
      </c>
      <c r="M145" s="7" t="str">
        <f>VLOOKUP(B145,[1]characters!$A:$M,13,FALSE)</f>
        <v>human</v>
      </c>
      <c r="N145" s="7">
        <f>VLOOKUP(B145,[1]characters!$A:$G,7,FALSE)</f>
        <v>0</v>
      </c>
      <c r="O145" s="45">
        <f t="shared" si="16"/>
        <v>32760</v>
      </c>
      <c r="P145" s="46">
        <f t="shared" si="17"/>
        <v>1.1097560975609756E-2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input_587100!A$2</f>
        <v>587100</v>
      </c>
      <c r="B146" s="1">
        <v>1246</v>
      </c>
      <c r="C146" s="7" t="str">
        <f t="shared" si="14"/>
        <v>PremiumSS5R5only</v>
      </c>
      <c r="D146" s="7" t="str">
        <f t="shared" si="15"/>
        <v>PremiumSS</v>
      </c>
      <c r="E146" s="7" t="str">
        <f>IF(COUNTIF('R6追加前'!A:A,B146)=0,IF(OR(I146="PremiumSS",I146="PremiumSSw"),"R5only","R3less"),"")</f>
        <v>R5only</v>
      </c>
      <c r="F146" s="7" t="str">
        <f>IF(COUNTIF('R6開放'!A:A,B146)&gt;0,"R6release","")</f>
        <v/>
      </c>
      <c r="G146" s="7"/>
      <c r="H146" s="7" t="str">
        <f>VLOOKUP(B146,[1]characters!$A:$C,3,FALSE)</f>
        <v>望月千代女</v>
      </c>
      <c r="I146" s="7" t="str">
        <f>VLOOKUP(B146,[1]characters!$A:$J,10,FALSE)</f>
        <v>PremiumSS</v>
      </c>
      <c r="J146" s="7">
        <f>VLOOKUP(B146,[1]characters!$A:$I,9,FALSE)</f>
        <v>5</v>
      </c>
      <c r="K146" s="7" t="str">
        <f>VLOOKUP(B146,[1]characters!$A:$H,8,FALSE)</f>
        <v>green</v>
      </c>
      <c r="L146" s="7" t="str">
        <f>VLOOKUP(B146,[1]characters!$A:$K,11,FALSE)</f>
        <v>heal</v>
      </c>
      <c r="M146" s="7" t="str">
        <f>VLOOKUP(B146,[1]characters!$A:$M,13,FALSE)</f>
        <v>human</v>
      </c>
      <c r="N146" s="7">
        <f>VLOOKUP(B146,[1]characters!$A:$G,7,FALSE)</f>
        <v>0</v>
      </c>
      <c r="O146" s="45">
        <f t="shared" si="16"/>
        <v>3075</v>
      </c>
      <c r="P146" s="46">
        <f t="shared" si="17"/>
        <v>1.0416666666666667E-3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input_587100!A$2</f>
        <v>587100</v>
      </c>
      <c r="B147" s="1">
        <v>1244</v>
      </c>
      <c r="C147" s="7" t="str">
        <f t="shared" si="14"/>
        <v>PremiumSS5R5only</v>
      </c>
      <c r="D147" s="7" t="str">
        <f t="shared" si="15"/>
        <v>PremiumSS</v>
      </c>
      <c r="E147" s="7" t="str">
        <f>IF(COUNTIF('R6追加前'!A:A,B147)=0,IF(OR(I147="PremiumSS",I147="PremiumSSw"),"R5only","R3less"),"")</f>
        <v>R5only</v>
      </c>
      <c r="F147" s="7" t="str">
        <f>IF(COUNTIF('R6開放'!A:A,B147)&gt;0,"R6release","")</f>
        <v/>
      </c>
      <c r="G147" s="7"/>
      <c r="H147" s="7" t="str">
        <f>VLOOKUP(B147,[1]characters!$A:$C,3,FALSE)</f>
        <v>猿飛佐助</v>
      </c>
      <c r="I147" s="7" t="str">
        <f>VLOOKUP(B147,[1]characters!$A:$J,10,FALSE)</f>
        <v>PremiumSS</v>
      </c>
      <c r="J147" s="7">
        <f>VLOOKUP(B147,[1]characters!$A:$I,9,FALSE)</f>
        <v>5</v>
      </c>
      <c r="K147" s="7" t="str">
        <f>VLOOKUP(B147,[1]characters!$A:$H,8,FALSE)</f>
        <v>red</v>
      </c>
      <c r="L147" s="7" t="str">
        <f>VLOOKUP(B147,[1]characters!$A:$K,11,FALSE)</f>
        <v>attack</v>
      </c>
      <c r="M147" s="7" t="str">
        <f>VLOOKUP(B147,[1]characters!$A:$M,13,FALSE)</f>
        <v>human</v>
      </c>
      <c r="N147" s="7">
        <f>VLOOKUP(B147,[1]characters!$A:$G,7,FALSE)</f>
        <v>0</v>
      </c>
      <c r="O147" s="45">
        <f t="shared" si="16"/>
        <v>3075</v>
      </c>
      <c r="P147" s="46">
        <f t="shared" si="17"/>
        <v>1.0416666666666667E-3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input_587100!A$2</f>
        <v>587100</v>
      </c>
      <c r="B148" s="1">
        <v>1260</v>
      </c>
      <c r="C148" s="7" t="str">
        <f t="shared" si="14"/>
        <v>PremiumSS5R5only</v>
      </c>
      <c r="D148" s="7" t="str">
        <f t="shared" si="15"/>
        <v>PremiumSS</v>
      </c>
      <c r="E148" s="7" t="str">
        <f>IF(COUNTIF('R6追加前'!A:A,B148)=0,IF(OR(I148="PremiumSS",I148="PremiumSSw"),"R5only","R3less"),"")</f>
        <v>R5only</v>
      </c>
      <c r="F148" s="7" t="str">
        <f>IF(COUNTIF('R6開放'!A:A,B148)&gt;0,"R6release","")</f>
        <v/>
      </c>
      <c r="G148" s="7"/>
      <c r="H148" s="7" t="str">
        <f>VLOOKUP(B148,[1]characters!$A:$C,3,FALSE)</f>
        <v>トール</v>
      </c>
      <c r="I148" s="7" t="str">
        <f>VLOOKUP(B148,[1]characters!$A:$J,10,FALSE)</f>
        <v>PremiumSS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balance</v>
      </c>
      <c r="M148" s="7" t="str">
        <f>VLOOKUP(B148,[1]characters!$A:$M,13,FALSE)</f>
        <v>god</v>
      </c>
      <c r="N148" s="7">
        <f>VLOOKUP(B148,[1]characters!$A:$G,7,FALSE)</f>
        <v>0</v>
      </c>
      <c r="O148" s="45">
        <f t="shared" si="16"/>
        <v>3075</v>
      </c>
      <c r="P148" s="46">
        <f t="shared" si="17"/>
        <v>1.0416666666666667E-3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input_587100!A$2</f>
        <v>587100</v>
      </c>
      <c r="B149" s="1">
        <v>1262</v>
      </c>
      <c r="C149" s="7" t="str">
        <f t="shared" si="14"/>
        <v>PremiumSS5R5only</v>
      </c>
      <c r="D149" s="7" t="str">
        <f t="shared" si="15"/>
        <v>PremiumSS</v>
      </c>
      <c r="E149" s="7" t="str">
        <f>IF(COUNTIF('R6追加前'!A:A,B149)=0,IF(OR(I149="PremiumSS",I149="PremiumSSw"),"R5only","R3less"),"")</f>
        <v>R5only</v>
      </c>
      <c r="F149" s="7" t="str">
        <f>IF(COUNTIF('R6開放'!A:A,B149)&gt;0,"R6release","")</f>
        <v/>
      </c>
      <c r="G149" s="7"/>
      <c r="H149" s="7" t="str">
        <f>VLOOKUP(B149,[1]characters!$A:$C,3,FALSE)</f>
        <v>イズン</v>
      </c>
      <c r="I149" s="7" t="str">
        <f>VLOOKUP(B149,[1]characters!$A:$J,10,FALSE)</f>
        <v>PremiumSSw</v>
      </c>
      <c r="J149" s="7">
        <f>VLOOKUP(B149,[1]characters!$A:$I,9,FALSE)</f>
        <v>5</v>
      </c>
      <c r="K149" s="7" t="str">
        <f>VLOOKUP(B149,[1]characters!$A:$H,8,FALSE)</f>
        <v>green</v>
      </c>
      <c r="L149" s="7" t="str">
        <f>VLOOKUP(B149,[1]characters!$A:$K,11,FALSE)</f>
        <v>heal</v>
      </c>
      <c r="M149" s="7" t="str">
        <f>VLOOKUP(B149,[1]characters!$A:$M,13,FALSE)</f>
        <v>god</v>
      </c>
      <c r="N149" s="7">
        <f>VLOOKUP(B149,[1]characters!$A:$G,7,FALSE)</f>
        <v>0</v>
      </c>
      <c r="O149" s="45">
        <f>VLOOKUP(D149,$W$2:$Y$4,3,FALSE)</f>
        <v>3075</v>
      </c>
      <c r="P149" s="46">
        <f t="shared" si="17"/>
        <v>1.0416666666666667E-3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input_587100!A$2</f>
        <v>587100</v>
      </c>
      <c r="B150" s="1">
        <v>1264</v>
      </c>
      <c r="C150" s="7" t="str">
        <f t="shared" si="14"/>
        <v>PremiumSS5R5only</v>
      </c>
      <c r="D150" s="7" t="str">
        <f t="shared" si="15"/>
        <v>PremiumSS</v>
      </c>
      <c r="E150" s="7" t="str">
        <f>IF(COUNTIF('R6追加前'!A:A,B150)=0,IF(OR(I150="PremiumSS",I150="PremiumSSw"),"R5only","R3less"),"")</f>
        <v>R5only</v>
      </c>
      <c r="F150" s="7" t="str">
        <f>IF(COUNTIF('R6開放'!A:A,B150)&gt;0,"R6release","")</f>
        <v/>
      </c>
      <c r="G150" s="7"/>
      <c r="H150" s="7" t="str">
        <f>VLOOKUP(B150,[1]characters!$A:$C,3,FALSE)</f>
        <v>ウルズ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blue</v>
      </c>
      <c r="L150" s="7" t="str">
        <f>VLOOKUP(B150,[1]characters!$A:$K,11,FALSE)</f>
        <v>heal</v>
      </c>
      <c r="M150" s="7" t="str">
        <f>VLOOKUP(B150,[1]characters!$A:$M,13,FALSE)</f>
        <v>god</v>
      </c>
      <c r="N150" s="7">
        <f>VLOOKUP(B150,[1]characters!$A:$G,7,FALSE)</f>
        <v>0</v>
      </c>
      <c r="O150" s="45">
        <f t="shared" ref="O150:O157" si="18">VLOOKUP(D150,$W$2:$Y$4,3,FALSE)</f>
        <v>3075</v>
      </c>
      <c r="P150" s="46">
        <f t="shared" si="17"/>
        <v>1.0416666666666667E-3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input_587100!A$2</f>
        <v>587100</v>
      </c>
      <c r="B151" s="1">
        <v>1267</v>
      </c>
      <c r="C151" s="7" t="str">
        <f t="shared" si="14"/>
        <v>Premium5R3less</v>
      </c>
      <c r="D151" s="7" t="str">
        <f t="shared" si="15"/>
        <v>Premium</v>
      </c>
      <c r="E151" s="7" t="str">
        <f>IF(COUNTIF('R6追加前'!A:A,B151)=0,IF(OR(I151="PremiumSS",I151="PremiumSSw"),"R5only","R3less"),"")</f>
        <v>R3less</v>
      </c>
      <c r="F151" s="7" t="str">
        <f>IF(COUNTIF('R6開放'!A:A,B151)&gt;0,"R6release","")</f>
        <v/>
      </c>
      <c r="G151" s="7"/>
      <c r="H151" s="7" t="str">
        <f>VLOOKUP(B151,[1]characters!$A:$C,3,FALSE)</f>
        <v>不遜の冥番犬 ガルム</v>
      </c>
      <c r="I151" s="7" t="str">
        <f>VLOOKUP(B151,[1]characters!$A:$J,10,FALSE)</f>
        <v>PremiumS</v>
      </c>
      <c r="J151" s="7">
        <f>VLOOKUP(B151,[1]characters!$A:$I,9,FALSE)</f>
        <v>5</v>
      </c>
      <c r="K151" s="7" t="str">
        <f>VLOOKUP(B151,[1]characters!$A:$H,8,FALSE)</f>
        <v>yellow</v>
      </c>
      <c r="L151" s="7" t="str">
        <f>VLOOKUP(B151,[1]characters!$A:$K,11,FALSE)</f>
        <v>hp</v>
      </c>
      <c r="M151" s="7" t="str">
        <f>VLOOKUP(B151,[1]characters!$A:$M,13,FALSE)</f>
        <v>god</v>
      </c>
      <c r="N151" s="7">
        <f>VLOOKUP(B151,[1]characters!$A:$G,7,FALSE)</f>
        <v>0</v>
      </c>
      <c r="O151" s="45">
        <f t="shared" si="18"/>
        <v>32760</v>
      </c>
      <c r="P151" s="46">
        <f t="shared" si="17"/>
        <v>1.1097560975609756E-2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input_587100!A$2</f>
        <v>587100</v>
      </c>
      <c r="B152" s="1">
        <v>1332</v>
      </c>
      <c r="C152" s="7" t="str">
        <f t="shared" si="14"/>
        <v>PremiumSS5R5only</v>
      </c>
      <c r="D152" s="7" t="str">
        <f t="shared" si="15"/>
        <v>PremiumSS</v>
      </c>
      <c r="E152" s="7" t="str">
        <f>IF(COUNTIF('R6追加前'!A:A,B152)=0,IF(OR(I152="PremiumSS",I152="PremiumSSw"),"R5only","R3less"),"")</f>
        <v>R5only</v>
      </c>
      <c r="F152" s="7" t="str">
        <f>IF(COUNTIF('R6開放'!A:A,B152)&gt;0,"R6release","")</f>
        <v/>
      </c>
      <c r="G152" s="7"/>
      <c r="H152" s="7" t="str">
        <f>VLOOKUP(B152,[1]characters!$A:$C,3,FALSE)</f>
        <v>クシナダヒメ</v>
      </c>
      <c r="I152" s="7" t="str">
        <f>VLOOKUP(B152,[1]characters!$A:$J,10,FALSE)</f>
        <v>PremiumSSw</v>
      </c>
      <c r="J152" s="7">
        <f>VLOOKUP(B152,[1]characters!$A:$I,9,FALSE)</f>
        <v>5</v>
      </c>
      <c r="K152" s="7" t="str">
        <f>VLOOKUP(B152,[1]characters!$A:$H,8,FALSE)</f>
        <v>red</v>
      </c>
      <c r="L152" s="7" t="str">
        <f>VLOOKUP(B152,[1]characters!$A:$K,11,FALSE)</f>
        <v>hp</v>
      </c>
      <c r="M152" s="7" t="str">
        <f>VLOOKUP(B152,[1]characters!$A:$M,13,FALSE)</f>
        <v>god</v>
      </c>
      <c r="N152" s="7">
        <f>VLOOKUP(B152,[1]characters!$A:$G,7,FALSE)</f>
        <v>0</v>
      </c>
      <c r="O152" s="45">
        <f t="shared" si="18"/>
        <v>3075</v>
      </c>
      <c r="P152" s="46">
        <f t="shared" si="17"/>
        <v>1.0416666666666667E-3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input_587100!A$2</f>
        <v>587100</v>
      </c>
      <c r="B153" s="1">
        <v>1336</v>
      </c>
      <c r="C153" s="7" t="str">
        <f t="shared" si="14"/>
        <v>PremiumSS5R5only</v>
      </c>
      <c r="D153" s="7" t="str">
        <f t="shared" si="15"/>
        <v>PremiumSS</v>
      </c>
      <c r="E153" s="7" t="str">
        <f>IF(COUNTIF('R6追加前'!A:A,B153)=0,IF(OR(I153="PremiumSS",I153="PremiumSSw"),"R5only","R3less"),"")</f>
        <v>R5only</v>
      </c>
      <c r="F153" s="7" t="str">
        <f>IF(COUNTIF('R6開放'!A:A,B153)&gt;0,"R6release","")</f>
        <v/>
      </c>
      <c r="G153" s="7"/>
      <c r="H153" s="7" t="str">
        <f>VLOOKUP(B153,[1]characters!$A:$C,3,FALSE)</f>
        <v>イザナギ</v>
      </c>
      <c r="I153" s="7" t="str">
        <f>VLOOKUP(B153,[1]characters!$A:$J,10,FALSE)</f>
        <v>PremiumSS</v>
      </c>
      <c r="J153" s="7">
        <f>VLOOKUP(B153,[1]characters!$A:$I,9,FALSE)</f>
        <v>5</v>
      </c>
      <c r="K153" s="7" t="str">
        <f>VLOOKUP(B153,[1]characters!$A:$H,8,FALSE)</f>
        <v>blue</v>
      </c>
      <c r="L153" s="7" t="str">
        <f>VLOOKUP(B153,[1]characters!$A:$K,11,FALSE)</f>
        <v>technical</v>
      </c>
      <c r="M153" s="7" t="str">
        <f>VLOOKUP(B153,[1]characters!$A:$M,13,FALSE)</f>
        <v>god</v>
      </c>
      <c r="N153" s="7">
        <f>VLOOKUP(B153,[1]characters!$A:$G,7,FALSE)</f>
        <v>0</v>
      </c>
      <c r="O153" s="45">
        <f t="shared" si="18"/>
        <v>3075</v>
      </c>
      <c r="P153" s="46">
        <f t="shared" si="17"/>
        <v>1.0416666666666667E-3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input_587100!A$2</f>
        <v>587100</v>
      </c>
      <c r="B154" s="1">
        <v>1338</v>
      </c>
      <c r="C154" s="7" t="str">
        <f t="shared" si="14"/>
        <v>PremiumSS5R5only</v>
      </c>
      <c r="D154" s="7" t="str">
        <f t="shared" si="15"/>
        <v>PremiumSS</v>
      </c>
      <c r="E154" s="7" t="str">
        <f>IF(COUNTIF('R6追加前'!A:A,B154)=0,IF(OR(I154="PremiumSS",I154="PremiumSSw"),"R5only","R3less"),"")</f>
        <v>R5only</v>
      </c>
      <c r="F154" s="7" t="str">
        <f>IF(COUNTIF('R6開放'!A:A,B154)&gt;0,"R6release","")</f>
        <v/>
      </c>
      <c r="G154" s="7"/>
      <c r="H154" s="7" t="str">
        <f>VLOOKUP(B154,[1]characters!$A:$C,3,FALSE)</f>
        <v>アメノウズメ</v>
      </c>
      <c r="I154" s="7" t="str">
        <f>VLOOKUP(B154,[1]characters!$A:$J,10,FALSE)</f>
        <v>PremiumSS</v>
      </c>
      <c r="J154" s="7">
        <f>VLOOKUP(B154,[1]characters!$A:$I,9,FALSE)</f>
        <v>5</v>
      </c>
      <c r="K154" s="7" t="str">
        <f>VLOOKUP(B154,[1]characters!$A:$H,8,FALSE)</f>
        <v>yellow</v>
      </c>
      <c r="L154" s="7" t="str">
        <f>VLOOKUP(B154,[1]characters!$A:$K,11,FALSE)</f>
        <v>attack</v>
      </c>
      <c r="M154" s="7" t="str">
        <f>VLOOKUP(B154,[1]characters!$A:$M,13,FALSE)</f>
        <v>god</v>
      </c>
      <c r="N154" s="7">
        <f>VLOOKUP(B154,[1]characters!$A:$G,7,FALSE)</f>
        <v>0</v>
      </c>
      <c r="O154" s="45">
        <f t="shared" si="18"/>
        <v>3075</v>
      </c>
      <c r="P154" s="46">
        <f t="shared" si="17"/>
        <v>1.0416666666666667E-3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input_587100!A$2</f>
        <v>587100</v>
      </c>
      <c r="B155" s="1">
        <v>1335</v>
      </c>
      <c r="C155" s="7" t="str">
        <f t="shared" si="14"/>
        <v>Premium5R3less</v>
      </c>
      <c r="D155" s="7" t="str">
        <f t="shared" si="15"/>
        <v>Premium</v>
      </c>
      <c r="E155" s="7" t="str">
        <f>IF(COUNTIF('R6追加前'!A:A,B155)=0,IF(OR(I155="PremiumSS",I155="PremiumSSw"),"R5only","R3less"),"")</f>
        <v>R3less</v>
      </c>
      <c r="F155" s="7" t="str">
        <f>IF(COUNTIF('R6開放'!A:A,B155)&gt;0,"R6release","")</f>
        <v/>
      </c>
      <c r="G155" s="7"/>
      <c r="H155" s="7" t="str">
        <f>VLOOKUP(B155,[1]characters!$A:$C,3,FALSE)</f>
        <v>霊司の神憑 タマヨリヒメ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green</v>
      </c>
      <c r="L155" s="7" t="str">
        <f>VLOOKUP(B155,[1]characters!$A:$K,11,FALSE)</f>
        <v>heal</v>
      </c>
      <c r="M155" s="7" t="str">
        <f>VLOOKUP(B155,[1]characters!$A:$M,13,FALSE)</f>
        <v>god</v>
      </c>
      <c r="N155" s="7">
        <f>VLOOKUP(B155,[1]characters!$A:$G,7,FALSE)</f>
        <v>0</v>
      </c>
      <c r="O155" s="45">
        <f t="shared" si="18"/>
        <v>32760</v>
      </c>
      <c r="P155" s="46">
        <f t="shared" si="17"/>
        <v>1.1097560975609756E-2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input_587100!A$2</f>
        <v>587100</v>
      </c>
      <c r="B156" s="95">
        <v>1367</v>
      </c>
      <c r="C156" s="7" t="str">
        <f t="shared" si="14"/>
        <v>PremiumSSS5R3less</v>
      </c>
      <c r="D156" s="7" t="str">
        <f t="shared" si="15"/>
        <v>PremiumSSS</v>
      </c>
      <c r="E156" s="7" t="str">
        <f>IF(COUNTIF('R6追加前'!A:A,B156)=0,IF(OR(I156="PremiumSS",I156="PremiumSSw"),"R5only","R3less"),"")</f>
        <v>R3less</v>
      </c>
      <c r="F156" s="7" t="str">
        <f>IF(COUNTIF('R6開放'!A:A,B156)&gt;0,"R6release","")</f>
        <v/>
      </c>
      <c r="G156" s="7"/>
      <c r="H156" s="7" t="str">
        <f>VLOOKUP(B156,[1]characters!$A:$C,3,FALSE)</f>
        <v>ベルヌーイ</v>
      </c>
      <c r="I156" s="7" t="str">
        <f>VLOOKUP(B156,[1]characters!$A:$J,10,FALSE)</f>
        <v>PremiumSSS</v>
      </c>
      <c r="J156" s="7">
        <f>VLOOKUP(B156,[1]characters!$A:$I,9,FALSE)</f>
        <v>5</v>
      </c>
      <c r="K156" s="7" t="str">
        <f>VLOOKUP(B156,[1]characters!$A:$H,8,FALSE)</f>
        <v>blue</v>
      </c>
      <c r="L156" s="7" t="str">
        <f>VLOOKUP(B156,[1]characters!$A:$K,11,FALSE)</f>
        <v>attack</v>
      </c>
      <c r="M156" s="7" t="str">
        <f>VLOOKUP(B156,[1]characters!$A:$M,13,FALSE)</f>
        <v>academia</v>
      </c>
      <c r="N156" s="7">
        <f>VLOOKUP(B156,[1]characters!$A:$G,7,FALSE)</f>
        <v>0</v>
      </c>
      <c r="O156" s="45">
        <f t="shared" si="18"/>
        <v>8856</v>
      </c>
      <c r="P156" s="46">
        <f t="shared" si="17"/>
        <v>3.0000000000000001E-3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input_587100!A$2</f>
        <v>587100</v>
      </c>
      <c r="B157" s="95">
        <v>411</v>
      </c>
      <c r="C157" s="7" t="str">
        <f t="shared" si="14"/>
        <v>PremiumSSS5R3less</v>
      </c>
      <c r="D157" s="7" t="str">
        <f t="shared" si="15"/>
        <v>PremiumSSS</v>
      </c>
      <c r="E157" s="7" t="str">
        <f>IF(COUNTIF('R6追加前'!A:A,B157)=0,IF(OR(I157="PremiumSS",I157="PremiumSSw"),"R5only","R3less"),"")</f>
        <v>R3less</v>
      </c>
      <c r="F157" s="7" t="str">
        <f>IF(COUNTIF('R6開放'!A:A,B157)&gt;0,"R6release","")</f>
        <v/>
      </c>
      <c r="G157" s="7"/>
      <c r="H157" s="7" t="str">
        <f>VLOOKUP(B157,[1]characters!$A:$C,3,FALSE)</f>
        <v>電隷の始祖 ファラデー</v>
      </c>
      <c r="I157" s="7" t="str">
        <f>VLOOKUP(B157,[1]characters!$A:$J,10,FALSE)</f>
        <v>PremiumSSS</v>
      </c>
      <c r="J157" s="7">
        <f>VLOOKUP(B157,[1]characters!$A:$I,9,FALSE)</f>
        <v>5</v>
      </c>
      <c r="K157" s="7" t="str">
        <f>VLOOKUP(B157,[1]characters!$A:$H,8,FALSE)</f>
        <v>yellow</v>
      </c>
      <c r="L157" s="7" t="str">
        <f>VLOOKUP(B157,[1]characters!$A:$K,11,FALSE)</f>
        <v>balance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t="shared" si="18"/>
        <v>8856</v>
      </c>
      <c r="P157" s="46">
        <f t="shared" si="17"/>
        <v>3.0000000000000001E-3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input_587100!A$2</f>
        <v>587100</v>
      </c>
      <c r="B158" s="95">
        <v>1109</v>
      </c>
      <c r="C158" s="7" t="str">
        <f t="shared" ref="C158:C159" si="19">D158&amp;J158&amp;E158&amp;F158&amp;G158</f>
        <v>PremiumSSS5R3less</v>
      </c>
      <c r="D158" s="7" t="str">
        <f t="shared" ref="D158:D159" si="20">IF(OR(I158="PremiumSS",I158="PremiumSSw"),"PremiumSS",IF(I158="PremiumSSS",I158,IF(I158="PremiumW",IF(J158=5,"premium",I158),"Premium")))</f>
        <v>PremiumSSS</v>
      </c>
      <c r="E158" s="7" t="str">
        <f>IF(COUNTIF('R6追加前'!A:A,B158)=0,IF(OR(I158="PremiumSS",I158="PremiumSSw"),"R5only","R3less"),"")</f>
        <v>R3less</v>
      </c>
      <c r="F158" s="7" t="str">
        <f>IF(COUNTIF('R6開放'!A:A,B158)&gt;0,"R6release","")</f>
        <v/>
      </c>
      <c r="G158" s="7"/>
      <c r="H158" s="7" t="str">
        <f>VLOOKUP(B158,[1]characters!$A:$C,3,FALSE)</f>
        <v>セキ</v>
      </c>
      <c r="I158" s="7" t="str">
        <f>VLOOKUP(B158,[1]characters!$A:$J,10,FALSE)</f>
        <v>PremiumSSS</v>
      </c>
      <c r="J158" s="7">
        <f>VLOOKUP(B158,[1]characters!$A:$I,9,FALSE)</f>
        <v>5</v>
      </c>
      <c r="K158" s="7" t="str">
        <f>VLOOKUP(B158,[1]characters!$A:$H,8,FALSE)</f>
        <v>red</v>
      </c>
      <c r="L158" s="7" t="str">
        <f>VLOOKUP(B158,[1]characters!$A:$K,11,FALSE)</f>
        <v>technical</v>
      </c>
      <c r="M158" s="7" t="str">
        <f>VLOOKUP(B158,[1]characters!$A:$M,13,FALSE)</f>
        <v>academia</v>
      </c>
      <c r="N158" s="7" t="str">
        <f>VLOOKUP(B158,[1]characters!$A:$G,7,FALSE)</f>
        <v>不明</v>
      </c>
      <c r="O158" s="45">
        <f t="shared" ref="O158:O159" si="21">VLOOKUP(D158,$W$2:$Y$4,3,FALSE)</f>
        <v>8856</v>
      </c>
      <c r="P158" s="46">
        <f t="shared" si="17"/>
        <v>3.0000000000000001E-3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input_587100!A$2</f>
        <v>587100</v>
      </c>
      <c r="B159" s="95">
        <v>750</v>
      </c>
      <c r="C159" s="7" t="str">
        <f t="shared" si="19"/>
        <v>PremiumSSS5R3less</v>
      </c>
      <c r="D159" s="7" t="str">
        <f t="shared" si="20"/>
        <v>PremiumSSS</v>
      </c>
      <c r="E159" s="7" t="str">
        <f>IF(COUNTIF('R6追加前'!A:A,B159)=0,IF(OR(I159="PremiumSS",I159="PremiumSSw"),"R5only","R3less"),"")</f>
        <v>R3less</v>
      </c>
      <c r="F159" s="7" t="str">
        <f>IF(COUNTIF('R6開放'!A:A,B159)&gt;0,"R6release","")</f>
        <v/>
      </c>
      <c r="G159" s="7"/>
      <c r="H159" s="7" t="str">
        <f>VLOOKUP(B159,[1]characters!$A:$C,3,FALSE)</f>
        <v>ポアソン</v>
      </c>
      <c r="I159" s="7" t="str">
        <f>VLOOKUP(B159,[1]characters!$A:$J,10,FALSE)</f>
        <v>PremiumSSS</v>
      </c>
      <c r="J159" s="7">
        <f>VLOOKUP(B159,[1]characters!$A:$I,9,FALSE)</f>
        <v>5</v>
      </c>
      <c r="K159" s="7" t="str">
        <f>VLOOKUP(B159,[1]characters!$A:$H,8,FALSE)</f>
        <v>green</v>
      </c>
      <c r="L159" s="7" t="str">
        <f>VLOOKUP(B159,[1]characters!$A:$K,11,FALSE)</f>
        <v>balance</v>
      </c>
      <c r="M159" s="7" t="str">
        <f>VLOOKUP(B159,[1]characters!$A:$M,13,FALSE)</f>
        <v>academia</v>
      </c>
      <c r="N159" s="7" t="str">
        <f>VLOOKUP(B159,[1]characters!$A:$G,7,FALSE)</f>
        <v>男性</v>
      </c>
      <c r="O159" s="45">
        <f t="shared" si="21"/>
        <v>8856</v>
      </c>
      <c r="P159" s="46">
        <f t="shared" si="17"/>
        <v>3.0000000000000001E-3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input_587100!A$2</f>
        <v>587100</v>
      </c>
      <c r="B160" s="101">
        <v>1348</v>
      </c>
      <c r="C160" s="7" t="str">
        <f t="shared" ref="C160" si="22">D160&amp;J160&amp;E160&amp;F160&amp;G160</f>
        <v>PremiumSSS5R3less</v>
      </c>
      <c r="D160" s="7" t="str">
        <f t="shared" ref="D160" si="23">IF(OR(I160="PremiumSS",I160="PremiumSSw"),"PremiumSS",IF(I160="PremiumSSS",I160,IF(I160="PremiumW",IF(J160=5,"premium",I160),"Premium")))</f>
        <v>PremiumSSS</v>
      </c>
      <c r="E160" s="7" t="str">
        <f>IF(COUNTIF('R6追加前'!A:A,B160)=0,IF(OR(I160="PremiumSS",I160="PremiumSSw"),"R5only","R3less"),"")</f>
        <v>R3less</v>
      </c>
      <c r="F160" s="7" t="str">
        <f>IF(COUNTIF('R6開放'!A:A,B160)&gt;0,"R6release","")</f>
        <v/>
      </c>
      <c r="G160" s="7"/>
      <c r="H160" s="7" t="str">
        <f>VLOOKUP(B160,[1]characters!$A:$C,3,FALSE)</f>
        <v>パウリ</v>
      </c>
      <c r="I160" s="7" t="str">
        <f>VLOOKUP(B160,[1]characters!$A:$J,10,FALSE)</f>
        <v>PremiumSSS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hp</v>
      </c>
      <c r="M160" s="7" t="str">
        <f>VLOOKUP(B160,[1]characters!$A:$M,13,FALSE)</f>
        <v>academia</v>
      </c>
      <c r="N160" s="7">
        <f>VLOOKUP(B160,[1]characters!$A:$G,7,FALSE)</f>
        <v>0</v>
      </c>
      <c r="O160" s="45">
        <f t="shared" ref="O160" si="24">VLOOKUP(D160,$W$2:$Y$4,3,FALSE)</f>
        <v>8856</v>
      </c>
      <c r="P160" s="46">
        <f t="shared" ref="P160" si="25">O160/SUM(O:O)</f>
        <v>3.0000000000000001E-3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2:2" ht="21" customHeight="1" x14ac:dyDescent="0.15">
      <c r="B161"/>
    </row>
  </sheetData>
  <autoFilter ref="A1:V157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4"/>
      <c r="H3" s="84"/>
      <c r="I3" s="84"/>
      <c r="J3" s="84"/>
      <c r="K3" s="84"/>
      <c r="L3" s="84"/>
      <c r="M3" s="84"/>
      <c r="N3" s="79"/>
      <c r="O3" s="79"/>
      <c r="P3" s="79"/>
      <c r="Q3" s="80"/>
    </row>
    <row r="4" spans="1:17" ht="21" customHeight="1" x14ac:dyDescent="0.15">
      <c r="A4" s="78"/>
      <c r="B4" s="78"/>
      <c r="G4" s="84"/>
      <c r="H4" s="84"/>
      <c r="I4" s="84"/>
      <c r="J4" s="84"/>
      <c r="K4" s="84"/>
      <c r="L4" s="84"/>
      <c r="M4" s="84"/>
      <c r="N4" s="79"/>
      <c r="O4" s="79"/>
      <c r="P4" s="79"/>
      <c r="Q4" s="80"/>
    </row>
    <row r="5" spans="1:17" ht="21" customHeight="1" x14ac:dyDescent="0.15">
      <c r="A5" s="78"/>
      <c r="B5" s="78"/>
      <c r="G5" s="84"/>
      <c r="H5" s="84"/>
      <c r="I5" s="84"/>
      <c r="J5" s="84"/>
      <c r="K5" s="84"/>
      <c r="L5" s="84"/>
      <c r="M5" s="84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確率の考え方</vt:lpstr>
      <vt:lpstr>Sheet1</vt:lpstr>
      <vt:lpstr>output</vt:lpstr>
      <vt:lpstr>input_587100</vt:lpstr>
      <vt:lpstr>tables_587100</vt:lpstr>
      <vt:lpstr>tables_settle_587100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2017-04-26T04:26:40Z</dcterms:modified>
</cp:coreProperties>
</file>