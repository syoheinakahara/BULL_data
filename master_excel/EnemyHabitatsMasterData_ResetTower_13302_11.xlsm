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426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lb-test/GitHub/BULL_data/master_excel/"/>
    </mc:Choice>
  </mc:AlternateContent>
  <bookViews>
    <workbookView xWindow="1000" yWindow="2280" windowWidth="37760" windowHeight="21060" tabRatio="740" activeTab="5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xlnm._FilterDatabase" localSheetId="3" hidden="1">enemy_habitat_S!$B$1:$AA$1</definedName>
    <definedName name="_xlnm._FilterDatabase" localSheetId="2" hidden="1">enemy_habitats!$B$1:$AJ$1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3" i="1" l="1"/>
  <c r="AC7" i="1"/>
  <c r="A7" i="1"/>
  <c r="AC6" i="1"/>
  <c r="A6" i="1"/>
  <c r="AC5" i="1"/>
  <c r="A5" i="1"/>
  <c r="AC4" i="1"/>
  <c r="A4" i="1"/>
  <c r="AC3" i="1"/>
  <c r="A3" i="1"/>
  <c r="AD7" i="1"/>
  <c r="AF7" i="1"/>
  <c r="AI7" i="1"/>
  <c r="AG7" i="1"/>
  <c r="AE7" i="1"/>
  <c r="V7" i="1"/>
  <c r="T7" i="1"/>
  <c r="Q7" i="1"/>
  <c r="P7" i="1"/>
  <c r="O7" i="1"/>
  <c r="N7" i="1"/>
  <c r="M7" i="1"/>
  <c r="H7" i="1"/>
  <c r="J7" i="1"/>
  <c r="I7" i="1"/>
  <c r="D7" i="1"/>
  <c r="F7" i="1"/>
  <c r="E7" i="1"/>
  <c r="AD6" i="1"/>
  <c r="AF6" i="1"/>
  <c r="AI6" i="1"/>
  <c r="AG6" i="1"/>
  <c r="AE6" i="1"/>
  <c r="V6" i="1"/>
  <c r="T6" i="1"/>
  <c r="Q6" i="1"/>
  <c r="P6" i="1"/>
  <c r="O6" i="1"/>
  <c r="N6" i="1"/>
  <c r="M6" i="1"/>
  <c r="H6" i="1"/>
  <c r="J6" i="1"/>
  <c r="I6" i="1"/>
  <c r="D6" i="1"/>
  <c r="F6" i="1"/>
  <c r="E6" i="1"/>
  <c r="AD5" i="1"/>
  <c r="AF5" i="1"/>
  <c r="AI5" i="1"/>
  <c r="AG5" i="1"/>
  <c r="AE5" i="1"/>
  <c r="V5" i="1"/>
  <c r="T5" i="1"/>
  <c r="Q5" i="1"/>
  <c r="P5" i="1"/>
  <c r="O5" i="1"/>
  <c r="N5" i="1"/>
  <c r="M5" i="1"/>
  <c r="H5" i="1"/>
  <c r="J5" i="1"/>
  <c r="I5" i="1"/>
  <c r="D5" i="1"/>
  <c r="F5" i="1"/>
  <c r="E5" i="1"/>
  <c r="AD4" i="1"/>
  <c r="AF4" i="1"/>
  <c r="AI4" i="1"/>
  <c r="AG4" i="1"/>
  <c r="AE4" i="1"/>
  <c r="V4" i="1"/>
  <c r="T4" i="1"/>
  <c r="Q4" i="1"/>
  <c r="P4" i="1"/>
  <c r="O4" i="1"/>
  <c r="N4" i="1"/>
  <c r="M4" i="1"/>
  <c r="H4" i="1"/>
  <c r="J4" i="1"/>
  <c r="I4" i="1"/>
  <c r="D4" i="1"/>
  <c r="F4" i="1"/>
  <c r="E4" i="1"/>
  <c r="AD3" i="1"/>
  <c r="AF3" i="1"/>
  <c r="AI3" i="1"/>
  <c r="AG3" i="1"/>
  <c r="AE3" i="1"/>
  <c r="V3" i="1"/>
  <c r="T3" i="1"/>
  <c r="Q3" i="1"/>
  <c r="O3" i="1"/>
  <c r="N3" i="1"/>
  <c r="M3" i="1"/>
  <c r="H3" i="1"/>
  <c r="J3" i="1"/>
  <c r="I3" i="1"/>
  <c r="D3" i="1"/>
  <c r="F3" i="1"/>
  <c r="E3" i="1"/>
  <c r="AD2" i="1"/>
  <c r="AF2" i="1"/>
  <c r="AI2" i="1"/>
  <c r="AG2" i="1"/>
  <c r="AE2" i="1"/>
  <c r="AC2" i="1"/>
  <c r="V2" i="1"/>
  <c r="T2" i="1"/>
  <c r="Q2" i="1"/>
  <c r="P2" i="1"/>
  <c r="O2" i="1"/>
  <c r="N2" i="1"/>
  <c r="M2" i="1"/>
  <c r="H2" i="1"/>
  <c r="J2" i="1"/>
  <c r="I2" i="1"/>
  <c r="D2" i="1"/>
  <c r="F2" i="1"/>
  <c r="E2" i="1"/>
  <c r="A23" i="9"/>
  <c r="A22" i="9"/>
  <c r="A21" i="9"/>
  <c r="A20" i="9"/>
  <c r="A19" i="9"/>
  <c r="A18" i="9"/>
  <c r="A17" i="9"/>
  <c r="A16" i="9"/>
  <c r="A15" i="9"/>
  <c r="A14" i="9"/>
  <c r="A13" i="9"/>
  <c r="A12" i="9"/>
  <c r="A11" i="9"/>
  <c r="A10" i="9"/>
  <c r="A9" i="9"/>
  <c r="A8" i="9"/>
  <c r="A7" i="9"/>
  <c r="A6" i="9"/>
  <c r="A5" i="9"/>
  <c r="A4" i="9"/>
  <c r="A3" i="9"/>
  <c r="O23" i="9"/>
  <c r="N23" i="9"/>
  <c r="M23" i="9"/>
  <c r="L23" i="9"/>
  <c r="K23" i="9"/>
  <c r="J23" i="9"/>
  <c r="I23" i="9"/>
  <c r="H23" i="9"/>
  <c r="G23" i="9"/>
  <c r="E23" i="9"/>
  <c r="D23" i="9"/>
  <c r="O22" i="9"/>
  <c r="N22" i="9"/>
  <c r="M22" i="9"/>
  <c r="L22" i="9"/>
  <c r="K22" i="9"/>
  <c r="J22" i="9"/>
  <c r="I22" i="9"/>
  <c r="H22" i="9"/>
  <c r="G22" i="9"/>
  <c r="E22" i="9"/>
  <c r="D22" i="9"/>
  <c r="O21" i="9"/>
  <c r="N21" i="9"/>
  <c r="M21" i="9"/>
  <c r="L21" i="9"/>
  <c r="K21" i="9"/>
  <c r="J21" i="9"/>
  <c r="I21" i="9"/>
  <c r="H21" i="9"/>
  <c r="G21" i="9"/>
  <c r="E21" i="9"/>
  <c r="D21" i="9"/>
  <c r="O20" i="9"/>
  <c r="N20" i="9"/>
  <c r="M20" i="9"/>
  <c r="L20" i="9"/>
  <c r="K20" i="9"/>
  <c r="J20" i="9"/>
  <c r="I20" i="9"/>
  <c r="H20" i="9"/>
  <c r="G20" i="9"/>
  <c r="E20" i="9"/>
  <c r="D20" i="9"/>
  <c r="O19" i="9"/>
  <c r="N19" i="9"/>
  <c r="M19" i="9"/>
  <c r="L19" i="9"/>
  <c r="K19" i="9"/>
  <c r="J19" i="9"/>
  <c r="I19" i="9"/>
  <c r="H19" i="9"/>
  <c r="G19" i="9"/>
  <c r="E19" i="9"/>
  <c r="D19" i="9"/>
  <c r="O18" i="9"/>
  <c r="N18" i="9"/>
  <c r="M18" i="9"/>
  <c r="L18" i="9"/>
  <c r="K18" i="9"/>
  <c r="J18" i="9"/>
  <c r="I18" i="9"/>
  <c r="H18" i="9"/>
  <c r="G18" i="9"/>
  <c r="E18" i="9"/>
  <c r="D18" i="9"/>
  <c r="O17" i="9"/>
  <c r="N17" i="9"/>
  <c r="M17" i="9"/>
  <c r="L17" i="9"/>
  <c r="K17" i="9"/>
  <c r="J17" i="9"/>
  <c r="I17" i="9"/>
  <c r="H17" i="9"/>
  <c r="G17" i="9"/>
  <c r="E17" i="9"/>
  <c r="D17" i="9"/>
  <c r="O16" i="9"/>
  <c r="N16" i="9"/>
  <c r="M16" i="9"/>
  <c r="L16" i="9"/>
  <c r="K16" i="9"/>
  <c r="J16" i="9"/>
  <c r="I16" i="9"/>
  <c r="H16" i="9"/>
  <c r="G16" i="9"/>
  <c r="E16" i="9"/>
  <c r="D16" i="9"/>
  <c r="O15" i="9"/>
  <c r="N15" i="9"/>
  <c r="M15" i="9"/>
  <c r="L15" i="9"/>
  <c r="K15" i="9"/>
  <c r="J15" i="9"/>
  <c r="I15" i="9"/>
  <c r="H15" i="9"/>
  <c r="G15" i="9"/>
  <c r="E15" i="9"/>
  <c r="D15" i="9"/>
  <c r="O14" i="9"/>
  <c r="N14" i="9"/>
  <c r="M14" i="9"/>
  <c r="L14" i="9"/>
  <c r="K14" i="9"/>
  <c r="J14" i="9"/>
  <c r="I14" i="9"/>
  <c r="H14" i="9"/>
  <c r="G14" i="9"/>
  <c r="E14" i="9"/>
  <c r="D14" i="9"/>
  <c r="O13" i="9"/>
  <c r="N13" i="9"/>
  <c r="M13" i="9"/>
  <c r="L13" i="9"/>
  <c r="K13" i="9"/>
  <c r="J13" i="9"/>
  <c r="I13" i="9"/>
  <c r="H13" i="9"/>
  <c r="G13" i="9"/>
  <c r="E13" i="9"/>
  <c r="D13" i="9"/>
  <c r="O12" i="9"/>
  <c r="N12" i="9"/>
  <c r="M12" i="9"/>
  <c r="L12" i="9"/>
  <c r="K12" i="9"/>
  <c r="J12" i="9"/>
  <c r="I12" i="9"/>
  <c r="H12" i="9"/>
  <c r="G12" i="9"/>
  <c r="E12" i="9"/>
  <c r="D12" i="9"/>
  <c r="O11" i="9"/>
  <c r="N11" i="9"/>
  <c r="M11" i="9"/>
  <c r="L11" i="9"/>
  <c r="K11" i="9"/>
  <c r="J11" i="9"/>
  <c r="I11" i="9"/>
  <c r="H11" i="9"/>
  <c r="G11" i="9"/>
  <c r="E11" i="9"/>
  <c r="D11" i="9"/>
  <c r="O10" i="9"/>
  <c r="N10" i="9"/>
  <c r="M10" i="9"/>
  <c r="L10" i="9"/>
  <c r="K10" i="9"/>
  <c r="J10" i="9"/>
  <c r="I10" i="9"/>
  <c r="H10" i="9"/>
  <c r="G10" i="9"/>
  <c r="E10" i="9"/>
  <c r="D10" i="9"/>
  <c r="O9" i="9"/>
  <c r="N9" i="9"/>
  <c r="M9" i="9"/>
  <c r="L9" i="9"/>
  <c r="K9" i="9"/>
  <c r="J9" i="9"/>
  <c r="I9" i="9"/>
  <c r="H9" i="9"/>
  <c r="G9" i="9"/>
  <c r="E9" i="9"/>
  <c r="D9" i="9"/>
  <c r="O8" i="9"/>
  <c r="N8" i="9"/>
  <c r="M8" i="9"/>
  <c r="L8" i="9"/>
  <c r="K8" i="9"/>
  <c r="J8" i="9"/>
  <c r="I8" i="9"/>
  <c r="H8" i="9"/>
  <c r="G8" i="9"/>
  <c r="E8" i="9"/>
  <c r="D8" i="9"/>
  <c r="O7" i="9"/>
  <c r="N7" i="9"/>
  <c r="M7" i="9"/>
  <c r="L7" i="9"/>
  <c r="K7" i="9"/>
  <c r="J7" i="9"/>
  <c r="I7" i="9"/>
  <c r="H7" i="9"/>
  <c r="G7" i="9"/>
  <c r="E7" i="9"/>
  <c r="D7" i="9"/>
  <c r="O6" i="9"/>
  <c r="N6" i="9"/>
  <c r="M6" i="9"/>
  <c r="L6" i="9"/>
  <c r="K6" i="9"/>
  <c r="J6" i="9"/>
  <c r="I6" i="9"/>
  <c r="H6" i="9"/>
  <c r="G6" i="9"/>
  <c r="E6" i="9"/>
  <c r="D6" i="9"/>
  <c r="O5" i="9"/>
  <c r="N5" i="9"/>
  <c r="M5" i="9"/>
  <c r="L5" i="9"/>
  <c r="K5" i="9"/>
  <c r="J5" i="9"/>
  <c r="I5" i="9"/>
  <c r="H5" i="9"/>
  <c r="G5" i="9"/>
  <c r="E5" i="9"/>
  <c r="D5" i="9"/>
  <c r="O4" i="9"/>
  <c r="N4" i="9"/>
  <c r="M4" i="9"/>
  <c r="L4" i="9"/>
  <c r="K4" i="9"/>
  <c r="J4" i="9"/>
  <c r="I4" i="9"/>
  <c r="H4" i="9"/>
  <c r="G4" i="9"/>
  <c r="E4" i="9"/>
  <c r="D4" i="9"/>
  <c r="O3" i="9"/>
  <c r="N3" i="9"/>
  <c r="M3" i="9"/>
  <c r="L3" i="9"/>
  <c r="K3" i="9"/>
  <c r="J3" i="9"/>
  <c r="I3" i="9"/>
  <c r="H3" i="9"/>
  <c r="G3" i="9"/>
  <c r="E3" i="9"/>
  <c r="D3" i="9"/>
  <c r="O2" i="9"/>
  <c r="N2" i="9"/>
  <c r="M2" i="9"/>
  <c r="L2" i="9"/>
  <c r="K2" i="9"/>
  <c r="J2" i="9"/>
  <c r="I2" i="9"/>
  <c r="H2" i="9"/>
  <c r="G2" i="9"/>
  <c r="E2" i="9"/>
  <c r="D2" i="9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M2" i="10"/>
  <c r="T2" i="10"/>
  <c r="W2" i="10"/>
  <c r="V2" i="10"/>
  <c r="X2" i="10"/>
  <c r="U2" i="10"/>
  <c r="Y2" i="10"/>
  <c r="N2" i="10"/>
  <c r="Q2" i="10"/>
  <c r="P2" i="10"/>
  <c r="R2" i="10"/>
  <c r="O2" i="10"/>
  <c r="S2" i="10"/>
  <c r="G2" i="10"/>
  <c r="J2" i="10"/>
  <c r="I2" i="10"/>
  <c r="K2" i="10"/>
  <c r="H2" i="10"/>
  <c r="L2" i="10"/>
  <c r="J23" i="11"/>
  <c r="J22" i="11"/>
  <c r="J21" i="11"/>
  <c r="J20" i="11"/>
  <c r="J19" i="11"/>
  <c r="J18" i="11"/>
  <c r="J17" i="11"/>
  <c r="J16" i="11"/>
  <c r="J15" i="11"/>
  <c r="J14" i="11"/>
  <c r="J13" i="11"/>
  <c r="J12" i="11"/>
  <c r="J11" i="11"/>
  <c r="J10" i="11"/>
  <c r="J9" i="11"/>
  <c r="J8" i="11"/>
  <c r="J7" i="11"/>
  <c r="J6" i="11"/>
  <c r="J5" i="11"/>
  <c r="J4" i="11"/>
  <c r="J3" i="11"/>
  <c r="J2" i="11"/>
  <c r="C10" i="18"/>
  <c r="D10" i="18"/>
  <c r="I7" i="21"/>
  <c r="G7" i="21"/>
  <c r="F7" i="21"/>
  <c r="D7" i="21"/>
  <c r="C7" i="21"/>
  <c r="I6" i="21"/>
  <c r="G6" i="21"/>
  <c r="F6" i="21"/>
  <c r="D6" i="21"/>
  <c r="C6" i="21"/>
  <c r="I5" i="21"/>
  <c r="G5" i="21"/>
  <c r="F5" i="21"/>
  <c r="D5" i="21"/>
  <c r="C5" i="21"/>
  <c r="I4" i="21"/>
  <c r="G4" i="21"/>
  <c r="F4" i="21"/>
  <c r="D4" i="21"/>
  <c r="C4" i="21"/>
  <c r="I3" i="21"/>
  <c r="G3" i="21"/>
  <c r="F3" i="21"/>
  <c r="D3" i="21"/>
  <c r="C3" i="21"/>
  <c r="I2" i="21"/>
  <c r="G2" i="21"/>
  <c r="F2" i="21"/>
  <c r="D2" i="21"/>
  <c r="C2" i="21"/>
  <c r="G2" i="2"/>
  <c r="A2" i="2"/>
  <c r="G3" i="2"/>
  <c r="A3" i="2"/>
  <c r="G4" i="2"/>
  <c r="A4" i="2"/>
  <c r="C9" i="18"/>
  <c r="D9" i="18"/>
  <c r="C8" i="18"/>
  <c r="D8" i="18"/>
  <c r="C7" i="18"/>
  <c r="D7" i="18"/>
  <c r="C6" i="18"/>
  <c r="D6" i="18"/>
  <c r="C5" i="18"/>
  <c r="D5" i="18"/>
  <c r="C4" i="18"/>
  <c r="D4" i="18"/>
  <c r="C3" i="18"/>
  <c r="D3" i="18"/>
  <c r="O3" i="21"/>
  <c r="O4" i="21"/>
  <c r="O5" i="21"/>
  <c r="O6" i="21"/>
  <c r="O7" i="21"/>
  <c r="O2" i="21"/>
  <c r="H4" i="2"/>
  <c r="E4" i="2"/>
  <c r="D4" i="2"/>
  <c r="B4" i="2"/>
  <c r="H3" i="2"/>
  <c r="E3" i="2"/>
  <c r="D3" i="2"/>
  <c r="B3" i="2"/>
  <c r="N3" i="22"/>
  <c r="G3" i="22"/>
  <c r="F3" i="22"/>
  <c r="D3" i="22"/>
  <c r="C3" i="22"/>
  <c r="A3" i="22"/>
  <c r="E13" i="16"/>
  <c r="N2" i="22"/>
  <c r="G2" i="22"/>
  <c r="F2" i="22"/>
  <c r="D2" i="22"/>
  <c r="C2" i="22"/>
  <c r="A2" i="22"/>
  <c r="E12" i="16"/>
  <c r="E11" i="16"/>
  <c r="E10" i="16"/>
  <c r="C2" i="18"/>
  <c r="D2" i="18"/>
  <c r="E9" i="16"/>
  <c r="E8" i="16"/>
  <c r="E7" i="16"/>
  <c r="E6" i="16"/>
  <c r="E5" i="16"/>
  <c r="E4" i="16"/>
  <c r="E3" i="16"/>
  <c r="E2" i="16"/>
  <c r="A2" i="1"/>
  <c r="A2" i="9"/>
  <c r="D2" i="2"/>
  <c r="E2" i="2"/>
  <c r="H2" i="2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<sst xmlns="http://schemas.openxmlformats.org/spreadsheetml/2006/main" count="635" uniqueCount="339">
  <si>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</si>
  <si>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</si>
  <si>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</si>
  <si>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</si>
  <si>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</si>
  <si>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</si>
  <si>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</si>
  <si>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</si>
  <si>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</si>
  <si>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</si>
  <si>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</si>
  <si>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</si>
  <si>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</si>
  <si>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</si>
  <si>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</si>
  <si>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</si>
  <si>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</si>
  <si>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</si>
  <si>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</si>
  <si>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</si>
  <si>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</si>
  <si>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</si>
  <si>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</si>
  <si>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</si>
  <si>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</si>
  <si>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</si>
  <si>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</si>
  <si>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</si>
  <si>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</si>
  <si>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</si>
  <si>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</si>
  <si>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</si>
  <si>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</si>
  <si>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</si>
  <si>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</si>
  <si>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</si>
  <si>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</si>
  <si>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</si>
  <si>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</si>
  <si>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</si>
  <si>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</si>
  <si>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</si>
  <si>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</si>
  <si>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</si>
  <si>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</si>
  <si>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</si>
  <si>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</si>
  <si>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</si>
  <si>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</si>
  <si>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</si>
  <si>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</si>
  <si>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</si>
  <si>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</si>
  <si>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</si>
  <si>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</si>
  <si>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</si>
  <si>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</si>
  <si>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</si>
  <si>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</si>
  <si>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</si>
  <si>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</si>
  <si>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</si>
  <si>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</si>
  <si>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</si>
  <si>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</si>
  <si>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</si>
  <si>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</si>
  <si>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</si>
  <si>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</si>
  <si>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</si>
  <si>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</si>
  <si>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</si>
  <si>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</si>
  <si>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</si>
  <si>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</si>
  <si>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</si>
  <si>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</si>
  <si>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</si>
  <si>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</si>
  <si>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</si>
  <si>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</si>
  <si>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</si>
  <si>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</si>
  <si>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</si>
  <si>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</si>
  <si>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</si>
  <si>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</si>
  <si>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</si>
  <si>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</si>
  <si>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</si>
  <si>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</si>
  <si>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</si>
  <si>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</si>
  <si>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</si>
  <si>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</si>
  <si>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</si>
  <si>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</si>
  <si>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</si>
  <si>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</si>
  <si>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</si>
  <si>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</si>
  <si>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</si>
  <si>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</si>
  <si>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</si>
  <si>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</si>
  <si>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</si>
  <si>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</si>
  <si>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</si>
  <si>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</si>
  <si>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</si>
  <si>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</si>
  <si>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</si>
  <si>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</si>
  <si>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</si>
  <si>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</si>
  <si>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</si>
  <si>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</si>
  <si>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</si>
  <si>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</si>
  <si>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</si>
  <si>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</si>
  <si>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</si>
  <si>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</si>
  <si>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</si>
  <si>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</si>
  <si>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</si>
  <si>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</si>
  <si>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</si>
  <si>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</si>
  <si>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</si>
  <si>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</si>
  <si>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</si>
  <si>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</si>
  <si>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</si>
  <si>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</si>
  <si>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</si>
  <si>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</si>
  <si>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</si>
  <si>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</si>
  <si>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</si>
  <si>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</si>
  <si>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</si>
  <si>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</si>
  <si>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</si>
  <si>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</si>
  <si>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</si>
  <si>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</si>
  <si>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</si>
  <si>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</si>
  <si>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</si>
  <si>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</si>
  <si>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</si>
  <si>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</si>
  <si>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</si>
  <si>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</si>
  <si>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</si>
  <si>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</si>
  <si>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</si>
  <si>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</si>
  <si>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</si>
  <si>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</si>
  <si>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</si>
  <si>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</si>
  <si>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</si>
  <si>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</si>
  <si>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</si>
  <si>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</si>
  <si>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</si>
  <si>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</si>
  <si>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</si>
  <si>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</si>
  <si>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</si>
  <si>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</si>
  <si>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</si>
  <si>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</si>
  <si>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</si>
  <si>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</si>
  <si>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</si>
  <si>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</si>
  <si>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</si>
  <si>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</si>
  <si>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</si>
  <si>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</si>
  <si>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</si>
  <si>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skip</t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</si>
  <si>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</si>
  <si>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</si>
  <si>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</si>
  <si>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</si>
  <si>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</si>
  <si>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</si>
  <si>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</si>
  <si>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</si>
  <si>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</si>
  <si>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</si>
  <si>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攻略のヒント</t>
    <rPh sb="0" eb="2">
      <t>コウリャク</t>
    </rPh>
    <phoneticPr fontId="5"/>
  </si>
  <si>
    <t>NULL</t>
    <phoneticPr fontId="5"/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</si>
  <si>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</si>
  <si>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</si>
  <si>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</si>
  <si>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</si>
  <si>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</si>
  <si>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</si>
  <si>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</si>
  <si>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</si>
  <si>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</si>
  <si>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</si>
  <si>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</si>
  <si>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</si>
  <si>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</si>
  <si>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</si>
  <si>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</si>
  <si>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</si>
  <si>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</si>
  <si>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</si>
  <si>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</si>
  <si>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</si>
  <si>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</si>
  <si>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</si>
  <si>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</si>
  <si>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</si>
  <si>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</si>
  <si>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clear</t>
    <phoneticPr fontId="5"/>
  </si>
  <si>
    <t>2016-5-27 0:00:00</t>
    <phoneticPr fontId="5"/>
  </si>
  <si>
    <t>2970-01-01 09:00:00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</si>
  <si>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</si>
  <si>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</si>
  <si>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</si>
  <si>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</si>
  <si>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</si>
  <si>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</si>
  <si>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</si>
  <si>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</si>
  <si>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</si>
  <si>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</si>
  <si>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</si>
  <si>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</si>
  <si>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</si>
  <si>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</si>
  <si>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</si>
  <si>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</si>
  <si>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</si>
  <si>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</si>
  <si>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</si>
  <si>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</si>
  <si>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</si>
  <si>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hp</t>
    <phoneticPr fontId="5"/>
  </si>
  <si>
    <t>attack</t>
    <phoneticPr fontId="5"/>
  </si>
  <si>
    <t>塔の結界</t>
    <rPh sb="0" eb="1">
      <t>トウノ</t>
    </rPh>
    <rPh sb="2" eb="4">
      <t>ケッカイ</t>
    </rPh>
    <phoneticPr fontId="5"/>
  </si>
  <si>
    <t>unit</t>
  </si>
  <si>
    <t>link</t>
  </si>
  <si>
    <t>null</t>
    <phoneticPr fontId="5"/>
  </si>
  <si>
    <t>bit</t>
    <phoneticPr fontId="5"/>
  </si>
  <si>
    <t>bit</t>
    <phoneticPr fontId="5"/>
  </si>
  <si>
    <t>null</t>
    <phoneticPr fontId="5"/>
  </si>
  <si>
    <t>null</t>
    <phoneticPr fontId="5"/>
  </si>
  <si>
    <t>singleonly</t>
    <phoneticPr fontId="5"/>
  </si>
  <si>
    <t>singleonly</t>
    <phoneticPr fontId="5"/>
  </si>
  <si>
    <t>ja</t>
    <phoneticPr fontId="5"/>
  </si>
  <si>
    <t>ja</t>
    <phoneticPr fontId="5"/>
  </si>
  <si>
    <t>チェンはターンが経過すると
攻撃力がUPします
なるべく素早く抜けましょう</t>
    <phoneticPr fontId="5"/>
  </si>
  <si>
    <t>NULL</t>
    <phoneticPr fontId="5"/>
  </si>
  <si>
    <t>八咫烏は赤・青・黄属性に対して
それぞれ全体キラー攻撃を行います
複数属性のパーティで挑みましょう</t>
    <rPh sb="34" eb="36">
      <t>フクスウ</t>
    </rPh>
    <rPh sb="36" eb="38">
      <t>ゾクセイ</t>
    </rPh>
    <rPh sb="44" eb="45">
      <t>イドム</t>
    </rPh>
    <phoneticPr fontId="5"/>
  </si>
  <si>
    <t>ja</t>
    <phoneticPr fontId="5"/>
  </si>
  <si>
    <t>バハムートは緑パネルを赤パネルに変換した
次のターンに赤パネル吸収攻撃を行います</t>
    <phoneticPr fontId="5"/>
  </si>
  <si>
    <t>NULL</t>
    <phoneticPr fontId="5"/>
  </si>
  <si>
    <t>ユミルは定期的に自身の攻撃力をUPします
防御力UPのスキルを持つ
ユニットで対抗しましょう</t>
    <rPh sb="8" eb="10">
      <t>ジシンノ</t>
    </rPh>
    <phoneticPr fontId="5"/>
  </si>
  <si>
    <t>ニーズヘッグはユミルが倒されると
攻撃力が超大UPします
先に倒すべき相手を見極めましょう</t>
    <rPh sb="30" eb="31">
      <t>サキニ</t>
    </rPh>
    <rPh sb="32" eb="33">
      <t>タオスベキ</t>
    </rPh>
    <rPh sb="36" eb="38">
      <t>アイテヲ</t>
    </rPh>
    <rPh sb="39" eb="41">
      <t>ミキワメマショウ</t>
    </rPh>
    <phoneticPr fontId="5"/>
  </si>
  <si>
    <t>null</t>
    <phoneticPr fontId="5"/>
  </si>
  <si>
    <t>ja</t>
    <phoneticPr fontId="5"/>
  </si>
  <si>
    <t>セルフエンチャント</t>
    <phoneticPr fontId="5"/>
  </si>
  <si>
    <t>ja</t>
    <phoneticPr fontId="5"/>
  </si>
  <si>
    <t>威圧の眼光</t>
    <rPh sb="0" eb="2">
      <t>イアツ</t>
    </rPh>
    <rPh sb="3" eb="5">
      <t>ガンコウ</t>
    </rPh>
    <phoneticPr fontId="5"/>
  </si>
  <si>
    <t>機械仕掛けの氷弾</t>
    <rPh sb="0" eb="4">
      <t>キカイジカケ</t>
    </rPh>
    <rPh sb="6" eb="7">
      <t>コオリ</t>
    </rPh>
    <rPh sb="7" eb="8">
      <t>タマ</t>
    </rPh>
    <phoneticPr fontId="5"/>
  </si>
  <si>
    <t>ja</t>
    <phoneticPr fontId="5"/>
  </si>
  <si>
    <t>機械仕掛けの雷弾</t>
    <rPh sb="0" eb="4">
      <t>キカイジカケ</t>
    </rPh>
    <rPh sb="6" eb="7">
      <t>カミナリ</t>
    </rPh>
    <rPh sb="7" eb="8">
      <t>タマ</t>
    </rPh>
    <phoneticPr fontId="5"/>
  </si>
  <si>
    <t>ja</t>
    <phoneticPr fontId="5"/>
  </si>
  <si>
    <t>時差式爆炎弾</t>
    <rPh sb="0" eb="3">
      <t>ジサシキ</t>
    </rPh>
    <rPh sb="3" eb="5">
      <t>バクエン</t>
    </rPh>
    <rPh sb="5" eb="6">
      <t>タマ</t>
    </rPh>
    <phoneticPr fontId="5"/>
  </si>
  <si>
    <t>霊鳥の視界</t>
    <rPh sb="0" eb="2">
      <t>レイチョウ</t>
    </rPh>
    <rPh sb="3" eb="5">
      <t>シカイ</t>
    </rPh>
    <phoneticPr fontId="5"/>
  </si>
  <si>
    <t>[effect:break_attack_fix, target:unit_all, val:150, lowest_val:750, count:30, color:red, block01:block_red],[effect:fix_speed, target:myself, turn:2]</t>
    <phoneticPr fontId="5"/>
  </si>
  <si>
    <t>ヒートスライサー</t>
    <phoneticPr fontId="5"/>
  </si>
  <si>
    <t>赤パネルを吸収して全体攻撃（最大30個）</t>
    <rPh sb="14" eb="16">
      <t>サイダイ</t>
    </rPh>
    <rPh sb="18" eb="19">
      <t>コ</t>
    </rPh>
    <phoneticPr fontId="5"/>
  </si>
  <si>
    <t>グリーンクラッシャー</t>
    <phoneticPr fontId="5"/>
  </si>
  <si>
    <t>ラブパッション</t>
    <phoneticPr fontId="5"/>
  </si>
  <si>
    <t>鋼鉄の巨壁</t>
    <rPh sb="0" eb="2">
      <t>コウテツノ</t>
    </rPh>
    <rPh sb="3" eb="5">
      <t>キョヘキ</t>
    </rPh>
    <phoneticPr fontId="5"/>
  </si>
  <si>
    <t>赤を砕く機剣</t>
    <rPh sb="0" eb="1">
      <t>アカヲ</t>
    </rPh>
    <rPh sb="2" eb="3">
      <t>クダク</t>
    </rPh>
    <rPh sb="4" eb="5">
      <t>キコウ</t>
    </rPh>
    <rPh sb="5" eb="6">
      <t>ケン</t>
    </rPh>
    <phoneticPr fontId="5"/>
  </si>
  <si>
    <t>青を砕く機剣</t>
    <rPh sb="0" eb="1">
      <t>アオヲ</t>
    </rPh>
    <rPh sb="2" eb="3">
      <t>クダク</t>
    </rPh>
    <rPh sb="4" eb="5">
      <t>キカイ</t>
    </rPh>
    <rPh sb="5" eb="6">
      <t>ケン</t>
    </rPh>
    <phoneticPr fontId="5"/>
  </si>
  <si>
    <t>ja</t>
    <phoneticPr fontId="5"/>
  </si>
  <si>
    <t>破滅の火種</t>
    <rPh sb="0" eb="2">
      <t>ハメツノ</t>
    </rPh>
    <rPh sb="3" eb="5">
      <t>ヒダネ</t>
    </rPh>
    <phoneticPr fontId="5"/>
  </si>
  <si>
    <t>鋼鉄の凶身</t>
    <rPh sb="0" eb="2">
      <t>コウテツノ</t>
    </rPh>
    <rPh sb="3" eb="4">
      <t>キョウボウ</t>
    </rPh>
    <rPh sb="4" eb="5">
      <t>シンタイ</t>
    </rPh>
    <phoneticPr fontId="5"/>
  </si>
  <si>
    <t>鋼鉄の凶刃</t>
    <rPh sb="0" eb="2">
      <t>コウテツノ</t>
    </rPh>
    <rPh sb="3" eb="4">
      <t>キョウボウ</t>
    </rPh>
    <phoneticPr fontId="5"/>
  </si>
  <si>
    <t>イエローイーター</t>
    <phoneticPr fontId="5"/>
  </si>
  <si>
    <t>黄属性のユニットに大ダメージの全体攻撃</t>
    <rPh sb="0" eb="1">
      <t>キイロ</t>
    </rPh>
    <rPh sb="1" eb="3">
      <t>キゾクセイノ</t>
    </rPh>
    <phoneticPr fontId="5"/>
  </si>
  <si>
    <t>悪竜の暴散</t>
    <rPh sb="0" eb="1">
      <t>アク</t>
    </rPh>
    <rPh sb="1" eb="2">
      <t>リュウ</t>
    </rPh>
    <rPh sb="3" eb="4">
      <t>ボウソウ</t>
    </rPh>
    <rPh sb="4" eb="5">
      <t>サンカイ</t>
    </rPh>
    <phoneticPr fontId="5"/>
  </si>
  <si>
    <t>悪竜の逆襲</t>
    <rPh sb="0" eb="1">
      <t>アク</t>
    </rPh>
    <rPh sb="1" eb="2">
      <t>リュウ</t>
    </rPh>
    <phoneticPr fontId="5"/>
  </si>
  <si>
    <t>ニーズヘッグの攻撃力超大UP</t>
    <rPh sb="7" eb="10">
      <t>コウゲキリョク</t>
    </rPh>
    <phoneticPr fontId="5"/>
  </si>
  <si>
    <t>null</t>
    <phoneticPr fontId="5"/>
  </si>
  <si>
    <t>「塔の結界」はコスト31以上のユニットに
即死級のダメージを与えます
注意しましょう</t>
    <phoneticPr fontId="5"/>
  </si>
  <si>
    <t>コスト31以上のユニットに即死級の自爆攻撃</t>
    <rPh sb="5" eb="7">
      <t>イジョウ</t>
    </rPh>
    <rPh sb="13" eb="16">
      <t>ソクシキュウ</t>
    </rPh>
    <rPh sb="17" eb="19">
      <t>ジバク</t>
    </rPh>
    <rPh sb="19" eb="21">
      <t>コウゲキ</t>
    </rPh>
    <phoneticPr fontId="5"/>
  </si>
  <si>
    <t>ヒールポイズン</t>
    <phoneticPr fontId="5"/>
  </si>
  <si>
    <t xml:space="preserve">[effect:enemy_message, val1:1, val2:2.6],[effect:damage_anti_color, target:unit_all, color:red, val1:0.45, val2:0.18],[effect:fix_speed, target:myself, turn:1],[effect:sp_boost, target:unit_machine, val:1, animation:sp_boost_one03]    </t>
    <phoneticPr fontId="5"/>
  </si>
  <si>
    <t xml:space="preserve">[effect:enemy_message, val1:1, val2:2.6],[effect:damage_anti_color, target:unit_all, color:blue, val1:0.45, val2:0.18],[effect:fix_speed, target:myself, turn:1],[effect:sp_boost, target:unit_machine, val:1, animation:sp_boost_one03]  </t>
    <phoneticPr fontId="5"/>
  </si>
  <si>
    <t>ja</t>
    <phoneticPr fontId="5"/>
  </si>
  <si>
    <t xml:space="preserve">[effect:enhance_enemy, target:myself, turn:-1, status:attack, val:1, calc:mul, animation:enemy_enhance_attack]    </t>
    <phoneticPr fontId="5"/>
  </si>
  <si>
    <t>[effect:tolerance, target:myself, turn:-1, tolerance_effect:all, count:-1, animation:enemy_tolerance],[effect:enhance_enemy, target:myself, turn:5, status:defense, val:5000, calc:add, animation:enemy_enhance_defense],[effect:fix_speed, target:myself, turn:1]</t>
    <phoneticPr fontId="5"/>
  </si>
  <si>
    <t xml:space="preserve">[effect:enemy_message, val1:1, val2:2.6],[effect:damage_anti_color, target:unit_all, color:blue, val1:0.36, val2:0.16],[effect:sp_boost, target:unit_machine, val:1, animation:sp_boost_one03]  </t>
    <phoneticPr fontId="5"/>
  </si>
  <si>
    <t>[effect:damage_anti_color, target:unit_all, color:green, val1:0.95, val2:0.05]</t>
    <phoneticPr fontId="5"/>
  </si>
  <si>
    <t>緑属性に大ダメージの全体攻撃</t>
    <phoneticPr fontId="5"/>
  </si>
  <si>
    <t>自然の破壊</t>
    <phoneticPr fontId="5"/>
  </si>
  <si>
    <t>緑パネルを赤パネルに変換</t>
    <rPh sb="0" eb="1">
      <t>ミドリパネル</t>
    </rPh>
    <rPh sb="5" eb="6">
      <t>アカ</t>
    </rPh>
    <rPh sb="10" eb="12">
      <t>ヘンカン</t>
    </rPh>
    <phoneticPr fontId="5"/>
  </si>
  <si>
    <t>[effect:damage_anti_color, target:unit_all, color:yellow, val1:1.35, val2:0.01],[effect:fix_speed, target:myself, turn:1]</t>
    <phoneticPr fontId="5"/>
  </si>
  <si>
    <t>[effect:damage_anti_color, target:unit_all, color:green, val1:0.9, val2:0.03],[effect:damage_anti_tribe, target:unit_all, tribe:animal, val1:0.88, val2:0.01]</t>
    <phoneticPr fontId="5"/>
  </si>
  <si>
    <t>攻撃力超大UP</t>
    <rPh sb="4" eb="5">
      <t>チョウダイ</t>
    </rPh>
    <phoneticPr fontId="5"/>
  </si>
  <si>
    <t>赤属性に大ダメージの全体攻撃+
種族マシンのスキルゲージ1上昇</t>
    <rPh sb="0" eb="1">
      <t>アカ</t>
    </rPh>
    <rPh sb="1" eb="3">
      <t>ゾクセイ</t>
    </rPh>
    <rPh sb="4" eb="5">
      <t>ダイダメージ</t>
    </rPh>
    <phoneticPr fontId="5"/>
  </si>
  <si>
    <t>青属性に大ダメージの全体攻撃+
種族マシンのスキルゲージ1上昇</t>
    <rPh sb="0" eb="1">
      <t>アオ</t>
    </rPh>
    <rPh sb="1" eb="3">
      <t>ゾクセイ</t>
    </rPh>
    <rPh sb="4" eb="5">
      <t>ダイダメージ</t>
    </rPh>
    <phoneticPr fontId="5"/>
  </si>
  <si>
    <t>クリティカル+黄パネルを最大4個まで
時限式ダメージパネルに変換</t>
    <phoneticPr fontId="5"/>
  </si>
  <si>
    <t>緑属性に大ダメージの全体攻撃+
種族アニマルに大ダメージの全体攻撃</t>
    <phoneticPr fontId="5"/>
  </si>
  <si>
    <t>状態異常耐性+3ターン防御力大UP</t>
    <rPh sb="11" eb="14">
      <t>ボウギョリョク</t>
    </rPh>
    <rPh sb="14" eb="15">
      <t>ダイ</t>
    </rPh>
    <phoneticPr fontId="5"/>
  </si>
  <si>
    <t>状態異常耐性+5ターン防御力UP</t>
    <rPh sb="13" eb="14">
      <t>チカラ</t>
    </rPh>
    <phoneticPr fontId="5"/>
  </si>
  <si>
    <t>[effect:critical, val:0.5],[effect:enemy_message, val1:1, val2:2.2],[effect:force_change_block, new_block:time_bomb, target:block_yellow, ignore01:crash, ignore02:crack_bomb, ignore03:time_bomb, color:block_yellow, count:6, val:0.1, min_time_count:2, max_time_count:3 animation:change_block]</t>
    <phoneticPr fontId="5"/>
  </si>
  <si>
    <t>クリティカル+
黄パネルを時限式ダメージパネルに変換(最大6個)</t>
    <phoneticPr fontId="5"/>
  </si>
  <si>
    <t>クリティカル+
赤パネルを時限式ダメージパネルに変換(最大5個)</t>
    <rPh sb="8" eb="9">
      <t>アカパネル</t>
    </rPh>
    <rPh sb="13" eb="16">
      <t>ジゲンシキ</t>
    </rPh>
    <rPh sb="24" eb="26">
      <t>ヘンカn</t>
    </rPh>
    <phoneticPr fontId="5"/>
  </si>
  <si>
    <t>[effect:critical, val:1],[effect:enemy_message, val1:1, val2:2.2],[effect:force_change_block, new_block:time_bomb, target:block_red, ignore01:crash, ignore02:crack_bomb, ignore03:time_bomb, color:block_red, count:5, val:0.1, min_time_count:2, max_time_count:3, animation:change_block]</t>
    <phoneticPr fontId="5"/>
  </si>
  <si>
    <t>回復タイプのユニットに11ターンウィルス</t>
    <phoneticPr fontId="5"/>
  </si>
  <si>
    <t>[effect:enemy_message, val1:1, val2:2.6],[effect:virus, target:unit_heal, turn:11, rate:1, val:0.62, animation:enemy_virus],[effect:fix_speed, target:myself, turn:1]</t>
    <phoneticPr fontId="5"/>
  </si>
  <si>
    <t>[effect:enhance_enemy, target:myself, turn:3, status:attack, val:0.65, calc:mul, animation:enemy_enhance_attack],[effect:enhance_enemy, target:myself, turn:3, status:defense, val:2000, calc:add, animation:enemy_enhance_defense],[effect:fix_speed, target:myself, turn:1]</t>
    <phoneticPr fontId="5"/>
  </si>
  <si>
    <t>2ターン攻撃力大UP+3ターン防御力UP</t>
    <rPh sb="4" eb="7">
      <t>コウゲキリョク</t>
    </rPh>
    <rPh sb="7" eb="8">
      <t>チョウダイ</t>
    </rPh>
    <rPh sb="15" eb="18">
      <t>ボウギョリョク</t>
    </rPh>
    <phoneticPr fontId="5"/>
  </si>
  <si>
    <t>3ターン攻撃力大UP＆防御力UP</t>
    <rPh sb="4" eb="7">
      <t>コウゲキリョク</t>
    </rPh>
    <rPh sb="11" eb="14">
      <t>ボウギョリョク</t>
    </rPh>
    <phoneticPr fontId="5"/>
  </si>
  <si>
    <t>[effect:enemy_message, val1:1, val2:2.3],[effect:enhance_enemy, target:myself, turn:2, status:attack, val:0.65, calc:mul, animation:enemy_enhance_attack],[effect:enhance_enemy, target:myself, turn:3, status:defense, val:2000, calc:add, animation:enemy_enhance_defense]</t>
    <phoneticPr fontId="5"/>
  </si>
  <si>
    <t>[effect:enhance_enemy, target:myself, turn:5, status:attack, val:0.8, calc:mul, animation:enemy_enhance_attack]</t>
    <phoneticPr fontId="5"/>
  </si>
  <si>
    <t>5ターン攻撃力大UP</t>
    <rPh sb="4" eb="7">
      <t>コウゲキリョク</t>
    </rPh>
    <phoneticPr fontId="5"/>
  </si>
  <si>
    <t>[effect:enhance_enemy, target:myself, turn:-1, status:attack, val:1, calc:mul, animation:enemy_enhance_attack]</t>
    <phoneticPr fontId="5"/>
  </si>
  <si>
    <t>[effect:enemy_message, val1:1, val2:2.8],[effect:damage_anti_cost, target:unit_all, lower:31, val1:99, val2:0.01, cost_type:unit],[effect:damage_anti_cost, target:unit_all, lower:31, val1:99, val2:0.01, cost_type:unit],[effect:suicide, val:1, dead_type:suicide, target:myself]</t>
    <phoneticPr fontId="5"/>
  </si>
  <si>
    <t>[effect:tolerance, target:myself, turn:-1, tolerance_effect:all, count:-1, animation:enemy_tolerance],[effect:enhance_enemy, target:myself, turn:3, status:defense, val:5000, calc:add, animation:enemy_enhance_defense],[effect:fix_speed, target:myself, turn:1]</t>
    <phoneticPr fontId="5"/>
  </si>
  <si>
    <t>[effect:force_change_block, new_block:block_red, target:block_green, ignore01:crash, ignore02:crack_bomb, ignore03:time_bomb, count:0, val:0, animation:change_block],[effect:enemy_message, val1:1.3, val2:1.5]</t>
    <phoneticPr fontId="5"/>
  </si>
  <si>
    <t>[effect:enemy_message, val1:1, val2:2.6],[effect:damage_anti_color, target:unit_all, color:red, val1:0.36, val2:0.16],[effect:sp_boost, target:unit_machine, val:1, animation:sp_boost_one03]</t>
    <phoneticPr fontId="5"/>
  </si>
  <si>
    <t>13302_11</t>
    <phoneticPr fontId="5"/>
  </si>
  <si>
    <t>old</t>
  </si>
  <si>
    <t>[effect:critical, val:0.8],[effect:enemy_message, val1:1, val2:2.2],[effect:force_change_block, new_block:time_bomb, target:block_yellow, ignore01:crash, ignore02:crack_bomb, ignore03:time_bomb, color:block_yellow, count:4, val:0.16, min_time_count:2, max_time_count:2, animation:change_block],[effect:fix_speed, target:myself, turn:1]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</si>
</sst>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2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24"/>
      </patternFill>
    </fill>
    <fill>
      <patternFill patternType="solid">
        <fgColor rgb="FF92D050"/>
        <bgColor indexed="64"/>
      </patternFill>
    </fill>
  </fills>
  <borders count="2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</borders>
  <cellStyleXfs count="702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2" applyNumberFormat="0" applyAlignment="0" applyProtection="0"/>
    <xf numFmtId="0" fontId="33" fillId="17" borderId="0" applyNumberFormat="0" applyBorder="0" applyAlignment="0" applyProtection="0"/>
    <xf numFmtId="0" fontId="34" fillId="18" borderId="13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4" applyNumberFormat="0" applyAlignment="0" applyProtection="0"/>
    <xf numFmtId="0" fontId="38" fillId="0" borderId="0" applyNumberFormat="0" applyFill="0" applyBorder="0" applyAlignment="0" applyProtection="0"/>
    <xf numFmtId="0" fontId="39" fillId="0" borderId="15" applyNumberFormat="0" applyFill="0" applyAlignment="0" applyProtection="0"/>
    <xf numFmtId="0" fontId="40" fillId="0" borderId="16" applyNumberFormat="0" applyFill="0" applyAlignment="0" applyProtection="0"/>
    <xf numFmtId="0" fontId="41" fillId="0" borderId="17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8" applyNumberFormat="0" applyFill="0" applyAlignment="0" applyProtection="0"/>
    <xf numFmtId="0" fontId="46" fillId="18" borderId="19" applyNumberFormat="0" applyAlignment="0" applyProtection="0"/>
    <xf numFmtId="0" fontId="46" fillId="29" borderId="19" applyNumberFormat="0" applyAlignment="0" applyProtection="0"/>
    <xf numFmtId="0" fontId="34" fillId="17" borderId="13" applyNumberFormat="0" applyAlignment="0" applyProtection="0"/>
    <xf numFmtId="0" fontId="47" fillId="0" borderId="20" applyNumberFormat="0" applyFill="0" applyAlignment="0" applyProtection="0"/>
    <xf numFmtId="0" fontId="48" fillId="29" borderId="13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1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11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1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1" xfId="0" applyFont="1" applyFill="1" applyBorder="1" applyAlignment="1">
      <alignment vertical="center"/>
    </xf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16" fillId="6" borderId="7" xfId="11" applyFont="1" applyFill="1" applyBorder="1" applyAlignment="1">
      <alignment horizontal="left"/>
    </xf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30" fillId="3" borderId="7" xfId="0" applyFont="1" applyFill="1" applyBorder="1"/>
    <xf numFmtId="22" fontId="30" fillId="0" borderId="7" xfId="0" quotePrefix="1" applyNumberFormat="1" applyFont="1" applyFill="1" applyBorder="1"/>
    <xf numFmtId="0" fontId="30" fillId="0" borderId="7" xfId="0" quotePrefix="1" applyFont="1" applyFill="1" applyBorder="1"/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0" fontId="6" fillId="32" borderId="3" xfId="0" applyFont="1" applyFill="1" applyBorder="1" applyAlignment="1">
      <alignment vertical="center"/>
    </xf>
    <xf numFmtId="38" fontId="16" fillId="0" borderId="7" xfId="628" applyFont="1" applyFill="1" applyBorder="1" applyAlignment="1">
      <alignment wrapText="1"/>
    </xf>
    <xf numFmtId="0" fontId="0" fillId="0" borderId="0" xfId="0" applyAlignment="1">
      <alignment wrapText="1"/>
    </xf>
    <xf numFmtId="0" fontId="30" fillId="14" borderId="7" xfId="0" applyFont="1" applyFill="1" applyBorder="1"/>
    <xf numFmtId="0" fontId="16" fillId="33" borderId="7" xfId="0" applyFont="1" applyFill="1" applyBorder="1" applyAlignment="1">
      <alignment vertical="center"/>
    </xf>
    <xf numFmtId="0" fontId="16" fillId="13" borderId="7" xfId="0" applyFont="1" applyFill="1" applyBorder="1" applyAlignment="1">
      <alignment vertical="center"/>
    </xf>
    <xf numFmtId="0" fontId="4" fillId="0" borderId="7" xfId="0" applyFont="1" applyFill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3" borderId="7" xfId="0" applyFont="1" applyFill="1" applyBorder="1" applyAlignment="1">
      <alignment vertical="center"/>
    </xf>
    <xf numFmtId="0" fontId="4" fillId="0" borderId="7" xfId="0" applyFont="1" applyFill="1" applyBorder="1" applyAlignment="1">
      <alignment vertical="center"/>
    </xf>
  </cellXfs>
  <cellStyles count="702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赤字強調" xfId="431"/>
    <cellStyle name="青字強調" xfId="43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externalLink" Target="externalLinks/externalLink6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Hodotsuka-Kashin/Documents/BULL_data/master_excel/EnemyHabitatsMasterData_ResetTower_1_13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12001</v>
          </cell>
        </row>
        <row r="87">
          <cell r="A87">
            <v>12002</v>
          </cell>
        </row>
        <row r="88">
          <cell r="A88">
            <v>12003</v>
          </cell>
        </row>
        <row r="89">
          <cell r="A89">
            <v>12004</v>
          </cell>
        </row>
        <row r="90">
          <cell r="A90">
            <v>13001</v>
          </cell>
        </row>
        <row r="91">
          <cell r="A91">
            <v>13101</v>
          </cell>
        </row>
        <row r="92">
          <cell r="A92">
            <v>13300</v>
          </cell>
        </row>
        <row r="93">
          <cell r="A93">
            <v>13301</v>
          </cell>
        </row>
        <row r="94">
          <cell r="A94">
            <v>13302</v>
          </cell>
        </row>
        <row r="95">
          <cell r="A95">
            <v>13400</v>
          </cell>
        </row>
        <row r="96">
          <cell r="A96">
            <v>14001</v>
          </cell>
        </row>
        <row r="97">
          <cell r="A97">
            <v>14002</v>
          </cell>
        </row>
        <row r="98">
          <cell r="A98">
            <v>14003</v>
          </cell>
        </row>
        <row r="99">
          <cell r="A99">
            <v>14004</v>
          </cell>
        </row>
        <row r="100">
          <cell r="A100">
            <v>14005</v>
          </cell>
        </row>
        <row r="101">
          <cell r="A101">
            <v>14006</v>
          </cell>
        </row>
        <row r="102">
          <cell r="A102">
            <v>15027</v>
          </cell>
        </row>
        <row r="103">
          <cell r="A103">
            <v>15028</v>
          </cell>
        </row>
        <row r="104">
          <cell r="A104">
            <v>15029</v>
          </cell>
        </row>
        <row r="105">
          <cell r="A105">
            <v>15030</v>
          </cell>
        </row>
        <row r="106">
          <cell r="A106">
            <v>15031</v>
          </cell>
        </row>
        <row r="107">
          <cell r="A107">
            <v>20001</v>
          </cell>
        </row>
        <row r="108">
          <cell r="A108">
            <v>20002</v>
          </cell>
        </row>
        <row r="109">
          <cell r="A109">
            <v>20003</v>
          </cell>
        </row>
        <row r="110">
          <cell r="A110">
            <v>20004</v>
          </cell>
        </row>
        <row r="111">
          <cell r="A111">
            <v>20005</v>
          </cell>
        </row>
        <row r="112">
          <cell r="A112">
            <v>20006</v>
          </cell>
        </row>
        <row r="113">
          <cell r="A113">
            <v>20007</v>
          </cell>
        </row>
        <row r="114">
          <cell r="A114">
            <v>20008</v>
          </cell>
        </row>
        <row r="115">
          <cell r="A115">
            <v>20009</v>
          </cell>
        </row>
        <row r="116">
          <cell r="A116">
            <v>20010</v>
          </cell>
        </row>
        <row r="117">
          <cell r="A117">
            <v>20011</v>
          </cell>
        </row>
        <row r="118">
          <cell r="A118">
            <v>20012</v>
          </cell>
        </row>
        <row r="119">
          <cell r="A119">
            <v>20013</v>
          </cell>
        </row>
        <row r="120">
          <cell r="A120">
            <v>20014</v>
          </cell>
        </row>
        <row r="121">
          <cell r="A121">
            <v>20015</v>
          </cell>
        </row>
        <row r="122">
          <cell r="A122">
            <v>20016</v>
          </cell>
        </row>
        <row r="123">
          <cell r="A123">
            <v>20017</v>
          </cell>
        </row>
        <row r="124">
          <cell r="A124">
            <v>20018</v>
          </cell>
        </row>
        <row r="125">
          <cell r="A125">
            <v>20019</v>
          </cell>
        </row>
        <row r="126">
          <cell r="A126">
            <v>20020</v>
          </cell>
        </row>
        <row r="127">
          <cell r="A127">
            <v>20021</v>
          </cell>
        </row>
        <row r="128">
          <cell r="A128">
            <v>20022</v>
          </cell>
        </row>
        <row r="129">
          <cell r="A129">
            <v>30001</v>
          </cell>
        </row>
        <row r="130">
          <cell r="A130">
            <v>30002</v>
          </cell>
        </row>
        <row r="131">
          <cell r="A131">
            <v>30003</v>
          </cell>
        </row>
        <row r="132">
          <cell r="A132">
            <v>30004</v>
          </cell>
        </row>
        <row r="133">
          <cell r="A133">
            <v>30005</v>
          </cell>
        </row>
        <row r="134">
          <cell r="A134">
            <v>30006</v>
          </cell>
        </row>
        <row r="135">
          <cell r="A135">
            <v>30007</v>
          </cell>
        </row>
        <row r="136">
          <cell r="A136">
            <v>30008</v>
          </cell>
        </row>
        <row r="137">
          <cell r="A137">
            <v>30009</v>
          </cell>
        </row>
        <row r="138">
          <cell r="A138">
            <v>30010</v>
          </cell>
        </row>
        <row r="139">
          <cell r="A139">
            <v>30011</v>
          </cell>
        </row>
        <row r="140">
          <cell r="A140">
            <v>30012</v>
          </cell>
        </row>
        <row r="141">
          <cell r="A141">
            <v>30013</v>
          </cell>
        </row>
        <row r="142">
          <cell r="A142">
            <v>30014</v>
          </cell>
        </row>
        <row r="143">
          <cell r="A143">
            <v>30015</v>
          </cell>
        </row>
        <row r="144">
          <cell r="A144">
            <v>30016</v>
          </cell>
        </row>
        <row r="145">
          <cell r="A145">
            <v>30017</v>
          </cell>
        </row>
        <row r="146">
          <cell r="A146">
            <v>30018</v>
          </cell>
        </row>
        <row r="147">
          <cell r="A147">
            <v>30019</v>
          </cell>
        </row>
        <row r="148">
          <cell r="A148">
            <v>30020</v>
          </cell>
        </row>
        <row r="149">
          <cell r="A149">
            <v>30021</v>
          </cell>
        </row>
        <row r="150">
          <cell r="A150">
            <v>30022</v>
          </cell>
        </row>
        <row r="151">
          <cell r="A151">
            <v>30023</v>
          </cell>
        </row>
        <row r="152">
          <cell r="A152">
            <v>30024</v>
          </cell>
        </row>
        <row r="153">
          <cell r="A153">
            <v>30025</v>
          </cell>
        </row>
        <row r="154">
          <cell r="A154">
            <v>30026</v>
          </cell>
        </row>
        <row r="155">
          <cell r="A155">
            <v>30027</v>
          </cell>
        </row>
        <row r="156">
          <cell r="A156">
            <v>30028</v>
          </cell>
        </row>
        <row r="157">
          <cell r="A157">
            <v>30029</v>
          </cell>
        </row>
        <row r="158">
          <cell r="A158">
            <v>30030</v>
          </cell>
        </row>
        <row r="159">
          <cell r="A159">
            <v>30031</v>
          </cell>
        </row>
        <row r="160">
          <cell r="A160">
            <v>30032</v>
          </cell>
        </row>
        <row r="161">
          <cell r="A161">
            <v>30033</v>
          </cell>
        </row>
        <row r="162">
          <cell r="A162">
            <v>30034</v>
          </cell>
        </row>
        <row r="163">
          <cell r="A163">
            <v>30035</v>
          </cell>
        </row>
        <row r="164">
          <cell r="A164">
            <v>30036</v>
          </cell>
        </row>
        <row r="165">
          <cell r="A165">
            <v>30037</v>
          </cell>
        </row>
        <row r="166">
          <cell r="A166">
            <v>30038</v>
          </cell>
        </row>
        <row r="167">
          <cell r="A167">
            <v>30039</v>
          </cell>
        </row>
        <row r="168">
          <cell r="A168">
            <v>30040</v>
          </cell>
        </row>
        <row r="169">
          <cell r="A169">
            <v>30041</v>
          </cell>
        </row>
        <row r="170">
          <cell r="A170">
            <v>30042</v>
          </cell>
        </row>
        <row r="171">
          <cell r="A171">
            <v>30043</v>
          </cell>
        </row>
        <row r="172">
          <cell r="A172">
            <v>30044</v>
          </cell>
        </row>
        <row r="173">
          <cell r="A173">
            <v>30045</v>
          </cell>
        </row>
        <row r="174">
          <cell r="A174">
            <v>30046</v>
          </cell>
        </row>
        <row r="175">
          <cell r="A175">
            <v>30047</v>
          </cell>
        </row>
        <row r="176">
          <cell r="A176">
            <v>30048</v>
          </cell>
        </row>
        <row r="177">
          <cell r="A177">
            <v>39001</v>
          </cell>
        </row>
        <row r="178">
          <cell r="A178">
            <v>39002</v>
          </cell>
        </row>
        <row r="179">
          <cell r="A179">
            <v>39003</v>
          </cell>
        </row>
        <row r="180">
          <cell r="A180">
            <v>39004</v>
          </cell>
        </row>
        <row r="181">
          <cell r="A181">
            <v>39005</v>
          </cell>
        </row>
        <row r="182">
          <cell r="A182">
            <v>39006</v>
          </cell>
        </row>
        <row r="183">
          <cell r="A183">
            <v>39007</v>
          </cell>
        </row>
        <row r="184">
          <cell r="A184">
            <v>39008</v>
          </cell>
        </row>
        <row r="185">
          <cell r="A185">
            <v>39009</v>
          </cell>
        </row>
        <row r="186">
          <cell r="A186">
            <v>39010</v>
          </cell>
        </row>
        <row r="187">
          <cell r="A187">
            <v>39011</v>
          </cell>
        </row>
        <row r="188">
          <cell r="A188">
            <v>40001</v>
          </cell>
        </row>
        <row r="189">
          <cell r="A189">
            <v>40002</v>
          </cell>
        </row>
        <row r="190">
          <cell r="A190">
            <v>40003</v>
          </cell>
        </row>
        <row r="191">
          <cell r="A191">
            <v>40004</v>
          </cell>
        </row>
        <row r="192">
          <cell r="A192">
            <v>40005</v>
          </cell>
        </row>
        <row r="193">
          <cell r="A193">
            <v>40006</v>
          </cell>
        </row>
        <row r="194">
          <cell r="A194">
            <v>40007</v>
          </cell>
        </row>
        <row r="195">
          <cell r="A195">
            <v>40008</v>
          </cell>
        </row>
        <row r="196">
          <cell r="A196">
            <v>40009</v>
          </cell>
        </row>
        <row r="197">
          <cell r="A197">
            <v>40010</v>
          </cell>
        </row>
        <row r="198">
          <cell r="A198">
            <v>40011</v>
          </cell>
        </row>
        <row r="199">
          <cell r="A199">
            <v>40012</v>
          </cell>
        </row>
        <row r="200">
          <cell r="A200">
            <v>40013</v>
          </cell>
        </row>
        <row r="201">
          <cell r="A201">
            <v>40014</v>
          </cell>
        </row>
        <row r="202">
          <cell r="A202">
            <v>40015</v>
          </cell>
        </row>
        <row r="203">
          <cell r="A203">
            <v>40016</v>
          </cell>
        </row>
        <row r="204">
          <cell r="A204">
            <v>40017</v>
          </cell>
        </row>
        <row r="205">
          <cell r="A205">
            <v>40018</v>
          </cell>
        </row>
        <row r="206">
          <cell r="A206">
            <v>40019</v>
          </cell>
        </row>
        <row r="207">
          <cell r="A207">
            <v>40021</v>
          </cell>
        </row>
        <row r="208">
          <cell r="A208">
            <v>40022</v>
          </cell>
        </row>
        <row r="209">
          <cell r="A209">
            <v>40023</v>
          </cell>
        </row>
        <row r="210">
          <cell r="A210">
            <v>40024</v>
          </cell>
        </row>
        <row r="211">
          <cell r="A211">
            <v>40025</v>
          </cell>
        </row>
        <row r="212">
          <cell r="A212">
            <v>40026</v>
          </cell>
        </row>
        <row r="213">
          <cell r="A213">
            <v>40027</v>
          </cell>
        </row>
        <row r="214">
          <cell r="A214">
            <v>40028</v>
          </cell>
        </row>
        <row r="215">
          <cell r="A215">
            <v>40029</v>
          </cell>
        </row>
        <row r="216">
          <cell r="A216">
            <v>40030</v>
          </cell>
        </row>
        <row r="217">
          <cell r="A217">
            <v>40031</v>
          </cell>
        </row>
        <row r="218">
          <cell r="A218">
            <v>40032</v>
          </cell>
        </row>
        <row r="219">
          <cell r="A219">
            <v>40033</v>
          </cell>
        </row>
        <row r="220">
          <cell r="A220">
            <v>40034</v>
          </cell>
        </row>
        <row r="221">
          <cell r="A221">
            <v>40035</v>
          </cell>
        </row>
        <row r="222">
          <cell r="A222">
            <v>40036</v>
          </cell>
        </row>
        <row r="223">
          <cell r="A223">
            <v>40037</v>
          </cell>
        </row>
        <row r="224">
          <cell r="A224">
            <v>40038</v>
          </cell>
        </row>
        <row r="225">
          <cell r="A225">
            <v>40039</v>
          </cell>
        </row>
        <row r="226">
          <cell r="A226">
            <v>40040</v>
          </cell>
        </row>
        <row r="227">
          <cell r="A227">
            <v>40041</v>
          </cell>
        </row>
        <row r="228">
          <cell r="A228">
            <v>40042</v>
          </cell>
        </row>
        <row r="229">
          <cell r="A229">
            <v>40043</v>
          </cell>
        </row>
        <row r="230">
          <cell r="A230">
            <v>48001</v>
          </cell>
        </row>
        <row r="231">
          <cell r="A231">
            <v>48002</v>
          </cell>
        </row>
        <row r="232">
          <cell r="A232">
            <v>48003</v>
          </cell>
        </row>
        <row r="233">
          <cell r="A233">
            <v>48004</v>
          </cell>
        </row>
        <row r="234">
          <cell r="A234">
            <v>48005</v>
          </cell>
        </row>
        <row r="235">
          <cell r="A235">
            <v>48006</v>
          </cell>
        </row>
        <row r="236">
          <cell r="A236">
            <v>48007</v>
          </cell>
        </row>
        <row r="237">
          <cell r="A237">
            <v>48008</v>
          </cell>
        </row>
        <row r="238">
          <cell r="A238">
            <v>48009</v>
          </cell>
        </row>
        <row r="239">
          <cell r="A239">
            <v>48010</v>
          </cell>
        </row>
        <row r="240">
          <cell r="A240">
            <v>48011</v>
          </cell>
        </row>
        <row r="241">
          <cell r="A241">
            <v>48501</v>
          </cell>
        </row>
        <row r="242">
          <cell r="A242">
            <v>41001</v>
          </cell>
        </row>
        <row r="243">
          <cell r="A243">
            <v>41002</v>
          </cell>
        </row>
        <row r="244">
          <cell r="A244">
            <v>41003</v>
          </cell>
        </row>
        <row r="245">
          <cell r="A245">
            <v>41004</v>
          </cell>
        </row>
        <row r="246">
          <cell r="A246">
            <v>41005</v>
          </cell>
        </row>
        <row r="247">
          <cell r="A247">
            <v>41006</v>
          </cell>
        </row>
        <row r="248">
          <cell r="A248">
            <v>41007</v>
          </cell>
        </row>
        <row r="249">
          <cell r="A249">
            <v>41008</v>
          </cell>
        </row>
        <row r="250">
          <cell r="A250">
            <v>41009</v>
          </cell>
        </row>
        <row r="251">
          <cell r="A251">
            <v>41010</v>
          </cell>
        </row>
        <row r="252">
          <cell r="A252">
            <v>41011</v>
          </cell>
        </row>
        <row r="253">
          <cell r="A253">
            <v>41012</v>
          </cell>
        </row>
        <row r="254">
          <cell r="A254">
            <v>41013</v>
          </cell>
        </row>
        <row r="255">
          <cell r="A255">
            <v>41014</v>
          </cell>
        </row>
        <row r="256">
          <cell r="A256">
            <v>41015</v>
          </cell>
        </row>
        <row r="257">
          <cell r="A257">
            <v>47001</v>
          </cell>
        </row>
        <row r="258">
          <cell r="A258">
            <v>47002</v>
          </cell>
        </row>
        <row r="259">
          <cell r="A259">
            <v>47003</v>
          </cell>
        </row>
        <row r="260">
          <cell r="A260">
            <v>47004</v>
          </cell>
        </row>
        <row r="261">
          <cell r="A261">
            <v>47005</v>
          </cell>
        </row>
        <row r="262">
          <cell r="A262">
            <v>47006</v>
          </cell>
        </row>
        <row r="263">
          <cell r="A263">
            <v>47007</v>
          </cell>
        </row>
        <row r="264">
          <cell r="A264">
            <v>47008</v>
          </cell>
        </row>
        <row r="265">
          <cell r="A265">
            <v>49001</v>
          </cell>
        </row>
        <row r="266">
          <cell r="A266">
            <v>49002</v>
          </cell>
        </row>
        <row r="267">
          <cell r="A267">
            <v>49003</v>
          </cell>
        </row>
        <row r="268">
          <cell r="A268">
            <v>49004</v>
          </cell>
        </row>
        <row r="269">
          <cell r="A269">
            <v>49005</v>
          </cell>
        </row>
        <row r="270">
          <cell r="A270">
            <v>49006</v>
          </cell>
        </row>
        <row r="271">
          <cell r="A271">
            <v>49007</v>
          </cell>
        </row>
        <row r="272">
          <cell r="A272">
            <v>49008</v>
          </cell>
        </row>
        <row r="273">
          <cell r="A273">
            <v>49009</v>
          </cell>
        </row>
        <row r="274">
          <cell r="A274">
            <v>49010</v>
          </cell>
        </row>
        <row r="275">
          <cell r="A275">
            <v>49011</v>
          </cell>
        </row>
        <row r="276">
          <cell r="A276">
            <v>49012</v>
          </cell>
        </row>
        <row r="277">
          <cell r="A277">
            <v>49013</v>
          </cell>
        </row>
        <row r="278">
          <cell r="A278">
            <v>50001</v>
          </cell>
        </row>
        <row r="279">
          <cell r="A279">
            <v>50002</v>
          </cell>
        </row>
        <row r="280">
          <cell r="A280">
            <v>50003</v>
          </cell>
        </row>
        <row r="281">
          <cell r="A281">
            <v>50004</v>
          </cell>
        </row>
        <row r="282">
          <cell r="A282">
            <v>50005</v>
          </cell>
        </row>
        <row r="283">
          <cell r="A283">
            <v>50006</v>
          </cell>
        </row>
        <row r="284">
          <cell r="A284">
            <v>50007</v>
          </cell>
        </row>
        <row r="285">
          <cell r="A285">
            <v>50008</v>
          </cell>
        </row>
        <row r="286">
          <cell r="A286">
            <v>50009</v>
          </cell>
        </row>
        <row r="287">
          <cell r="A287">
            <v>50010</v>
          </cell>
        </row>
        <row r="288">
          <cell r="A288">
            <v>50011</v>
          </cell>
        </row>
        <row r="289">
          <cell r="A289">
            <v>50012</v>
          </cell>
        </row>
        <row r="290">
          <cell r="A290">
            <v>50013</v>
          </cell>
        </row>
        <row r="291">
          <cell r="A291">
            <v>50014</v>
          </cell>
        </row>
        <row r="292">
          <cell r="A292">
            <v>51001</v>
          </cell>
        </row>
        <row r="293">
          <cell r="A293">
            <v>51002</v>
          </cell>
        </row>
        <row r="294">
          <cell r="A294">
            <v>59001</v>
          </cell>
        </row>
        <row r="295">
          <cell r="A295">
            <v>60001</v>
          </cell>
        </row>
        <row r="296">
          <cell r="A296">
            <v>60002</v>
          </cell>
        </row>
        <row r="297">
          <cell r="A297">
            <v>60003</v>
          </cell>
        </row>
        <row r="298">
          <cell r="A298">
            <v>60004</v>
          </cell>
        </row>
        <row r="299">
          <cell r="A299">
            <v>60005</v>
          </cell>
        </row>
        <row r="300">
          <cell r="A300">
            <v>60006</v>
          </cell>
        </row>
        <row r="301">
          <cell r="A301">
            <v>60007</v>
          </cell>
        </row>
        <row r="302">
          <cell r="A302">
            <v>60010</v>
          </cell>
        </row>
        <row r="303">
          <cell r="A303">
            <v>60011</v>
          </cell>
        </row>
        <row r="304">
          <cell r="A304">
            <v>61011</v>
          </cell>
        </row>
        <row r="305">
          <cell r="A305">
            <v>60012</v>
          </cell>
        </row>
        <row r="306">
          <cell r="A306">
            <v>60013</v>
          </cell>
        </row>
        <row r="307">
          <cell r="A307">
            <v>60014</v>
          </cell>
        </row>
        <row r="308">
          <cell r="A308">
            <v>60015</v>
          </cell>
        </row>
        <row r="309">
          <cell r="A309">
            <v>60016</v>
          </cell>
        </row>
        <row r="310">
          <cell r="A310">
            <v>60017</v>
          </cell>
        </row>
        <row r="311">
          <cell r="A311">
            <v>60018</v>
          </cell>
        </row>
        <row r="312">
          <cell r="A312">
            <v>60019</v>
          </cell>
        </row>
        <row r="313">
          <cell r="A313">
            <v>60020</v>
          </cell>
        </row>
        <row r="314">
          <cell r="A314">
            <v>60025</v>
          </cell>
        </row>
        <row r="315">
          <cell r="A315">
            <v>60026</v>
          </cell>
        </row>
        <row r="316">
          <cell r="A316">
            <v>60027</v>
          </cell>
        </row>
        <row r="317">
          <cell r="A317">
            <v>65525</v>
          </cell>
        </row>
        <row r="318">
          <cell r="A318">
            <v>65526</v>
          </cell>
        </row>
        <row r="319">
          <cell r="A319">
            <v>65527</v>
          </cell>
        </row>
        <row r="320">
          <cell r="A320">
            <v>65528</v>
          </cell>
        </row>
        <row r="321">
          <cell r="A321">
            <v>65529</v>
          </cell>
        </row>
        <row r="322">
          <cell r="A322">
            <v>65530</v>
          </cell>
        </row>
        <row r="323">
          <cell r="A323">
            <v>65531</v>
          </cell>
        </row>
        <row r="324">
          <cell r="A324">
            <v>65532</v>
          </cell>
        </row>
        <row r="325">
          <cell r="A325">
            <v>65533</v>
          </cell>
        </row>
        <row r="326">
          <cell r="A326">
            <v>65534</v>
          </cell>
        </row>
        <row r="327">
          <cell r="A327">
            <v>65535</v>
          </cell>
        </row>
        <row r="328">
          <cell r="A328">
            <v>60021</v>
          </cell>
        </row>
        <row r="329">
          <cell r="A329">
            <v>60022</v>
          </cell>
        </row>
        <row r="330">
          <cell r="A330">
            <v>60023</v>
          </cell>
        </row>
        <row r="331">
          <cell r="A331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11007_1</v>
          </cell>
        </row>
        <row r="224">
          <cell r="A224" t="str">
            <v>11007_2</v>
          </cell>
        </row>
        <row r="225">
          <cell r="A225" t="str">
            <v>11007_3</v>
          </cell>
        </row>
        <row r="226">
          <cell r="A226" t="str">
            <v>11007_4</v>
          </cell>
        </row>
        <row r="227">
          <cell r="A227" t="str">
            <v>11007_5</v>
          </cell>
        </row>
        <row r="228">
          <cell r="A228" t="str">
            <v>11008_1</v>
          </cell>
        </row>
        <row r="229">
          <cell r="A229" t="str">
            <v>11008_2</v>
          </cell>
        </row>
        <row r="230">
          <cell r="A230" t="str">
            <v>11008_3</v>
          </cell>
        </row>
        <row r="231">
          <cell r="A231" t="str">
            <v>11008_4</v>
          </cell>
        </row>
        <row r="232">
          <cell r="A232" t="str">
            <v>11008_5</v>
          </cell>
        </row>
        <row r="233">
          <cell r="A233" t="str">
            <v>11016_1</v>
          </cell>
        </row>
        <row r="234">
          <cell r="A234" t="str">
            <v>11017_1</v>
          </cell>
        </row>
        <row r="235">
          <cell r="A235" t="str">
            <v>11018_1</v>
          </cell>
        </row>
        <row r="236">
          <cell r="A236" t="str">
            <v>11101_1</v>
          </cell>
        </row>
        <row r="237">
          <cell r="A237" t="str">
            <v>11101_2</v>
          </cell>
        </row>
        <row r="238">
          <cell r="A238" t="str">
            <v>11101_3</v>
          </cell>
        </row>
        <row r="239">
          <cell r="A239" t="str">
            <v>11101_4</v>
          </cell>
        </row>
        <row r="240">
          <cell r="A240" t="str">
            <v>11101_10</v>
          </cell>
        </row>
        <row r="241">
          <cell r="A241" t="str">
            <v>11102_1</v>
          </cell>
        </row>
        <row r="242">
          <cell r="A242" t="str">
            <v>11102_2</v>
          </cell>
        </row>
        <row r="243">
          <cell r="A243" t="str">
            <v>11102_3</v>
          </cell>
        </row>
        <row r="244">
          <cell r="A244" t="str">
            <v>11102_4</v>
          </cell>
        </row>
        <row r="245">
          <cell r="A245" t="str">
            <v>11102_10</v>
          </cell>
        </row>
        <row r="246">
          <cell r="A246" t="str">
            <v>11103_1</v>
          </cell>
        </row>
        <row r="247">
          <cell r="A247" t="str">
            <v>11103_2</v>
          </cell>
        </row>
        <row r="248">
          <cell r="A248" t="str">
            <v>11103_3</v>
          </cell>
        </row>
        <row r="249">
          <cell r="A249" t="str">
            <v>11103_4</v>
          </cell>
        </row>
        <row r="250">
          <cell r="A250" t="str">
            <v>11103_10</v>
          </cell>
        </row>
        <row r="251">
          <cell r="A251" t="str">
            <v>11104_1</v>
          </cell>
        </row>
        <row r="252">
          <cell r="A252" t="str">
            <v>11104_2</v>
          </cell>
        </row>
        <row r="253">
          <cell r="A253" t="str">
            <v>11104_3</v>
          </cell>
        </row>
        <row r="254">
          <cell r="A254" t="str">
            <v>11104_4</v>
          </cell>
        </row>
        <row r="255">
          <cell r="A255" t="str">
            <v>11104_10</v>
          </cell>
        </row>
        <row r="256">
          <cell r="A256" t="str">
            <v>11105_1</v>
          </cell>
        </row>
        <row r="257">
          <cell r="A257" t="str">
            <v>11105_2</v>
          </cell>
        </row>
        <row r="258">
          <cell r="A258" t="str">
            <v>11105_3</v>
          </cell>
        </row>
        <row r="259">
          <cell r="A259" t="str">
            <v>11105_4</v>
          </cell>
        </row>
        <row r="260">
          <cell r="A260" t="str">
            <v>11106_1</v>
          </cell>
        </row>
        <row r="261">
          <cell r="A261" t="str">
            <v>11106_2</v>
          </cell>
        </row>
        <row r="262">
          <cell r="A262" t="str">
            <v>11106_3</v>
          </cell>
        </row>
        <row r="263">
          <cell r="A263" t="str">
            <v>11206_1</v>
          </cell>
        </row>
        <row r="264">
          <cell r="A264" t="str">
            <v>11206_2</v>
          </cell>
        </row>
        <row r="265">
          <cell r="A265" t="str">
            <v>11206_3</v>
          </cell>
        </row>
        <row r="266">
          <cell r="A266" t="str">
            <v>11207_1</v>
          </cell>
        </row>
        <row r="267">
          <cell r="A267" t="str">
            <v>11207_2</v>
          </cell>
        </row>
        <row r="268">
          <cell r="A268" t="str">
            <v>11208_1</v>
          </cell>
        </row>
        <row r="269">
          <cell r="A269" t="str">
            <v>11208_2</v>
          </cell>
        </row>
        <row r="270">
          <cell r="A270" t="str">
            <v>11209_1</v>
          </cell>
        </row>
        <row r="271">
          <cell r="A271" t="str">
            <v>11209_2</v>
          </cell>
        </row>
        <row r="272">
          <cell r="A272" t="str">
            <v>11212_1</v>
          </cell>
        </row>
        <row r="273">
          <cell r="A273" t="str">
            <v>11213_1</v>
          </cell>
        </row>
        <row r="274">
          <cell r="A274" t="str">
            <v>11214_1</v>
          </cell>
        </row>
        <row r="275">
          <cell r="A275" t="str">
            <v>11214_2</v>
          </cell>
        </row>
        <row r="276">
          <cell r="A276" t="str">
            <v>11214_3</v>
          </cell>
        </row>
        <row r="277">
          <cell r="A277" t="str">
            <v>11215_1</v>
          </cell>
        </row>
        <row r="278">
          <cell r="A278" t="str">
            <v>11216_1</v>
          </cell>
        </row>
        <row r="279">
          <cell r="A279" t="str">
            <v>11217_1</v>
          </cell>
        </row>
        <row r="280">
          <cell r="A280" t="str">
            <v>11218_1</v>
          </cell>
        </row>
        <row r="281">
          <cell r="A281" t="str">
            <v>11219_1</v>
          </cell>
        </row>
        <row r="282">
          <cell r="A282" t="str">
            <v>11220_1</v>
          </cell>
        </row>
        <row r="283">
          <cell r="A283" t="str">
            <v>11221_1</v>
          </cell>
        </row>
        <row r="284">
          <cell r="A284" t="str">
            <v>11224_1</v>
          </cell>
        </row>
        <row r="285">
          <cell r="A285" t="str">
            <v>11225_1</v>
          </cell>
        </row>
        <row r="286">
          <cell r="A286" t="str">
            <v>11226_1</v>
          </cell>
        </row>
        <row r="287">
          <cell r="A287" t="str">
            <v>11226_2</v>
          </cell>
        </row>
        <row r="288">
          <cell r="A288" t="str">
            <v>11226_3</v>
          </cell>
        </row>
        <row r="289">
          <cell r="A289" t="str">
            <v>11226_4</v>
          </cell>
        </row>
        <row r="290">
          <cell r="A290" t="str">
            <v>11226_5</v>
          </cell>
        </row>
        <row r="291">
          <cell r="A291" t="str">
            <v>11226_6</v>
          </cell>
        </row>
        <row r="292">
          <cell r="A292" t="str">
            <v>11226_7</v>
          </cell>
        </row>
        <row r="293">
          <cell r="A293" t="str">
            <v>11226_8</v>
          </cell>
        </row>
        <row r="294">
          <cell r="A294" t="str">
            <v>11227_1</v>
          </cell>
        </row>
        <row r="295">
          <cell r="A295" t="str">
            <v>11227_2</v>
          </cell>
        </row>
        <row r="296">
          <cell r="A296" t="str">
            <v>12001_1</v>
          </cell>
        </row>
        <row r="297">
          <cell r="A297" t="str">
            <v>12001_2</v>
          </cell>
        </row>
        <row r="298">
          <cell r="A298" t="str">
            <v>12001_3</v>
          </cell>
        </row>
        <row r="299">
          <cell r="A299" t="str">
            <v>12002_1</v>
          </cell>
        </row>
        <row r="300">
          <cell r="A300" t="str">
            <v>12002_2</v>
          </cell>
        </row>
        <row r="301">
          <cell r="A301" t="str">
            <v>12003_1</v>
          </cell>
        </row>
        <row r="302">
          <cell r="A302" t="str">
            <v>12003_2</v>
          </cell>
        </row>
        <row r="303">
          <cell r="A303" t="str">
            <v>12003_3</v>
          </cell>
        </row>
        <row r="304">
          <cell r="A304" t="str">
            <v>12003_4</v>
          </cell>
        </row>
        <row r="305">
          <cell r="A305" t="str">
            <v>12004_1</v>
          </cell>
        </row>
        <row r="306">
          <cell r="A306" t="str">
            <v>13001_1</v>
          </cell>
        </row>
        <row r="307">
          <cell r="A307" t="str">
            <v>13001_2</v>
          </cell>
        </row>
        <row r="308">
          <cell r="A308" t="str">
            <v>13001_3</v>
          </cell>
        </row>
        <row r="309">
          <cell r="A309" t="str">
            <v>13001_4</v>
          </cell>
        </row>
        <row r="310">
          <cell r="A310" t="str">
            <v>13001_5</v>
          </cell>
        </row>
        <row r="311">
          <cell r="A311" t="str">
            <v>13001_6</v>
          </cell>
        </row>
        <row r="312">
          <cell r="A312" t="str">
            <v>13001_7</v>
          </cell>
        </row>
        <row r="313">
          <cell r="A313" t="str">
            <v>13001_8</v>
          </cell>
        </row>
        <row r="314">
          <cell r="A314" t="str">
            <v>13001_9</v>
          </cell>
        </row>
        <row r="315">
          <cell r="A315" t="str">
            <v>13001_10</v>
          </cell>
        </row>
        <row r="316">
          <cell r="A316" t="str">
            <v>13001_11</v>
          </cell>
        </row>
        <row r="317">
          <cell r="A317" t="str">
            <v>13001_12</v>
          </cell>
        </row>
        <row r="318">
          <cell r="A318" t="str">
            <v>13001_13</v>
          </cell>
        </row>
        <row r="319">
          <cell r="A319" t="str">
            <v>13001_14</v>
          </cell>
        </row>
        <row r="320">
          <cell r="A320" t="str">
            <v>13001_15</v>
          </cell>
        </row>
        <row r="321">
          <cell r="A321" t="str">
            <v>13001_16</v>
          </cell>
        </row>
        <row r="322">
          <cell r="A322" t="str">
            <v>13001_17</v>
          </cell>
        </row>
        <row r="323">
          <cell r="A323" t="str">
            <v>13001_18</v>
          </cell>
        </row>
        <row r="324">
          <cell r="A324" t="str">
            <v>13001_19</v>
          </cell>
        </row>
        <row r="325">
          <cell r="A325" t="str">
            <v>13001_20</v>
          </cell>
        </row>
        <row r="326">
          <cell r="A326" t="str">
            <v>13001_21</v>
          </cell>
        </row>
        <row r="327">
          <cell r="A327" t="str">
            <v>13001_22</v>
          </cell>
        </row>
        <row r="328">
          <cell r="A328" t="str">
            <v>13001_23</v>
          </cell>
        </row>
        <row r="329">
          <cell r="A329" t="str">
            <v>13001_24</v>
          </cell>
        </row>
        <row r="330">
          <cell r="A330" t="str">
            <v>13001_25</v>
          </cell>
        </row>
        <row r="331">
          <cell r="A331" t="str">
            <v>13101_1</v>
          </cell>
        </row>
        <row r="332">
          <cell r="A332" t="str">
            <v>13101_2</v>
          </cell>
        </row>
        <row r="333">
          <cell r="A333" t="str">
            <v>13101_3</v>
          </cell>
        </row>
        <row r="334">
          <cell r="A334" t="str">
            <v>13101_4</v>
          </cell>
        </row>
        <row r="335">
          <cell r="A335" t="str">
            <v>13101_5</v>
          </cell>
        </row>
        <row r="336">
          <cell r="A336" t="str">
            <v>13101_6</v>
          </cell>
        </row>
        <row r="337">
          <cell r="A337" t="str">
            <v>13101_7</v>
          </cell>
        </row>
        <row r="338">
          <cell r="A338" t="str">
            <v>13101_8</v>
          </cell>
        </row>
        <row r="339">
          <cell r="A339" t="str">
            <v>13101_9</v>
          </cell>
        </row>
        <row r="340">
          <cell r="A340" t="str">
            <v>13101_10</v>
          </cell>
        </row>
        <row r="341">
          <cell r="A341" t="str">
            <v>13101_11</v>
          </cell>
        </row>
        <row r="342">
          <cell r="A342" t="str">
            <v>13101_12</v>
          </cell>
        </row>
        <row r="343">
          <cell r="A343" t="str">
            <v>13101_13</v>
          </cell>
        </row>
        <row r="344">
          <cell r="A344" t="str">
            <v>13101_14</v>
          </cell>
        </row>
        <row r="345">
          <cell r="A345" t="str">
            <v>13101_15</v>
          </cell>
        </row>
        <row r="346">
          <cell r="A346" t="str">
            <v>13101_16</v>
          </cell>
        </row>
        <row r="347">
          <cell r="A347" t="str">
            <v>13101_17</v>
          </cell>
        </row>
        <row r="348">
          <cell r="A348" t="str">
            <v>13101_18</v>
          </cell>
        </row>
        <row r="349">
          <cell r="A349" t="str">
            <v>13101_19</v>
          </cell>
        </row>
        <row r="350">
          <cell r="A350" t="str">
            <v>13101_20</v>
          </cell>
        </row>
        <row r="351">
          <cell r="A351" t="str">
            <v>13101_21</v>
          </cell>
        </row>
        <row r="352">
          <cell r="A352" t="str">
            <v>13101_22</v>
          </cell>
        </row>
        <row r="353">
          <cell r="A353" t="str">
            <v>13101_23</v>
          </cell>
        </row>
        <row r="354">
          <cell r="A354" t="str">
            <v>13101_24</v>
          </cell>
        </row>
        <row r="355">
          <cell r="A355" t="str">
            <v>13101_25</v>
          </cell>
        </row>
        <row r="356">
          <cell r="A356" t="str">
            <v>13300_1</v>
          </cell>
        </row>
        <row r="357">
          <cell r="A357" t="str">
            <v>13300_2</v>
          </cell>
        </row>
        <row r="358">
          <cell r="A358" t="str">
            <v>13300_3</v>
          </cell>
        </row>
        <row r="359">
          <cell r="A359" t="str">
            <v>13300_4</v>
          </cell>
        </row>
        <row r="360">
          <cell r="A360" t="str">
            <v>13300_5</v>
          </cell>
        </row>
        <row r="361">
          <cell r="A361" t="str">
            <v>13300_6</v>
          </cell>
        </row>
        <row r="362">
          <cell r="A362" t="str">
            <v>13300_7</v>
          </cell>
        </row>
        <row r="363">
          <cell r="A363" t="str">
            <v>13300_8</v>
          </cell>
        </row>
        <row r="364">
          <cell r="A364" t="str">
            <v>13300_9</v>
          </cell>
        </row>
        <row r="365">
          <cell r="A365" t="str">
            <v>13300_10</v>
          </cell>
        </row>
        <row r="366">
          <cell r="A366" t="str">
            <v>13300_11</v>
          </cell>
        </row>
        <row r="367">
          <cell r="A367" t="str">
            <v>13300_12</v>
          </cell>
        </row>
        <row r="368">
          <cell r="A368" t="str">
            <v>13300_13</v>
          </cell>
        </row>
        <row r="369">
          <cell r="A369" t="str">
            <v>13300_14</v>
          </cell>
        </row>
        <row r="370">
          <cell r="A370" t="str">
            <v>13300_15</v>
          </cell>
        </row>
        <row r="371">
          <cell r="A371" t="str">
            <v>13301_1</v>
          </cell>
        </row>
        <row r="372">
          <cell r="A372" t="str">
            <v>13301_2</v>
          </cell>
        </row>
        <row r="373">
          <cell r="A373" t="str">
            <v>13301_3</v>
          </cell>
        </row>
        <row r="374">
          <cell r="A374" t="str">
            <v>13301_4</v>
          </cell>
        </row>
        <row r="375">
          <cell r="A375" t="str">
            <v>13301_5</v>
          </cell>
        </row>
        <row r="376">
          <cell r="A376" t="str">
            <v>13301_6</v>
          </cell>
        </row>
        <row r="377">
          <cell r="A377" t="str">
            <v>13301_7</v>
          </cell>
        </row>
        <row r="378">
          <cell r="A378" t="str">
            <v>13301_8</v>
          </cell>
        </row>
        <row r="379">
          <cell r="A379" t="str">
            <v>13301_9</v>
          </cell>
        </row>
        <row r="380">
          <cell r="A380" t="str">
            <v>13301_10</v>
          </cell>
        </row>
        <row r="381">
          <cell r="A381" t="str">
            <v>13301_11</v>
          </cell>
        </row>
        <row r="382">
          <cell r="A382" t="str">
            <v>13301_12</v>
          </cell>
        </row>
        <row r="383">
          <cell r="A383" t="str">
            <v>13301_13</v>
          </cell>
        </row>
        <row r="384">
          <cell r="A384" t="str">
            <v>13301_14</v>
          </cell>
        </row>
        <row r="385">
          <cell r="A385" t="str">
            <v>13301_15</v>
          </cell>
        </row>
        <row r="386">
          <cell r="A386" t="str">
            <v>13302_1</v>
          </cell>
        </row>
        <row r="387">
          <cell r="A387" t="str">
            <v>13302_2</v>
          </cell>
        </row>
        <row r="388">
          <cell r="A388" t="str">
            <v>13302_3</v>
          </cell>
        </row>
        <row r="389">
          <cell r="A389" t="str">
            <v>13302_4</v>
          </cell>
        </row>
        <row r="390">
          <cell r="A390" t="str">
            <v>13302_5</v>
          </cell>
        </row>
        <row r="391">
          <cell r="A391" t="str">
            <v>13302_6</v>
          </cell>
        </row>
        <row r="392">
          <cell r="A392" t="str">
            <v>13302_7</v>
          </cell>
        </row>
        <row r="393">
          <cell r="A393" t="str">
            <v>13302_8</v>
          </cell>
        </row>
        <row r="394">
          <cell r="A394" t="str">
            <v>13302_9</v>
          </cell>
        </row>
        <row r="395">
          <cell r="A395" t="str">
            <v>13302_10</v>
          </cell>
        </row>
        <row r="396">
          <cell r="A396" t="str">
            <v>13302_11</v>
          </cell>
        </row>
        <row r="397">
          <cell r="A397" t="str">
            <v>13302_12</v>
          </cell>
        </row>
        <row r="398">
          <cell r="A398" t="str">
            <v>13302_13</v>
          </cell>
        </row>
        <row r="399">
          <cell r="A399" t="str">
            <v>13302_14</v>
          </cell>
        </row>
        <row r="400">
          <cell r="A400" t="str">
            <v>13302_15</v>
          </cell>
        </row>
        <row r="401">
          <cell r="A401" t="str">
            <v>13400_1</v>
          </cell>
        </row>
        <row r="402">
          <cell r="A402" t="str">
            <v>13400_2</v>
          </cell>
        </row>
        <row r="403">
          <cell r="A403" t="str">
            <v>13400_3</v>
          </cell>
        </row>
        <row r="404">
          <cell r="A404" t="str">
            <v>13400_4</v>
          </cell>
        </row>
        <row r="405">
          <cell r="A405" t="str">
            <v>13400_5</v>
          </cell>
        </row>
        <row r="406">
          <cell r="A406" t="str">
            <v>13400_6</v>
          </cell>
        </row>
        <row r="407">
          <cell r="A407" t="str">
            <v>13400_7</v>
          </cell>
        </row>
        <row r="408">
          <cell r="A408" t="str">
            <v>13400_8</v>
          </cell>
        </row>
        <row r="409">
          <cell r="A409" t="str">
            <v>13400_9</v>
          </cell>
        </row>
        <row r="410">
          <cell r="A410" t="str">
            <v>13400_10</v>
          </cell>
        </row>
        <row r="411">
          <cell r="A411" t="str">
            <v>13400_11</v>
          </cell>
        </row>
        <row r="412">
          <cell r="A412" t="str">
            <v>13400_12</v>
          </cell>
        </row>
        <row r="413">
          <cell r="A413" t="str">
            <v>13400_13</v>
          </cell>
        </row>
        <row r="414">
          <cell r="A414" t="str">
            <v>13400_14</v>
          </cell>
        </row>
        <row r="415">
          <cell r="A415" t="str">
            <v>13400_15</v>
          </cell>
        </row>
        <row r="416">
          <cell r="A416" t="str">
            <v>14001_1</v>
          </cell>
        </row>
        <row r="417">
          <cell r="A417" t="str">
            <v>14001_2</v>
          </cell>
        </row>
        <row r="418">
          <cell r="A418" t="str">
            <v>14001_3</v>
          </cell>
        </row>
        <row r="419">
          <cell r="A419" t="str">
            <v>14001_4</v>
          </cell>
        </row>
        <row r="420">
          <cell r="A420" t="str">
            <v>14001_5</v>
          </cell>
        </row>
        <row r="421">
          <cell r="A421" t="str">
            <v>14001_6</v>
          </cell>
        </row>
        <row r="422">
          <cell r="A422" t="str">
            <v>14001_7</v>
          </cell>
        </row>
        <row r="423">
          <cell r="A423" t="str">
            <v>14001_8</v>
          </cell>
        </row>
        <row r="424">
          <cell r="A424" t="str">
            <v>14002_1</v>
          </cell>
        </row>
        <row r="425">
          <cell r="A425" t="str">
            <v>14002_2</v>
          </cell>
        </row>
        <row r="426">
          <cell r="A426" t="str">
            <v>14003_1</v>
          </cell>
        </row>
        <row r="427">
          <cell r="A427" t="str">
            <v>14003_2</v>
          </cell>
        </row>
        <row r="428">
          <cell r="A428" t="str">
            <v>14003_3</v>
          </cell>
        </row>
        <row r="429">
          <cell r="A429" t="str">
            <v>14003_4</v>
          </cell>
        </row>
        <row r="430">
          <cell r="A430" t="str">
            <v>14004_1</v>
          </cell>
        </row>
        <row r="431">
          <cell r="A431" t="str">
            <v>14004_2</v>
          </cell>
        </row>
        <row r="432">
          <cell r="A432" t="str">
            <v>14004_3</v>
          </cell>
        </row>
        <row r="433">
          <cell r="A433" t="str">
            <v>14004_4</v>
          </cell>
        </row>
        <row r="434">
          <cell r="A434" t="str">
            <v>14005_1</v>
          </cell>
        </row>
        <row r="435">
          <cell r="A435" t="str">
            <v>14006_1</v>
          </cell>
        </row>
        <row r="436">
          <cell r="A436" t="str">
            <v>15027_1</v>
          </cell>
        </row>
        <row r="437">
          <cell r="A437" t="str">
            <v>15027_2</v>
          </cell>
        </row>
        <row r="438">
          <cell r="A438" t="str">
            <v>15027_3</v>
          </cell>
        </row>
        <row r="439">
          <cell r="A439" t="str">
            <v>15027_4</v>
          </cell>
        </row>
        <row r="440">
          <cell r="A440" t="str">
            <v>15028_1</v>
          </cell>
        </row>
        <row r="441">
          <cell r="A441" t="str">
            <v>15028_2</v>
          </cell>
        </row>
        <row r="442">
          <cell r="A442" t="str">
            <v>15028_3</v>
          </cell>
        </row>
        <row r="443">
          <cell r="A443" t="str">
            <v>15028_4</v>
          </cell>
        </row>
        <row r="444">
          <cell r="A444" t="str">
            <v>15029_1</v>
          </cell>
        </row>
        <row r="445">
          <cell r="A445" t="str">
            <v>15029_2</v>
          </cell>
        </row>
        <row r="446">
          <cell r="A446" t="str">
            <v>15029_3</v>
          </cell>
        </row>
        <row r="447">
          <cell r="A447" t="str">
            <v>15029_4</v>
          </cell>
        </row>
        <row r="448">
          <cell r="A448" t="str">
            <v>15030_1</v>
          </cell>
        </row>
        <row r="449">
          <cell r="A449" t="str">
            <v>15030_2</v>
          </cell>
        </row>
        <row r="450">
          <cell r="A450" t="str">
            <v>15030_3</v>
          </cell>
        </row>
        <row r="451">
          <cell r="A451" t="str">
            <v>15030_4</v>
          </cell>
        </row>
        <row r="452">
          <cell r="A452" t="str">
            <v>15031_1</v>
          </cell>
        </row>
        <row r="453">
          <cell r="A453" t="str">
            <v>15031_2</v>
          </cell>
        </row>
        <row r="454">
          <cell r="A454" t="str">
            <v>15031_3</v>
          </cell>
        </row>
        <row r="455">
          <cell r="A455" t="str">
            <v>15031_4</v>
          </cell>
        </row>
        <row r="456">
          <cell r="A456" t="str">
            <v>20001_1</v>
          </cell>
        </row>
        <row r="457">
          <cell r="A457" t="str">
            <v>20001_2</v>
          </cell>
        </row>
        <row r="458">
          <cell r="A458" t="str">
            <v>20001_3</v>
          </cell>
        </row>
        <row r="459">
          <cell r="A459" t="str">
            <v>20002_1</v>
          </cell>
        </row>
        <row r="460">
          <cell r="A460" t="str">
            <v>20002_2</v>
          </cell>
        </row>
        <row r="461">
          <cell r="A461" t="str">
            <v>20002_3</v>
          </cell>
        </row>
        <row r="462">
          <cell r="A462" t="str">
            <v>20003_1</v>
          </cell>
        </row>
        <row r="463">
          <cell r="A463" t="str">
            <v>20003_2</v>
          </cell>
        </row>
        <row r="464">
          <cell r="A464" t="str">
            <v>20003_3</v>
          </cell>
        </row>
        <row r="465">
          <cell r="A465" t="str">
            <v>20004_1</v>
          </cell>
        </row>
        <row r="466">
          <cell r="A466" t="str">
            <v>20004_2</v>
          </cell>
        </row>
        <row r="467">
          <cell r="A467" t="str">
            <v>20004_3</v>
          </cell>
        </row>
        <row r="468">
          <cell r="A468" t="str">
            <v>20005_1</v>
          </cell>
        </row>
        <row r="469">
          <cell r="A469" t="str">
            <v>20005_2</v>
          </cell>
        </row>
        <row r="470">
          <cell r="A470" t="str">
            <v>20005_3</v>
          </cell>
        </row>
        <row r="471">
          <cell r="A471" t="str">
            <v>20006_1</v>
          </cell>
        </row>
        <row r="472">
          <cell r="A472" t="str">
            <v>20006_2</v>
          </cell>
        </row>
        <row r="473">
          <cell r="A473" t="str">
            <v>20006_3</v>
          </cell>
        </row>
        <row r="474">
          <cell r="A474" t="str">
            <v>20007_1</v>
          </cell>
        </row>
        <row r="475">
          <cell r="A475" t="str">
            <v>20007_2</v>
          </cell>
        </row>
        <row r="476">
          <cell r="A476" t="str">
            <v>20007_3</v>
          </cell>
        </row>
        <row r="477">
          <cell r="A477" t="str">
            <v>20008_1</v>
          </cell>
        </row>
        <row r="478">
          <cell r="A478" t="str">
            <v>20008_2</v>
          </cell>
        </row>
        <row r="479">
          <cell r="A479" t="str">
            <v>20008_3</v>
          </cell>
        </row>
        <row r="480">
          <cell r="A480" t="str">
            <v>20009_1</v>
          </cell>
        </row>
        <row r="481">
          <cell r="A481" t="str">
            <v>20009_2</v>
          </cell>
        </row>
        <row r="482">
          <cell r="A482" t="str">
            <v>20009_3</v>
          </cell>
        </row>
        <row r="483">
          <cell r="A483" t="str">
            <v>20010_1</v>
          </cell>
        </row>
        <row r="484">
          <cell r="A484" t="str">
            <v>20010_2</v>
          </cell>
        </row>
        <row r="485">
          <cell r="A485" t="str">
            <v>20010_3</v>
          </cell>
        </row>
        <row r="486">
          <cell r="A486" t="str">
            <v>20011_1</v>
          </cell>
        </row>
        <row r="487">
          <cell r="A487" t="str">
            <v>20011_2</v>
          </cell>
        </row>
        <row r="488">
          <cell r="A488" t="str">
            <v>20011_3</v>
          </cell>
        </row>
        <row r="489">
          <cell r="A489" t="str">
            <v>20012_1</v>
          </cell>
        </row>
        <row r="490">
          <cell r="A490" t="str">
            <v>20012_2</v>
          </cell>
        </row>
        <row r="491">
          <cell r="A491" t="str">
            <v>20012_3</v>
          </cell>
        </row>
        <row r="492">
          <cell r="A492" t="str">
            <v>20013_1</v>
          </cell>
        </row>
        <row r="493">
          <cell r="A493" t="str">
            <v>20013_2</v>
          </cell>
        </row>
        <row r="494">
          <cell r="A494" t="str">
            <v>20013_3</v>
          </cell>
        </row>
        <row r="495">
          <cell r="A495" t="str">
            <v>20014_1</v>
          </cell>
        </row>
        <row r="496">
          <cell r="A496" t="str">
            <v>20014_2</v>
          </cell>
        </row>
        <row r="497">
          <cell r="A497" t="str">
            <v>20014_3</v>
          </cell>
        </row>
        <row r="498">
          <cell r="A498" t="str">
            <v>20015_1</v>
          </cell>
        </row>
        <row r="499">
          <cell r="A499" t="str">
            <v>20015_2</v>
          </cell>
        </row>
        <row r="500">
          <cell r="A500" t="str">
            <v>20015_3</v>
          </cell>
        </row>
        <row r="501">
          <cell r="A501" t="str">
            <v>20016_1</v>
          </cell>
        </row>
        <row r="502">
          <cell r="A502" t="str">
            <v>20016_2</v>
          </cell>
        </row>
        <row r="503">
          <cell r="A503" t="str">
            <v>20016_3</v>
          </cell>
        </row>
        <row r="504">
          <cell r="A504" t="str">
            <v>20017_1</v>
          </cell>
        </row>
        <row r="505">
          <cell r="A505" t="str">
            <v>20017_2</v>
          </cell>
        </row>
        <row r="506">
          <cell r="A506" t="str">
            <v>20017_3</v>
          </cell>
        </row>
        <row r="507">
          <cell r="A507" t="str">
            <v>20018_1</v>
          </cell>
        </row>
        <row r="508">
          <cell r="A508" t="str">
            <v>20018_2</v>
          </cell>
        </row>
        <row r="509">
          <cell r="A509" t="str">
            <v>20018_3</v>
          </cell>
        </row>
        <row r="510">
          <cell r="A510" t="str">
            <v>20019_1</v>
          </cell>
        </row>
        <row r="511">
          <cell r="A511" t="str">
            <v>20019_2</v>
          </cell>
        </row>
        <row r="512">
          <cell r="A512" t="str">
            <v>20019_3</v>
          </cell>
        </row>
        <row r="513">
          <cell r="A513" t="str">
            <v>20020_1</v>
          </cell>
        </row>
        <row r="514">
          <cell r="A514" t="str">
            <v>20020_2</v>
          </cell>
        </row>
        <row r="515">
          <cell r="A515" t="str">
            <v>20020_3</v>
          </cell>
        </row>
        <row r="516">
          <cell r="A516" t="str">
            <v>20021_1</v>
          </cell>
        </row>
        <row r="517">
          <cell r="A517" t="str">
            <v>20021_2</v>
          </cell>
        </row>
        <row r="518">
          <cell r="A518" t="str">
            <v>20021_3</v>
          </cell>
        </row>
        <row r="519">
          <cell r="A519" t="str">
            <v>20022_1</v>
          </cell>
        </row>
        <row r="520">
          <cell r="A520" t="str">
            <v>30001_1</v>
          </cell>
        </row>
        <row r="521">
          <cell r="A521" t="str">
            <v>30001_2</v>
          </cell>
        </row>
        <row r="522">
          <cell r="A522" t="str">
            <v>30001_3</v>
          </cell>
        </row>
        <row r="523">
          <cell r="A523" t="str">
            <v>30002_1</v>
          </cell>
        </row>
        <row r="524">
          <cell r="A524" t="str">
            <v>30002_2</v>
          </cell>
        </row>
        <row r="525">
          <cell r="A525" t="str">
            <v>30002_3</v>
          </cell>
        </row>
        <row r="526">
          <cell r="A526" t="str">
            <v>30003_1</v>
          </cell>
        </row>
        <row r="527">
          <cell r="A527" t="str">
            <v>30003_2</v>
          </cell>
        </row>
        <row r="528">
          <cell r="A528" t="str">
            <v>30003_3</v>
          </cell>
        </row>
        <row r="529">
          <cell r="A529" t="str">
            <v>30004_1</v>
          </cell>
        </row>
        <row r="530">
          <cell r="A530" t="str">
            <v>30004_2</v>
          </cell>
        </row>
        <row r="531">
          <cell r="A531" t="str">
            <v>30004_3</v>
          </cell>
        </row>
        <row r="532">
          <cell r="A532" t="str">
            <v>30005_1</v>
          </cell>
        </row>
        <row r="533">
          <cell r="A533" t="str">
            <v>30005_2</v>
          </cell>
        </row>
        <row r="534">
          <cell r="A534" t="str">
            <v>30005_3</v>
          </cell>
        </row>
        <row r="535">
          <cell r="A535" t="str">
            <v>30006_1</v>
          </cell>
        </row>
        <row r="536">
          <cell r="A536" t="str">
            <v>30006_2</v>
          </cell>
        </row>
        <row r="537">
          <cell r="A537" t="str">
            <v>30006_3</v>
          </cell>
        </row>
        <row r="538">
          <cell r="A538" t="str">
            <v>30007_1</v>
          </cell>
        </row>
        <row r="539">
          <cell r="A539" t="str">
            <v>30007_2</v>
          </cell>
        </row>
        <row r="540">
          <cell r="A540" t="str">
            <v>30007_3</v>
          </cell>
        </row>
        <row r="541">
          <cell r="A541" t="str">
            <v>30008_1</v>
          </cell>
        </row>
        <row r="542">
          <cell r="A542" t="str">
            <v>30008_2</v>
          </cell>
        </row>
        <row r="543">
          <cell r="A543" t="str">
            <v>30008_3</v>
          </cell>
        </row>
        <row r="544">
          <cell r="A544" t="str">
            <v>30009_3</v>
          </cell>
        </row>
        <row r="545">
          <cell r="A545" t="str">
            <v>30009_1</v>
          </cell>
        </row>
        <row r="546">
          <cell r="A546" t="str">
            <v>30009_2</v>
          </cell>
        </row>
        <row r="547">
          <cell r="A547" t="str">
            <v>30010_1</v>
          </cell>
        </row>
        <row r="548">
          <cell r="A548" t="str">
            <v>30010_2</v>
          </cell>
        </row>
        <row r="549">
          <cell r="A549" t="str">
            <v>30010_3</v>
          </cell>
        </row>
        <row r="550">
          <cell r="A550" t="str">
            <v>30011_1</v>
          </cell>
        </row>
        <row r="551">
          <cell r="A551" t="str">
            <v>30011_2</v>
          </cell>
        </row>
        <row r="552">
          <cell r="A552" t="str">
            <v>30011_3</v>
          </cell>
        </row>
        <row r="553">
          <cell r="A553" t="str">
            <v>30012_1</v>
          </cell>
        </row>
        <row r="554">
          <cell r="A554" t="str">
            <v>30012_2</v>
          </cell>
        </row>
        <row r="555">
          <cell r="A555" t="str">
            <v>30012_3</v>
          </cell>
        </row>
        <row r="556">
          <cell r="A556" t="str">
            <v>30013_1</v>
          </cell>
        </row>
        <row r="557">
          <cell r="A557" t="str">
            <v>30013_2</v>
          </cell>
        </row>
        <row r="558">
          <cell r="A558" t="str">
            <v>30014_1</v>
          </cell>
        </row>
        <row r="559">
          <cell r="A559" t="str">
            <v>30014_2</v>
          </cell>
        </row>
        <row r="560">
          <cell r="A560" t="str">
            <v>30015_1</v>
          </cell>
        </row>
        <row r="561">
          <cell r="A561" t="str">
            <v>30015_2</v>
          </cell>
        </row>
        <row r="562">
          <cell r="A562" t="str">
            <v>30016_1</v>
          </cell>
        </row>
        <row r="563">
          <cell r="A563" t="str">
            <v>30016_2</v>
          </cell>
        </row>
        <row r="564">
          <cell r="A564" t="str">
            <v>30017_1</v>
          </cell>
        </row>
        <row r="565">
          <cell r="A565" t="str">
            <v>30017_2</v>
          </cell>
        </row>
        <row r="566">
          <cell r="A566" t="str">
            <v>30018_1</v>
          </cell>
        </row>
        <row r="567">
          <cell r="A567" t="str">
            <v>30018_2</v>
          </cell>
        </row>
        <row r="568">
          <cell r="A568" t="str">
            <v>30019_1</v>
          </cell>
        </row>
        <row r="569">
          <cell r="A569" t="str">
            <v>30019_2</v>
          </cell>
        </row>
        <row r="570">
          <cell r="A570" t="str">
            <v>30020_1</v>
          </cell>
        </row>
        <row r="571">
          <cell r="A571" t="str">
            <v>30020_2</v>
          </cell>
        </row>
        <row r="572">
          <cell r="A572" t="str">
            <v>30021_1</v>
          </cell>
        </row>
        <row r="573">
          <cell r="A573" t="str">
            <v>30021_2</v>
          </cell>
        </row>
        <row r="574">
          <cell r="A574" t="str">
            <v>30021_3</v>
          </cell>
        </row>
        <row r="575">
          <cell r="A575" t="str">
            <v>30022_1</v>
          </cell>
        </row>
        <row r="576">
          <cell r="A576" t="str">
            <v>30022_2</v>
          </cell>
        </row>
        <row r="577">
          <cell r="A577" t="str">
            <v>30023_1</v>
          </cell>
        </row>
        <row r="578">
          <cell r="A578" t="str">
            <v>30023_2</v>
          </cell>
        </row>
        <row r="579">
          <cell r="A579" t="str">
            <v>30023_3</v>
          </cell>
        </row>
        <row r="580">
          <cell r="A580" t="str">
            <v>30024_1</v>
          </cell>
        </row>
        <row r="581">
          <cell r="A581" t="str">
            <v>30024_2</v>
          </cell>
        </row>
        <row r="582">
          <cell r="A582" t="str">
            <v>30024_3</v>
          </cell>
        </row>
        <row r="583">
          <cell r="A583" t="str">
            <v>30025_1</v>
          </cell>
        </row>
        <row r="584">
          <cell r="A584" t="str">
            <v>30025_2</v>
          </cell>
        </row>
        <row r="585">
          <cell r="A585" t="str">
            <v>30025_3</v>
          </cell>
        </row>
        <row r="586">
          <cell r="A586" t="str">
            <v>30026_1</v>
          </cell>
        </row>
        <row r="587">
          <cell r="A587" t="str">
            <v>30026_2</v>
          </cell>
        </row>
        <row r="588">
          <cell r="A588" t="str">
            <v>30026_3</v>
          </cell>
        </row>
        <row r="589">
          <cell r="A589" t="str">
            <v>30027_1</v>
          </cell>
        </row>
        <row r="590">
          <cell r="A590" t="str">
            <v>30027_2</v>
          </cell>
        </row>
        <row r="591">
          <cell r="A591" t="str">
            <v>30027_3</v>
          </cell>
        </row>
        <row r="592">
          <cell r="A592" t="str">
            <v>30028_1</v>
          </cell>
        </row>
        <row r="593">
          <cell r="A593" t="str">
            <v>30028_2</v>
          </cell>
        </row>
        <row r="594">
          <cell r="A594" t="str">
            <v>30028_3</v>
          </cell>
        </row>
        <row r="595">
          <cell r="A595" t="str">
            <v>30029_1</v>
          </cell>
        </row>
        <row r="596">
          <cell r="A596" t="str">
            <v>30029_2</v>
          </cell>
        </row>
        <row r="597">
          <cell r="A597" t="str">
            <v>30029_3</v>
          </cell>
        </row>
        <row r="598">
          <cell r="A598" t="str">
            <v>30030_1</v>
          </cell>
        </row>
        <row r="599">
          <cell r="A599" t="str">
            <v>30030_2</v>
          </cell>
        </row>
        <row r="600">
          <cell r="A600" t="str">
            <v>30030_3</v>
          </cell>
        </row>
        <row r="601">
          <cell r="A601" t="str">
            <v>30031_1</v>
          </cell>
        </row>
        <row r="602">
          <cell r="A602" t="str">
            <v>30031_2</v>
          </cell>
        </row>
        <row r="603">
          <cell r="A603" t="str">
            <v>30031_3</v>
          </cell>
        </row>
        <row r="604">
          <cell r="A604" t="str">
            <v>30032_1</v>
          </cell>
        </row>
        <row r="605">
          <cell r="A605" t="str">
            <v>30032_2</v>
          </cell>
        </row>
        <row r="606">
          <cell r="A606" t="str">
            <v>30032_3</v>
          </cell>
        </row>
        <row r="607">
          <cell r="A607" t="str">
            <v>30033_1</v>
          </cell>
        </row>
        <row r="608">
          <cell r="A608" t="str">
            <v>30033_2</v>
          </cell>
        </row>
        <row r="609">
          <cell r="A609" t="str">
            <v>30033_3</v>
          </cell>
        </row>
        <row r="610">
          <cell r="A610" t="str">
            <v>30034_1</v>
          </cell>
        </row>
        <row r="611">
          <cell r="A611" t="str">
            <v>30034_2</v>
          </cell>
        </row>
        <row r="612">
          <cell r="A612" t="str">
            <v>30034_3</v>
          </cell>
        </row>
        <row r="613">
          <cell r="A613" t="str">
            <v>30035_1</v>
          </cell>
        </row>
        <row r="614">
          <cell r="A614" t="str">
            <v>30035_2</v>
          </cell>
        </row>
        <row r="615">
          <cell r="A615" t="str">
            <v>30035_3</v>
          </cell>
        </row>
        <row r="616">
          <cell r="A616" t="str">
            <v>30036_1</v>
          </cell>
        </row>
        <row r="617">
          <cell r="A617" t="str">
            <v>30036_2</v>
          </cell>
        </row>
        <row r="618">
          <cell r="A618" t="str">
            <v>30036_3</v>
          </cell>
        </row>
        <row r="619">
          <cell r="A619" t="str">
            <v>30037_1</v>
          </cell>
        </row>
        <row r="620">
          <cell r="A620" t="str">
            <v>30037_2</v>
          </cell>
        </row>
        <row r="621">
          <cell r="A621" t="str">
            <v>30037_3</v>
          </cell>
        </row>
        <row r="622">
          <cell r="A622" t="str">
            <v>30038_1</v>
          </cell>
        </row>
        <row r="623">
          <cell r="A623" t="str">
            <v>30038_2</v>
          </cell>
        </row>
        <row r="624">
          <cell r="A624" t="str">
            <v>30038_3</v>
          </cell>
        </row>
        <row r="625">
          <cell r="A625" t="str">
            <v>30039_1</v>
          </cell>
        </row>
        <row r="626">
          <cell r="A626" t="str">
            <v>30039_2</v>
          </cell>
        </row>
        <row r="627">
          <cell r="A627" t="str">
            <v>30039_3</v>
          </cell>
        </row>
        <row r="628">
          <cell r="A628" t="str">
            <v>30040_1</v>
          </cell>
        </row>
        <row r="629">
          <cell r="A629" t="str">
            <v>30040_2</v>
          </cell>
        </row>
        <row r="630">
          <cell r="A630" t="str">
            <v>30040_3</v>
          </cell>
        </row>
        <row r="631">
          <cell r="A631" t="str">
            <v>30041_1</v>
          </cell>
        </row>
        <row r="632">
          <cell r="A632" t="str">
            <v>30041_2</v>
          </cell>
        </row>
        <row r="633">
          <cell r="A633" t="str">
            <v>30041_3</v>
          </cell>
        </row>
        <row r="634">
          <cell r="A634" t="str">
            <v>30042_1</v>
          </cell>
        </row>
        <row r="635">
          <cell r="A635" t="str">
            <v>30042_2</v>
          </cell>
        </row>
        <row r="636">
          <cell r="A636" t="str">
            <v>30042_3</v>
          </cell>
        </row>
        <row r="637">
          <cell r="A637" t="str">
            <v>30043_1</v>
          </cell>
        </row>
        <row r="638">
          <cell r="A638" t="str">
            <v>30043_2</v>
          </cell>
        </row>
        <row r="639">
          <cell r="A639" t="str">
            <v>30043_3</v>
          </cell>
        </row>
        <row r="640">
          <cell r="A640" t="str">
            <v>30044_1</v>
          </cell>
        </row>
        <row r="641">
          <cell r="A641" t="str">
            <v>30044_2</v>
          </cell>
        </row>
        <row r="642">
          <cell r="A642" t="str">
            <v>30044_3</v>
          </cell>
        </row>
        <row r="643">
          <cell r="A643" t="str">
            <v>30045_1</v>
          </cell>
        </row>
        <row r="644">
          <cell r="A644" t="str">
            <v>30045_2</v>
          </cell>
        </row>
        <row r="645">
          <cell r="A645" t="str">
            <v>30045_3</v>
          </cell>
        </row>
        <row r="646">
          <cell r="A646" t="str">
            <v>30046_1</v>
          </cell>
        </row>
        <row r="647">
          <cell r="A647" t="str">
            <v>30046_2</v>
          </cell>
        </row>
        <row r="648">
          <cell r="A648" t="str">
            <v>30046_3</v>
          </cell>
        </row>
        <row r="649">
          <cell r="A649" t="str">
            <v>30047_1</v>
          </cell>
        </row>
        <row r="650">
          <cell r="A650" t="str">
            <v>30047_2</v>
          </cell>
        </row>
        <row r="651">
          <cell r="A651" t="str">
            <v>30047_3</v>
          </cell>
        </row>
        <row r="652">
          <cell r="A652" t="str">
            <v>30048_1</v>
          </cell>
        </row>
        <row r="653">
          <cell r="A653" t="str">
            <v>30048_2</v>
          </cell>
        </row>
        <row r="654">
          <cell r="A654" t="str">
            <v>30048_3</v>
          </cell>
        </row>
        <row r="655">
          <cell r="A655" t="str">
            <v>39001_1</v>
          </cell>
        </row>
        <row r="656">
          <cell r="A656" t="str">
            <v>39001_2</v>
          </cell>
        </row>
        <row r="657">
          <cell r="A657" t="str">
            <v>39001_3</v>
          </cell>
        </row>
        <row r="658">
          <cell r="A658" t="str">
            <v>39001_4</v>
          </cell>
        </row>
        <row r="659">
          <cell r="A659" t="str">
            <v>39001_5</v>
          </cell>
        </row>
        <row r="660">
          <cell r="A660" t="str">
            <v>39002_1</v>
          </cell>
        </row>
        <row r="661">
          <cell r="A661" t="str">
            <v>39002_2</v>
          </cell>
        </row>
        <row r="662">
          <cell r="A662" t="str">
            <v>39002_3</v>
          </cell>
        </row>
        <row r="663">
          <cell r="A663" t="str">
            <v>39002_4</v>
          </cell>
        </row>
        <row r="664">
          <cell r="A664" t="str">
            <v>39003_1</v>
          </cell>
        </row>
        <row r="665">
          <cell r="A665" t="str">
            <v>39003_2</v>
          </cell>
        </row>
        <row r="666">
          <cell r="A666" t="str">
            <v>39003_3</v>
          </cell>
        </row>
        <row r="667">
          <cell r="A667" t="str">
            <v>39003_4</v>
          </cell>
        </row>
        <row r="668">
          <cell r="A668" t="str">
            <v>39004_1</v>
          </cell>
        </row>
        <row r="669">
          <cell r="A669" t="str">
            <v>39004_2</v>
          </cell>
        </row>
        <row r="670">
          <cell r="A670" t="str">
            <v>39004_3</v>
          </cell>
        </row>
        <row r="671">
          <cell r="A671" t="str">
            <v>39004_4</v>
          </cell>
        </row>
        <row r="672">
          <cell r="A672" t="str">
            <v>39005_1</v>
          </cell>
        </row>
        <row r="673">
          <cell r="A673" t="str">
            <v>39005_2</v>
          </cell>
        </row>
        <row r="674">
          <cell r="A674" t="str">
            <v>39005_3</v>
          </cell>
        </row>
        <row r="675">
          <cell r="A675" t="str">
            <v>39005_4</v>
          </cell>
        </row>
        <row r="676">
          <cell r="A676" t="str">
            <v>39005_5</v>
          </cell>
        </row>
        <row r="677">
          <cell r="A677" t="str">
            <v>39006_1</v>
          </cell>
        </row>
        <row r="678">
          <cell r="A678" t="str">
            <v>39006_2</v>
          </cell>
        </row>
        <row r="679">
          <cell r="A679" t="str">
            <v>39006_3</v>
          </cell>
        </row>
        <row r="680">
          <cell r="A680" t="str">
            <v>39006_4</v>
          </cell>
        </row>
        <row r="681">
          <cell r="A681" t="str">
            <v>39007_1</v>
          </cell>
        </row>
        <row r="682">
          <cell r="A682" t="str">
            <v>39007_2</v>
          </cell>
        </row>
        <row r="683">
          <cell r="A683" t="str">
            <v>39007_3</v>
          </cell>
        </row>
        <row r="684">
          <cell r="A684" t="str">
            <v>39007_4</v>
          </cell>
        </row>
        <row r="685">
          <cell r="A685" t="str">
            <v>39008_1</v>
          </cell>
        </row>
        <row r="686">
          <cell r="A686" t="str">
            <v>39008_2</v>
          </cell>
        </row>
        <row r="687">
          <cell r="A687" t="str">
            <v>39008_3</v>
          </cell>
        </row>
        <row r="688">
          <cell r="A688" t="str">
            <v>39008_4</v>
          </cell>
        </row>
        <row r="689">
          <cell r="A689" t="str">
            <v>39008_5</v>
          </cell>
        </row>
        <row r="690">
          <cell r="A690" t="str">
            <v>39009_1</v>
          </cell>
        </row>
        <row r="691">
          <cell r="A691" t="str">
            <v>39009_2</v>
          </cell>
        </row>
        <row r="692">
          <cell r="A692" t="str">
            <v>39009_3</v>
          </cell>
        </row>
        <row r="693">
          <cell r="A693" t="str">
            <v>39009_4</v>
          </cell>
        </row>
        <row r="694">
          <cell r="A694" t="str">
            <v>39009_5</v>
          </cell>
        </row>
        <row r="695">
          <cell r="A695" t="str">
            <v>39010_1</v>
          </cell>
        </row>
        <row r="696">
          <cell r="A696" t="str">
            <v>39010_2</v>
          </cell>
        </row>
        <row r="697">
          <cell r="A697" t="str">
            <v>39010_3</v>
          </cell>
        </row>
        <row r="698">
          <cell r="A698" t="str">
            <v>39010_4</v>
          </cell>
        </row>
        <row r="699">
          <cell r="A699" t="str">
            <v>39011_1</v>
          </cell>
        </row>
        <row r="700">
          <cell r="A700" t="str">
            <v>39011_2</v>
          </cell>
        </row>
        <row r="701">
          <cell r="A701" t="str">
            <v>39011_3</v>
          </cell>
        </row>
        <row r="702">
          <cell r="A702" t="str">
            <v>39011_4</v>
          </cell>
        </row>
        <row r="703">
          <cell r="A703" t="str">
            <v>40001_1</v>
          </cell>
        </row>
        <row r="704">
          <cell r="A704" t="str">
            <v>40002_1</v>
          </cell>
        </row>
        <row r="705">
          <cell r="A705" t="str">
            <v>40002_2</v>
          </cell>
        </row>
        <row r="706">
          <cell r="A706" t="str">
            <v>40002_3</v>
          </cell>
        </row>
        <row r="707">
          <cell r="A707" t="str">
            <v>40003_1</v>
          </cell>
        </row>
        <row r="708">
          <cell r="A708" t="str">
            <v>40004_1</v>
          </cell>
        </row>
        <row r="709">
          <cell r="A709" t="str">
            <v>40005_1</v>
          </cell>
        </row>
        <row r="710">
          <cell r="A710" t="str">
            <v>40006_1</v>
          </cell>
        </row>
        <row r="711">
          <cell r="A711" t="str">
            <v>40007_1</v>
          </cell>
        </row>
        <row r="712">
          <cell r="A712" t="str">
            <v>40008_1</v>
          </cell>
        </row>
        <row r="713">
          <cell r="A713" t="str">
            <v>40009_1</v>
          </cell>
        </row>
        <row r="714">
          <cell r="A714" t="str">
            <v>40010_1</v>
          </cell>
        </row>
        <row r="715">
          <cell r="A715" t="str">
            <v>40011_1</v>
          </cell>
        </row>
        <row r="716">
          <cell r="A716" t="str">
            <v>40012_1</v>
          </cell>
        </row>
        <row r="717">
          <cell r="A717" t="str">
            <v>40013_1</v>
          </cell>
        </row>
        <row r="718">
          <cell r="A718" t="str">
            <v>40014_1</v>
          </cell>
        </row>
        <row r="719">
          <cell r="A719" t="str">
            <v>40015_1</v>
          </cell>
        </row>
        <row r="720">
          <cell r="A720" t="str">
            <v>40016_1</v>
          </cell>
        </row>
        <row r="721">
          <cell r="A721" t="str">
            <v>40016_2</v>
          </cell>
        </row>
        <row r="722">
          <cell r="A722" t="str">
            <v>40017_1</v>
          </cell>
        </row>
        <row r="723">
          <cell r="A723" t="str">
            <v>40017_2</v>
          </cell>
        </row>
        <row r="724">
          <cell r="A724" t="str">
            <v>40017_3</v>
          </cell>
        </row>
        <row r="725">
          <cell r="A725" t="str">
            <v>40018_1</v>
          </cell>
        </row>
        <row r="726">
          <cell r="A726" t="str">
            <v>40018_2</v>
          </cell>
        </row>
        <row r="727">
          <cell r="A727" t="str">
            <v>40018_3</v>
          </cell>
        </row>
        <row r="728">
          <cell r="A728" t="str">
            <v>40019_1</v>
          </cell>
        </row>
        <row r="729">
          <cell r="A729" t="str">
            <v>40019_2</v>
          </cell>
        </row>
        <row r="730">
          <cell r="A730" t="str">
            <v>40019_3</v>
          </cell>
        </row>
        <row r="731">
          <cell r="A731" t="str">
            <v>40021_1</v>
          </cell>
        </row>
        <row r="732">
          <cell r="A732" t="str">
            <v>40021_2</v>
          </cell>
        </row>
        <row r="733">
          <cell r="A733" t="str">
            <v>40022_1</v>
          </cell>
        </row>
        <row r="734">
          <cell r="A734" t="str">
            <v>40022_2</v>
          </cell>
        </row>
        <row r="735">
          <cell r="A735" t="str">
            <v>40023_1</v>
          </cell>
        </row>
        <row r="736">
          <cell r="A736" t="str">
            <v>40023_2</v>
          </cell>
        </row>
        <row r="737">
          <cell r="A737" t="str">
            <v>40024_1</v>
          </cell>
        </row>
        <row r="738">
          <cell r="A738" t="str">
            <v>40024_2</v>
          </cell>
        </row>
        <row r="739">
          <cell r="A739" t="str">
            <v>40025_1</v>
          </cell>
        </row>
        <row r="740">
          <cell r="A740" t="str">
            <v>40025_2</v>
          </cell>
        </row>
        <row r="741">
          <cell r="A741" t="str">
            <v>40026_1</v>
          </cell>
        </row>
        <row r="742">
          <cell r="A742" t="str">
            <v>40026_2</v>
          </cell>
        </row>
        <row r="743">
          <cell r="A743" t="str">
            <v>40027_1</v>
          </cell>
        </row>
        <row r="744">
          <cell r="A744" t="str">
            <v>40027_2</v>
          </cell>
        </row>
        <row r="745">
          <cell r="A745" t="str">
            <v>40028_1</v>
          </cell>
        </row>
        <row r="746">
          <cell r="A746" t="str">
            <v>40028_2</v>
          </cell>
        </row>
        <row r="747">
          <cell r="A747" t="str">
            <v>40029_1</v>
          </cell>
        </row>
        <row r="748">
          <cell r="A748" t="str">
            <v>40029_2</v>
          </cell>
        </row>
        <row r="749">
          <cell r="A749" t="str">
            <v>40030_1</v>
          </cell>
        </row>
        <row r="750">
          <cell r="A750" t="str">
            <v>40030_2</v>
          </cell>
        </row>
        <row r="751">
          <cell r="A751" t="str">
            <v>40031_1</v>
          </cell>
        </row>
        <row r="752">
          <cell r="A752" t="str">
            <v>40031_2</v>
          </cell>
        </row>
        <row r="753">
          <cell r="A753" t="str">
            <v>40032_1</v>
          </cell>
        </row>
        <row r="754">
          <cell r="A754" t="str">
            <v>40032_2</v>
          </cell>
        </row>
        <row r="755">
          <cell r="A755" t="str">
            <v>40033_1</v>
          </cell>
        </row>
        <row r="756">
          <cell r="A756" t="str">
            <v>40033_2</v>
          </cell>
        </row>
        <row r="757">
          <cell r="A757" t="str">
            <v>40034_1</v>
          </cell>
        </row>
        <row r="758">
          <cell r="A758" t="str">
            <v>40034_2</v>
          </cell>
        </row>
        <row r="759">
          <cell r="A759" t="str">
            <v>40035_1</v>
          </cell>
        </row>
        <row r="760">
          <cell r="A760" t="str">
            <v>40035_2</v>
          </cell>
        </row>
        <row r="761">
          <cell r="A761" t="str">
            <v>40036_1</v>
          </cell>
        </row>
        <row r="762">
          <cell r="A762" t="str">
            <v>40036_2</v>
          </cell>
        </row>
        <row r="763">
          <cell r="A763" t="str">
            <v>40037_1</v>
          </cell>
        </row>
        <row r="764">
          <cell r="A764" t="str">
            <v>40037_2</v>
          </cell>
        </row>
        <row r="765">
          <cell r="A765" t="str">
            <v>40038_1</v>
          </cell>
        </row>
        <row r="766">
          <cell r="A766" t="str">
            <v>40038_2</v>
          </cell>
        </row>
        <row r="767">
          <cell r="A767" t="str">
            <v>40039_1</v>
          </cell>
        </row>
        <row r="768">
          <cell r="A768" t="str">
            <v>40039_2</v>
          </cell>
        </row>
        <row r="769">
          <cell r="A769" t="str">
            <v>40040_1</v>
          </cell>
        </row>
        <row r="770">
          <cell r="A770" t="str">
            <v>40040_2</v>
          </cell>
        </row>
        <row r="771">
          <cell r="A771" t="str">
            <v>40041_1</v>
          </cell>
        </row>
        <row r="772">
          <cell r="A772" t="str">
            <v>40041_2</v>
          </cell>
        </row>
        <row r="773">
          <cell r="A773" t="str">
            <v>40042_1</v>
          </cell>
        </row>
        <row r="774">
          <cell r="A774" t="str">
            <v>40042_2</v>
          </cell>
        </row>
        <row r="775">
          <cell r="A775" t="str">
            <v>40043_1</v>
          </cell>
        </row>
        <row r="776">
          <cell r="A776" t="str">
            <v>40043_2</v>
          </cell>
        </row>
        <row r="777">
          <cell r="A777" t="str">
            <v>41001_1</v>
          </cell>
        </row>
        <row r="778">
          <cell r="A778" t="str">
            <v>41001_2</v>
          </cell>
        </row>
        <row r="779">
          <cell r="A779" t="str">
            <v>41001_3</v>
          </cell>
        </row>
        <row r="780">
          <cell r="A780" t="str">
            <v>41002_1</v>
          </cell>
        </row>
        <row r="781">
          <cell r="A781" t="str">
            <v>41002_2</v>
          </cell>
        </row>
        <row r="782">
          <cell r="A782" t="str">
            <v>41002_3</v>
          </cell>
        </row>
        <row r="783">
          <cell r="A783" t="str">
            <v>41003_1</v>
          </cell>
        </row>
        <row r="784">
          <cell r="A784" t="str">
            <v>41003_2</v>
          </cell>
        </row>
        <row r="785">
          <cell r="A785" t="str">
            <v>41003_3</v>
          </cell>
        </row>
        <row r="786">
          <cell r="A786" t="str">
            <v>41004_1</v>
          </cell>
        </row>
        <row r="787">
          <cell r="A787" t="str">
            <v>41004_2</v>
          </cell>
        </row>
        <row r="788">
          <cell r="A788" t="str">
            <v>41004_3</v>
          </cell>
        </row>
        <row r="789">
          <cell r="A789" t="str">
            <v>41005_1</v>
          </cell>
        </row>
        <row r="790">
          <cell r="A790" t="str">
            <v>41005_2</v>
          </cell>
        </row>
        <row r="791">
          <cell r="A791" t="str">
            <v>41005_3</v>
          </cell>
        </row>
        <row r="792">
          <cell r="A792" t="str">
            <v>41006_1</v>
          </cell>
        </row>
        <row r="793">
          <cell r="A793" t="str">
            <v>41006_2</v>
          </cell>
        </row>
        <row r="794">
          <cell r="A794" t="str">
            <v>41006_3</v>
          </cell>
        </row>
        <row r="795">
          <cell r="A795" t="str">
            <v>41007_1</v>
          </cell>
        </row>
        <row r="796">
          <cell r="A796" t="str">
            <v>41007_2</v>
          </cell>
        </row>
        <row r="797">
          <cell r="A797" t="str">
            <v>41007_3</v>
          </cell>
        </row>
        <row r="798">
          <cell r="A798" t="str">
            <v>41008_1</v>
          </cell>
        </row>
        <row r="799">
          <cell r="A799" t="str">
            <v>41008_2</v>
          </cell>
        </row>
        <row r="800">
          <cell r="A800" t="str">
            <v>41008_3</v>
          </cell>
        </row>
        <row r="801">
          <cell r="A801" t="str">
            <v>41009_1</v>
          </cell>
        </row>
        <row r="802">
          <cell r="A802" t="str">
            <v>41009_2</v>
          </cell>
        </row>
        <row r="803">
          <cell r="A803" t="str">
            <v>41009_3</v>
          </cell>
        </row>
        <row r="804">
          <cell r="A804" t="str">
            <v>41010_1</v>
          </cell>
        </row>
        <row r="805">
          <cell r="A805" t="str">
            <v>41010_2</v>
          </cell>
        </row>
        <row r="806">
          <cell r="A806" t="str">
            <v>41010_3</v>
          </cell>
        </row>
        <row r="807">
          <cell r="A807" t="str">
            <v>41011_1</v>
          </cell>
        </row>
        <row r="808">
          <cell r="A808" t="str">
            <v>41011_2</v>
          </cell>
        </row>
        <row r="809">
          <cell r="A809" t="str">
            <v>41012_1</v>
          </cell>
        </row>
        <row r="810">
          <cell r="A810" t="str">
            <v>41012_2</v>
          </cell>
        </row>
        <row r="811">
          <cell r="A811" t="str">
            <v>41013_1</v>
          </cell>
        </row>
        <row r="812">
          <cell r="A812" t="str">
            <v>41013_2</v>
          </cell>
        </row>
        <row r="813">
          <cell r="A813" t="str">
            <v>41014_1</v>
          </cell>
        </row>
        <row r="814">
          <cell r="A814" t="str">
            <v>41014_2</v>
          </cell>
        </row>
        <row r="815">
          <cell r="A815" t="str">
            <v>41015_1</v>
          </cell>
        </row>
        <row r="816">
          <cell r="A816" t="str">
            <v>41015_2</v>
          </cell>
        </row>
        <row r="817">
          <cell r="A817" t="str">
            <v>47001_1</v>
          </cell>
        </row>
        <row r="818">
          <cell r="A818" t="str">
            <v>47001_2</v>
          </cell>
        </row>
        <row r="819">
          <cell r="A819" t="str">
            <v>47002_1</v>
          </cell>
        </row>
        <row r="820">
          <cell r="A820" t="str">
            <v>47002_2</v>
          </cell>
        </row>
        <row r="821">
          <cell r="A821" t="str">
            <v>47003_1</v>
          </cell>
        </row>
        <row r="822">
          <cell r="A822" t="str">
            <v>47003_2</v>
          </cell>
        </row>
        <row r="823">
          <cell r="A823" t="str">
            <v>47003_3</v>
          </cell>
        </row>
        <row r="824">
          <cell r="A824" t="str">
            <v>47003_4</v>
          </cell>
        </row>
        <row r="825">
          <cell r="A825" t="str">
            <v>47004_1</v>
          </cell>
        </row>
        <row r="826">
          <cell r="A826" t="str">
            <v>47004_2</v>
          </cell>
        </row>
        <row r="827">
          <cell r="A827" t="str">
            <v>47004_3</v>
          </cell>
        </row>
        <row r="828">
          <cell r="A828" t="str">
            <v>47004_4</v>
          </cell>
        </row>
        <row r="829">
          <cell r="A829" t="str">
            <v>47005_1</v>
          </cell>
        </row>
        <row r="830">
          <cell r="A830" t="str">
            <v>47006_1</v>
          </cell>
        </row>
        <row r="831">
          <cell r="A831" t="str">
            <v>47006_2</v>
          </cell>
        </row>
        <row r="832">
          <cell r="A832" t="str">
            <v>47007_1</v>
          </cell>
        </row>
        <row r="833">
          <cell r="A833" t="str">
            <v>47007_2</v>
          </cell>
        </row>
        <row r="834">
          <cell r="A834" t="str">
            <v>47008_1</v>
          </cell>
        </row>
        <row r="835">
          <cell r="A835" t="str">
            <v>47008_2</v>
          </cell>
        </row>
        <row r="836">
          <cell r="A836" t="str">
            <v>48001_1</v>
          </cell>
        </row>
        <row r="837">
          <cell r="A837" t="str">
            <v>48002_1</v>
          </cell>
        </row>
        <row r="838">
          <cell r="A838" t="str">
            <v>48002_2</v>
          </cell>
        </row>
        <row r="839">
          <cell r="A839" t="str">
            <v>48002_3</v>
          </cell>
        </row>
        <row r="840">
          <cell r="A840" t="str">
            <v>48003_1</v>
          </cell>
        </row>
        <row r="841">
          <cell r="A841" t="str">
            <v>48003_2</v>
          </cell>
        </row>
        <row r="842">
          <cell r="A842" t="str">
            <v>48004_1</v>
          </cell>
        </row>
        <row r="843">
          <cell r="A843" t="str">
            <v>48004_2</v>
          </cell>
        </row>
        <row r="844">
          <cell r="A844" t="str">
            <v>48005_1</v>
          </cell>
        </row>
        <row r="845">
          <cell r="A845" t="str">
            <v>48005_2</v>
          </cell>
        </row>
        <row r="846">
          <cell r="A846" t="str">
            <v>48006_1</v>
          </cell>
        </row>
        <row r="847">
          <cell r="A847" t="str">
            <v>48006_2</v>
          </cell>
        </row>
        <row r="848">
          <cell r="A848" t="str">
            <v>48007_1</v>
          </cell>
        </row>
        <row r="849">
          <cell r="A849" t="str">
            <v>48007_2</v>
          </cell>
        </row>
        <row r="850">
          <cell r="A850" t="str">
            <v>48008_1</v>
          </cell>
        </row>
        <row r="851">
          <cell r="A851" t="str">
            <v>48008_2</v>
          </cell>
        </row>
        <row r="852">
          <cell r="A852" t="str">
            <v>48009_1</v>
          </cell>
        </row>
        <row r="853">
          <cell r="A853" t="str">
            <v>48009_2</v>
          </cell>
        </row>
        <row r="854">
          <cell r="A854" t="str">
            <v>48010_1</v>
          </cell>
        </row>
        <row r="855">
          <cell r="A855" t="str">
            <v>48011_1</v>
          </cell>
        </row>
        <row r="856">
          <cell r="A856" t="str">
            <v>48011_2</v>
          </cell>
        </row>
        <row r="857">
          <cell r="A857" t="str">
            <v>48501_1</v>
          </cell>
        </row>
        <row r="858">
          <cell r="A858" t="str">
            <v>48501_2</v>
          </cell>
        </row>
        <row r="859">
          <cell r="A859" t="str">
            <v>49001_1</v>
          </cell>
        </row>
        <row r="860">
          <cell r="A860" t="str">
            <v>49002_1</v>
          </cell>
        </row>
        <row r="861">
          <cell r="A861" t="str">
            <v>49002_2</v>
          </cell>
        </row>
        <row r="862">
          <cell r="A862" t="str">
            <v>49003_1</v>
          </cell>
        </row>
        <row r="863">
          <cell r="A863" t="str">
            <v>49003_2</v>
          </cell>
        </row>
        <row r="864">
          <cell r="A864" t="str">
            <v>49004_1</v>
          </cell>
        </row>
        <row r="865">
          <cell r="A865" t="str">
            <v>49004_2</v>
          </cell>
        </row>
        <row r="866">
          <cell r="A866" t="str">
            <v>49004_3</v>
          </cell>
        </row>
        <row r="867">
          <cell r="A867" t="str">
            <v>49005_1</v>
          </cell>
        </row>
        <row r="868">
          <cell r="A868" t="str">
            <v>49006_1</v>
          </cell>
        </row>
        <row r="869">
          <cell r="A869" t="str">
            <v>49006_2</v>
          </cell>
        </row>
        <row r="870">
          <cell r="A870" t="str">
            <v>49007_1</v>
          </cell>
        </row>
        <row r="871">
          <cell r="A871" t="str">
            <v>49007_2</v>
          </cell>
        </row>
        <row r="872">
          <cell r="A872" t="str">
            <v>49007_3</v>
          </cell>
        </row>
        <row r="873">
          <cell r="A873" t="str">
            <v>49008_1</v>
          </cell>
        </row>
        <row r="874">
          <cell r="A874" t="str">
            <v>49009_1</v>
          </cell>
        </row>
        <row r="875">
          <cell r="A875" t="str">
            <v>49010_1</v>
          </cell>
        </row>
        <row r="876">
          <cell r="A876" t="str">
            <v>49011_1</v>
          </cell>
        </row>
        <row r="877">
          <cell r="A877" t="str">
            <v>49012_1</v>
          </cell>
        </row>
        <row r="878">
          <cell r="A878" t="str">
            <v>49013_1</v>
          </cell>
        </row>
        <row r="879">
          <cell r="A879" t="str">
            <v>50001_1</v>
          </cell>
        </row>
        <row r="880">
          <cell r="A880" t="str">
            <v>50002_1</v>
          </cell>
        </row>
        <row r="881">
          <cell r="A881" t="str">
            <v>50003_1</v>
          </cell>
        </row>
        <row r="882">
          <cell r="A882" t="str">
            <v>50004_1</v>
          </cell>
        </row>
        <row r="883">
          <cell r="A883" t="str">
            <v>50005_1</v>
          </cell>
        </row>
        <row r="884">
          <cell r="A884" t="str">
            <v>50006_1</v>
          </cell>
        </row>
        <row r="885">
          <cell r="A885" t="str">
            <v>50007_1</v>
          </cell>
        </row>
        <row r="886">
          <cell r="A886" t="str">
            <v>50008_1</v>
          </cell>
        </row>
        <row r="887">
          <cell r="A887" t="str">
            <v>50009_1</v>
          </cell>
        </row>
        <row r="888">
          <cell r="A888" t="str">
            <v>50010_1</v>
          </cell>
        </row>
        <row r="889">
          <cell r="A889" t="str">
            <v>50011_1</v>
          </cell>
        </row>
        <row r="890">
          <cell r="A890" t="str">
            <v>50012_1</v>
          </cell>
        </row>
        <row r="891">
          <cell r="A891" t="str">
            <v>50013_1</v>
          </cell>
        </row>
        <row r="892">
          <cell r="A892" t="str">
            <v>50014_1</v>
          </cell>
        </row>
        <row r="893">
          <cell r="A893" t="str">
            <v>51001_1</v>
          </cell>
        </row>
        <row r="894">
          <cell r="A894" t="str">
            <v>51002_1</v>
          </cell>
        </row>
        <row r="895">
          <cell r="A895" t="str">
            <v>59001_1</v>
          </cell>
        </row>
        <row r="896">
          <cell r="A896" t="str">
            <v>60001_1</v>
          </cell>
        </row>
        <row r="897">
          <cell r="A897" t="str">
            <v>60002_1</v>
          </cell>
        </row>
        <row r="898">
          <cell r="A898" t="str">
            <v>60002_2</v>
          </cell>
        </row>
        <row r="899">
          <cell r="A899" t="str">
            <v>60003_1</v>
          </cell>
        </row>
        <row r="900">
          <cell r="A900" t="str">
            <v>60003_2</v>
          </cell>
        </row>
        <row r="901">
          <cell r="A901" t="str">
            <v>60003_3</v>
          </cell>
        </row>
        <row r="902">
          <cell r="A902" t="str">
            <v>60004_1</v>
          </cell>
        </row>
        <row r="903">
          <cell r="A903" t="str">
            <v>60005_1</v>
          </cell>
        </row>
        <row r="904">
          <cell r="A904" t="str">
            <v>60006_1</v>
          </cell>
        </row>
        <row r="905">
          <cell r="A905" t="str">
            <v>60006_2</v>
          </cell>
        </row>
        <row r="906">
          <cell r="A906" t="str">
            <v>60006_3</v>
          </cell>
        </row>
        <row r="907">
          <cell r="A907" t="str">
            <v>60007_1</v>
          </cell>
        </row>
        <row r="908">
          <cell r="A908" t="str">
            <v>60007_2</v>
          </cell>
        </row>
        <row r="909">
          <cell r="A909" t="str">
            <v>60007_3</v>
          </cell>
        </row>
        <row r="910">
          <cell r="A910" t="str">
            <v>60010_1</v>
          </cell>
        </row>
        <row r="911">
          <cell r="A911" t="str">
            <v>60011_1</v>
          </cell>
        </row>
        <row r="912">
          <cell r="A912" t="str">
            <v>60011_2</v>
          </cell>
        </row>
        <row r="913">
          <cell r="A913" t="str">
            <v>60012_1</v>
          </cell>
        </row>
        <row r="914">
          <cell r="A914" t="str">
            <v>60013_1</v>
          </cell>
        </row>
        <row r="915">
          <cell r="A915" t="str">
            <v>60013_2</v>
          </cell>
        </row>
        <row r="916">
          <cell r="A916" t="str">
            <v>60013_3</v>
          </cell>
        </row>
        <row r="917">
          <cell r="A917" t="str">
            <v>60014_1</v>
          </cell>
        </row>
        <row r="918">
          <cell r="A918" t="str">
            <v>60015_1</v>
          </cell>
        </row>
        <row r="919">
          <cell r="A919" t="str">
            <v>60016_1</v>
          </cell>
        </row>
        <row r="920">
          <cell r="A920" t="str">
            <v>60017_1</v>
          </cell>
        </row>
        <row r="921">
          <cell r="A921" t="str">
            <v>60018_1</v>
          </cell>
        </row>
        <row r="922">
          <cell r="A922" t="str">
            <v>60019_1</v>
          </cell>
        </row>
        <row r="923">
          <cell r="A923" t="str">
            <v>60020_1</v>
          </cell>
        </row>
        <row r="924">
          <cell r="A924" t="str">
            <v>60021_3</v>
          </cell>
        </row>
        <row r="925">
          <cell r="A925" t="str">
            <v>60022_3</v>
          </cell>
        </row>
        <row r="926">
          <cell r="A926" t="str">
            <v>60023_3</v>
          </cell>
        </row>
        <row r="927">
          <cell r="A927" t="str">
            <v>60024_3</v>
          </cell>
        </row>
        <row r="928">
          <cell r="A928" t="str">
            <v>60025_1</v>
          </cell>
        </row>
        <row r="929">
          <cell r="A929" t="str">
            <v>60026_1</v>
          </cell>
        </row>
        <row r="930">
          <cell r="A930" t="str">
            <v>61011_1</v>
          </cell>
        </row>
        <row r="931">
          <cell r="A931" t="str">
            <v>60027_1</v>
          </cell>
        </row>
        <row r="932">
          <cell r="A932" t="str">
            <v>65525_1</v>
          </cell>
        </row>
        <row r="933">
          <cell r="A933" t="str">
            <v>65526_1</v>
          </cell>
        </row>
        <row r="934">
          <cell r="A934" t="str">
            <v>65526_2</v>
          </cell>
        </row>
        <row r="935">
          <cell r="A935" t="str">
            <v>65527_1</v>
          </cell>
        </row>
        <row r="936">
          <cell r="A936" t="str">
            <v>65528_1</v>
          </cell>
        </row>
        <row r="937">
          <cell r="A937" t="str">
            <v>65529_1</v>
          </cell>
        </row>
        <row r="938">
          <cell r="A938" t="str">
            <v>65530_1</v>
          </cell>
        </row>
        <row r="939">
          <cell r="A939" t="str">
            <v>65531_1</v>
          </cell>
        </row>
        <row r="940">
          <cell r="A940" t="str">
            <v>65531_2</v>
          </cell>
        </row>
        <row r="941">
          <cell r="A941" t="str">
            <v>65532_1</v>
          </cell>
        </row>
        <row r="942">
          <cell r="A942" t="str">
            <v>65532_2</v>
          </cell>
        </row>
        <row r="943">
          <cell r="A943" t="str">
            <v>65533_1</v>
          </cell>
        </row>
        <row r="944">
          <cell r="A944" t="str">
            <v>65533_2</v>
          </cell>
        </row>
        <row r="945">
          <cell r="A945" t="str">
            <v>65534_1</v>
          </cell>
        </row>
        <row r="946">
          <cell r="A946" t="str">
            <v>65535_1</v>
          </cell>
        </row>
        <row r="947">
          <cell r="A947" t="str">
            <v>65535_2</v>
          </cell>
        </row>
        <row r="948">
          <cell r="A948" t="str">
            <v>65535_3</v>
          </cell>
        </row>
        <row r="949">
          <cell r="A949" t="str">
            <v>65535_4</v>
          </cell>
        </row>
        <row r="950">
          <cell r="A950" t="str">
            <v>65535_5</v>
          </cell>
        </row>
        <row r="951">
          <cell r="A951" t="str">
            <v>65535_6</v>
          </cell>
        </row>
        <row r="952">
          <cell r="A952" t="str">
            <v>65535_7</v>
          </cell>
        </row>
        <row r="953">
          <cell r="A953" t="str">
            <v>65535_8</v>
          </cell>
        </row>
        <row r="954">
          <cell r="A954" t="str">
            <v>65535_9</v>
          </cell>
        </row>
        <row r="955">
          <cell r="A955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floors"/>
      <sheetName val="enemy_habitats"/>
      <sheetName val="enemy_habitat_S"/>
      <sheetName val="enemy_skill_sets"/>
      <sheetName val="enemy_skills"/>
      <sheetName val="enemy_skill_triggers"/>
      <sheetName val="bugbonuses"/>
      <sheetName val="stage_hints_complete"/>
      <sheetName val="stage_hints_failure"/>
      <sheetName val="stage_bonuses"/>
    </sheetNames>
    <sheetDataSet>
      <sheetData sheetId="0"/>
      <sheetData sheetId="1">
        <row r="1">
          <cell r="A1" t="str">
            <v>temp_floor</v>
          </cell>
          <cell r="B1" t="str">
            <v>status</v>
          </cell>
          <cell r="C1" t="str">
            <v>quest_id</v>
          </cell>
          <cell r="D1" t="str">
            <v>name</v>
          </cell>
          <cell r="E1" t="str">
            <v>位置付け</v>
          </cell>
          <cell r="F1" t="str">
            <v>stage_id</v>
          </cell>
          <cell r="G1" t="str">
            <v>temp_stage</v>
          </cell>
          <cell r="H1" t="str">
            <v>name</v>
          </cell>
          <cell r="I1" t="str">
            <v>floor_id</v>
          </cell>
          <cell r="J1" t="str">
            <v>total_size_min</v>
          </cell>
          <cell r="K1" t="str">
            <v>total_size_max</v>
          </cell>
        </row>
        <row r="2">
          <cell r="A2" t="str">
            <v>13300_13-1</v>
          </cell>
        </row>
        <row r="3">
          <cell r="A3" t="str">
            <v>13300_13-2</v>
          </cell>
        </row>
        <row r="4">
          <cell r="A4" t="str">
            <v>13300_13-3</v>
          </cell>
        </row>
      </sheetData>
      <sheetData sheetId="2"/>
      <sheetData sheetId="3"/>
      <sheetData sheetId="4"/>
      <sheetData sheetId="5">
        <row r="1">
          <cell r="A1" t="str">
            <v>enemy_skill_id</v>
          </cell>
          <cell r="B1" t="str">
            <v>effect_param</v>
          </cell>
          <cell r="C1" t="str">
            <v>valid_flg</v>
          </cell>
          <cell r="D1" t="str">
            <v>language</v>
          </cell>
          <cell r="E1" t="str">
            <v>name</v>
          </cell>
          <cell r="F1" t="str">
            <v>comment</v>
          </cell>
          <cell r="G1" t="str">
            <v>効果１文字列</v>
          </cell>
          <cell r="H1" t="str">
            <v>効果１efect位置</v>
          </cell>
          <cell r="I1" t="str">
            <v>効果1終了位置</v>
          </cell>
          <cell r="J1" t="str">
            <v>効果１target位置</v>
          </cell>
          <cell r="K1" t="str">
            <v>効果1target終了位置</v>
          </cell>
          <cell r="L1" t="str">
            <v>効果１簡易デコード</v>
          </cell>
          <cell r="M1" t="str">
            <v>中間文字列１</v>
          </cell>
          <cell r="N1" t="str">
            <v>効果２文字列</v>
          </cell>
          <cell r="O1" t="str">
            <v>効果2efect位置</v>
          </cell>
          <cell r="P1" t="str">
            <v>効果2終了位置</v>
          </cell>
          <cell r="Q1" t="str">
            <v>効果2target位置</v>
          </cell>
          <cell r="R1" t="str">
            <v>効果2target終了位置</v>
          </cell>
          <cell r="S1" t="str">
            <v>効果２簡易デコード</v>
          </cell>
          <cell r="T1" t="str">
            <v>効果３文字列</v>
          </cell>
          <cell r="U1" t="str">
            <v>効果3efect位置</v>
          </cell>
          <cell r="V1" t="str">
            <v>効果3終了位置</v>
          </cell>
          <cell r="W1" t="str">
            <v>効果3target位置</v>
          </cell>
          <cell r="X1" t="str">
            <v>効果3target終了位置</v>
          </cell>
          <cell r="Y1" t="str">
            <v>効果３簡易デコード</v>
          </cell>
          <cell r="Z1" t="str">
            <v>作成者</v>
          </cell>
          <cell r="AA1" t="str">
            <v>更新日</v>
          </cell>
          <cell r="AB1" t="str">
            <v>備考（使用箇所）</v>
          </cell>
        </row>
        <row r="2">
          <cell r="A2">
            <v>13300701</v>
          </cell>
        </row>
        <row r="3">
          <cell r="A3">
            <v>13300711</v>
          </cell>
        </row>
        <row r="4">
          <cell r="A4">
            <v>13300712</v>
          </cell>
        </row>
        <row r="5">
          <cell r="A5">
            <v>13300721</v>
          </cell>
        </row>
        <row r="6">
          <cell r="A6">
            <v>13300722</v>
          </cell>
        </row>
        <row r="7">
          <cell r="A7">
            <v>13300723</v>
          </cell>
        </row>
        <row r="8">
          <cell r="A8">
            <v>13300724</v>
          </cell>
        </row>
        <row r="9">
          <cell r="A9">
            <v>13300725</v>
          </cell>
        </row>
        <row r="10">
          <cell r="A10">
            <v>13300741</v>
          </cell>
        </row>
        <row r="11">
          <cell r="A11">
            <v>13300742</v>
          </cell>
        </row>
        <row r="12">
          <cell r="A12">
            <v>13300743</v>
          </cell>
        </row>
        <row r="13">
          <cell r="A13">
            <v>13300761</v>
          </cell>
        </row>
        <row r="14">
          <cell r="A14">
            <v>13300762</v>
          </cell>
        </row>
        <row r="15">
          <cell r="A15">
            <v>13300763</v>
          </cell>
        </row>
        <row r="16">
          <cell r="A16">
            <v>13300764</v>
          </cell>
        </row>
        <row r="17">
          <cell r="A17">
            <v>13300765</v>
          </cell>
        </row>
        <row r="18">
          <cell r="A18">
            <v>13300766</v>
          </cell>
        </row>
        <row r="19">
          <cell r="A19">
            <v>13300767</v>
          </cell>
        </row>
        <row r="20">
          <cell r="A20">
            <v>13300781</v>
          </cell>
        </row>
        <row r="21">
          <cell r="A21">
            <v>13300782</v>
          </cell>
        </row>
        <row r="22">
          <cell r="A22">
            <v>13300783</v>
          </cell>
        </row>
      </sheetData>
      <sheetData sheetId="6">
        <row r="1">
          <cell r="A1" t="str">
            <v>skill_trigger_id</v>
          </cell>
          <cell r="B1" t="str">
            <v>first_time</v>
          </cell>
          <cell r="C1" t="str">
            <v>priority</v>
          </cell>
          <cell r="D1" t="str">
            <v>invoke_rate</v>
          </cell>
          <cell r="E1" t="str">
            <v>hp_threshold</v>
          </cell>
          <cell r="F1" t="str">
            <v>hp_termination</v>
          </cell>
          <cell r="G1" t="str">
            <v>invoke_times</v>
          </cell>
          <cell r="H1" t="str">
            <v>every_time_count</v>
          </cell>
          <cell r="I1" t="str">
            <v>neighbor_dead_id</v>
          </cell>
          <cell r="J1" t="str">
            <v>invoke_weight</v>
          </cell>
          <cell r="K1" t="str">
            <v>重複チェック</v>
          </cell>
        </row>
        <row r="2">
          <cell r="A2">
            <v>13300701</v>
          </cell>
        </row>
        <row r="3">
          <cell r="A3">
            <v>13300711</v>
          </cell>
        </row>
        <row r="4">
          <cell r="A4">
            <v>13300712</v>
          </cell>
        </row>
        <row r="5">
          <cell r="A5">
            <v>13300721</v>
          </cell>
        </row>
        <row r="6">
          <cell r="A6">
            <v>13300722</v>
          </cell>
        </row>
        <row r="7">
          <cell r="A7">
            <v>13300723</v>
          </cell>
        </row>
        <row r="8">
          <cell r="A8">
            <v>13300724</v>
          </cell>
        </row>
        <row r="9">
          <cell r="A9">
            <v>13300725</v>
          </cell>
        </row>
        <row r="10">
          <cell r="A10">
            <v>13300726</v>
          </cell>
        </row>
        <row r="11">
          <cell r="A11">
            <v>13300741</v>
          </cell>
        </row>
        <row r="12">
          <cell r="A12">
            <v>13300742</v>
          </cell>
        </row>
        <row r="13">
          <cell r="A13">
            <v>13300743</v>
          </cell>
        </row>
        <row r="14">
          <cell r="A14">
            <v>13300761</v>
          </cell>
        </row>
        <row r="15">
          <cell r="A15">
            <v>13300762</v>
          </cell>
        </row>
        <row r="16">
          <cell r="A16">
            <v>13300763</v>
          </cell>
        </row>
        <row r="17">
          <cell r="A17">
            <v>13300764</v>
          </cell>
        </row>
        <row r="18">
          <cell r="A18">
            <v>13300765</v>
          </cell>
        </row>
        <row r="19">
          <cell r="A19">
            <v>13300766</v>
          </cell>
        </row>
        <row r="20">
          <cell r="A20">
            <v>13300767</v>
          </cell>
        </row>
        <row r="21">
          <cell r="A21">
            <v>13300781</v>
          </cell>
        </row>
        <row r="22">
          <cell r="A22">
            <v>13300782</v>
          </cell>
        </row>
        <row r="23">
          <cell r="A23">
            <v>13300783</v>
          </cell>
        </row>
      </sheetData>
      <sheetData sheetId="7"/>
      <sheetData sheetId="8"/>
      <sheetData sheetId="9"/>
      <sheetData sheetId="10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5001</v>
          </cell>
        </row>
        <row r="1337">
          <cell r="A1337">
            <v>5002</v>
          </cell>
        </row>
        <row r="1338">
          <cell r="A1338">
            <v>5003</v>
          </cell>
        </row>
        <row r="1339">
          <cell r="A1339">
            <v>5004</v>
          </cell>
        </row>
        <row r="1340">
          <cell r="A1340">
            <v>6001</v>
          </cell>
        </row>
        <row r="1341">
          <cell r="A1341">
            <v>6002</v>
          </cell>
        </row>
        <row r="1342">
          <cell r="A1342">
            <v>6003</v>
          </cell>
        </row>
        <row r="1343">
          <cell r="A1343">
            <v>6004</v>
          </cell>
        </row>
        <row r="1344">
          <cell r="A1344">
            <v>6005</v>
          </cell>
        </row>
        <row r="1345">
          <cell r="A1345">
            <v>6006</v>
          </cell>
        </row>
        <row r="1346">
          <cell r="A1346">
            <v>6007</v>
          </cell>
        </row>
        <row r="1347">
          <cell r="A1347">
            <v>6008</v>
          </cell>
        </row>
        <row r="1348">
          <cell r="A1348">
            <v>6009</v>
          </cell>
        </row>
        <row r="1349">
          <cell r="A1349">
            <v>6010</v>
          </cell>
        </row>
        <row r="1350">
          <cell r="A1350">
            <v>6011</v>
          </cell>
        </row>
        <row r="1351">
          <cell r="A1351">
            <v>6012</v>
          </cell>
        </row>
        <row r="1352">
          <cell r="A1352">
            <v>6013</v>
          </cell>
        </row>
        <row r="1353">
          <cell r="A1353">
            <v>6014</v>
          </cell>
        </row>
        <row r="1354">
          <cell r="A1354">
            <v>6015</v>
          </cell>
        </row>
        <row r="1355">
          <cell r="A1355">
            <v>6016</v>
          </cell>
        </row>
        <row r="1356">
          <cell r="A1356">
            <v>6017</v>
          </cell>
        </row>
        <row r="1357">
          <cell r="A1357">
            <v>6018</v>
          </cell>
        </row>
        <row r="1358">
          <cell r="A1358">
            <v>6019</v>
          </cell>
        </row>
        <row r="1359">
          <cell r="A1359">
            <v>6020</v>
          </cell>
        </row>
        <row r="1360">
          <cell r="A1360">
            <v>8001</v>
          </cell>
        </row>
        <row r="1361">
          <cell r="A1361">
            <v>8002</v>
          </cell>
        </row>
        <row r="1362">
          <cell r="A1362">
            <v>8003</v>
          </cell>
        </row>
        <row r="1363">
          <cell r="A1363">
            <v>8004</v>
          </cell>
        </row>
        <row r="1364">
          <cell r="A1364">
            <v>8005</v>
          </cell>
        </row>
        <row r="1365">
          <cell r="A1365">
            <v>8006</v>
          </cell>
        </row>
        <row r="1366">
          <cell r="A1366">
            <v>8007</v>
          </cell>
        </row>
        <row r="1367">
          <cell r="A1367">
            <v>8008</v>
          </cell>
        </row>
        <row r="1368">
          <cell r="A1368">
            <v>8009</v>
          </cell>
        </row>
        <row r="1369">
          <cell r="A1369">
            <v>8010</v>
          </cell>
        </row>
        <row r="1370">
          <cell r="A1370">
            <v>8011</v>
          </cell>
        </row>
        <row r="1371">
          <cell r="A1371">
            <v>8012</v>
          </cell>
        </row>
        <row r="1372">
          <cell r="A1372">
            <v>8013</v>
          </cell>
        </row>
        <row r="1373">
          <cell r="A1373">
            <v>8014</v>
          </cell>
        </row>
        <row r="1374">
          <cell r="A1374">
            <v>8015</v>
          </cell>
        </row>
        <row r="1375">
          <cell r="A1375">
            <v>8016</v>
          </cell>
        </row>
        <row r="1376">
          <cell r="A1376">
            <v>8017</v>
          </cell>
        </row>
        <row r="1377">
          <cell r="A1377">
            <v>8018</v>
          </cell>
        </row>
        <row r="1378">
          <cell r="A1378">
            <v>8019</v>
          </cell>
        </row>
        <row r="1379">
          <cell r="A1379">
            <v>8020</v>
          </cell>
        </row>
        <row r="1380">
          <cell r="A1380">
            <v>8021</v>
          </cell>
        </row>
        <row r="1381">
          <cell r="A1381">
            <v>8022</v>
          </cell>
        </row>
        <row r="1382">
          <cell r="A1382">
            <v>8023</v>
          </cell>
        </row>
        <row r="1383">
          <cell r="A1383">
            <v>8024</v>
          </cell>
        </row>
        <row r="1384">
          <cell r="A1384">
            <v>8025</v>
          </cell>
        </row>
        <row r="1385">
          <cell r="A1385">
            <v>8026</v>
          </cell>
        </row>
        <row r="1386">
          <cell r="A1386">
            <v>8027</v>
          </cell>
        </row>
        <row r="1387">
          <cell r="A1387">
            <v>8028</v>
          </cell>
        </row>
        <row r="1388">
          <cell r="A1388">
            <v>8029</v>
          </cell>
        </row>
        <row r="1389">
          <cell r="A1389">
            <v>8030</v>
          </cell>
        </row>
        <row r="1390">
          <cell r="A1390">
            <v>8031</v>
          </cell>
        </row>
        <row r="1391">
          <cell r="A1391">
            <v>8032</v>
          </cell>
        </row>
        <row r="1392">
          <cell r="A1392">
            <v>8033</v>
          </cell>
        </row>
        <row r="1393">
          <cell r="A1393">
            <v>8034</v>
          </cell>
        </row>
        <row r="1394">
          <cell r="A1394">
            <v>8035</v>
          </cell>
        </row>
        <row r="1395">
          <cell r="A1395">
            <v>8036</v>
          </cell>
        </row>
        <row r="1396">
          <cell r="A1396">
            <v>8037</v>
          </cell>
        </row>
        <row r="1397">
          <cell r="A1397">
            <v>8038</v>
          </cell>
        </row>
        <row r="1398">
          <cell r="A1398">
            <v>8039</v>
          </cell>
        </row>
        <row r="1399">
          <cell r="A1399">
            <v>8040</v>
          </cell>
        </row>
        <row r="1400">
          <cell r="A1400">
            <v>8041</v>
          </cell>
        </row>
        <row r="1401">
          <cell r="A1401">
            <v>8042</v>
          </cell>
        </row>
        <row r="1402">
          <cell r="A1402">
            <v>8043</v>
          </cell>
        </row>
        <row r="1403">
          <cell r="A1403">
            <v>8044</v>
          </cell>
        </row>
        <row r="1404">
          <cell r="A1404">
            <v>8045</v>
          </cell>
        </row>
        <row r="1405">
          <cell r="A1405">
            <v>8046</v>
          </cell>
        </row>
        <row r="1406">
          <cell r="A1406">
            <v>8047</v>
          </cell>
        </row>
        <row r="1407">
          <cell r="A1407">
            <v>8048</v>
          </cell>
        </row>
        <row r="1408">
          <cell r="A1408">
            <v>8049</v>
          </cell>
        </row>
        <row r="1409">
          <cell r="A1409">
            <v>8050</v>
          </cell>
        </row>
        <row r="1410">
          <cell r="A1410">
            <v>8051</v>
          </cell>
        </row>
        <row r="1411">
          <cell r="A1411">
            <v>8052</v>
          </cell>
        </row>
        <row r="1412">
          <cell r="A1412">
            <v>8053</v>
          </cell>
        </row>
        <row r="1413">
          <cell r="A1413">
            <v>8054</v>
          </cell>
        </row>
        <row r="1414">
          <cell r="A1414">
            <v>8055</v>
          </cell>
        </row>
        <row r="1415">
          <cell r="A1415">
            <v>8056</v>
          </cell>
        </row>
        <row r="1416">
          <cell r="A1416">
            <v>8057</v>
          </cell>
        </row>
        <row r="1417">
          <cell r="A1417">
            <v>8058</v>
          </cell>
        </row>
        <row r="1418">
          <cell r="A1418">
            <v>8059</v>
          </cell>
        </row>
        <row r="1419">
          <cell r="A1419">
            <v>8060</v>
          </cell>
        </row>
        <row r="1420">
          <cell r="A1420">
            <v>8061</v>
          </cell>
        </row>
        <row r="1421">
          <cell r="A1421">
            <v>8062</v>
          </cell>
        </row>
        <row r="1422">
          <cell r="A1422">
            <v>8063</v>
          </cell>
        </row>
        <row r="1423">
          <cell r="A1423">
            <v>8064</v>
          </cell>
        </row>
        <row r="1424">
          <cell r="A1424">
            <v>8065</v>
          </cell>
        </row>
        <row r="1425">
          <cell r="A1425">
            <v>8066</v>
          </cell>
        </row>
        <row r="1426">
          <cell r="A1426">
            <v>8067</v>
          </cell>
        </row>
        <row r="1427">
          <cell r="A1427">
            <v>8068</v>
          </cell>
        </row>
        <row r="1428">
          <cell r="A1428">
            <v>8069</v>
          </cell>
        </row>
        <row r="1429">
          <cell r="A1429">
            <v>8070</v>
          </cell>
        </row>
        <row r="1430">
          <cell r="A1430">
            <v>8071</v>
          </cell>
        </row>
        <row r="1431">
          <cell r="A1431">
            <v>8072</v>
          </cell>
        </row>
        <row r="1432">
          <cell r="A1432">
            <v>8077</v>
          </cell>
        </row>
        <row r="1433">
          <cell r="A1433">
            <v>8078</v>
          </cell>
        </row>
        <row r="1434">
          <cell r="A1434">
            <v>8079</v>
          </cell>
        </row>
        <row r="1435">
          <cell r="A1435">
            <v>8080</v>
          </cell>
        </row>
        <row r="1436">
          <cell r="A1436">
            <v>8087</v>
          </cell>
        </row>
        <row r="1437">
          <cell r="A1437">
            <v>8088</v>
          </cell>
        </row>
        <row r="1438">
          <cell r="A1438">
            <v>8089</v>
          </cell>
        </row>
        <row r="1439">
          <cell r="A1439">
            <v>8090</v>
          </cell>
        </row>
        <row r="1440">
          <cell r="A1440">
            <v>8095</v>
          </cell>
        </row>
        <row r="1441">
          <cell r="A1441">
            <v>8096</v>
          </cell>
        </row>
        <row r="1442">
          <cell r="A1442">
            <v>8097</v>
          </cell>
        </row>
        <row r="1443">
          <cell r="A1443">
            <v>8098</v>
          </cell>
        </row>
        <row r="1444">
          <cell r="A1444">
            <v>8099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1403</v>
          </cell>
        </row>
        <row r="1373">
          <cell r="A1373">
            <v>1404</v>
          </cell>
        </row>
        <row r="1374">
          <cell r="A1374">
            <v>1405</v>
          </cell>
        </row>
        <row r="1375">
          <cell r="A1375">
            <v>1406</v>
          </cell>
        </row>
        <row r="1376">
          <cell r="A1376">
            <v>1414</v>
          </cell>
        </row>
        <row r="1377">
          <cell r="A1377">
            <v>1415</v>
          </cell>
        </row>
        <row r="1378">
          <cell r="A1378">
            <v>1416</v>
          </cell>
        </row>
        <row r="1379">
          <cell r="A1379">
            <v>1417</v>
          </cell>
        </row>
        <row r="1380">
          <cell r="A1380">
            <v>1427</v>
          </cell>
        </row>
        <row r="1381">
          <cell r="A1381">
            <v>5001</v>
          </cell>
        </row>
        <row r="1382">
          <cell r="A1382">
            <v>5002</v>
          </cell>
        </row>
        <row r="1383">
          <cell r="A1383">
            <v>5003</v>
          </cell>
        </row>
        <row r="1384">
          <cell r="A1384">
            <v>5004</v>
          </cell>
        </row>
        <row r="1385">
          <cell r="A1385">
            <v>6001</v>
          </cell>
        </row>
        <row r="1386">
          <cell r="A1386">
            <v>6002</v>
          </cell>
        </row>
        <row r="1387">
          <cell r="A1387">
            <v>6003</v>
          </cell>
        </row>
        <row r="1388">
          <cell r="A1388">
            <v>6004</v>
          </cell>
        </row>
        <row r="1389">
          <cell r="A1389">
            <v>6005</v>
          </cell>
        </row>
        <row r="1390">
          <cell r="A1390">
            <v>6006</v>
          </cell>
        </row>
        <row r="1391">
          <cell r="A1391">
            <v>6007</v>
          </cell>
        </row>
        <row r="1392">
          <cell r="A1392">
            <v>6008</v>
          </cell>
        </row>
        <row r="1393">
          <cell r="A1393">
            <v>6009</v>
          </cell>
        </row>
        <row r="1394">
          <cell r="A1394">
            <v>6010</v>
          </cell>
        </row>
        <row r="1395">
          <cell r="A1395">
            <v>6011</v>
          </cell>
        </row>
        <row r="1396">
          <cell r="A1396">
            <v>6012</v>
          </cell>
        </row>
        <row r="1397">
          <cell r="A1397">
            <v>6013</v>
          </cell>
        </row>
        <row r="1398">
          <cell r="A1398">
            <v>6014</v>
          </cell>
        </row>
        <row r="1399">
          <cell r="A1399">
            <v>6015</v>
          </cell>
        </row>
        <row r="1400">
          <cell r="A1400">
            <v>6016</v>
          </cell>
        </row>
        <row r="1401">
          <cell r="A1401">
            <v>6017</v>
          </cell>
        </row>
        <row r="1402">
          <cell r="A1402">
            <v>6018</v>
          </cell>
        </row>
        <row r="1403">
          <cell r="A1403">
            <v>6019</v>
          </cell>
        </row>
        <row r="1404">
          <cell r="A1404">
            <v>6020</v>
          </cell>
        </row>
        <row r="1405">
          <cell r="A1405">
            <v>8001</v>
          </cell>
        </row>
        <row r="1406">
          <cell r="A1406">
            <v>8002</v>
          </cell>
        </row>
        <row r="1407">
          <cell r="A1407">
            <v>8003</v>
          </cell>
        </row>
        <row r="1408">
          <cell r="A1408">
            <v>8004</v>
          </cell>
        </row>
        <row r="1409">
          <cell r="A1409">
            <v>8005</v>
          </cell>
        </row>
        <row r="1410">
          <cell r="A1410">
            <v>8006</v>
          </cell>
        </row>
        <row r="1411">
          <cell r="A1411">
            <v>8007</v>
          </cell>
        </row>
        <row r="1412">
          <cell r="A1412">
            <v>8008</v>
          </cell>
        </row>
        <row r="1413">
          <cell r="A1413">
            <v>8009</v>
          </cell>
        </row>
        <row r="1414">
          <cell r="A1414">
            <v>8010</v>
          </cell>
        </row>
        <row r="1415">
          <cell r="A1415">
            <v>8011</v>
          </cell>
        </row>
        <row r="1416">
          <cell r="A1416">
            <v>8012</v>
          </cell>
        </row>
        <row r="1417">
          <cell r="A1417">
            <v>8013</v>
          </cell>
        </row>
        <row r="1418">
          <cell r="A1418">
            <v>8014</v>
          </cell>
        </row>
        <row r="1419">
          <cell r="A1419">
            <v>8015</v>
          </cell>
        </row>
        <row r="1420">
          <cell r="A1420">
            <v>8016</v>
          </cell>
        </row>
        <row r="1421">
          <cell r="A1421">
            <v>8017</v>
          </cell>
        </row>
        <row r="1422">
          <cell r="A1422">
            <v>8018</v>
          </cell>
        </row>
        <row r="1423">
          <cell r="A1423">
            <v>8019</v>
          </cell>
        </row>
        <row r="1424">
          <cell r="A1424">
            <v>8020</v>
          </cell>
        </row>
        <row r="1425">
          <cell r="A1425">
            <v>8021</v>
          </cell>
        </row>
        <row r="1426">
          <cell r="A1426">
            <v>8022</v>
          </cell>
        </row>
        <row r="1427">
          <cell r="A1427">
            <v>8023</v>
          </cell>
        </row>
        <row r="1428">
          <cell r="A1428">
            <v>8024</v>
          </cell>
        </row>
        <row r="1429">
          <cell r="A1429">
            <v>8025</v>
          </cell>
        </row>
        <row r="1430">
          <cell r="A1430">
            <v>8026</v>
          </cell>
        </row>
        <row r="1431">
          <cell r="A1431">
            <v>8027</v>
          </cell>
        </row>
        <row r="1432">
          <cell r="A1432">
            <v>8028</v>
          </cell>
        </row>
        <row r="1433">
          <cell r="A1433">
            <v>8029</v>
          </cell>
        </row>
        <row r="1434">
          <cell r="A1434">
            <v>8030</v>
          </cell>
        </row>
        <row r="1435">
          <cell r="A1435">
            <v>8031</v>
          </cell>
        </row>
        <row r="1436">
          <cell r="A1436">
            <v>8032</v>
          </cell>
        </row>
        <row r="1437">
          <cell r="A1437">
            <v>8033</v>
          </cell>
        </row>
        <row r="1438">
          <cell r="A1438">
            <v>8034</v>
          </cell>
        </row>
        <row r="1439">
          <cell r="A1439">
            <v>8035</v>
          </cell>
        </row>
        <row r="1440">
          <cell r="A1440">
            <v>8036</v>
          </cell>
        </row>
        <row r="1441">
          <cell r="A1441">
            <v>8037</v>
          </cell>
        </row>
        <row r="1442">
          <cell r="A1442">
            <v>8038</v>
          </cell>
        </row>
        <row r="1443">
          <cell r="A1443">
            <v>8039</v>
          </cell>
        </row>
        <row r="1444">
          <cell r="A1444">
            <v>8040</v>
          </cell>
        </row>
        <row r="1445">
          <cell r="A1445">
            <v>8041</v>
          </cell>
        </row>
        <row r="1446">
          <cell r="A1446">
            <v>8042</v>
          </cell>
        </row>
        <row r="1447">
          <cell r="A1447">
            <v>8043</v>
          </cell>
        </row>
        <row r="1448">
          <cell r="A1448">
            <v>8044</v>
          </cell>
        </row>
        <row r="1449">
          <cell r="A1449">
            <v>8045</v>
          </cell>
        </row>
        <row r="1450">
          <cell r="A1450">
            <v>8046</v>
          </cell>
        </row>
        <row r="1451">
          <cell r="A1451">
            <v>8047</v>
          </cell>
        </row>
        <row r="1452">
          <cell r="A1452">
            <v>8048</v>
          </cell>
        </row>
        <row r="1453">
          <cell r="A1453">
            <v>8049</v>
          </cell>
        </row>
        <row r="1454">
          <cell r="A1454">
            <v>8050</v>
          </cell>
        </row>
        <row r="1455">
          <cell r="A1455">
            <v>8051</v>
          </cell>
        </row>
        <row r="1456">
          <cell r="A1456">
            <v>8052</v>
          </cell>
        </row>
        <row r="1457">
          <cell r="A1457">
            <v>8053</v>
          </cell>
        </row>
        <row r="1458">
          <cell r="A1458">
            <v>8054</v>
          </cell>
        </row>
        <row r="1459">
          <cell r="A1459">
            <v>8055</v>
          </cell>
        </row>
        <row r="1460">
          <cell r="A1460">
            <v>8056</v>
          </cell>
        </row>
        <row r="1461">
          <cell r="A1461">
            <v>8057</v>
          </cell>
        </row>
        <row r="1462">
          <cell r="A1462">
            <v>8058</v>
          </cell>
        </row>
        <row r="1463">
          <cell r="A1463">
            <v>8059</v>
          </cell>
        </row>
        <row r="1464">
          <cell r="A1464">
            <v>8060</v>
          </cell>
        </row>
        <row r="1465">
          <cell r="A1465">
            <v>8061</v>
          </cell>
        </row>
        <row r="1466">
          <cell r="A1466">
            <v>8062</v>
          </cell>
        </row>
        <row r="1467">
          <cell r="A1467">
            <v>8063</v>
          </cell>
        </row>
        <row r="1468">
          <cell r="A1468">
            <v>8064</v>
          </cell>
        </row>
        <row r="1469">
          <cell r="A1469">
            <v>8065</v>
          </cell>
        </row>
        <row r="1470">
          <cell r="A1470">
            <v>8066</v>
          </cell>
        </row>
        <row r="1471">
          <cell r="A1471">
            <v>8067</v>
          </cell>
        </row>
        <row r="1472">
          <cell r="A1472">
            <v>8068</v>
          </cell>
        </row>
        <row r="1473">
          <cell r="A1473">
            <v>8069</v>
          </cell>
        </row>
        <row r="1474">
          <cell r="A1474">
            <v>8070</v>
          </cell>
        </row>
        <row r="1475">
          <cell r="A1475">
            <v>8071</v>
          </cell>
        </row>
        <row r="1476">
          <cell r="A1476">
            <v>8072</v>
          </cell>
        </row>
        <row r="1477">
          <cell r="A1477">
            <v>8073</v>
          </cell>
        </row>
        <row r="1478">
          <cell r="A1478">
            <v>8074</v>
          </cell>
        </row>
        <row r="1479">
          <cell r="A1479">
            <v>8075</v>
          </cell>
        </row>
        <row r="1480">
          <cell r="A1480">
            <v>8076</v>
          </cell>
        </row>
        <row r="1481">
          <cell r="A1481">
            <v>8077</v>
          </cell>
        </row>
        <row r="1482">
          <cell r="A1482">
            <v>8078</v>
          </cell>
        </row>
        <row r="1483">
          <cell r="A1483">
            <v>8079</v>
          </cell>
        </row>
        <row r="1484">
          <cell r="A1484">
            <v>8080</v>
          </cell>
        </row>
        <row r="1485">
          <cell r="A1485">
            <v>8087</v>
          </cell>
        </row>
        <row r="1486">
          <cell r="A1486">
            <v>8088</v>
          </cell>
        </row>
        <row r="1487">
          <cell r="A1487">
            <v>8089</v>
          </cell>
        </row>
        <row r="1488">
          <cell r="A1488">
            <v>8090</v>
          </cell>
        </row>
        <row r="1489">
          <cell r="A1489">
            <v>8095</v>
          </cell>
        </row>
        <row r="1490">
          <cell r="A1490">
            <v>8096</v>
          </cell>
        </row>
        <row r="1491">
          <cell r="A1491">
            <v>8097</v>
          </cell>
        </row>
        <row r="1492">
          <cell r="A1492">
            <v>8098</v>
          </cell>
        </row>
        <row r="1493">
          <cell r="A1493">
            <v>8099</v>
          </cell>
        </row>
      </sheetData>
      <sheetData sheetId="4"/>
      <sheetData sheetId="5"/>
      <sheetData sheetId="6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/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58" t="s">
        <v>128</v>
      </c>
      <c r="B1" s="53" t="s">
        <v>99</v>
      </c>
      <c r="C1" s="53" t="s">
        <v>100</v>
      </c>
      <c r="D1" s="53" t="s">
        <v>101</v>
      </c>
      <c r="E1" s="53" t="s">
        <v>102</v>
      </c>
      <c r="F1" s="53" t="s">
        <v>103</v>
      </c>
      <c r="G1" s="53" t="s">
        <v>104</v>
      </c>
      <c r="H1" s="53"/>
      <c r="I1" s="53"/>
      <c r="J1" s="53"/>
      <c r="K1" s="53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</row>
    <row r="2" spans="1:30" x14ac:dyDescent="0.15">
      <c r="A2" s="59" t="s">
        <v>337</v>
      </c>
      <c r="B2" s="55" t="s">
        <v>105</v>
      </c>
      <c r="C2" s="60" t="s">
        <v>336</v>
      </c>
      <c r="D2" s="55" t="s">
        <v>106</v>
      </c>
      <c r="E2" s="54" t="str">
        <f>B2&amp;C2&amp;D2</f>
        <v>floors_13302_11.tmp</v>
      </c>
      <c r="F2" s="55" t="s">
        <v>107</v>
      </c>
      <c r="G2" s="56" t="s">
        <v>0</v>
      </c>
      <c r="H2" s="56" t="s">
        <v>1</v>
      </c>
      <c r="I2" s="56" t="s">
        <v>13</v>
      </c>
      <c r="J2" s="56" t="s">
        <v>14</v>
      </c>
      <c r="K2" s="56" t="s">
        <v>15</v>
      </c>
      <c r="L2" s="55"/>
      <c r="M2" s="55"/>
      <c r="N2" s="55"/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  <c r="AA2" s="55"/>
      <c r="AB2" s="55"/>
      <c r="AC2" s="55"/>
      <c r="AD2" s="55"/>
    </row>
    <row r="3" spans="1:30" x14ac:dyDescent="0.15">
      <c r="A3" s="59" t="s">
        <v>337</v>
      </c>
      <c r="B3" s="55" t="s">
        <v>108</v>
      </c>
      <c r="C3" s="60" t="s">
        <v>336</v>
      </c>
      <c r="D3" s="55" t="s">
        <v>106</v>
      </c>
      <c r="E3" s="54" t="str">
        <f>B3&amp;C3&amp;D3</f>
        <v>enemy_habitats_13302_11.tmp</v>
      </c>
      <c r="F3" s="55" t="s">
        <v>109</v>
      </c>
      <c r="G3" s="56" t="s">
        <v>0</v>
      </c>
      <c r="H3" s="56" t="s">
        <v>1</v>
      </c>
      <c r="I3" s="56" t="s">
        <v>13</v>
      </c>
      <c r="J3" s="56" t="s">
        <v>2</v>
      </c>
      <c r="K3" s="56" t="s">
        <v>3</v>
      </c>
      <c r="L3" s="56" t="s">
        <v>47</v>
      </c>
      <c r="M3" s="56" t="s">
        <v>49</v>
      </c>
      <c r="N3" s="56" t="s">
        <v>51</v>
      </c>
      <c r="O3" s="56" t="s">
        <v>22</v>
      </c>
      <c r="P3" s="56" t="s">
        <v>5</v>
      </c>
      <c r="Q3" s="56" t="s">
        <v>6</v>
      </c>
      <c r="R3" s="56" t="s">
        <v>7</v>
      </c>
      <c r="S3" s="56" t="s">
        <v>8</v>
      </c>
      <c r="T3" s="56" t="s">
        <v>9</v>
      </c>
      <c r="U3" s="56" t="s">
        <v>10</v>
      </c>
      <c r="V3" s="56" t="s">
        <v>11</v>
      </c>
      <c r="W3" s="56" t="s">
        <v>12</v>
      </c>
      <c r="X3" s="56" t="s">
        <v>37</v>
      </c>
      <c r="Y3" s="56" t="s">
        <v>39</v>
      </c>
      <c r="Z3" s="56" t="s">
        <v>41</v>
      </c>
      <c r="AA3" s="56" t="s">
        <v>43</v>
      </c>
      <c r="AB3" s="56" t="s">
        <v>45</v>
      </c>
      <c r="AC3" s="56" t="s">
        <v>54</v>
      </c>
      <c r="AD3" s="56" t="s">
        <v>175</v>
      </c>
    </row>
    <row r="4" spans="1:30" x14ac:dyDescent="0.15">
      <c r="A4" s="59" t="s">
        <v>337</v>
      </c>
      <c r="B4" s="55" t="s">
        <v>110</v>
      </c>
      <c r="C4" s="60" t="s">
        <v>336</v>
      </c>
      <c r="D4" s="55" t="s">
        <v>106</v>
      </c>
      <c r="E4" s="54" t="str">
        <f>B4&amp;C4&amp;D4</f>
        <v>enemy_habitat_S_13302_11.tmp</v>
      </c>
      <c r="F4" s="55" t="s">
        <v>111</v>
      </c>
      <c r="G4" s="56" t="s">
        <v>0</v>
      </c>
      <c r="H4" s="56" t="s">
        <v>1</v>
      </c>
      <c r="I4" s="56" t="s">
        <v>13</v>
      </c>
      <c r="J4" s="56" t="s">
        <v>54</v>
      </c>
      <c r="K4" s="56" t="s">
        <v>55</v>
      </c>
      <c r="L4" s="56" t="s">
        <v>56</v>
      </c>
      <c r="M4" s="56" t="s">
        <v>57</v>
      </c>
      <c r="N4" s="56" t="s">
        <v>58</v>
      </c>
      <c r="O4" s="56" t="s">
        <v>59</v>
      </c>
      <c r="P4" s="56" t="s">
        <v>48</v>
      </c>
      <c r="Q4" s="56" t="s">
        <v>50</v>
      </c>
      <c r="R4" s="56" t="s">
        <v>52</v>
      </c>
      <c r="S4" s="55"/>
      <c r="T4" s="55"/>
      <c r="U4" s="55"/>
      <c r="V4" s="55"/>
      <c r="W4" s="55"/>
      <c r="X4" s="55"/>
      <c r="Y4" s="55"/>
      <c r="Z4" s="55"/>
      <c r="AA4" s="55"/>
      <c r="AB4" s="55"/>
      <c r="AC4" s="55"/>
      <c r="AD4" s="55"/>
    </row>
    <row r="5" spans="1:30" x14ac:dyDescent="0.15">
      <c r="A5" s="59" t="s">
        <v>184</v>
      </c>
      <c r="B5" s="55" t="s">
        <v>112</v>
      </c>
      <c r="C5" s="60" t="s">
        <v>336</v>
      </c>
      <c r="D5" s="55" t="s">
        <v>106</v>
      </c>
      <c r="E5" s="54" t="str">
        <f>B5&amp;C5&amp;D5</f>
        <v>enemy_skill_sets_13302_11.tmp</v>
      </c>
      <c r="F5" s="55" t="s">
        <v>113</v>
      </c>
      <c r="G5" s="57" t="s">
        <v>22</v>
      </c>
      <c r="H5" s="57" t="s">
        <v>98</v>
      </c>
      <c r="I5" s="57" t="s">
        <v>93</v>
      </c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5"/>
      <c r="AD5" s="55"/>
    </row>
    <row r="6" spans="1:30" x14ac:dyDescent="0.15">
      <c r="A6" s="59" t="s">
        <v>184</v>
      </c>
      <c r="B6" s="55" t="s">
        <v>114</v>
      </c>
      <c r="C6" s="60" t="s">
        <v>336</v>
      </c>
      <c r="D6" s="55" t="s">
        <v>115</v>
      </c>
      <c r="E6" s="54" t="str">
        <f t="shared" ref="E6:E10" si="0">B6&amp;C6&amp;D6</f>
        <v>enemy_skills_tmp_13302_11.tmp</v>
      </c>
      <c r="F6" s="55" t="s">
        <v>89</v>
      </c>
      <c r="G6" s="56" t="s">
        <v>79</v>
      </c>
      <c r="H6" s="56" t="s">
        <v>80</v>
      </c>
      <c r="I6" s="56" t="s">
        <v>81</v>
      </c>
      <c r="J6" s="55"/>
      <c r="K6" s="55"/>
      <c r="L6" s="55"/>
      <c r="M6" s="55"/>
      <c r="N6" s="55"/>
      <c r="O6" s="55"/>
      <c r="P6" s="55"/>
      <c r="Q6" s="55"/>
      <c r="R6" s="55"/>
      <c r="S6" s="55"/>
      <c r="T6" s="55"/>
      <c r="U6" s="55"/>
      <c r="V6" s="55"/>
      <c r="W6" s="55"/>
      <c r="X6" s="55"/>
      <c r="Y6" s="55"/>
      <c r="Z6" s="55"/>
      <c r="AA6" s="55"/>
      <c r="AB6" s="55"/>
      <c r="AC6" s="55"/>
      <c r="AD6" s="55"/>
    </row>
    <row r="7" spans="1:30" x14ac:dyDescent="0.15">
      <c r="A7" s="59" t="s">
        <v>184</v>
      </c>
      <c r="B7" s="55" t="s">
        <v>116</v>
      </c>
      <c r="C7" s="60" t="s">
        <v>336</v>
      </c>
      <c r="D7" s="55" t="s">
        <v>106</v>
      </c>
      <c r="E7" s="54" t="str">
        <f>B7&amp;C7&amp;D7</f>
        <v>enemy_skills_i18n_13302_11.tmp</v>
      </c>
      <c r="F7" s="55" t="s">
        <v>117</v>
      </c>
      <c r="G7" s="56" t="s">
        <v>79</v>
      </c>
      <c r="H7" s="56" t="s">
        <v>90</v>
      </c>
      <c r="I7" s="56" t="s">
        <v>91</v>
      </c>
      <c r="J7" s="56" t="s">
        <v>92</v>
      </c>
      <c r="K7" s="55"/>
      <c r="L7" s="55"/>
      <c r="M7" s="55"/>
      <c r="N7" s="55"/>
      <c r="O7" s="55"/>
      <c r="P7" s="55"/>
      <c r="Q7" s="55"/>
      <c r="R7" s="55"/>
      <c r="S7" s="55"/>
      <c r="T7" s="55"/>
      <c r="U7" s="55"/>
      <c r="V7" s="55"/>
      <c r="W7" s="55"/>
      <c r="X7" s="55"/>
      <c r="Y7" s="55"/>
      <c r="Z7" s="55"/>
      <c r="AA7" s="55"/>
      <c r="AB7" s="55"/>
      <c r="AC7" s="55"/>
      <c r="AD7" s="55"/>
    </row>
    <row r="8" spans="1:30" x14ac:dyDescent="0.15">
      <c r="A8" s="59" t="s">
        <v>184</v>
      </c>
      <c r="B8" s="55" t="s">
        <v>118</v>
      </c>
      <c r="C8" s="60" t="s">
        <v>336</v>
      </c>
      <c r="D8" s="55" t="s">
        <v>119</v>
      </c>
      <c r="E8" s="54" t="str">
        <f t="shared" si="0"/>
        <v>enemy_skill_triggers_13302_11.tmp</v>
      </c>
      <c r="F8" s="55" t="s">
        <v>120</v>
      </c>
      <c r="G8" s="56" t="s">
        <v>93</v>
      </c>
      <c r="H8" s="56" t="s">
        <v>94</v>
      </c>
      <c r="I8" s="56" t="s">
        <v>95</v>
      </c>
      <c r="J8" s="56" t="s">
        <v>96</v>
      </c>
      <c r="K8" s="56" t="s">
        <v>121</v>
      </c>
      <c r="L8" s="56" t="s">
        <v>97</v>
      </c>
      <c r="M8" s="56" t="s">
        <v>122</v>
      </c>
      <c r="N8" s="56" t="s">
        <v>123</v>
      </c>
      <c r="O8" s="56" t="s">
        <v>124</v>
      </c>
      <c r="P8" s="56" t="s">
        <v>67</v>
      </c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  <c r="AD8" s="55"/>
    </row>
    <row r="9" spans="1:30" x14ac:dyDescent="0.15">
      <c r="A9" s="59" t="s">
        <v>337</v>
      </c>
      <c r="B9" s="65" t="s">
        <v>174</v>
      </c>
      <c r="C9" s="60" t="s">
        <v>336</v>
      </c>
      <c r="D9" s="65" t="s">
        <v>168</v>
      </c>
      <c r="E9" s="66" t="str">
        <f t="shared" si="0"/>
        <v>stage_bug_bonuses_13302_11.tmp</v>
      </c>
      <c r="F9" s="65" t="s">
        <v>169</v>
      </c>
      <c r="G9" s="62" t="s">
        <v>148</v>
      </c>
      <c r="H9" s="62" t="s">
        <v>170</v>
      </c>
      <c r="I9" s="62" t="s">
        <v>171</v>
      </c>
      <c r="J9" s="64" t="s">
        <v>172</v>
      </c>
      <c r="K9" s="62" t="s">
        <v>173</v>
      </c>
      <c r="L9" s="62" t="s">
        <v>154</v>
      </c>
      <c r="M9" s="62" t="s">
        <v>155</v>
      </c>
      <c r="N9" s="62" t="s">
        <v>156</v>
      </c>
      <c r="O9" s="62" t="s">
        <v>157</v>
      </c>
      <c r="P9" s="62" t="s">
        <v>158</v>
      </c>
      <c r="Q9" s="62" t="s">
        <v>159</v>
      </c>
      <c r="R9" s="62" t="s">
        <v>160</v>
      </c>
      <c r="S9" s="62" t="s">
        <v>161</v>
      </c>
      <c r="T9" s="62" t="s">
        <v>162</v>
      </c>
      <c r="U9" s="62" t="s">
        <v>163</v>
      </c>
      <c r="V9" s="62" t="s">
        <v>164</v>
      </c>
      <c r="W9" s="62" t="s">
        <v>165</v>
      </c>
      <c r="X9" s="55"/>
      <c r="Y9" s="55"/>
      <c r="Z9" s="55"/>
      <c r="AA9" s="55"/>
      <c r="AB9" s="55"/>
      <c r="AC9" s="55"/>
      <c r="AD9" s="55"/>
    </row>
    <row r="10" spans="1:30" s="72" customFormat="1" x14ac:dyDescent="0.15">
      <c r="A10" s="59" t="s">
        <v>184</v>
      </c>
      <c r="B10" s="65" t="s">
        <v>197</v>
      </c>
      <c r="C10" s="60" t="s">
        <v>336</v>
      </c>
      <c r="D10" s="65" t="s">
        <v>177</v>
      </c>
      <c r="E10" s="66" t="str">
        <f t="shared" si="0"/>
        <v>stage_hints_data_c_13302_11.tmp</v>
      </c>
      <c r="F10" s="65" t="s">
        <v>205</v>
      </c>
      <c r="G10" s="70" t="s">
        <v>178</v>
      </c>
      <c r="H10" s="70" t="s">
        <v>170</v>
      </c>
      <c r="I10" s="71" t="s">
        <v>179</v>
      </c>
      <c r="J10" s="64" t="s">
        <v>180</v>
      </c>
      <c r="K10" s="64" t="s">
        <v>181</v>
      </c>
      <c r="L10" s="96"/>
      <c r="M10" s="96"/>
      <c r="N10" s="96"/>
      <c r="O10" s="96"/>
      <c r="P10" s="96"/>
      <c r="Q10" s="96"/>
      <c r="R10" s="96"/>
      <c r="S10" s="96"/>
      <c r="T10" s="96"/>
      <c r="U10" s="96"/>
      <c r="V10" s="96"/>
      <c r="W10" s="96"/>
      <c r="X10" s="96"/>
      <c r="Y10" s="96"/>
      <c r="Z10" s="96"/>
      <c r="AA10" s="96"/>
      <c r="AB10" s="96"/>
      <c r="AC10" s="96"/>
      <c r="AD10" s="96"/>
    </row>
    <row r="11" spans="1:30" s="72" customFormat="1" x14ac:dyDescent="0.15">
      <c r="A11" s="59" t="s">
        <v>337</v>
      </c>
      <c r="B11" s="65" t="s">
        <v>198</v>
      </c>
      <c r="C11" s="60" t="s">
        <v>336</v>
      </c>
      <c r="D11" s="65" t="s">
        <v>168</v>
      </c>
      <c r="E11" s="66" t="str">
        <f t="shared" ref="E11:E13" si="1">B11&amp;C11&amp;D11</f>
        <v>stage_hints_data_f_13302_11.tmp</v>
      </c>
      <c r="F11" s="65" t="s">
        <v>206</v>
      </c>
      <c r="G11" s="70" t="s">
        <v>178</v>
      </c>
      <c r="H11" s="70" t="s">
        <v>170</v>
      </c>
      <c r="I11" s="71" t="s">
        <v>179</v>
      </c>
      <c r="J11" s="64" t="s">
        <v>180</v>
      </c>
      <c r="K11" s="64" t="s">
        <v>181</v>
      </c>
      <c r="L11" s="96"/>
      <c r="M11" s="96"/>
      <c r="N11" s="96"/>
      <c r="O11" s="96"/>
      <c r="P11" s="96"/>
      <c r="Q11" s="96"/>
      <c r="R11" s="96"/>
      <c r="S11" s="96"/>
      <c r="T11" s="96"/>
      <c r="U11" s="96"/>
      <c r="V11" s="96"/>
      <c r="W11" s="96"/>
      <c r="X11" s="96"/>
      <c r="Y11" s="96"/>
      <c r="Z11" s="96"/>
      <c r="AA11" s="96"/>
      <c r="AB11" s="96"/>
      <c r="AC11" s="96"/>
      <c r="AD11" s="96"/>
    </row>
    <row r="12" spans="1:30" s="72" customFormat="1" x14ac:dyDescent="0.15">
      <c r="A12" s="59" t="s">
        <v>337</v>
      </c>
      <c r="B12" s="65" t="s">
        <v>199</v>
      </c>
      <c r="C12" s="60" t="s">
        <v>336</v>
      </c>
      <c r="D12" s="65" t="s">
        <v>168</v>
      </c>
      <c r="E12" s="66" t="str">
        <f t="shared" si="1"/>
        <v>stage_hints_i18n_13302_11.tmp</v>
      </c>
      <c r="F12" s="65" t="s">
        <v>207</v>
      </c>
      <c r="G12" s="71" t="s">
        <v>200</v>
      </c>
      <c r="H12" s="89" t="s">
        <v>201</v>
      </c>
      <c r="I12" s="70" t="s">
        <v>202</v>
      </c>
      <c r="J12" s="97" t="s">
        <v>203</v>
      </c>
      <c r="K12" s="64" t="s">
        <v>204</v>
      </c>
      <c r="L12" s="96"/>
      <c r="M12" s="96"/>
      <c r="N12" s="96"/>
      <c r="O12" s="96"/>
      <c r="P12" s="96"/>
      <c r="Q12" s="96"/>
      <c r="R12" s="96"/>
      <c r="S12" s="96"/>
      <c r="T12" s="96"/>
      <c r="U12" s="96"/>
      <c r="V12" s="96"/>
      <c r="W12" s="96"/>
      <c r="X12" s="96"/>
      <c r="Y12" s="96"/>
      <c r="Z12" s="96"/>
      <c r="AA12" s="96"/>
      <c r="AB12" s="96"/>
      <c r="AC12" s="96"/>
      <c r="AD12" s="96"/>
    </row>
    <row r="13" spans="1:30" s="72" customFormat="1" x14ac:dyDescent="0.15">
      <c r="A13" s="59" t="s">
        <v>337</v>
      </c>
      <c r="B13" s="65" t="s">
        <v>245</v>
      </c>
      <c r="C13" s="60" t="s">
        <v>336</v>
      </c>
      <c r="D13" s="65" t="s">
        <v>226</v>
      </c>
      <c r="E13" s="66" t="str">
        <f t="shared" si="1"/>
        <v>stage_bonuses_13302_11.tmp</v>
      </c>
      <c r="F13" s="65" t="s">
        <v>225</v>
      </c>
      <c r="G13" s="70" t="s">
        <v>227</v>
      </c>
      <c r="H13" s="70" t="s">
        <v>228</v>
      </c>
      <c r="I13" s="70" t="s">
        <v>229</v>
      </c>
      <c r="J13" s="70" t="s">
        <v>230</v>
      </c>
      <c r="K13" s="70" t="s">
        <v>231</v>
      </c>
      <c r="L13" s="70" t="s">
        <v>232</v>
      </c>
      <c r="M13" s="70" t="s">
        <v>233</v>
      </c>
      <c r="N13" s="70" t="s">
        <v>234</v>
      </c>
      <c r="O13" s="70" t="s">
        <v>235</v>
      </c>
      <c r="P13" s="70" t="s">
        <v>236</v>
      </c>
      <c r="Q13" s="70" t="s">
        <v>237</v>
      </c>
      <c r="R13" s="70" t="s">
        <v>238</v>
      </c>
      <c r="S13" s="70" t="s">
        <v>239</v>
      </c>
      <c r="T13" s="70" t="s">
        <v>240</v>
      </c>
      <c r="U13" s="70" t="s">
        <v>241</v>
      </c>
      <c r="V13" s="70" t="s">
        <v>242</v>
      </c>
      <c r="W13" s="70" t="s">
        <v>243</v>
      </c>
      <c r="X13" s="70" t="s">
        <v>244</v>
      </c>
      <c r="Y13" s="96"/>
      <c r="Z13" s="96"/>
      <c r="AA13" s="96"/>
      <c r="AB13" s="96"/>
      <c r="AC13" s="96"/>
      <c r="AD13" s="96"/>
    </row>
  </sheetData>
  <phoneticPr fontId="5"/>
  <dataValidations count="1">
    <dataValidation type="list" allowBlank="1" showInputMessage="1" showErrorMessage="1" sqref="A2:A13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4"/>
  <sheetViews>
    <sheetView showGridLines="0" workbookViewId="0">
      <pane ySplit="1" topLeftCell="A2" activePane="bottomLeft" state="frozen"/>
      <selection activeCell="V2" sqref="V2:X34"/>
      <selection pane="bottomLeft" activeCell="A2" sqref="A2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2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>G2&amp;"-"&amp;I2</f>
        <v>13302_11-1</v>
      </c>
      <c r="B2" s="16" t="str">
        <f>IF(COUNTIF(enemy_habitats!$H:$H,A2),"OK","NG")</f>
        <v>OK</v>
      </c>
      <c r="C2" s="7">
        <v>13302</v>
      </c>
      <c r="D2" s="11" t="str">
        <f ca="1">VLOOKUP($C2,OFFSET([2]quests!$A$1,0,0,COUNTA([2]quests!$A:$A),MATCH(D$1,[2]quests!$1:$1,0)-MATCH($C$1,[2]quests!$1:$1,0)+1),MATCH(D$1,[2]quests!$1:$1,0)-MATCH($C$1,[2]quests!$1:$1,0)+1,FALSE)</f>
        <v>タワーオブザクイーン -アヴァルシア-</v>
      </c>
      <c r="E2" s="18" t="str">
        <f ca="1">VLOOKUP($C2,OFFSET([2]quests!$A$1,0,0,COUNTA([2]quests!$A:$A),MATCH(E$1,[2]quests!$1:$1,0)-MATCH($C$1,[2]quests!$1:$1,0)+1),MATCH(E$1,[2]quests!$1:$1,0)-MATCH($C$1,[2]quests!$1:$1,0)+1,FALSE)</f>
        <v>タワーオブザクイーン1本目</v>
      </c>
      <c r="F2" s="20">
        <v>11</v>
      </c>
      <c r="G2" s="22" t="str">
        <f>C2&amp;"_"&amp;F2</f>
        <v>13302_11</v>
      </c>
      <c r="H2" s="15" t="str">
        <f ca="1">VLOOKUP($G2,OFFSET([2]stages!$A$1,0,0,COUNTA([2]stages!$A:$A),MATCH(H$1,[2]stages!$2:$2,0)-MATCH($G$1,[2]stages!$2:$2,0)+1),MATCH(H$1,[2]stages!$2:$2,0)-MATCH($G$1,[2]stages!$2:$2,0)+1,FALSE)</f>
        <v>11階 コスト30以下限定</v>
      </c>
      <c r="I2" s="20">
        <v>1</v>
      </c>
      <c r="J2" s="12">
        <v>35</v>
      </c>
      <c r="K2" s="12">
        <v>35</v>
      </c>
    </row>
    <row r="3" spans="1:11" ht="21" customHeight="1" x14ac:dyDescent="0.15">
      <c r="A3" s="16" t="str">
        <f>G3&amp;"-"&amp;I3</f>
        <v>13302_11-2</v>
      </c>
      <c r="B3" s="16" t="str">
        <f>IF(COUNTIF(enemy_habitats!$H:$H,A3),"OK","NG")</f>
        <v>OK</v>
      </c>
      <c r="C3" s="7">
        <v>13302</v>
      </c>
      <c r="D3" s="11" t="str">
        <f ca="1">VLOOKUP($C3,OFFSET([2]quests!$A$1,0,0,COUNTA([2]quests!$A:$A),MATCH(D$1,[2]quests!$1:$1,0)-MATCH($C$1,[2]quests!$1:$1,0)+1),MATCH(D$1,[2]quests!$1:$1,0)-MATCH($C$1,[2]quests!$1:$1,0)+1,FALSE)</f>
        <v>タワーオブザクイーン -アヴァルシア-</v>
      </c>
      <c r="E3" s="18" t="str">
        <f ca="1">VLOOKUP($C3,OFFSET([2]quests!$A$1,0,0,COUNTA([2]quests!$A:$A),MATCH(E$1,[2]quests!$1:$1,0)-MATCH($C$1,[2]quests!$1:$1,0)+1),MATCH(E$1,[2]quests!$1:$1,0)-MATCH($C$1,[2]quests!$1:$1,0)+1,FALSE)</f>
        <v>タワーオブザクイーン1本目</v>
      </c>
      <c r="F3" s="20">
        <v>11</v>
      </c>
      <c r="G3" s="22" t="str">
        <f>C3&amp;"_"&amp;F3</f>
        <v>13302_11</v>
      </c>
      <c r="H3" s="15" t="str">
        <f ca="1">VLOOKUP($G3,OFFSET([2]stages!$A$1,0,0,COUNTA([2]stages!$A:$A),MATCH(H$1,[2]stages!$2:$2,0)-MATCH($G$1,[2]stages!$2:$2,0)+1),MATCH(H$1,[2]stages!$2:$2,0)-MATCH($G$1,[2]stages!$2:$2,0)+1,FALSE)</f>
        <v>11階 コスト30以下限定</v>
      </c>
      <c r="I3" s="20">
        <v>2</v>
      </c>
      <c r="J3" s="12">
        <v>60</v>
      </c>
      <c r="K3" s="12">
        <v>60</v>
      </c>
    </row>
    <row r="4" spans="1:11" ht="21" customHeight="1" x14ac:dyDescent="0.15">
      <c r="A4" s="16" t="str">
        <f>G4&amp;"-"&amp;I4</f>
        <v>13302_11-3</v>
      </c>
      <c r="B4" s="16" t="str">
        <f>IF(COUNTIF(enemy_habitats!$H:$H,A4),"OK","NG")</f>
        <v>OK</v>
      </c>
      <c r="C4" s="7">
        <v>13302</v>
      </c>
      <c r="D4" s="11" t="str">
        <f ca="1">VLOOKUP($C4,OFFSET([2]quests!$A$1,0,0,COUNTA([2]quests!$A:$A),MATCH(D$1,[2]quests!$1:$1,0)-MATCH($C$1,[2]quests!$1:$1,0)+1),MATCH(D$1,[2]quests!$1:$1,0)-MATCH($C$1,[2]quests!$1:$1,0)+1,FALSE)</f>
        <v>タワーオブザクイーン -アヴァルシア-</v>
      </c>
      <c r="E4" s="18" t="str">
        <f ca="1">VLOOKUP($C4,OFFSET([2]quests!$A$1,0,0,COUNTA([2]quests!$A:$A),MATCH(E$1,[2]quests!$1:$1,0)-MATCH($C$1,[2]quests!$1:$1,0)+1),MATCH(E$1,[2]quests!$1:$1,0)-MATCH($C$1,[2]quests!$1:$1,0)+1,FALSE)</f>
        <v>タワーオブザクイーン1本目</v>
      </c>
      <c r="F4" s="20">
        <v>11</v>
      </c>
      <c r="G4" s="22" t="str">
        <f>C4&amp;"_"&amp;F4</f>
        <v>13302_11</v>
      </c>
      <c r="H4" s="15" t="str">
        <f ca="1">VLOOKUP($G4,OFFSET([2]stages!$A$1,0,0,COUNTA([2]stages!$A:$A),MATCH(H$1,[2]stages!$2:$2,0)-MATCH($G$1,[2]stages!$2:$2,0)+1),MATCH(H$1,[2]stages!$2:$2,0)-MATCH($G$1,[2]stages!$2:$2,0)+1,FALSE)</f>
        <v>11階 コスト30以下限定</v>
      </c>
      <c r="I4" s="20">
        <v>3</v>
      </c>
      <c r="J4" s="12">
        <v>60</v>
      </c>
      <c r="K4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7"/>
  <sheetViews>
    <sheetView showGridLines="0" zoomScale="120" zoomScaleNormal="120" zoomScalePageLayoutView="120" workbookViewId="0">
      <pane xSplit="17" ySplit="1" topLeftCell="R2" activePane="bottomRight" state="frozen"/>
      <selection pane="topRight" activeCell="N1" sqref="N1"/>
      <selection pane="bottomLeft" activeCell="A2" sqref="A2"/>
      <selection pane="bottomRight" activeCell="R2" sqref="R2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/>
    <col min="13" max="13" width="17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4.83203125" style="100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1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8.83203125" style="13" bestFit="1" customWidth="1" outlineLevel="1"/>
    <col min="32" max="32" width="8" style="14" bestFit="1" customWidth="1" outlineLevel="1"/>
    <col min="33" max="33" width="12" style="14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3" customFormat="1" ht="21" customHeight="1" x14ac:dyDescent="0.15">
      <c r="A1" s="25" t="s">
        <v>29</v>
      </c>
      <c r="B1" s="26" t="s">
        <v>0</v>
      </c>
      <c r="C1" s="26" t="s">
        <v>1</v>
      </c>
      <c r="D1" s="27" t="s">
        <v>28</v>
      </c>
      <c r="E1" s="28" t="s">
        <v>20</v>
      </c>
      <c r="F1" s="28" t="s">
        <v>20</v>
      </c>
      <c r="G1" s="26" t="s">
        <v>19</v>
      </c>
      <c r="H1" s="27" t="s">
        <v>35</v>
      </c>
      <c r="I1" s="27" t="s">
        <v>14</v>
      </c>
      <c r="J1" s="27" t="s">
        <v>15</v>
      </c>
      <c r="K1" s="34" t="s">
        <v>54</v>
      </c>
      <c r="L1" s="35" t="s">
        <v>2</v>
      </c>
      <c r="M1" s="29" t="s">
        <v>21</v>
      </c>
      <c r="N1" s="27" t="s">
        <v>24</v>
      </c>
      <c r="O1" s="27" t="s">
        <v>23</v>
      </c>
      <c r="P1" s="30" t="s">
        <v>26</v>
      </c>
      <c r="Q1" s="28" t="s">
        <v>25</v>
      </c>
      <c r="R1" s="26" t="s">
        <v>3</v>
      </c>
      <c r="S1" s="24" t="s">
        <v>48</v>
      </c>
      <c r="T1" s="98" t="s">
        <v>246</v>
      </c>
      <c r="U1" s="24" t="s">
        <v>50</v>
      </c>
      <c r="V1" s="98" t="s">
        <v>247</v>
      </c>
      <c r="W1" s="24" t="s">
        <v>52</v>
      </c>
      <c r="X1" s="27" t="s">
        <v>31</v>
      </c>
      <c r="Y1" s="26" t="s">
        <v>4</v>
      </c>
      <c r="Z1" s="26" t="s">
        <v>5</v>
      </c>
      <c r="AA1" s="26" t="s">
        <v>6</v>
      </c>
      <c r="AB1" s="26" t="s">
        <v>7</v>
      </c>
      <c r="AC1" s="26" t="s">
        <v>8</v>
      </c>
      <c r="AD1" s="31" t="s">
        <v>9</v>
      </c>
      <c r="AE1" s="32" t="s">
        <v>16</v>
      </c>
      <c r="AF1" s="32" t="s">
        <v>17</v>
      </c>
      <c r="AG1" s="32" t="s">
        <v>27</v>
      </c>
      <c r="AH1" s="31" t="s">
        <v>10</v>
      </c>
      <c r="AI1" s="26" t="s">
        <v>11</v>
      </c>
      <c r="AJ1" s="26" t="s">
        <v>12</v>
      </c>
      <c r="AK1" s="26" t="s">
        <v>38</v>
      </c>
      <c r="AL1" s="26" t="s">
        <v>40</v>
      </c>
      <c r="AM1" s="26" t="s">
        <v>42</v>
      </c>
      <c r="AN1" s="26" t="s">
        <v>44</v>
      </c>
      <c r="AO1" s="26" t="s">
        <v>46</v>
      </c>
      <c r="AP1" s="34" t="s">
        <v>176</v>
      </c>
    </row>
    <row r="2" spans="1:42" ht="21" customHeight="1" x14ac:dyDescent="0.15">
      <c r="A2" s="16" t="str">
        <f t="shared" ref="A2:A7" ca="1" si="0">B2&amp;"_"&amp;C2&amp;"-"&amp;G2&amp;"/"&amp;L2&amp;"&lt;lv"&amp;R2&amp;"&gt;s"&amp;AC2</f>
        <v>13302_11-1/35&lt;lv30&gt;s4</v>
      </c>
      <c r="B2" s="21">
        <v>13302</v>
      </c>
      <c r="C2" s="107">
        <v>11</v>
      </c>
      <c r="D2" s="15" t="str">
        <f>B2&amp;"_"&amp;C2</f>
        <v>13302_11</v>
      </c>
      <c r="E2" s="4" t="str">
        <f ca="1">VLOOKUP($B2,OFFSET([2]quests!$A$1,0,0,COUNTA([2]quests!$A:$A),MATCH(E$1,[2]quests!$1:$1,0)-MATCH($B$1,[2]quests!$1:$1,0)+1),MATCH(E$1,[2]quests!$1:$1,0)-MATCH($B$1,[2]quests!$1:$1,0)+1,FALSE)</f>
        <v>タワーオブザクイーン -アヴァルシア-</v>
      </c>
      <c r="F2" s="4" t="str">
        <f ca="1">VLOOKUP($D2,OFFSET([2]stages!$A$1,0,0,COUNTA([2]stages!$A:$A),MATCH(F$1,[2]stages!$2:$2,0)-MATCH($D$1,[2]stages!$2:$2,0)+1),MATCH(F$1,[2]stages!$2:$2,0)-MATCH($D$1,[2]stages!$2:$2,0)+1,FALSE)</f>
        <v>11階 コスト30以下限定</v>
      </c>
      <c r="G2" s="107">
        <v>1</v>
      </c>
      <c r="H2" s="15" t="str">
        <f>B2&amp;"_"&amp;C2&amp;"-"&amp;G2</f>
        <v>13302_11-1</v>
      </c>
      <c r="I2" s="4" t="e">
        <f ca="1">VLOOKUP($H2,OFFSET([3]floors!$A$1,0,0,COUNTA([3]floors!$A:$A),MATCH(I$1,[3]floors!$1:$1,0)-MATCH($H$1,[3]floors!$1:$1,0)+1),MATCH(I$1,[3]floors!$1:$1,0)-MATCH($H$1,[3]floors!$1:$1,0)+1,FALSE)</f>
        <v>#VALUE!</v>
      </c>
      <c r="J2" s="4" t="e">
        <f ca="1">VLOOKUP($H2,OFFSET([3]floors!$A$1,0,0,COUNTA([3]floors!$A:$A),MATCH(J$1,[3]floors!$1:$1,0)-MATCH($H$1,[3]floors!$1:$1,0)+1),MATCH(J$1,[3]floors!$1:$1,0)-MATCH($H$1,[3]floors!$1:$1,0)+1,FALSE)</f>
        <v>#VALUE!</v>
      </c>
      <c r="K2" s="36" t="s">
        <v>53</v>
      </c>
      <c r="L2" s="108">
        <v>35</v>
      </c>
      <c r="M2" s="17" t="str">
        <f ca="1">VLOOKUP($L2,OFFSET([4]enemies!$A$1,0,0,COUNTA([4]enemies!$A:$A),MATCH(M$1,[4]enemies!$1:$1,0)-MATCH($L$1,[4]enemies!$1:$1,0)+1),MATCH(M$1,[4]enemies!$1:$1,0)-MATCH($L$1,[4]enemies!$1:$1,0)+1,FALSE)</f>
        <v>F2</v>
      </c>
      <c r="N2" s="17" t="str">
        <f ca="1">VLOOKUP($L2,OFFSET([4]enemies!$A$1,0,0,COUNTA([4]enemies!$A:$A),MATCH(N$1,[4]enemies!$1:$1,0)-MATCH($L$1,[4]enemies!$1:$1,0)+1),MATCH(N$1,[4]enemies!$1:$1,0)-MATCH($L$1,[4]enemies!$1:$1,0)+1,FALSE)</f>
        <v>green</v>
      </c>
      <c r="O2" s="17" t="str">
        <f ca="1">VLOOKUP($L2,OFFSET([5]characters!$A$1,0,0,COUNTA([5]characters!$A:$A),MATCH(O$1,[5]characters!$1:$1,0)-MATCH($L$1,[5]characters!$1:$1,0)+1),MATCH(O$1,[5]characters!$1:$1,0)-MATCH($L$1,[5]characters!$1:$1,0)+1,FALSE)</f>
        <v>Drop1S</v>
      </c>
      <c r="P2" s="17" t="str">
        <f ca="1">VLOOKUP($L2,OFFSET([4]enemies!$A$1,0,0,COUNTA([4]enemies!$A:$A),MATCH(P$1,[4]enemies!$1:$1,0)-MATCH($L$1,[4]enemies!$1:$1,0)+1),MATCH(P$1,[4]enemies!$1:$1,0)-MATCH($L$1,[4]enemies!$1:$1,0)+1,FALSE)</f>
        <v>machine</v>
      </c>
      <c r="Q2" s="17">
        <f ca="1">VLOOKUP($L2,OFFSET([4]enemies!$A$1,0,0,COUNTA([4]enemies!$A:$A),MATCH(Q$1,[4]enemies!$1:$1,0)-MATCH($L$1,[4]enemies!$1:$1,0)+1),MATCH(Q$1,[4]enemies!$1:$1,0)-MATCH($L$1,[4]enemies!$1:$1,0)+1,FALSE)</f>
        <v>15</v>
      </c>
      <c r="R2" s="5">
        <v>30</v>
      </c>
      <c r="S2" s="23">
        <v>2</v>
      </c>
      <c r="T2" s="99">
        <f ca="1">ROUND(VLOOKUP(R2,[4]enemy_base_stats!$A:$F,2,FALSE)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INDIRECT("[EnemyMasterData.xlsm]enemies!AD"&amp;(L2+1))*[5]ステータス!$B$2,0)*S2</f>
        <v>11566</v>
      </c>
      <c r="U2" s="23">
        <v>1.1000000000000001</v>
      </c>
      <c r="V2" s="99">
        <f ca="1">ROUND(VLOOKUP(R2,[4]enemy_base_stats!$A:$F,3,FALSE)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INDIRECT("[EnemyMasterData.xlsm]enemies!AE"&amp;(L2+1))*[5]ステータス!$C$2,0)*U2</f>
        <v>1833.7</v>
      </c>
      <c r="W2" s="5">
        <v>0</v>
      </c>
      <c r="X2" s="4" t="e">
        <v>#VALUE!</v>
      </c>
      <c r="Y2" s="101">
        <v>13301700</v>
      </c>
      <c r="Z2" s="6">
        <v>1</v>
      </c>
      <c r="AA2" s="6">
        <v>100</v>
      </c>
      <c r="AB2" s="6">
        <v>0</v>
      </c>
      <c r="AC2" s="17">
        <f ca="1">VLOOKUP($L2,OFFSET([4]enemies!$A$1,0,0,COUNTA([4]enemies!$A:$A),MATCH(AC$1,[4]enemies!$1:$1,0)-MATCH($L$1,[4]enemies!$1:$1,0)+1),MATCH(AC$1,[4]enemies!$1:$1,0)-MATCH($L$1,[4]enemies!$1:$1,0)+1,FALSE)</f>
        <v>4</v>
      </c>
      <c r="AD2" s="109">
        <f>L2</f>
        <v>35</v>
      </c>
      <c r="AE2" s="4" t="str">
        <f ca="1">VLOOKUP($AD2,OFFSET([5]characters!$A$1,0,0,COUNTA([5]characters!$A:$A),MATCH(AE$1,[5]characters!$1:$1,0)-MATCH("character_id",[5]characters!$1:$1,0)+1),MATCH(AE$1,[5]characters!$1:$1,0)-MATCH("character_id",[5]characters!$1:$1,0)+1,FALSE)</f>
        <v>F2</v>
      </c>
      <c r="AF2" s="4">
        <f ca="1">VLOOKUP($AD2,OFFSET([5]characters!$A$1,0,0,COUNTA([5]characters!$A:$A),MATCH(AF$1,[5]characters!$1:$1,0)-MATCH("character_id",[5]characters!$1:$1,0)+1),MATCH(AF$1,[5]characters!$1:$1,0)-MATCH("character_id",[5]characters!$1:$1,0)+1,FALSE)</f>
        <v>2</v>
      </c>
      <c r="AG2" s="4" t="str">
        <f ca="1">VLOOKUP($AD2,OFFSET([5]characters!$A$1,0,0,COUNTA([5]characters!$A:$A),MATCH(AG$1,[5]characters!$1:$1,0)-MATCH("character_id",[5]characters!$1:$1,0)+1),MATCH(AG$1,[5]characters!$1:$1,0)-MATCH("character_id",[5]characters!$1:$1,0)+1,FALSE)</f>
        <v>Drop1S</v>
      </c>
      <c r="AH2" s="110">
        <v>1</v>
      </c>
      <c r="AI2" s="109">
        <f ca="1">AF2</f>
        <v>2</v>
      </c>
      <c r="AJ2" s="8">
        <v>0</v>
      </c>
      <c r="AK2" s="110">
        <v>0</v>
      </c>
      <c r="AL2" s="110">
        <v>0</v>
      </c>
      <c r="AM2" s="110">
        <v>0</v>
      </c>
      <c r="AN2" s="110">
        <v>0</v>
      </c>
      <c r="AO2" s="110">
        <v>1</v>
      </c>
      <c r="AP2" s="67">
        <v>1</v>
      </c>
    </row>
    <row r="3" spans="1:42" ht="21" customHeight="1" x14ac:dyDescent="0.15">
      <c r="A3" s="16" t="str">
        <f ca="1">B3&amp;"_"&amp;C3&amp;"-"&amp;G3&amp;"/"&amp;L3&amp;"&lt;lv"&amp;R3&amp;"&gt;s"&amp;AC3</f>
        <v>13302_11-1/58&lt;lv30&gt;s2</v>
      </c>
      <c r="B3" s="21">
        <v>13302</v>
      </c>
      <c r="C3" s="107">
        <v>11</v>
      </c>
      <c r="D3" s="15" t="str">
        <f>B3&amp;"_"&amp;C3</f>
        <v>13302_11</v>
      </c>
      <c r="E3" s="4" t="str">
        <f ca="1">VLOOKUP($B3,OFFSET([2]quests!$A$1,0,0,COUNTA([2]quests!$A:$A),MATCH(E$1,[2]quests!$1:$1,0)-MATCH($B$1,[2]quests!$1:$1,0)+1),MATCH(E$1,[2]quests!$1:$1,0)-MATCH($B$1,[2]quests!$1:$1,0)+1,FALSE)</f>
        <v>タワーオブザクイーン -アヴァルシア-</v>
      </c>
      <c r="F3" s="4" t="str">
        <f ca="1">VLOOKUP($D3,OFFSET([2]stages!$A$1,0,0,COUNTA([2]stages!$A:$A),MATCH(F$1,[2]stages!$2:$2,0)-MATCH($D$1,[2]stages!$2:$2,0)+1),MATCH(F$1,[2]stages!$2:$2,0)-MATCH($D$1,[2]stages!$2:$2,0)+1,FALSE)</f>
        <v>11階 コスト30以下限定</v>
      </c>
      <c r="G3" s="107">
        <v>1</v>
      </c>
      <c r="H3" s="15" t="str">
        <f>B3&amp;"_"&amp;C3&amp;"-"&amp;G3</f>
        <v>13302_11-1</v>
      </c>
      <c r="I3" s="4" t="e">
        <f ca="1">VLOOKUP($H3,OFFSET([3]floors!$A$1,0,0,COUNTA([3]floors!$A:$A),MATCH(I$1,[3]floors!$1:$1,0)-MATCH($H$1,[3]floors!$1:$1,0)+1),MATCH(I$1,[3]floors!$1:$1,0)-MATCH($H$1,[3]floors!$1:$1,0)+1,FALSE)</f>
        <v>#VALUE!</v>
      </c>
      <c r="J3" s="4" t="e">
        <f ca="1">VLOOKUP($H3,OFFSET([3]floors!$A$1,0,0,COUNTA([3]floors!$A:$A),MATCH(J$1,[3]floors!$1:$1,0)-MATCH($H$1,[3]floors!$1:$1,0)+1),MATCH(J$1,[3]floors!$1:$1,0)-MATCH($H$1,[3]floors!$1:$1,0)+1,FALSE)</f>
        <v>#VALUE!</v>
      </c>
      <c r="K3" s="36" t="s">
        <v>53</v>
      </c>
      <c r="L3" s="108">
        <v>58</v>
      </c>
      <c r="M3" s="17" t="str">
        <f ca="1">VLOOKUP($L3,OFFSET([4]enemies!$A$1,0,0,COUNTA([4]enemies!$A:$A),MATCH(M$1,[4]enemies!$1:$1,0)-MATCH($L$1,[4]enemies!$1:$1,0)+1),MATCH(M$1,[4]enemies!$1:$1,0)-MATCH($L$1,[4]enemies!$1:$1,0)+1,FALSE)</f>
        <v>ドランクマスター チェン・リー</v>
      </c>
      <c r="N3" s="17" t="str">
        <f ca="1">VLOOKUP($L3,OFFSET([4]enemies!$A$1,0,0,COUNTA([4]enemies!$A:$A),MATCH(N$1,[4]enemies!$1:$1,0)-MATCH($L$1,[4]enemies!$1:$1,0)+1),MATCH(N$1,[4]enemies!$1:$1,0)-MATCH($L$1,[4]enemies!$1:$1,0)+1,FALSE)</f>
        <v>red</v>
      </c>
      <c r="O3" s="17" t="str">
        <f ca="1">VLOOKUP($L3,OFFSET([5]characters!$A$1,0,0,COUNTA([5]characters!$A:$A),MATCH(O$1,[5]characters!$1:$1,0)-MATCH($L$1,[5]characters!$1:$1,0)+1),MATCH(O$1,[5]characters!$1:$1,0)-MATCH($L$1,[5]characters!$1:$1,0)+1,FALSE)</f>
        <v>Drop1N</v>
      </c>
      <c r="P3" s="17" t="str">
        <f ca="1">VLOOKUP($L3,OFFSET([4]enemies!$A$1,0,0,COUNTA([4]enemies!$A:$A),MATCH(P$1,[4]enemies!$1:$1,0)-MATCH($L$1,[4]enemies!$1:$1,0)+1),MATCH(P$1,[4]enemies!$1:$1,0)-MATCH($L$1,[4]enemies!$1:$1,0)+1,FALSE)</f>
        <v>animal</v>
      </c>
      <c r="Q3" s="17">
        <f ca="1">VLOOKUP($L3,OFFSET([4]enemies!$A$1,0,0,COUNTA([4]enemies!$A:$A),MATCH(Q$1,[4]enemies!$1:$1,0)-MATCH($L$1,[4]enemies!$1:$1,0)+1),MATCH(Q$1,[4]enemies!$1:$1,0)-MATCH($L$1,[4]enemies!$1:$1,0)+1,FALSE)</f>
        <v>20</v>
      </c>
      <c r="R3" s="5">
        <v>30</v>
      </c>
      <c r="S3" s="23">
        <v>4</v>
      </c>
      <c r="T3" s="99">
        <f ca="1">ROUND(VLOOKUP(R3,[4]enemy_base_stats!$A:$F,2,FALSE)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INDIRECT("[EnemyMasterData.xlsm]enemies!AD"&amp;(L3+1))*[5]ステータス!$B$2,0)*S3</f>
        <v>83160</v>
      </c>
      <c r="U3" s="23">
        <v>0.9</v>
      </c>
      <c r="V3" s="99">
        <f ca="1">ROUND(VLOOKUP(R3,[4]enemy_base_stats!$A:$F,3,FALSE)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INDIRECT("[EnemyMasterData.xlsm]enemies!AE"&amp;(L3+1))*[5]ステータス!$C$2,0)*U3</f>
        <v>3206.7000000000003</v>
      </c>
      <c r="W3" s="5">
        <v>0</v>
      </c>
      <c r="X3" s="4" t="e">
        <v>#VALUE!</v>
      </c>
      <c r="Y3" s="101">
        <v>13301710</v>
      </c>
      <c r="Z3" s="6">
        <v>1</v>
      </c>
      <c r="AA3" s="6">
        <v>100</v>
      </c>
      <c r="AB3" s="6">
        <v>1</v>
      </c>
      <c r="AC3" s="17">
        <f ca="1">VLOOKUP($L3,OFFSET([4]enemies!$A$1,0,0,COUNTA([4]enemies!$A:$A),MATCH(AC$1,[4]enemies!$1:$1,0)-MATCH($L$1,[4]enemies!$1:$1,0)+1),MATCH(AC$1,[4]enemies!$1:$1,0)-MATCH($L$1,[4]enemies!$1:$1,0)+1,FALSE)</f>
        <v>2</v>
      </c>
      <c r="AD3" s="109">
        <f>L3</f>
        <v>58</v>
      </c>
      <c r="AE3" s="4" t="str">
        <f ca="1">VLOOKUP($AD3,OFFSET([5]characters!$A$1,0,0,COUNTA([5]characters!$A:$A),MATCH(AE$1,[5]characters!$1:$1,0)-MATCH("character_id",[5]characters!$1:$1,0)+1),MATCH(AE$1,[5]characters!$1:$1,0)-MATCH("character_id",[5]characters!$1:$1,0)+1,FALSE)</f>
        <v>ドランクマスター チェン・リー</v>
      </c>
      <c r="AF3" s="4">
        <f ca="1">VLOOKUP($AD3,OFFSET([5]characters!$A$1,0,0,COUNTA([5]characters!$A:$A),MATCH(AF$1,[5]characters!$1:$1,0)-MATCH("character_id",[5]characters!$1:$1,0)+1),MATCH(AF$1,[5]characters!$1:$1,0)-MATCH("character_id",[5]characters!$1:$1,0)+1,FALSE)</f>
        <v>3</v>
      </c>
      <c r="AG3" s="4" t="str">
        <f ca="1">VLOOKUP($AD3,OFFSET([5]characters!$A$1,0,0,COUNTA([5]characters!$A:$A),MATCH(AG$1,[5]characters!$1:$1,0)-MATCH("character_id",[5]characters!$1:$1,0)+1),MATCH(AG$1,[5]characters!$1:$1,0)-MATCH("character_id",[5]characters!$1:$1,0)+1,FALSE)</f>
        <v>Drop1N</v>
      </c>
      <c r="AH3" s="110">
        <v>1</v>
      </c>
      <c r="AI3" s="109">
        <f ca="1">AF3</f>
        <v>3</v>
      </c>
      <c r="AJ3" s="8">
        <v>0</v>
      </c>
      <c r="AK3" s="110">
        <v>0</v>
      </c>
      <c r="AL3" s="110">
        <v>0</v>
      </c>
      <c r="AM3" s="110">
        <v>0</v>
      </c>
      <c r="AN3" s="110">
        <v>0</v>
      </c>
      <c r="AO3" s="110">
        <v>1</v>
      </c>
      <c r="AP3" s="67">
        <v>1</v>
      </c>
    </row>
    <row r="4" spans="1:42" ht="21" customHeight="1" x14ac:dyDescent="0.15">
      <c r="A4" s="16" t="str">
        <f t="shared" ca="1" si="0"/>
        <v>13302_11-2/403&lt;lv30&gt;s3</v>
      </c>
      <c r="B4" s="21">
        <v>13302</v>
      </c>
      <c r="C4" s="107">
        <v>11</v>
      </c>
      <c r="D4" s="15" t="str">
        <f>B4&amp;"_"&amp;C4</f>
        <v>13302_11</v>
      </c>
      <c r="E4" s="4" t="str">
        <f ca="1">VLOOKUP($B4,OFFSET([2]quests!$A$1,0,0,COUNTA([2]quests!$A:$A),MATCH(E$1,[2]quests!$1:$1,0)-MATCH($B$1,[2]quests!$1:$1,0)+1),MATCH(E$1,[2]quests!$1:$1,0)-MATCH($B$1,[2]quests!$1:$1,0)+1,FALSE)</f>
        <v>タワーオブザクイーン -アヴァルシア-</v>
      </c>
      <c r="F4" s="4" t="str">
        <f ca="1">VLOOKUP($D4,OFFSET([2]stages!$A$1,0,0,COUNTA([2]stages!$A:$A),MATCH(F$1,[2]stages!$2:$2,0)-MATCH($D$1,[2]stages!$2:$2,0)+1),MATCH(F$1,[2]stages!$2:$2,0)-MATCH($D$1,[2]stages!$2:$2,0)+1,FALSE)</f>
        <v>11階 コスト30以下限定</v>
      </c>
      <c r="G4" s="107">
        <v>2</v>
      </c>
      <c r="H4" s="15" t="str">
        <f>B4&amp;"_"&amp;C4&amp;"-"&amp;G4</f>
        <v>13302_11-2</v>
      </c>
      <c r="I4" s="4" t="e">
        <f ca="1">VLOOKUP($H4,OFFSET([3]floors!$A$1,0,0,COUNTA([3]floors!$A:$A),MATCH(I$1,[3]floors!$1:$1,0)-MATCH($H$1,[3]floors!$1:$1,0)+1),MATCH(I$1,[3]floors!$1:$1,0)-MATCH($H$1,[3]floors!$1:$1,0)+1,FALSE)</f>
        <v>#VALUE!</v>
      </c>
      <c r="J4" s="4" t="e">
        <f ca="1">VLOOKUP($H4,OFFSET([3]floors!$A$1,0,0,COUNTA([3]floors!$A:$A),MATCH(J$1,[3]floors!$1:$1,0)-MATCH($H$1,[3]floors!$1:$1,0)+1),MATCH(J$1,[3]floors!$1:$1,0)-MATCH($H$1,[3]floors!$1:$1,0)+1,FALSE)</f>
        <v>#VALUE!</v>
      </c>
      <c r="K4" s="36" t="s">
        <v>53</v>
      </c>
      <c r="L4" s="108">
        <v>403</v>
      </c>
      <c r="M4" s="17" t="str">
        <f ca="1">VLOOKUP($L4,OFFSET([4]enemies!$A$1,0,0,COUNTA([4]enemies!$A:$A),MATCH(M$1,[4]enemies!$1:$1,0)-MATCH($L$1,[4]enemies!$1:$1,0)+1),MATCH(M$1,[4]enemies!$1:$1,0)-MATCH($L$1,[4]enemies!$1:$1,0)+1,FALSE)</f>
        <v>静撃の翠眼 八咫烏</v>
      </c>
      <c r="N4" s="17" t="str">
        <f ca="1">VLOOKUP($L4,OFFSET([4]enemies!$A$1,0,0,COUNTA([4]enemies!$A:$A),MATCH(N$1,[4]enemies!$1:$1,0)-MATCH($L$1,[4]enemies!$1:$1,0)+1),MATCH(N$1,[4]enemies!$1:$1,0)-MATCH($L$1,[4]enemies!$1:$1,0)+1,FALSE)</f>
        <v>green</v>
      </c>
      <c r="O4" s="17" t="str">
        <f ca="1">VLOOKUP($L4,OFFSET([5]characters!$A$1,0,0,COUNTA([5]characters!$A:$A),MATCH(O$1,[5]characters!$1:$1,0)-MATCH($L$1,[5]characters!$1:$1,0)+1),MATCH(O$1,[5]characters!$1:$1,0)-MATCH($L$1,[5]characters!$1:$1,0)+1,FALSE)</f>
        <v>PremiumSS</v>
      </c>
      <c r="P4" s="17" t="str">
        <f ca="1">VLOOKUP($L4,OFFSET([4]enemies!$A$1,0,0,COUNTA([4]enemies!$A:$A),MATCH(P$1,[4]enemies!$1:$1,0)-MATCH($L$1,[4]enemies!$1:$1,0)+1),MATCH(P$1,[4]enemies!$1:$1,0)-MATCH($L$1,[4]enemies!$1:$1,0)+1,FALSE)</f>
        <v>animal</v>
      </c>
      <c r="Q4" s="17">
        <f ca="1">VLOOKUP($L4,OFFSET([4]enemies!$A$1,0,0,COUNTA([4]enemies!$A:$A),MATCH(Q$1,[4]enemies!$1:$1,0)-MATCH($L$1,[4]enemies!$1:$1,0)+1),MATCH(Q$1,[4]enemies!$1:$1,0)-MATCH($L$1,[4]enemies!$1:$1,0)+1,FALSE)</f>
        <v>30</v>
      </c>
      <c r="R4" s="5">
        <v>30</v>
      </c>
      <c r="S4" s="23">
        <v>6.1</v>
      </c>
      <c r="T4" s="99">
        <f ca="1">ROUND(VLOOKUP(R4,[4]enemy_base_stats!$A:$F,2,FALSE)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INDIRECT("[EnemyMasterData.xlsm]enemies!AD"&amp;(L4+1))*[5]ステータス!$B$2,0)*S4</f>
        <v>254790.9</v>
      </c>
      <c r="U4" s="23">
        <v>0.9</v>
      </c>
      <c r="V4" s="99">
        <f ca="1">ROUND(VLOOKUP(R4,[4]enemy_base_stats!$A:$F,3,FALSE)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INDIRECT("[EnemyMasterData.xlsm]enemies!AE"&amp;(L4+1))*[5]ステータス!$C$2,0)*U4</f>
        <v>3098.7000000000003</v>
      </c>
      <c r="W4" s="5">
        <v>0</v>
      </c>
      <c r="X4" s="4" t="e">
        <v>#VALUE!</v>
      </c>
      <c r="Y4" s="101">
        <v>13301720</v>
      </c>
      <c r="Z4" s="6">
        <v>1</v>
      </c>
      <c r="AA4" s="6">
        <v>100</v>
      </c>
      <c r="AB4" s="6">
        <v>0</v>
      </c>
      <c r="AC4" s="17">
        <f ca="1">VLOOKUP($L4,OFFSET([4]enemies!$A$1,0,0,COUNTA([4]enemies!$A:$A),MATCH(AC$1,[4]enemies!$1:$1,0)-MATCH($L$1,[4]enemies!$1:$1,0)+1),MATCH(AC$1,[4]enemies!$1:$1,0)-MATCH($L$1,[4]enemies!$1:$1,0)+1,FALSE)</f>
        <v>3</v>
      </c>
      <c r="AD4" s="109">
        <f>L4</f>
        <v>403</v>
      </c>
      <c r="AE4" s="4" t="str">
        <f ca="1">VLOOKUP($AD4,OFFSET([5]characters!$A$1,0,0,COUNTA([5]characters!$A:$A),MATCH(AE$1,[5]characters!$1:$1,0)-MATCH("character_id",[5]characters!$1:$1,0)+1),MATCH(AE$1,[5]characters!$1:$1,0)-MATCH("character_id",[5]characters!$1:$1,0)+1,FALSE)</f>
        <v>静撃の翠眼 八咫烏</v>
      </c>
      <c r="AF4" s="4">
        <f ca="1">VLOOKUP($AD4,OFFSET([5]characters!$A$1,0,0,COUNTA([5]characters!$A:$A),MATCH(AF$1,[5]characters!$1:$1,0)-MATCH("character_id",[5]characters!$1:$1,0)+1),MATCH(AF$1,[5]characters!$1:$1,0)-MATCH("character_id",[5]characters!$1:$1,0)+1,FALSE)</f>
        <v>4</v>
      </c>
      <c r="AG4" s="4" t="str">
        <f ca="1">VLOOKUP($AD4,OFFSET([5]characters!$A$1,0,0,COUNTA([5]characters!$A:$A),MATCH(AG$1,[5]characters!$1:$1,0)-MATCH("character_id",[5]characters!$1:$1,0)+1),MATCH(AG$1,[5]characters!$1:$1,0)-MATCH("character_id",[5]characters!$1:$1,0)+1,FALSE)</f>
        <v>PremiumSS</v>
      </c>
      <c r="AH4" s="110">
        <v>1</v>
      </c>
      <c r="AI4" s="109">
        <f ca="1">AF4</f>
        <v>4</v>
      </c>
      <c r="AJ4" s="8">
        <v>0</v>
      </c>
      <c r="AK4" s="110">
        <v>0</v>
      </c>
      <c r="AL4" s="110">
        <v>0</v>
      </c>
      <c r="AM4" s="110">
        <v>0</v>
      </c>
      <c r="AN4" s="110">
        <v>0</v>
      </c>
      <c r="AO4" s="110">
        <v>1</v>
      </c>
      <c r="AP4" s="67">
        <v>1</v>
      </c>
    </row>
    <row r="5" spans="1:42" ht="21" customHeight="1" x14ac:dyDescent="0.15">
      <c r="A5" s="16" t="str">
        <f t="shared" ca="1" si="0"/>
        <v>13302_11-2/381&lt;lv30&gt;s3</v>
      </c>
      <c r="B5" s="21">
        <v>13302</v>
      </c>
      <c r="C5" s="107">
        <v>11</v>
      </c>
      <c r="D5" s="15" t="str">
        <f>B5&amp;"_"&amp;C5</f>
        <v>13302_11</v>
      </c>
      <c r="E5" s="4" t="str">
        <f ca="1">VLOOKUP($B5,OFFSET([2]quests!$A$1,0,0,COUNTA([2]quests!$A:$A),MATCH(E$1,[2]quests!$1:$1,0)-MATCH($B$1,[2]quests!$1:$1,0)+1),MATCH(E$1,[2]quests!$1:$1,0)-MATCH($B$1,[2]quests!$1:$1,0)+1,FALSE)</f>
        <v>タワーオブザクイーン -アヴァルシア-</v>
      </c>
      <c r="F5" s="4" t="str">
        <f ca="1">VLOOKUP($D5,OFFSET([2]stages!$A$1,0,0,COUNTA([2]stages!$A:$A),MATCH(F$1,[2]stages!$2:$2,0)-MATCH($D$1,[2]stages!$2:$2,0)+1),MATCH(F$1,[2]stages!$2:$2,0)-MATCH($D$1,[2]stages!$2:$2,0)+1,FALSE)</f>
        <v>11階 コスト30以下限定</v>
      </c>
      <c r="G5" s="107">
        <v>2</v>
      </c>
      <c r="H5" s="15" t="str">
        <f>B5&amp;"_"&amp;C5&amp;"-"&amp;G5</f>
        <v>13302_11-2</v>
      </c>
      <c r="I5" s="4" t="e">
        <f ca="1">VLOOKUP($H5,OFFSET([3]floors!$A$1,0,0,COUNTA([3]floors!$A:$A),MATCH(I$1,[3]floors!$1:$1,0)-MATCH($H$1,[3]floors!$1:$1,0)+1),MATCH(I$1,[3]floors!$1:$1,0)-MATCH($H$1,[3]floors!$1:$1,0)+1,FALSE)</f>
        <v>#VALUE!</v>
      </c>
      <c r="J5" s="4" t="e">
        <f ca="1">VLOOKUP($H5,OFFSET([3]floors!$A$1,0,0,COUNTA([3]floors!$A:$A),MATCH(J$1,[3]floors!$1:$1,0)-MATCH($H$1,[3]floors!$1:$1,0)+1),MATCH(J$1,[3]floors!$1:$1,0)-MATCH($H$1,[3]floors!$1:$1,0)+1,FALSE)</f>
        <v>#VALUE!</v>
      </c>
      <c r="K5" s="36" t="s">
        <v>53</v>
      </c>
      <c r="L5" s="108">
        <v>381</v>
      </c>
      <c r="M5" s="17" t="str">
        <f ca="1">VLOOKUP($L5,OFFSET([4]enemies!$A$1,0,0,COUNTA([4]enemies!$A:$A),MATCH(M$1,[4]enemies!$1:$1,0)-MATCH($L$1,[4]enemies!$1:$1,0)+1),MATCH(M$1,[4]enemies!$1:$1,0)-MATCH($L$1,[4]enemies!$1:$1,0)+1,FALSE)</f>
        <v>肉食の恋火 バハムート</v>
      </c>
      <c r="N5" s="17" t="str">
        <f ca="1">VLOOKUP($L5,OFFSET([4]enemies!$A$1,0,0,COUNTA([4]enemies!$A:$A),MATCH(N$1,[4]enemies!$1:$1,0)-MATCH($L$1,[4]enemies!$1:$1,0)+1),MATCH(N$1,[4]enemies!$1:$1,0)-MATCH($L$1,[4]enemies!$1:$1,0)+1,FALSE)</f>
        <v>red</v>
      </c>
      <c r="O5" s="17" t="str">
        <f ca="1">VLOOKUP($L5,OFFSET([5]characters!$A$1,0,0,COUNTA([5]characters!$A:$A),MATCH(O$1,[5]characters!$1:$1,0)-MATCH($L$1,[5]characters!$1:$1,0)+1),MATCH(O$1,[5]characters!$1:$1,0)-MATCH($L$1,[5]characters!$1:$1,0)+1,FALSE)</f>
        <v>PremiumS</v>
      </c>
      <c r="P5" s="17" t="str">
        <f ca="1">VLOOKUP($L5,OFFSET([4]enemies!$A$1,0,0,COUNTA([4]enemies!$A:$A),MATCH(P$1,[4]enemies!$1:$1,0)-MATCH($L$1,[4]enemies!$1:$1,0)+1),MATCH(P$1,[4]enemies!$1:$1,0)-MATCH($L$1,[4]enemies!$1:$1,0)+1,FALSE)</f>
        <v>dragon</v>
      </c>
      <c r="Q5" s="17">
        <f ca="1">VLOOKUP($L5,OFFSET([4]enemies!$A$1,0,0,COUNTA([4]enemies!$A:$A),MATCH(Q$1,[4]enemies!$1:$1,0)-MATCH($L$1,[4]enemies!$1:$1,0)+1),MATCH(Q$1,[4]enemies!$1:$1,0)-MATCH($L$1,[4]enemies!$1:$1,0)+1,FALSE)</f>
        <v>30</v>
      </c>
      <c r="R5" s="5">
        <v>30</v>
      </c>
      <c r="S5" s="23">
        <v>4.7</v>
      </c>
      <c r="T5" s="99">
        <f ca="1">ROUND(VLOOKUP(R5,[4]enemy_base_stats!$A:$F,2,FALSE)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INDIRECT("[EnemyMasterData.xlsm]enemies!AD"&amp;(L5+1))*[5]ステータス!$B$2,0)*S5</f>
        <v>199200.1</v>
      </c>
      <c r="U5" s="23">
        <v>0.9</v>
      </c>
      <c r="V5" s="99">
        <f ca="1">ROUND(VLOOKUP(R5,[4]enemy_base_stats!$A:$F,3,FALSE)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INDIRECT("[EnemyMasterData.xlsm]enemies!AE"&amp;(L5+1))*[5]ステータス!$C$2,0)*U5</f>
        <v>2902.5</v>
      </c>
      <c r="W5" s="5">
        <v>0</v>
      </c>
      <c r="X5" s="4" t="e">
        <v>#VALUE!</v>
      </c>
      <c r="Y5" s="101">
        <v>13301740</v>
      </c>
      <c r="Z5" s="6">
        <v>1</v>
      </c>
      <c r="AA5" s="6">
        <v>100</v>
      </c>
      <c r="AB5" s="6">
        <v>0</v>
      </c>
      <c r="AC5" s="17">
        <f ca="1">VLOOKUP($L5,OFFSET([4]enemies!$A$1,0,0,COUNTA([4]enemies!$A:$A),MATCH(AC$1,[4]enemies!$1:$1,0)-MATCH($L$1,[4]enemies!$1:$1,0)+1),MATCH(AC$1,[4]enemies!$1:$1,0)-MATCH($L$1,[4]enemies!$1:$1,0)+1,FALSE)</f>
        <v>3</v>
      </c>
      <c r="AD5" s="109">
        <f>L5</f>
        <v>381</v>
      </c>
      <c r="AE5" s="4" t="str">
        <f ca="1">VLOOKUP($AD5,OFFSET([5]characters!$A$1,0,0,COUNTA([5]characters!$A:$A),MATCH(AE$1,[5]characters!$1:$1,0)-MATCH("character_id",[5]characters!$1:$1,0)+1),MATCH(AE$1,[5]characters!$1:$1,0)-MATCH("character_id",[5]characters!$1:$1,0)+1,FALSE)</f>
        <v>肉食の恋火 バハムート</v>
      </c>
      <c r="AF5" s="4">
        <f ca="1">VLOOKUP($AD5,OFFSET([5]characters!$A$1,0,0,COUNTA([5]characters!$A:$A),MATCH(AF$1,[5]characters!$1:$1,0)-MATCH("character_id",[5]characters!$1:$1,0)+1),MATCH(AF$1,[5]characters!$1:$1,0)-MATCH("character_id",[5]characters!$1:$1,0)+1,FALSE)</f>
        <v>4</v>
      </c>
      <c r="AG5" s="4" t="str">
        <f ca="1">VLOOKUP($AD5,OFFSET([5]characters!$A$1,0,0,COUNTA([5]characters!$A:$A),MATCH(AG$1,[5]characters!$1:$1,0)-MATCH("character_id",[5]characters!$1:$1,0)+1),MATCH(AG$1,[5]characters!$1:$1,0)-MATCH("character_id",[5]characters!$1:$1,0)+1,FALSE)</f>
        <v>PremiumS</v>
      </c>
      <c r="AH5" s="110">
        <v>1</v>
      </c>
      <c r="AI5" s="109">
        <f ca="1">AF5</f>
        <v>4</v>
      </c>
      <c r="AJ5" s="8">
        <v>0</v>
      </c>
      <c r="AK5" s="110">
        <v>0</v>
      </c>
      <c r="AL5" s="110">
        <v>0</v>
      </c>
      <c r="AM5" s="110">
        <v>0</v>
      </c>
      <c r="AN5" s="110">
        <v>0</v>
      </c>
      <c r="AO5" s="110">
        <v>1</v>
      </c>
      <c r="AP5" s="67">
        <v>1</v>
      </c>
    </row>
    <row r="6" spans="1:42" ht="21" customHeight="1" x14ac:dyDescent="0.15">
      <c r="A6" s="16" t="str">
        <f t="shared" ca="1" si="0"/>
        <v>13302_11-3/586&lt;lv30&gt;s3</v>
      </c>
      <c r="B6" s="21">
        <v>13302</v>
      </c>
      <c r="C6" s="107">
        <v>11</v>
      </c>
      <c r="D6" s="15" t="str">
        <f t="shared" ref="D6:D7" si="1">B6&amp;"_"&amp;C6</f>
        <v>13302_11</v>
      </c>
      <c r="E6" s="4" t="str">
        <f ca="1">VLOOKUP($B6,OFFSET([2]quests!$A$1,0,0,COUNTA([2]quests!$A:$A),MATCH(E$1,[2]quests!$1:$1,0)-MATCH($B$1,[2]quests!$1:$1,0)+1),MATCH(E$1,[2]quests!$1:$1,0)-MATCH($B$1,[2]quests!$1:$1,0)+1,FALSE)</f>
        <v>タワーオブザクイーン -アヴァルシア-</v>
      </c>
      <c r="F6" s="4" t="str">
        <f ca="1">VLOOKUP($D6,OFFSET([2]stages!$A$1,0,0,COUNTA([2]stages!$A:$A),MATCH(F$1,[2]stages!$2:$2,0)-MATCH($D$1,[2]stages!$2:$2,0)+1),MATCH(F$1,[2]stages!$2:$2,0)-MATCH($D$1,[2]stages!$2:$2,0)+1,FALSE)</f>
        <v>11階 コスト30以下限定</v>
      </c>
      <c r="G6" s="107">
        <v>3</v>
      </c>
      <c r="H6" s="15" t="str">
        <f t="shared" ref="H6:H7" si="2">B6&amp;"_"&amp;C6&amp;"-"&amp;G6</f>
        <v>13302_11-3</v>
      </c>
      <c r="I6" s="4" t="e">
        <f ca="1">VLOOKUP($H6,OFFSET([3]floors!$A$1,0,0,COUNTA([3]floors!$A:$A),MATCH(I$1,[3]floors!$1:$1,0)-MATCH($H$1,[3]floors!$1:$1,0)+1),MATCH(I$1,[3]floors!$1:$1,0)-MATCH($H$1,[3]floors!$1:$1,0)+1,FALSE)</f>
        <v>#VALUE!</v>
      </c>
      <c r="J6" s="4" t="e">
        <f ca="1">VLOOKUP($H6,OFFSET([3]floors!$A$1,0,0,COUNTA([3]floors!$A:$A),MATCH(J$1,[3]floors!$1:$1,0)-MATCH($H$1,[3]floors!$1:$1,0)+1),MATCH(J$1,[3]floors!$1:$1,0)-MATCH($H$1,[3]floors!$1:$1,0)+1,FALSE)</f>
        <v>#VALUE!</v>
      </c>
      <c r="K6" s="36" t="s">
        <v>296</v>
      </c>
      <c r="L6" s="108">
        <v>586</v>
      </c>
      <c r="M6" s="17" t="str">
        <f ca="1">VLOOKUP($L6,OFFSET([4]enemies!$A$1,0,0,COUNTA([4]enemies!$A:$A),MATCH(M$1,[4]enemies!$1:$1,0)-MATCH($L$1,[4]enemies!$1:$1,0)+1),MATCH(M$1,[4]enemies!$1:$1,0)-MATCH($L$1,[4]enemies!$1:$1,0)+1,FALSE)</f>
        <v>ユミル</v>
      </c>
      <c r="N6" s="17" t="str">
        <f ca="1">VLOOKUP($L6,OFFSET([4]enemies!$A$1,0,0,COUNTA([4]enemies!$A:$A),MATCH(N$1,[4]enemies!$1:$1,0)-MATCH($L$1,[4]enemies!$1:$1,0)+1),MATCH(N$1,[4]enemies!$1:$1,0)-MATCH($L$1,[4]enemies!$1:$1,0)+1,FALSE)</f>
        <v>red</v>
      </c>
      <c r="O6" s="17" t="str">
        <f ca="1">VLOOKUP($L6,OFFSET([5]characters!$A$1,0,0,COUNTA([5]characters!$A:$A),MATCH(O$1,[5]characters!$1:$1,0)-MATCH($L$1,[5]characters!$1:$1,0)+1),MATCH(O$1,[5]characters!$1:$1,0)-MATCH($L$1,[5]characters!$1:$1,0)+1,FALSE)</f>
        <v>PremiumSS</v>
      </c>
      <c r="P6" s="17" t="str">
        <f ca="1">VLOOKUP($L6,OFFSET([4]enemies!$A$1,0,0,COUNTA([4]enemies!$A:$A),MATCH(P$1,[4]enemies!$1:$1,0)-MATCH($L$1,[4]enemies!$1:$1,0)+1),MATCH(P$1,[4]enemies!$1:$1,0)-MATCH($L$1,[4]enemies!$1:$1,0)+1,FALSE)</f>
        <v>machine</v>
      </c>
      <c r="Q6" s="17">
        <f ca="1">VLOOKUP($L6,OFFSET([4]enemies!$A$1,0,0,COUNTA([4]enemies!$A:$A),MATCH(Q$1,[4]enemies!$1:$1,0)-MATCH($L$1,[4]enemies!$1:$1,0)+1),MATCH(Q$1,[4]enemies!$1:$1,0)-MATCH($L$1,[4]enemies!$1:$1,0)+1,FALSE)</f>
        <v>30</v>
      </c>
      <c r="R6" s="5">
        <v>30</v>
      </c>
      <c r="S6" s="23">
        <v>5.2</v>
      </c>
      <c r="T6" s="99">
        <f ca="1">ROUND(VLOOKUP(R6,[4]enemy_base_stats!$A:$F,2,FALSE) *INDIRECT("[EnemyMasterData.xlsm]enemies!Y"&amp;(L6+1))*  INDIRECT("[EnemyMasterData.xlsm]enemies!J"&amp;(L6+1))* INDIRECT("[EnemyMasterData.xlsm]enemies!O"&amp;(L6+1))* INDIRECT("[EnemyMasterData.xlsm]enemies!E"&amp;(L6+1))* INDIRECT("[EnemyMasterData.xlsm]enemies!S"&amp;(L6+1))* INDIRECT("[EnemyMasterData.xlsm]enemies!AD"&amp;(L6+1))*[5]ステータス!$B$2,0)*S6</f>
        <v>308765.60000000003</v>
      </c>
      <c r="U6" s="23">
        <v>1</v>
      </c>
      <c r="V6" s="99">
        <f ca="1">ROUND(VLOOKUP(R6,[4]enemy_base_stats!$A:$F,3,FALSE) *INDIRECT("[EnemyMasterData.xlsm]enemies!Z"&amp;(L6+1))*  INDIRECT("[EnemyMasterData.xlsm]enemies!K"&amp;(L6+1))* INDIRECT("[EnemyMasterData.xlsm]enemies!P"&amp;(L6+1))* INDIRECT("[EnemyMasterData.xlsm]enemies!F"&amp;(L6+1))* INDIRECT("[EnemyMasterData.xlsm]enemies!T"&amp;(L6+1))* INDIRECT("[EnemyMasterData.xlsm]enemies!AE"&amp;(L6+1))*[5]ステータス!$C$2,0)*U6</f>
        <v>2769</v>
      </c>
      <c r="W6" s="5">
        <v>0</v>
      </c>
      <c r="X6" s="4" t="e">
        <v>#VALUE!</v>
      </c>
      <c r="Y6" s="101">
        <v>13301760</v>
      </c>
      <c r="Z6" s="6">
        <v>1</v>
      </c>
      <c r="AA6" s="6">
        <v>100</v>
      </c>
      <c r="AB6" s="6">
        <v>0</v>
      </c>
      <c r="AC6" s="17">
        <f ca="1">VLOOKUP($L6,OFFSET([4]enemies!$A$1,0,0,COUNTA([4]enemies!$A:$A),MATCH(AC$1,[4]enemies!$1:$1,0)-MATCH($L$1,[4]enemies!$1:$1,0)+1),MATCH(AC$1,[4]enemies!$1:$1,0)-MATCH($L$1,[4]enemies!$1:$1,0)+1,FALSE)</f>
        <v>3</v>
      </c>
      <c r="AD6" s="109">
        <f t="shared" ref="AD6:AD7" si="3">L6</f>
        <v>586</v>
      </c>
      <c r="AE6" s="4" t="str">
        <f ca="1">VLOOKUP($AD6,OFFSET([5]characters!$A$1,0,0,COUNTA([5]characters!$A:$A),MATCH(AE$1,[5]characters!$1:$1,0)-MATCH("character_id",[5]characters!$1:$1,0)+1),MATCH(AE$1,[5]characters!$1:$1,0)-MATCH("character_id",[5]characters!$1:$1,0)+1,FALSE)</f>
        <v>ユミル</v>
      </c>
      <c r="AF6" s="4">
        <f ca="1">VLOOKUP($AD6,OFFSET([5]characters!$A$1,0,0,COUNTA([5]characters!$A:$A),MATCH(AF$1,[5]characters!$1:$1,0)-MATCH("character_id",[5]characters!$1:$1,0)+1),MATCH(AF$1,[5]characters!$1:$1,0)-MATCH("character_id",[5]characters!$1:$1,0)+1,FALSE)</f>
        <v>4</v>
      </c>
      <c r="AG6" s="4" t="str">
        <f ca="1">VLOOKUP($AD6,OFFSET([5]characters!$A$1,0,0,COUNTA([5]characters!$A:$A),MATCH(AG$1,[5]characters!$1:$1,0)-MATCH("character_id",[5]characters!$1:$1,0)+1),MATCH(AG$1,[5]characters!$1:$1,0)-MATCH("character_id",[5]characters!$1:$1,0)+1,FALSE)</f>
        <v>PremiumSS</v>
      </c>
      <c r="AH6" s="110">
        <v>1</v>
      </c>
      <c r="AI6" s="109">
        <f t="shared" ref="AI6:AI7" ca="1" si="4">AF6</f>
        <v>4</v>
      </c>
      <c r="AJ6" s="8">
        <v>0</v>
      </c>
      <c r="AK6" s="110">
        <v>0</v>
      </c>
      <c r="AL6" s="110">
        <v>0</v>
      </c>
      <c r="AM6" s="110">
        <v>0</v>
      </c>
      <c r="AN6" s="110">
        <v>0</v>
      </c>
      <c r="AO6" s="110">
        <v>1</v>
      </c>
      <c r="AP6" s="67">
        <v>1</v>
      </c>
    </row>
    <row r="7" spans="1:42" ht="21" customHeight="1" x14ac:dyDescent="0.15">
      <c r="A7" s="16" t="str">
        <f t="shared" ca="1" si="0"/>
        <v>13302_11-3/600&lt;lv30&gt;s3</v>
      </c>
      <c r="B7" s="21">
        <v>13302</v>
      </c>
      <c r="C7" s="107">
        <v>11</v>
      </c>
      <c r="D7" s="15" t="str">
        <f t="shared" si="1"/>
        <v>13302_11</v>
      </c>
      <c r="E7" s="4" t="str">
        <f ca="1">VLOOKUP($B7,OFFSET([2]quests!$A$1,0,0,COUNTA([2]quests!$A:$A),MATCH(E$1,[2]quests!$1:$1,0)-MATCH($B$1,[2]quests!$1:$1,0)+1),MATCH(E$1,[2]quests!$1:$1,0)-MATCH($B$1,[2]quests!$1:$1,0)+1,FALSE)</f>
        <v>タワーオブザクイーン -アヴァルシア-</v>
      </c>
      <c r="F7" s="4" t="str">
        <f ca="1">VLOOKUP($D7,OFFSET([2]stages!$A$1,0,0,COUNTA([2]stages!$A:$A),MATCH(F$1,[2]stages!$2:$2,0)-MATCH($D$1,[2]stages!$2:$2,0)+1),MATCH(F$1,[2]stages!$2:$2,0)-MATCH($D$1,[2]stages!$2:$2,0)+1,FALSE)</f>
        <v>11階 コスト30以下限定</v>
      </c>
      <c r="G7" s="107">
        <v>3</v>
      </c>
      <c r="H7" s="15" t="str">
        <f t="shared" si="2"/>
        <v>13302_11-3</v>
      </c>
      <c r="I7" s="4" t="e">
        <f ca="1">VLOOKUP($H7,OFFSET([3]floors!$A$1,0,0,COUNTA([3]floors!$A:$A),MATCH(I$1,[3]floors!$1:$1,0)-MATCH($H$1,[3]floors!$1:$1,0)+1),MATCH(I$1,[3]floors!$1:$1,0)-MATCH($H$1,[3]floors!$1:$1,0)+1,FALSE)</f>
        <v>#VALUE!</v>
      </c>
      <c r="J7" s="4" t="e">
        <f ca="1">VLOOKUP($H7,OFFSET([3]floors!$A$1,0,0,COUNTA([3]floors!$A:$A),MATCH(J$1,[3]floors!$1:$1,0)-MATCH($H$1,[3]floors!$1:$1,0)+1),MATCH(J$1,[3]floors!$1:$1,0)-MATCH($H$1,[3]floors!$1:$1,0)+1,FALSE)</f>
        <v>#VALUE!</v>
      </c>
      <c r="K7" s="36" t="s">
        <v>53</v>
      </c>
      <c r="L7" s="108">
        <v>600</v>
      </c>
      <c r="M7" s="17" t="str">
        <f ca="1">VLOOKUP($L7,OFFSET([4]enemies!$A$1,0,0,COUNTA([4]enemies!$A:$A),MATCH(M$1,[4]enemies!$1:$1,0)-MATCH($L$1,[4]enemies!$1:$1,0)+1),MATCH(M$1,[4]enemies!$1:$1,0)-MATCH($L$1,[4]enemies!$1:$1,0)+1,FALSE)</f>
        <v>界下に潜む蛇 ニーズヘッグ</v>
      </c>
      <c r="N7" s="17" t="str">
        <f ca="1">VLOOKUP($L7,OFFSET([4]enemies!$A$1,0,0,COUNTA([4]enemies!$A:$A),MATCH(N$1,[4]enemies!$1:$1,0)-MATCH($L$1,[4]enemies!$1:$1,0)+1),MATCH(N$1,[4]enemies!$1:$1,0)-MATCH($L$1,[4]enemies!$1:$1,0)+1,FALSE)</f>
        <v>green</v>
      </c>
      <c r="O7" s="17" t="str">
        <f ca="1">VLOOKUP($L7,OFFSET([5]characters!$A$1,0,0,COUNTA([5]characters!$A:$A),MATCH(O$1,[5]characters!$1:$1,0)-MATCH($L$1,[5]characters!$1:$1,0)+1),MATCH(O$1,[5]characters!$1:$1,0)-MATCH($L$1,[5]characters!$1:$1,0)+1,FALSE)</f>
        <v>PremiumS</v>
      </c>
      <c r="P7" s="17" t="str">
        <f ca="1">VLOOKUP($L7,OFFSET([4]enemies!$A$1,0,0,COUNTA([4]enemies!$A:$A),MATCH(P$1,[4]enemies!$1:$1,0)-MATCH($L$1,[4]enemies!$1:$1,0)+1),MATCH(P$1,[4]enemies!$1:$1,0)-MATCH($L$1,[4]enemies!$1:$1,0)+1,FALSE)</f>
        <v>dragon</v>
      </c>
      <c r="Q7" s="17">
        <f ca="1">VLOOKUP($L7,OFFSET([4]enemies!$A$1,0,0,COUNTA([4]enemies!$A:$A),MATCH(Q$1,[4]enemies!$1:$1,0)-MATCH($L$1,[4]enemies!$1:$1,0)+1),MATCH(Q$1,[4]enemies!$1:$1,0)-MATCH($L$1,[4]enemies!$1:$1,0)+1,FALSE)</f>
        <v>30</v>
      </c>
      <c r="R7" s="5">
        <v>30</v>
      </c>
      <c r="S7" s="23">
        <v>5.3</v>
      </c>
      <c r="T7" s="99">
        <f ca="1">ROUND(VLOOKUP(R7,[4]enemy_base_stats!$A:$F,2,FALSE) *INDIRECT("[EnemyMasterData.xlsm]enemies!Y"&amp;(L7+1))*  INDIRECT("[EnemyMasterData.xlsm]enemies!J"&amp;(L7+1))* INDIRECT("[EnemyMasterData.xlsm]enemies!O"&amp;(L7+1))* INDIRECT("[EnemyMasterData.xlsm]enemies!E"&amp;(L7+1))* INDIRECT("[EnemyMasterData.xlsm]enemies!S"&amp;(L7+1))* INDIRECT("[EnemyMasterData.xlsm]enemies!AD"&amp;(L7+1))*[5]ステータス!$B$2,0)*S7</f>
        <v>254580.19999999998</v>
      </c>
      <c r="U7" s="23">
        <v>0.8</v>
      </c>
      <c r="V7" s="99">
        <f ca="1">ROUND(VLOOKUP(R7,[4]enemy_base_stats!$A:$F,3,FALSE) *INDIRECT("[EnemyMasterData.xlsm]enemies!Z"&amp;(L7+1))*  INDIRECT("[EnemyMasterData.xlsm]enemies!K"&amp;(L7+1))* INDIRECT("[EnemyMasterData.xlsm]enemies!P"&amp;(L7+1))* INDIRECT("[EnemyMasterData.xlsm]enemies!F"&amp;(L7+1))* INDIRECT("[EnemyMasterData.xlsm]enemies!T"&amp;(L7+1))* INDIRECT("[EnemyMasterData.xlsm]enemies!AE"&amp;(L7+1))*[5]ステータス!$C$2,0)*U7</f>
        <v>3664</v>
      </c>
      <c r="W7" s="5">
        <v>0</v>
      </c>
      <c r="X7" s="4" t="e">
        <v>#VALUE!</v>
      </c>
      <c r="Y7" s="101">
        <v>13301780</v>
      </c>
      <c r="Z7" s="6">
        <v>1</v>
      </c>
      <c r="AA7" s="6">
        <v>100</v>
      </c>
      <c r="AB7" s="6">
        <v>0</v>
      </c>
      <c r="AC7" s="17">
        <f ca="1">VLOOKUP($L7,OFFSET([4]enemies!$A$1,0,0,COUNTA([4]enemies!$A:$A),MATCH(AC$1,[4]enemies!$1:$1,0)-MATCH($L$1,[4]enemies!$1:$1,0)+1),MATCH(AC$1,[4]enemies!$1:$1,0)-MATCH($L$1,[4]enemies!$1:$1,0)+1,FALSE)</f>
        <v>3</v>
      </c>
      <c r="AD7" s="109">
        <f t="shared" si="3"/>
        <v>600</v>
      </c>
      <c r="AE7" s="4" t="str">
        <f ca="1">VLOOKUP($AD7,OFFSET([5]characters!$A$1,0,0,COUNTA([5]characters!$A:$A),MATCH(AE$1,[5]characters!$1:$1,0)-MATCH("character_id",[5]characters!$1:$1,0)+1),MATCH(AE$1,[5]characters!$1:$1,0)-MATCH("character_id",[5]characters!$1:$1,0)+1,FALSE)</f>
        <v>界下に潜む蛇 ニーズヘッグ</v>
      </c>
      <c r="AF7" s="4">
        <f ca="1">VLOOKUP($AD7,OFFSET([5]characters!$A$1,0,0,COUNTA([5]characters!$A:$A),MATCH(AF$1,[5]characters!$1:$1,0)-MATCH("character_id",[5]characters!$1:$1,0)+1),MATCH(AF$1,[5]characters!$1:$1,0)-MATCH("character_id",[5]characters!$1:$1,0)+1,FALSE)</f>
        <v>4</v>
      </c>
      <c r="AG7" s="4" t="str">
        <f ca="1">VLOOKUP($AD7,OFFSET([5]characters!$A$1,0,0,COUNTA([5]characters!$A:$A),MATCH(AG$1,[5]characters!$1:$1,0)-MATCH("character_id",[5]characters!$1:$1,0)+1),MATCH(AG$1,[5]characters!$1:$1,0)-MATCH("character_id",[5]characters!$1:$1,0)+1,FALSE)</f>
        <v>PremiumS</v>
      </c>
      <c r="AH7" s="110">
        <v>1</v>
      </c>
      <c r="AI7" s="109">
        <f t="shared" ca="1" si="4"/>
        <v>4</v>
      </c>
      <c r="AJ7" s="8">
        <v>0</v>
      </c>
      <c r="AK7" s="110">
        <v>0</v>
      </c>
      <c r="AL7" s="110">
        <v>0</v>
      </c>
      <c r="AM7" s="110">
        <v>0</v>
      </c>
      <c r="AN7" s="110">
        <v>0</v>
      </c>
      <c r="AO7" s="110">
        <v>1</v>
      </c>
      <c r="AP7" s="67">
        <v>1</v>
      </c>
    </row>
  </sheetData>
  <sheetProtection selectLockedCells="1" selectUnlockedCells="1"/>
  <autoFilter ref="B1:AJ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9"/>
  <sheetViews>
    <sheetView showGridLines="0" zoomScale="90" zoomScaleNormal="90" zoomScalePageLayoutView="90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S2" sqref="S2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33" customFormat="1" ht="21" customHeight="1" x14ac:dyDescent="0.15">
      <c r="A1" s="25" t="s">
        <v>29</v>
      </c>
      <c r="B1" s="26" t="s">
        <v>0</v>
      </c>
      <c r="C1" s="26" t="s">
        <v>1</v>
      </c>
      <c r="D1" s="27" t="s">
        <v>28</v>
      </c>
      <c r="E1" s="28" t="s">
        <v>16</v>
      </c>
      <c r="F1" s="28" t="s">
        <v>16</v>
      </c>
      <c r="G1" s="26" t="s">
        <v>19</v>
      </c>
      <c r="H1" s="27" t="s">
        <v>30</v>
      </c>
      <c r="I1" s="27" t="s">
        <v>14</v>
      </c>
      <c r="J1" s="27" t="s">
        <v>15</v>
      </c>
      <c r="K1" s="34" t="s">
        <v>54</v>
      </c>
      <c r="L1" s="34" t="s">
        <v>55</v>
      </c>
      <c r="M1" s="35" t="s">
        <v>2</v>
      </c>
      <c r="N1" s="29" t="s">
        <v>16</v>
      </c>
      <c r="O1" s="27" t="s">
        <v>24</v>
      </c>
      <c r="P1" s="27" t="s">
        <v>23</v>
      </c>
      <c r="Q1" s="30" t="s">
        <v>26</v>
      </c>
      <c r="R1" s="28" t="s">
        <v>25</v>
      </c>
      <c r="S1" s="26" t="s">
        <v>3</v>
      </c>
      <c r="T1" s="24" t="s">
        <v>48</v>
      </c>
      <c r="U1" s="98" t="s">
        <v>246</v>
      </c>
      <c r="V1" s="24" t="s">
        <v>50</v>
      </c>
      <c r="W1" s="98" t="s">
        <v>247</v>
      </c>
      <c r="X1" s="24" t="s">
        <v>52</v>
      </c>
      <c r="Y1" s="26" t="s">
        <v>127</v>
      </c>
      <c r="Z1" s="27" t="s">
        <v>126</v>
      </c>
      <c r="AA1" s="26" t="s">
        <v>8</v>
      </c>
    </row>
    <row r="4" spans="1:27" ht="21" customHeight="1" x14ac:dyDescent="0.15">
      <c r="M4" s="3"/>
    </row>
    <row r="5" spans="1:27" ht="21" customHeight="1" x14ac:dyDescent="0.15">
      <c r="M5" s="3"/>
    </row>
    <row r="6" spans="1:27" ht="21" customHeight="1" x14ac:dyDescent="0.15">
      <c r="M6" s="3"/>
    </row>
    <row r="7" spans="1:27" ht="21" customHeight="1" x14ac:dyDescent="0.15">
      <c r="M7" s="3"/>
    </row>
    <row r="8" spans="1:27" ht="21" customHeight="1" x14ac:dyDescent="0.15">
      <c r="M8" s="3"/>
    </row>
    <row r="9" spans="1:27" ht="21" customHeight="1" x14ac:dyDescent="0.15">
      <c r="M9" s="3"/>
    </row>
  </sheetData>
  <sheetProtection selectLockedCells="1" selectUnlockedCells="1"/>
  <autoFilter ref="B1:AA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23"/>
  <sheetViews>
    <sheetView showGridLines="0" zoomScale="120" zoomScaleNormal="120" zoomScalePageLayoutView="120" workbookViewId="0">
      <pane xSplit="5" ySplit="1" topLeftCell="F2" activePane="bottomRight" state="frozen"/>
      <selection pane="topRight"/>
      <selection pane="bottomLeft"/>
      <selection pane="bottomRight" activeCell="F2" sqref="F2"/>
    </sheetView>
  </sheetViews>
  <sheetFormatPr baseColWidth="12" defaultColWidth="12.83203125" defaultRowHeight="21" customHeight="1" outlineLevelCol="1" x14ac:dyDescent="0.15"/>
  <cols>
    <col min="1" max="1" width="11.33203125" style="37" bestFit="1" customWidth="1"/>
    <col min="2" max="2" width="11" style="47" customWidth="1"/>
    <col min="3" max="3" width="11.83203125" style="47" customWidth="1"/>
    <col min="4" max="4" width="8.1640625" style="47" customWidth="1" outlineLevel="1"/>
    <col min="5" max="5" width="7.83203125" style="47" customWidth="1" outlineLevel="1"/>
    <col min="6" max="6" width="16" style="47" customWidth="1"/>
    <col min="7" max="7" width="8.33203125" style="47" bestFit="1" customWidth="1" outlineLevel="1"/>
    <col min="8" max="9" width="12.83203125" style="47" outlineLevel="1"/>
    <col min="10" max="10" width="17.6640625" style="47" bestFit="1" customWidth="1" outlineLevel="1"/>
    <col min="11" max="15" width="12.83203125" style="47" outlineLevel="1"/>
    <col min="16" max="16" width="8.33203125" style="43" bestFit="1" customWidth="1"/>
    <col min="17" max="17" width="9.6640625" style="43" customWidth="1"/>
    <col min="18" max="18" width="56.5" style="43" bestFit="1" customWidth="1"/>
    <col min="19" max="16384" width="12.83203125" style="43"/>
  </cols>
  <sheetData>
    <row r="1" spans="1:18" ht="21" customHeight="1" x14ac:dyDescent="0.15">
      <c r="A1" s="37" t="s">
        <v>60</v>
      </c>
      <c r="B1" s="38" t="s">
        <v>61</v>
      </c>
      <c r="C1" s="38" t="s">
        <v>62</v>
      </c>
      <c r="D1" s="39" t="s">
        <v>63</v>
      </c>
      <c r="E1" s="39" t="s">
        <v>64</v>
      </c>
      <c r="F1" s="40" t="s">
        <v>65</v>
      </c>
      <c r="G1" s="41" t="s">
        <v>66</v>
      </c>
      <c r="H1" s="41" t="s">
        <v>68</v>
      </c>
      <c r="I1" s="41" t="s">
        <v>69</v>
      </c>
      <c r="J1" s="41" t="s">
        <v>70</v>
      </c>
      <c r="K1" s="42" t="s">
        <v>71</v>
      </c>
      <c r="L1" s="42" t="s">
        <v>72</v>
      </c>
      <c r="M1" s="41" t="s">
        <v>73</v>
      </c>
      <c r="N1" s="41" t="s">
        <v>74</v>
      </c>
      <c r="O1" s="41" t="s">
        <v>75</v>
      </c>
      <c r="P1" s="39" t="s">
        <v>76</v>
      </c>
      <c r="Q1" s="39" t="s">
        <v>77</v>
      </c>
      <c r="R1" s="39" t="s">
        <v>78</v>
      </c>
    </row>
    <row r="2" spans="1:18" ht="21" customHeight="1" x14ac:dyDescent="0.15">
      <c r="A2" s="37" t="str">
        <f t="shared" ref="A2:A23" si="0">B2&amp;"_"&amp;C2</f>
        <v>13301700_13301701</v>
      </c>
      <c r="B2" s="45">
        <v>13301700</v>
      </c>
      <c r="C2" s="45">
        <v>13301701</v>
      </c>
      <c r="D2" s="44" t="e">
        <f ca="1">VLOOKUP($C2,OFFSET([3]enemy_skills!$A$1,0,0,COUNTA([3]enemy_skills!$A:$A),MATCH(D$1,[3]enemy_skills!$1:$1,0)-MATCH("enemy_skill_id",[3]enemy_skills!$1:$1,0)+1),MATCH(D$1,[3]enemy_skills!$1:$1,0)-MATCH("enemy_skill_id",[3]enemy_skills!$1:$1,0)+1,FALSE)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2" s="44" t="e">
        <f ca="1">VLOOKUP($C2,OFFSET([3]enemy_skills!$A$1,0,0,COUNTA([3]enemy_skills!$A:$A),MATCH(E$1,[3]enemy_skills!$1:$1,0)-MATCH("enemy_skill_id",[3]enemy_skills!$1:$1,0)+1),MATCH(E$1,[3]enemy_skills!$1:$1,0)-MATCH("enemy_skill_id",[3]enemy_skills!$1:$1,0)+1,FALSE)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2" s="45">
        <v>13301701</v>
      </c>
      <c r="G2" s="46" t="e">
        <f ca="1">VLOOKUP($F2,OFFSET([3]enemy_skill_triggers!$A$1,0,0,COUNTA([3]enemy_skill_triggers!$A:$A),MATCH(G$1,[3]enemy_skill_triggers!$1:$1,0)-MATCH($F$1,[3]enemy_skill_triggers!$1:$1,0)+1),MATCH(G$1,[3]enemy_skill_triggers!$1:$1,0)-MATCH($F$1,[3]enemy_skill_triggers!$1:$1,0)+1,FALSE)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2" s="46" t="e">
        <f ca="1">VLOOKUP($F2,OFFSET([3]enemy_skill_triggers!$A$1,0,0,COUNTA([3]enemy_skill_triggers!$A:$A),MATCH(H$1,[3]enemy_skill_triggers!$1:$1,0)-MATCH($F$1,[3]enemy_skill_triggers!$1:$1,0)+1),MATCH(H$1,[3]enemy_skill_triggers!$1:$1,0)-MATCH($F$1,[3]enemy_skill_triggers!$1:$1,0)+1,FALSE)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2" s="46" t="e">
        <f ca="1">VLOOKUP($F2,OFFSET([3]enemy_skill_triggers!$A$1,0,0,COUNTA([3]enemy_skill_triggers!$A:$A),MATCH(I$1,[3]enemy_skill_triggers!$1:$1,0)-MATCH($F$1,[3]enemy_skill_triggers!$1:$1,0)+1),MATCH(I$1,[3]enemy_skill_triggers!$1:$1,0)-MATCH($F$1,[3]enemy_skill_triggers!$1:$1,0)+1,FALSE)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2" s="46" t="e">
        <f ca="1">VLOOKUP($F2,OFFSET([3]enemy_skill_triggers!$A$1,0,0,COUNTA([3]enemy_skill_triggers!$A:$A),MATCH(J$1,[3]enemy_skill_triggers!$1:$1,0)-MATCH($F$1,[3]enemy_skill_triggers!$1:$1,0)+1),MATCH(J$1,[3]enemy_skill_triggers!$1:$1,0)-MATCH($F$1,[3]enemy_skill_triggers!$1:$1,0)+1,FALSE)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2" s="46" t="e">
        <f ca="1">VLOOKUP($F2,OFFSET([3]enemy_skill_triggers!$A$1,0,0,COUNTA([3]enemy_skill_triggers!$A:$A),MATCH(K$1,[3]enemy_skill_triggers!$1:$1,0)-MATCH($F$1,[3]enemy_skill_triggers!$1:$1,0)+1),MATCH(K$1,[3]enemy_skill_triggers!$1:$1,0)-MATCH($F$1,[3]enemy_skill_triggers!$1:$1,0)+1,FALSE)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2" s="46" t="e">
        <f ca="1">VLOOKUP($F2,OFFSET([3]enemy_skill_triggers!$A$1,0,0,COUNTA([3]enemy_skill_triggers!$A:$A),MATCH(L$1,[3]enemy_skill_triggers!$1:$1,0)-MATCH($F$1,[3]enemy_skill_triggers!$1:$1,0)+1),MATCH(L$1,[3]enemy_skill_triggers!$1:$1,0)-MATCH($F$1,[3]enemy_skill_triggers!$1:$1,0)+1,FALSE)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2" s="46" t="e">
        <f ca="1">VLOOKUP($F2,OFFSET([3]enemy_skill_triggers!$A$1,0,0,COUNTA([3]enemy_skill_triggers!$A:$A),MATCH(M$1,[3]enemy_skill_triggers!$1:$1,0)-MATCH($F$1,[3]enemy_skill_triggers!$1:$1,0)+1),MATCH(M$1,[3]enemy_skill_triggers!$1:$1,0)-MATCH($F$1,[3]enemy_skill_triggers!$1:$1,0)+1,FALSE)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2" s="46" t="e">
        <f ca="1">VLOOKUP($F2,OFFSET([3]enemy_skill_triggers!$A$1,0,0,COUNTA([3]enemy_skill_triggers!$A:$A),MATCH(N$1,[3]enemy_skill_triggers!$1:$1,0)-MATCH($F$1,[3]enemy_skill_triggers!$1:$1,0)+1),MATCH(N$1,[3]enemy_skill_triggers!$1:$1,0)-MATCH($F$1,[3]enemy_skill_triggers!$1:$1,0)+1,FALSE)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2" s="46" t="e">
        <f ca="1">VLOOKUP($F2,OFFSET([3]enemy_skill_triggers!$A$1,0,0,COUNTA([3]enemy_skill_triggers!$A:$A),MATCH(O$1,[3]enemy_skill_triggers!$1:$1,0)-MATCH($F$1,[3]enemy_skill_triggers!$1:$1,0)+1),MATCH(O$1,[3]enemy_skill_triggers!$1:$1,0)-MATCH($F$1,[3]enemy_skill_triggers!$1:$1,0)+1,FALSE)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2" s="45"/>
      <c r="Q2" s="45"/>
      <c r="R2" s="45"/>
    </row>
    <row r="3" spans="1:18" ht="21" customHeight="1" x14ac:dyDescent="0.15">
      <c r="A3" s="37" t="str">
        <f t="shared" si="0"/>
        <v>13301710_13301711</v>
      </c>
      <c r="B3" s="45">
        <v>13301710</v>
      </c>
      <c r="C3" s="45">
        <v>13301711</v>
      </c>
      <c r="D3" s="44" t="e">
        <f ca="1">VLOOKUP($C3,OFFSET([3]enemy_skills!$A$1,0,0,COUNTA([3]enemy_skills!$A:$A),MATCH(D$1,[3]enemy_skills!$1:$1,0)-MATCH("enemy_skill_id",[3]enemy_skills!$1:$1,0)+1),MATCH(D$1,[3]enemy_skills!$1:$1,0)-MATCH("enemy_skill_id",[3]enemy_skills!$1:$1,0)+1,FALSE)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3" s="44" t="e">
        <f ca="1">VLOOKUP($C3,OFFSET([3]enemy_skills!$A$1,0,0,COUNTA([3]enemy_skills!$A:$A),MATCH(E$1,[3]enemy_skills!$1:$1,0)-MATCH("enemy_skill_id",[3]enemy_skills!$1:$1,0)+1),MATCH(E$1,[3]enemy_skills!$1:$1,0)-MATCH("enemy_skill_id",[3]enemy_skills!$1:$1,0)+1,FALSE)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3" s="45">
        <v>13301711</v>
      </c>
      <c r="G3" s="46" t="e">
        <f ca="1">VLOOKUP($F3,OFFSET([3]enemy_skill_triggers!$A$1,0,0,COUNTA([3]enemy_skill_triggers!$A:$A),MATCH(G$1,[3]enemy_skill_triggers!$1:$1,0)-MATCH($F$1,[3]enemy_skill_triggers!$1:$1,0)+1),MATCH(G$1,[3]enemy_skill_triggers!$1:$1,0)-MATCH($F$1,[3]enemy_skill_triggers!$1:$1,0)+1,FALSE)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3" s="46" t="e">
        <f ca="1">VLOOKUP($F3,OFFSET([3]enemy_skill_triggers!$A$1,0,0,COUNTA([3]enemy_skill_triggers!$A:$A),MATCH(H$1,[3]enemy_skill_triggers!$1:$1,0)-MATCH($F$1,[3]enemy_skill_triggers!$1:$1,0)+1),MATCH(H$1,[3]enemy_skill_triggers!$1:$1,0)-MATCH($F$1,[3]enemy_skill_triggers!$1:$1,0)+1,FALSE)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3" s="46" t="e">
        <f ca="1">VLOOKUP($F3,OFFSET([3]enemy_skill_triggers!$A$1,0,0,COUNTA([3]enemy_skill_triggers!$A:$A),MATCH(I$1,[3]enemy_skill_triggers!$1:$1,0)-MATCH($F$1,[3]enemy_skill_triggers!$1:$1,0)+1),MATCH(I$1,[3]enemy_skill_triggers!$1:$1,0)-MATCH($F$1,[3]enemy_skill_triggers!$1:$1,0)+1,FALSE)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3" s="46" t="e">
        <f ca="1">VLOOKUP($F3,OFFSET([3]enemy_skill_triggers!$A$1,0,0,COUNTA([3]enemy_skill_triggers!$A:$A),MATCH(J$1,[3]enemy_skill_triggers!$1:$1,0)-MATCH($F$1,[3]enemy_skill_triggers!$1:$1,0)+1),MATCH(J$1,[3]enemy_skill_triggers!$1:$1,0)-MATCH($F$1,[3]enemy_skill_triggers!$1:$1,0)+1,FALSE)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3" s="46" t="e">
        <f ca="1">VLOOKUP($F3,OFFSET([3]enemy_skill_triggers!$A$1,0,0,COUNTA([3]enemy_skill_triggers!$A:$A),MATCH(K$1,[3]enemy_skill_triggers!$1:$1,0)-MATCH($F$1,[3]enemy_skill_triggers!$1:$1,0)+1),MATCH(K$1,[3]enemy_skill_triggers!$1:$1,0)-MATCH($F$1,[3]enemy_skill_triggers!$1:$1,0)+1,FALSE)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3" s="46" t="e">
        <f ca="1">VLOOKUP($F3,OFFSET([3]enemy_skill_triggers!$A$1,0,0,COUNTA([3]enemy_skill_triggers!$A:$A),MATCH(L$1,[3]enemy_skill_triggers!$1:$1,0)-MATCH($F$1,[3]enemy_skill_triggers!$1:$1,0)+1),MATCH(L$1,[3]enemy_skill_triggers!$1:$1,0)-MATCH($F$1,[3]enemy_skill_triggers!$1:$1,0)+1,FALSE)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3" s="46" t="e">
        <f ca="1">VLOOKUP($F3,OFFSET([3]enemy_skill_triggers!$A$1,0,0,COUNTA([3]enemy_skill_triggers!$A:$A),MATCH(M$1,[3]enemy_skill_triggers!$1:$1,0)-MATCH($F$1,[3]enemy_skill_triggers!$1:$1,0)+1),MATCH(M$1,[3]enemy_skill_triggers!$1:$1,0)-MATCH($F$1,[3]enemy_skill_triggers!$1:$1,0)+1,FALSE)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3" s="46" t="e">
        <f ca="1">VLOOKUP($F3,OFFSET([3]enemy_skill_triggers!$A$1,0,0,COUNTA([3]enemy_skill_triggers!$A:$A),MATCH(N$1,[3]enemy_skill_triggers!$1:$1,0)-MATCH($F$1,[3]enemy_skill_triggers!$1:$1,0)+1),MATCH(N$1,[3]enemy_skill_triggers!$1:$1,0)-MATCH($F$1,[3]enemy_skill_triggers!$1:$1,0)+1,FALSE)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3" s="46" t="e">
        <f ca="1">VLOOKUP($F3,OFFSET([3]enemy_skill_triggers!$A$1,0,0,COUNTA([3]enemy_skill_triggers!$A:$A),MATCH(O$1,[3]enemy_skill_triggers!$1:$1,0)-MATCH($F$1,[3]enemy_skill_triggers!$1:$1,0)+1),MATCH(O$1,[3]enemy_skill_triggers!$1:$1,0)-MATCH($F$1,[3]enemy_skill_triggers!$1:$1,0)+1,FALSE)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3" s="45"/>
      <c r="Q3" s="45"/>
      <c r="R3" s="45"/>
    </row>
    <row r="4" spans="1:18" ht="21" customHeight="1" x14ac:dyDescent="0.15">
      <c r="A4" s="37" t="str">
        <f t="shared" si="0"/>
        <v>13301710_13301712</v>
      </c>
      <c r="B4" s="45">
        <v>13301710</v>
      </c>
      <c r="C4" s="45">
        <v>13301712</v>
      </c>
      <c r="D4" s="44" t="e">
        <f ca="1">VLOOKUP($C4,OFFSET([3]enemy_skills!$A$1,0,0,COUNTA([3]enemy_skills!$A:$A),MATCH(D$1,[3]enemy_skills!$1:$1,0)-MATCH("enemy_skill_id",[3]enemy_skills!$1:$1,0)+1),MATCH(D$1,[3]enemy_skills!$1:$1,0)-MATCH("enemy_skill_id",[3]enemy_skills!$1:$1,0)+1,FALSE)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4" s="44" t="e">
        <f ca="1">VLOOKUP($C4,OFFSET([3]enemy_skills!$A$1,0,0,COUNTA([3]enemy_skills!$A:$A),MATCH(E$1,[3]enemy_skills!$1:$1,0)-MATCH("enemy_skill_id",[3]enemy_skills!$1:$1,0)+1),MATCH(E$1,[3]enemy_skills!$1:$1,0)-MATCH("enemy_skill_id",[3]enemy_skills!$1:$1,0)+1,FALSE)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4" s="45">
        <v>13301712</v>
      </c>
      <c r="G4" s="46" t="e">
        <f ca="1">VLOOKUP($F4,OFFSET([3]enemy_skill_triggers!$A$1,0,0,COUNTA([3]enemy_skill_triggers!$A:$A),MATCH(G$1,[3]enemy_skill_triggers!$1:$1,0)-MATCH($F$1,[3]enemy_skill_triggers!$1:$1,0)+1),MATCH(G$1,[3]enemy_skill_triggers!$1:$1,0)-MATCH($F$1,[3]enemy_skill_triggers!$1:$1,0)+1,FALSE)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4" s="46" t="e">
        <f ca="1">VLOOKUP($F4,OFFSET([3]enemy_skill_triggers!$A$1,0,0,COUNTA([3]enemy_skill_triggers!$A:$A),MATCH(H$1,[3]enemy_skill_triggers!$1:$1,0)-MATCH($F$1,[3]enemy_skill_triggers!$1:$1,0)+1),MATCH(H$1,[3]enemy_skill_triggers!$1:$1,0)-MATCH($F$1,[3]enemy_skill_triggers!$1:$1,0)+1,FALSE)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4" s="46" t="e">
        <f ca="1">VLOOKUP($F4,OFFSET([3]enemy_skill_triggers!$A$1,0,0,COUNTA([3]enemy_skill_triggers!$A:$A),MATCH(I$1,[3]enemy_skill_triggers!$1:$1,0)-MATCH($F$1,[3]enemy_skill_triggers!$1:$1,0)+1),MATCH(I$1,[3]enemy_skill_triggers!$1:$1,0)-MATCH($F$1,[3]enemy_skill_triggers!$1:$1,0)+1,FALSE)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4" s="46" t="e">
        <f ca="1">VLOOKUP($F4,OFFSET([3]enemy_skill_triggers!$A$1,0,0,COUNTA([3]enemy_skill_triggers!$A:$A),MATCH(J$1,[3]enemy_skill_triggers!$1:$1,0)-MATCH($F$1,[3]enemy_skill_triggers!$1:$1,0)+1),MATCH(J$1,[3]enemy_skill_triggers!$1:$1,0)-MATCH($F$1,[3]enemy_skill_triggers!$1:$1,0)+1,FALSE)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4" s="46" t="e">
        <f ca="1">VLOOKUP($F4,OFFSET([3]enemy_skill_triggers!$A$1,0,0,COUNTA([3]enemy_skill_triggers!$A:$A),MATCH(K$1,[3]enemy_skill_triggers!$1:$1,0)-MATCH($F$1,[3]enemy_skill_triggers!$1:$1,0)+1),MATCH(K$1,[3]enemy_skill_triggers!$1:$1,0)-MATCH($F$1,[3]enemy_skill_triggers!$1:$1,0)+1,FALSE)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4" s="46" t="e">
        <f ca="1">VLOOKUP($F4,OFFSET([3]enemy_skill_triggers!$A$1,0,0,COUNTA([3]enemy_skill_triggers!$A:$A),MATCH(L$1,[3]enemy_skill_triggers!$1:$1,0)-MATCH($F$1,[3]enemy_skill_triggers!$1:$1,0)+1),MATCH(L$1,[3]enemy_skill_triggers!$1:$1,0)-MATCH($F$1,[3]enemy_skill_triggers!$1:$1,0)+1,FALSE)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4" s="46" t="e">
        <f ca="1">VLOOKUP($F4,OFFSET([3]enemy_skill_triggers!$A$1,0,0,COUNTA([3]enemy_skill_triggers!$A:$A),MATCH(M$1,[3]enemy_skill_triggers!$1:$1,0)-MATCH($F$1,[3]enemy_skill_triggers!$1:$1,0)+1),MATCH(M$1,[3]enemy_skill_triggers!$1:$1,0)-MATCH($F$1,[3]enemy_skill_triggers!$1:$1,0)+1,FALSE)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4" s="46" t="e">
        <f ca="1">VLOOKUP($F4,OFFSET([3]enemy_skill_triggers!$A$1,0,0,COUNTA([3]enemy_skill_triggers!$A:$A),MATCH(N$1,[3]enemy_skill_triggers!$1:$1,0)-MATCH($F$1,[3]enemy_skill_triggers!$1:$1,0)+1),MATCH(N$1,[3]enemy_skill_triggers!$1:$1,0)-MATCH($F$1,[3]enemy_skill_triggers!$1:$1,0)+1,FALSE)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4" s="46" t="e">
        <f ca="1">VLOOKUP($F4,OFFSET([3]enemy_skill_triggers!$A$1,0,0,COUNTA([3]enemy_skill_triggers!$A:$A),MATCH(O$1,[3]enemy_skill_triggers!$1:$1,0)-MATCH($F$1,[3]enemy_skill_triggers!$1:$1,0)+1),MATCH(O$1,[3]enemy_skill_triggers!$1:$1,0)-MATCH($F$1,[3]enemy_skill_triggers!$1:$1,0)+1,FALSE)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4" s="45"/>
      <c r="Q4" s="45"/>
      <c r="R4" s="45"/>
    </row>
    <row r="5" spans="1:18" ht="21" customHeight="1" x14ac:dyDescent="0.15">
      <c r="A5" s="37" t="str">
        <f t="shared" si="0"/>
        <v>13301720_13301721</v>
      </c>
      <c r="B5" s="106">
        <v>13301720</v>
      </c>
      <c r="C5" s="105">
        <v>13301721</v>
      </c>
      <c r="D5" s="44" t="e">
        <f ca="1">VLOOKUP($C5,OFFSET([3]enemy_skills!$A$1,0,0,COUNTA([3]enemy_skills!$A:$A),MATCH(D$1,[3]enemy_skills!$1:$1,0)-MATCH("enemy_skill_id",[3]enemy_skills!$1:$1,0)+1),MATCH(D$1,[3]enemy_skills!$1:$1,0)-MATCH("enemy_skill_id",[3]enemy_skills!$1:$1,0)+1,FALSE)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5" s="44" t="e">
        <f ca="1">VLOOKUP($C5,OFFSET([3]enemy_skills!$A$1,0,0,COUNTA([3]enemy_skills!$A:$A),MATCH(E$1,[3]enemy_skills!$1:$1,0)-MATCH("enemy_skill_id",[3]enemy_skills!$1:$1,0)+1),MATCH(E$1,[3]enemy_skills!$1:$1,0)-MATCH("enemy_skill_id",[3]enemy_skills!$1:$1,0)+1,FALSE)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5" s="105">
        <v>13301721</v>
      </c>
      <c r="G5" s="46" t="e">
        <f ca="1">VLOOKUP($F5,OFFSET([3]enemy_skill_triggers!$A$1,0,0,COUNTA([3]enemy_skill_triggers!$A:$A),MATCH(G$1,[3]enemy_skill_triggers!$1:$1,0)-MATCH($F$1,[3]enemy_skill_triggers!$1:$1,0)+1),MATCH(G$1,[3]enemy_skill_triggers!$1:$1,0)-MATCH($F$1,[3]enemy_skill_triggers!$1:$1,0)+1,FALSE)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5" s="46" t="e">
        <f ca="1">VLOOKUP($F5,OFFSET([3]enemy_skill_triggers!$A$1,0,0,COUNTA([3]enemy_skill_triggers!$A:$A),MATCH(H$1,[3]enemy_skill_triggers!$1:$1,0)-MATCH($F$1,[3]enemy_skill_triggers!$1:$1,0)+1),MATCH(H$1,[3]enemy_skill_triggers!$1:$1,0)-MATCH($F$1,[3]enemy_skill_triggers!$1:$1,0)+1,FALSE)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5" s="46" t="e">
        <f ca="1">VLOOKUP($F5,OFFSET([3]enemy_skill_triggers!$A$1,0,0,COUNTA([3]enemy_skill_triggers!$A:$A),MATCH(I$1,[3]enemy_skill_triggers!$1:$1,0)-MATCH($F$1,[3]enemy_skill_triggers!$1:$1,0)+1),MATCH(I$1,[3]enemy_skill_triggers!$1:$1,0)-MATCH($F$1,[3]enemy_skill_triggers!$1:$1,0)+1,FALSE)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5" s="46" t="e">
        <f ca="1">VLOOKUP($F5,OFFSET([3]enemy_skill_triggers!$A$1,0,0,COUNTA([3]enemy_skill_triggers!$A:$A),MATCH(J$1,[3]enemy_skill_triggers!$1:$1,0)-MATCH($F$1,[3]enemy_skill_triggers!$1:$1,0)+1),MATCH(J$1,[3]enemy_skill_triggers!$1:$1,0)-MATCH($F$1,[3]enemy_skill_triggers!$1:$1,0)+1,FALSE)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5" s="46" t="e">
        <f ca="1">VLOOKUP($F5,OFFSET([3]enemy_skill_triggers!$A$1,0,0,COUNTA([3]enemy_skill_triggers!$A:$A),MATCH(K$1,[3]enemy_skill_triggers!$1:$1,0)-MATCH($F$1,[3]enemy_skill_triggers!$1:$1,0)+1),MATCH(K$1,[3]enemy_skill_triggers!$1:$1,0)-MATCH($F$1,[3]enemy_skill_triggers!$1:$1,0)+1,FALSE)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5" s="46" t="e">
        <f ca="1">VLOOKUP($F5,OFFSET([3]enemy_skill_triggers!$A$1,0,0,COUNTA([3]enemy_skill_triggers!$A:$A),MATCH(L$1,[3]enemy_skill_triggers!$1:$1,0)-MATCH($F$1,[3]enemy_skill_triggers!$1:$1,0)+1),MATCH(L$1,[3]enemy_skill_triggers!$1:$1,0)-MATCH($F$1,[3]enemy_skill_triggers!$1:$1,0)+1,FALSE)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5" s="46" t="e">
        <f ca="1">VLOOKUP($F5,OFFSET([3]enemy_skill_triggers!$A$1,0,0,COUNTA([3]enemy_skill_triggers!$A:$A),MATCH(M$1,[3]enemy_skill_triggers!$1:$1,0)-MATCH($F$1,[3]enemy_skill_triggers!$1:$1,0)+1),MATCH(M$1,[3]enemy_skill_triggers!$1:$1,0)-MATCH($F$1,[3]enemy_skill_triggers!$1:$1,0)+1,FALSE)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5" s="46" t="e">
        <f ca="1">VLOOKUP($F5,OFFSET([3]enemy_skill_triggers!$A$1,0,0,COUNTA([3]enemy_skill_triggers!$A:$A),MATCH(N$1,[3]enemy_skill_triggers!$1:$1,0)-MATCH($F$1,[3]enemy_skill_triggers!$1:$1,0)+1),MATCH(N$1,[3]enemy_skill_triggers!$1:$1,0)-MATCH($F$1,[3]enemy_skill_triggers!$1:$1,0)+1,FALSE)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5" s="46" t="e">
        <f ca="1">VLOOKUP($F5,OFFSET([3]enemy_skill_triggers!$A$1,0,0,COUNTA([3]enemy_skill_triggers!$A:$A),MATCH(O$1,[3]enemy_skill_triggers!$1:$1,0)-MATCH($F$1,[3]enemy_skill_triggers!$1:$1,0)+1),MATCH(O$1,[3]enemy_skill_triggers!$1:$1,0)-MATCH($F$1,[3]enemy_skill_triggers!$1:$1,0)+1,FALSE)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5" s="45"/>
      <c r="Q5" s="45"/>
      <c r="R5" s="45"/>
    </row>
    <row r="6" spans="1:18" ht="21" customHeight="1" x14ac:dyDescent="0.15">
      <c r="A6" s="37" t="str">
        <f t="shared" si="0"/>
        <v>13301720_13301722</v>
      </c>
      <c r="B6" s="106">
        <v>13301720</v>
      </c>
      <c r="C6" s="105">
        <v>13301722</v>
      </c>
      <c r="D6" s="44" t="e">
        <f ca="1">VLOOKUP($C6,OFFSET([3]enemy_skills!$A$1,0,0,COUNTA([3]enemy_skills!$A:$A),MATCH(D$1,[3]enemy_skills!$1:$1,0)-MATCH("enemy_skill_id",[3]enemy_skills!$1:$1,0)+1),MATCH(D$1,[3]enemy_skills!$1:$1,0)-MATCH("enemy_skill_id",[3]enemy_skills!$1:$1,0)+1,FALSE)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6" s="44" t="e">
        <f ca="1">VLOOKUP($C6,OFFSET([3]enemy_skills!$A$1,0,0,COUNTA([3]enemy_skills!$A:$A),MATCH(E$1,[3]enemy_skills!$1:$1,0)-MATCH("enemy_skill_id",[3]enemy_skills!$1:$1,0)+1),MATCH(E$1,[3]enemy_skills!$1:$1,0)-MATCH("enemy_skill_id",[3]enemy_skills!$1:$1,0)+1,FALSE)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6" s="105">
        <v>13301722</v>
      </c>
      <c r="G6" s="46" t="e">
        <f ca="1">VLOOKUP($F6,OFFSET([3]enemy_skill_triggers!$A$1,0,0,COUNTA([3]enemy_skill_triggers!$A:$A),MATCH(G$1,[3]enemy_skill_triggers!$1:$1,0)-MATCH($F$1,[3]enemy_skill_triggers!$1:$1,0)+1),MATCH(G$1,[3]enemy_skill_triggers!$1:$1,0)-MATCH($F$1,[3]enemy_skill_triggers!$1:$1,0)+1,FALSE)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6" s="46" t="e">
        <f ca="1">VLOOKUP($F6,OFFSET([3]enemy_skill_triggers!$A$1,0,0,COUNTA([3]enemy_skill_triggers!$A:$A),MATCH(H$1,[3]enemy_skill_triggers!$1:$1,0)-MATCH($F$1,[3]enemy_skill_triggers!$1:$1,0)+1),MATCH(H$1,[3]enemy_skill_triggers!$1:$1,0)-MATCH($F$1,[3]enemy_skill_triggers!$1:$1,0)+1,FALSE)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6" s="46" t="e">
        <f ca="1">VLOOKUP($F6,OFFSET([3]enemy_skill_triggers!$A$1,0,0,COUNTA([3]enemy_skill_triggers!$A:$A),MATCH(I$1,[3]enemy_skill_triggers!$1:$1,0)-MATCH($F$1,[3]enemy_skill_triggers!$1:$1,0)+1),MATCH(I$1,[3]enemy_skill_triggers!$1:$1,0)-MATCH($F$1,[3]enemy_skill_triggers!$1:$1,0)+1,FALSE)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6" s="46" t="e">
        <f ca="1">VLOOKUP($F6,OFFSET([3]enemy_skill_triggers!$A$1,0,0,COUNTA([3]enemy_skill_triggers!$A:$A),MATCH(J$1,[3]enemy_skill_triggers!$1:$1,0)-MATCH($F$1,[3]enemy_skill_triggers!$1:$1,0)+1),MATCH(J$1,[3]enemy_skill_triggers!$1:$1,0)-MATCH($F$1,[3]enemy_skill_triggers!$1:$1,0)+1,FALSE)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6" s="46" t="e">
        <f ca="1">VLOOKUP($F6,OFFSET([3]enemy_skill_triggers!$A$1,0,0,COUNTA([3]enemy_skill_triggers!$A:$A),MATCH(K$1,[3]enemy_skill_triggers!$1:$1,0)-MATCH($F$1,[3]enemy_skill_triggers!$1:$1,0)+1),MATCH(K$1,[3]enemy_skill_triggers!$1:$1,0)-MATCH($F$1,[3]enemy_skill_triggers!$1:$1,0)+1,FALSE)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6" s="46" t="e">
        <f ca="1">VLOOKUP($F6,OFFSET([3]enemy_skill_triggers!$A$1,0,0,COUNTA([3]enemy_skill_triggers!$A:$A),MATCH(L$1,[3]enemy_skill_triggers!$1:$1,0)-MATCH($F$1,[3]enemy_skill_triggers!$1:$1,0)+1),MATCH(L$1,[3]enemy_skill_triggers!$1:$1,0)-MATCH($F$1,[3]enemy_skill_triggers!$1:$1,0)+1,FALSE)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6" s="46" t="e">
        <f ca="1">VLOOKUP($F6,OFFSET([3]enemy_skill_triggers!$A$1,0,0,COUNTA([3]enemy_skill_triggers!$A:$A),MATCH(M$1,[3]enemy_skill_triggers!$1:$1,0)-MATCH($F$1,[3]enemy_skill_triggers!$1:$1,0)+1),MATCH(M$1,[3]enemy_skill_triggers!$1:$1,0)-MATCH($F$1,[3]enemy_skill_triggers!$1:$1,0)+1,FALSE)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6" s="46" t="e">
        <f ca="1">VLOOKUP($F6,OFFSET([3]enemy_skill_triggers!$A$1,0,0,COUNTA([3]enemy_skill_triggers!$A:$A),MATCH(N$1,[3]enemy_skill_triggers!$1:$1,0)-MATCH($F$1,[3]enemy_skill_triggers!$1:$1,0)+1),MATCH(N$1,[3]enemy_skill_triggers!$1:$1,0)-MATCH($F$1,[3]enemy_skill_triggers!$1:$1,0)+1,FALSE)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6" s="46" t="e">
        <f ca="1">VLOOKUP($F6,OFFSET([3]enemy_skill_triggers!$A$1,0,0,COUNTA([3]enemy_skill_triggers!$A:$A),MATCH(O$1,[3]enemy_skill_triggers!$1:$1,0)-MATCH($F$1,[3]enemy_skill_triggers!$1:$1,0)+1),MATCH(O$1,[3]enemy_skill_triggers!$1:$1,0)-MATCH($F$1,[3]enemy_skill_triggers!$1:$1,0)+1,FALSE)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6" s="45"/>
      <c r="Q6" s="45"/>
      <c r="R6" s="45"/>
    </row>
    <row r="7" spans="1:18" ht="21" customHeight="1" x14ac:dyDescent="0.15">
      <c r="A7" s="37" t="str">
        <f t="shared" si="0"/>
        <v>13301720_13301723</v>
      </c>
      <c r="B7" s="106">
        <v>13301720</v>
      </c>
      <c r="C7" s="105">
        <v>13301723</v>
      </c>
      <c r="D7" s="44" t="e">
        <f ca="1">VLOOKUP($C7,OFFSET([3]enemy_skills!$A$1,0,0,COUNTA([3]enemy_skills!$A:$A),MATCH(D$1,[3]enemy_skills!$1:$1,0)-MATCH("enemy_skill_id",[3]enemy_skills!$1:$1,0)+1),MATCH(D$1,[3]enemy_skills!$1:$1,0)-MATCH("enemy_skill_id",[3]enemy_skills!$1:$1,0)+1,FALSE)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7" s="44" t="e">
        <f ca="1">VLOOKUP($C7,OFFSET([3]enemy_skills!$A$1,0,0,COUNTA([3]enemy_skills!$A:$A),MATCH(E$1,[3]enemy_skills!$1:$1,0)-MATCH("enemy_skill_id",[3]enemy_skills!$1:$1,0)+1),MATCH(E$1,[3]enemy_skills!$1:$1,0)-MATCH("enemy_skill_id",[3]enemy_skills!$1:$1,0)+1,FALSE)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7" s="105">
        <v>13301723</v>
      </c>
      <c r="G7" s="46" t="e">
        <f ca="1">VLOOKUP($F7,OFFSET([3]enemy_skill_triggers!$A$1,0,0,COUNTA([3]enemy_skill_triggers!$A:$A),MATCH(G$1,[3]enemy_skill_triggers!$1:$1,0)-MATCH($F$1,[3]enemy_skill_triggers!$1:$1,0)+1),MATCH(G$1,[3]enemy_skill_triggers!$1:$1,0)-MATCH($F$1,[3]enemy_skill_triggers!$1:$1,0)+1,FALSE)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7" s="46" t="e">
        <f ca="1">VLOOKUP($F7,OFFSET([3]enemy_skill_triggers!$A$1,0,0,COUNTA([3]enemy_skill_triggers!$A:$A),MATCH(H$1,[3]enemy_skill_triggers!$1:$1,0)-MATCH($F$1,[3]enemy_skill_triggers!$1:$1,0)+1),MATCH(H$1,[3]enemy_skill_triggers!$1:$1,0)-MATCH($F$1,[3]enemy_skill_triggers!$1:$1,0)+1,FALSE)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7" s="46" t="e">
        <f ca="1">VLOOKUP($F7,OFFSET([3]enemy_skill_triggers!$A$1,0,0,COUNTA([3]enemy_skill_triggers!$A:$A),MATCH(I$1,[3]enemy_skill_triggers!$1:$1,0)-MATCH($F$1,[3]enemy_skill_triggers!$1:$1,0)+1),MATCH(I$1,[3]enemy_skill_triggers!$1:$1,0)-MATCH($F$1,[3]enemy_skill_triggers!$1:$1,0)+1,FALSE)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7" s="46" t="e">
        <f ca="1">VLOOKUP($F7,OFFSET([3]enemy_skill_triggers!$A$1,0,0,COUNTA([3]enemy_skill_triggers!$A:$A),MATCH(J$1,[3]enemy_skill_triggers!$1:$1,0)-MATCH($F$1,[3]enemy_skill_triggers!$1:$1,0)+1),MATCH(J$1,[3]enemy_skill_triggers!$1:$1,0)-MATCH($F$1,[3]enemy_skill_triggers!$1:$1,0)+1,FALSE)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7" s="46" t="e">
        <f ca="1">VLOOKUP($F7,OFFSET([3]enemy_skill_triggers!$A$1,0,0,COUNTA([3]enemy_skill_triggers!$A:$A),MATCH(K$1,[3]enemy_skill_triggers!$1:$1,0)-MATCH($F$1,[3]enemy_skill_triggers!$1:$1,0)+1),MATCH(K$1,[3]enemy_skill_triggers!$1:$1,0)-MATCH($F$1,[3]enemy_skill_triggers!$1:$1,0)+1,FALSE)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7" s="46" t="e">
        <f ca="1">VLOOKUP($F7,OFFSET([3]enemy_skill_triggers!$A$1,0,0,COUNTA([3]enemy_skill_triggers!$A:$A),MATCH(L$1,[3]enemy_skill_triggers!$1:$1,0)-MATCH($F$1,[3]enemy_skill_triggers!$1:$1,0)+1),MATCH(L$1,[3]enemy_skill_triggers!$1:$1,0)-MATCH($F$1,[3]enemy_skill_triggers!$1:$1,0)+1,FALSE)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7" s="46" t="e">
        <f ca="1">VLOOKUP($F7,OFFSET([3]enemy_skill_triggers!$A$1,0,0,COUNTA([3]enemy_skill_triggers!$A:$A),MATCH(M$1,[3]enemy_skill_triggers!$1:$1,0)-MATCH($F$1,[3]enemy_skill_triggers!$1:$1,0)+1),MATCH(M$1,[3]enemy_skill_triggers!$1:$1,0)-MATCH($F$1,[3]enemy_skill_triggers!$1:$1,0)+1,FALSE)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7" s="46" t="e">
        <f ca="1">VLOOKUP($F7,OFFSET([3]enemy_skill_triggers!$A$1,0,0,COUNTA([3]enemy_skill_triggers!$A:$A),MATCH(N$1,[3]enemy_skill_triggers!$1:$1,0)-MATCH($F$1,[3]enemy_skill_triggers!$1:$1,0)+1),MATCH(N$1,[3]enemy_skill_triggers!$1:$1,0)-MATCH($F$1,[3]enemy_skill_triggers!$1:$1,0)+1,FALSE)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7" s="46" t="e">
        <f ca="1">VLOOKUP($F7,OFFSET([3]enemy_skill_triggers!$A$1,0,0,COUNTA([3]enemy_skill_triggers!$A:$A),MATCH(O$1,[3]enemy_skill_triggers!$1:$1,0)-MATCH($F$1,[3]enemy_skill_triggers!$1:$1,0)+1),MATCH(O$1,[3]enemy_skill_triggers!$1:$1,0)-MATCH($F$1,[3]enemy_skill_triggers!$1:$1,0)+1,FALSE)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7" s="45"/>
      <c r="Q7" s="45"/>
      <c r="R7" s="45"/>
    </row>
    <row r="8" spans="1:18" ht="21" customHeight="1" x14ac:dyDescent="0.15">
      <c r="A8" s="37" t="str">
        <f t="shared" si="0"/>
        <v>13301720_13301724</v>
      </c>
      <c r="B8" s="106">
        <v>13301720</v>
      </c>
      <c r="C8" s="105">
        <v>13301724</v>
      </c>
      <c r="D8" s="44" t="e">
        <f ca="1">VLOOKUP($C8,OFFSET([3]enemy_skills!$A$1,0,0,COUNTA([3]enemy_skills!$A:$A),MATCH(D$1,[3]enemy_skills!$1:$1,0)-MATCH("enemy_skill_id",[3]enemy_skills!$1:$1,0)+1),MATCH(D$1,[3]enemy_skills!$1:$1,0)-MATCH("enemy_skill_id",[3]enemy_skills!$1:$1,0)+1,FALSE)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8" s="44" t="e">
        <f ca="1">VLOOKUP($C8,OFFSET([3]enemy_skills!$A$1,0,0,COUNTA([3]enemy_skills!$A:$A),MATCH(E$1,[3]enemy_skills!$1:$1,0)-MATCH("enemy_skill_id",[3]enemy_skills!$1:$1,0)+1),MATCH(E$1,[3]enemy_skills!$1:$1,0)-MATCH("enemy_skill_id",[3]enemy_skills!$1:$1,0)+1,FALSE)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8" s="105">
        <v>13301724</v>
      </c>
      <c r="G8" s="46" t="e">
        <f ca="1">VLOOKUP($F8,OFFSET([3]enemy_skill_triggers!$A$1,0,0,COUNTA([3]enemy_skill_triggers!$A:$A),MATCH(G$1,[3]enemy_skill_triggers!$1:$1,0)-MATCH($F$1,[3]enemy_skill_triggers!$1:$1,0)+1),MATCH(G$1,[3]enemy_skill_triggers!$1:$1,0)-MATCH($F$1,[3]enemy_skill_triggers!$1:$1,0)+1,FALSE)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8" s="46" t="e">
        <f ca="1">VLOOKUP($F8,OFFSET([3]enemy_skill_triggers!$A$1,0,0,COUNTA([3]enemy_skill_triggers!$A:$A),MATCH(H$1,[3]enemy_skill_triggers!$1:$1,0)-MATCH($F$1,[3]enemy_skill_triggers!$1:$1,0)+1),MATCH(H$1,[3]enemy_skill_triggers!$1:$1,0)-MATCH($F$1,[3]enemy_skill_triggers!$1:$1,0)+1,FALSE)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8" s="46" t="e">
        <f ca="1">VLOOKUP($F8,OFFSET([3]enemy_skill_triggers!$A$1,0,0,COUNTA([3]enemy_skill_triggers!$A:$A),MATCH(I$1,[3]enemy_skill_triggers!$1:$1,0)-MATCH($F$1,[3]enemy_skill_triggers!$1:$1,0)+1),MATCH(I$1,[3]enemy_skill_triggers!$1:$1,0)-MATCH($F$1,[3]enemy_skill_triggers!$1:$1,0)+1,FALSE)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8" s="46" t="e">
        <f ca="1">VLOOKUP($F8,OFFSET([3]enemy_skill_triggers!$A$1,0,0,COUNTA([3]enemy_skill_triggers!$A:$A),MATCH(J$1,[3]enemy_skill_triggers!$1:$1,0)-MATCH($F$1,[3]enemy_skill_triggers!$1:$1,0)+1),MATCH(J$1,[3]enemy_skill_triggers!$1:$1,0)-MATCH($F$1,[3]enemy_skill_triggers!$1:$1,0)+1,FALSE)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8" s="46" t="e">
        <f ca="1">VLOOKUP($F8,OFFSET([3]enemy_skill_triggers!$A$1,0,0,COUNTA([3]enemy_skill_triggers!$A:$A),MATCH(K$1,[3]enemy_skill_triggers!$1:$1,0)-MATCH($F$1,[3]enemy_skill_triggers!$1:$1,0)+1),MATCH(K$1,[3]enemy_skill_triggers!$1:$1,0)-MATCH($F$1,[3]enemy_skill_triggers!$1:$1,0)+1,FALSE)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8" s="46" t="e">
        <f ca="1">VLOOKUP($F8,OFFSET([3]enemy_skill_triggers!$A$1,0,0,COUNTA([3]enemy_skill_triggers!$A:$A),MATCH(L$1,[3]enemy_skill_triggers!$1:$1,0)-MATCH($F$1,[3]enemy_skill_triggers!$1:$1,0)+1),MATCH(L$1,[3]enemy_skill_triggers!$1:$1,0)-MATCH($F$1,[3]enemy_skill_triggers!$1:$1,0)+1,FALSE)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8" s="46" t="e">
        <f ca="1">VLOOKUP($F8,OFFSET([3]enemy_skill_triggers!$A$1,0,0,COUNTA([3]enemy_skill_triggers!$A:$A),MATCH(M$1,[3]enemy_skill_triggers!$1:$1,0)-MATCH($F$1,[3]enemy_skill_triggers!$1:$1,0)+1),MATCH(M$1,[3]enemy_skill_triggers!$1:$1,0)-MATCH($F$1,[3]enemy_skill_triggers!$1:$1,0)+1,FALSE)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8" s="46" t="e">
        <f ca="1">VLOOKUP($F8,OFFSET([3]enemy_skill_triggers!$A$1,0,0,COUNTA([3]enemy_skill_triggers!$A:$A),MATCH(N$1,[3]enemy_skill_triggers!$1:$1,0)-MATCH($F$1,[3]enemy_skill_triggers!$1:$1,0)+1),MATCH(N$1,[3]enemy_skill_triggers!$1:$1,0)-MATCH($F$1,[3]enemy_skill_triggers!$1:$1,0)+1,FALSE)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8" s="46" t="e">
        <f ca="1">VLOOKUP($F8,OFFSET([3]enemy_skill_triggers!$A$1,0,0,COUNTA([3]enemy_skill_triggers!$A:$A),MATCH(O$1,[3]enemy_skill_triggers!$1:$1,0)-MATCH($F$1,[3]enemy_skill_triggers!$1:$1,0)+1),MATCH(O$1,[3]enemy_skill_triggers!$1:$1,0)-MATCH($F$1,[3]enemy_skill_triggers!$1:$1,0)+1,FALSE)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8" s="45"/>
      <c r="Q8" s="45"/>
      <c r="R8" s="45"/>
    </row>
    <row r="9" spans="1:18" ht="21" customHeight="1" x14ac:dyDescent="0.15">
      <c r="A9" s="37" t="str">
        <f t="shared" si="0"/>
        <v>13301720_13301724</v>
      </c>
      <c r="B9" s="106">
        <v>13301720</v>
      </c>
      <c r="C9" s="105">
        <v>13301724</v>
      </c>
      <c r="D9" s="44" t="e">
        <f ca="1">VLOOKUP($C9,OFFSET([3]enemy_skills!$A$1,0,0,COUNTA([3]enemy_skills!$A:$A),MATCH(D$1,[3]enemy_skills!$1:$1,0)-MATCH("enemy_skill_id",[3]enemy_skills!$1:$1,0)+1),MATCH(D$1,[3]enemy_skills!$1:$1,0)-MATCH("enemy_skill_id",[3]enemy_skills!$1:$1,0)+1,FALSE)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9" s="44" t="e">
        <f ca="1">VLOOKUP($C9,OFFSET([3]enemy_skills!$A$1,0,0,COUNTA([3]enemy_skills!$A:$A),MATCH(E$1,[3]enemy_skills!$1:$1,0)-MATCH("enemy_skill_id",[3]enemy_skills!$1:$1,0)+1),MATCH(E$1,[3]enemy_skills!$1:$1,0)-MATCH("enemy_skill_id",[3]enemy_skills!$1:$1,0)+1,FALSE)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9" s="105">
        <v>13301725</v>
      </c>
      <c r="G9" s="46" t="e">
        <f ca="1">VLOOKUP($F9,OFFSET([3]enemy_skill_triggers!$A$1,0,0,COUNTA([3]enemy_skill_triggers!$A:$A),MATCH(G$1,[3]enemy_skill_triggers!$1:$1,0)-MATCH($F$1,[3]enemy_skill_triggers!$1:$1,0)+1),MATCH(G$1,[3]enemy_skill_triggers!$1:$1,0)-MATCH($F$1,[3]enemy_skill_triggers!$1:$1,0)+1,FALSE)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9" s="46" t="e">
        <f ca="1">VLOOKUP($F9,OFFSET([3]enemy_skill_triggers!$A$1,0,0,COUNTA([3]enemy_skill_triggers!$A:$A),MATCH(H$1,[3]enemy_skill_triggers!$1:$1,0)-MATCH($F$1,[3]enemy_skill_triggers!$1:$1,0)+1),MATCH(H$1,[3]enemy_skill_triggers!$1:$1,0)-MATCH($F$1,[3]enemy_skill_triggers!$1:$1,0)+1,FALSE)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9" s="46" t="e">
        <f ca="1">VLOOKUP($F9,OFFSET([3]enemy_skill_triggers!$A$1,0,0,COUNTA([3]enemy_skill_triggers!$A:$A),MATCH(I$1,[3]enemy_skill_triggers!$1:$1,0)-MATCH($F$1,[3]enemy_skill_triggers!$1:$1,0)+1),MATCH(I$1,[3]enemy_skill_triggers!$1:$1,0)-MATCH($F$1,[3]enemy_skill_triggers!$1:$1,0)+1,FALSE)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9" s="46" t="e">
        <f ca="1">VLOOKUP($F9,OFFSET([3]enemy_skill_triggers!$A$1,0,0,COUNTA([3]enemy_skill_triggers!$A:$A),MATCH(J$1,[3]enemy_skill_triggers!$1:$1,0)-MATCH($F$1,[3]enemy_skill_triggers!$1:$1,0)+1),MATCH(J$1,[3]enemy_skill_triggers!$1:$1,0)-MATCH($F$1,[3]enemy_skill_triggers!$1:$1,0)+1,FALSE)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9" s="46" t="e">
        <f ca="1">VLOOKUP($F9,OFFSET([3]enemy_skill_triggers!$A$1,0,0,COUNTA([3]enemy_skill_triggers!$A:$A),MATCH(K$1,[3]enemy_skill_triggers!$1:$1,0)-MATCH($F$1,[3]enemy_skill_triggers!$1:$1,0)+1),MATCH(K$1,[3]enemy_skill_triggers!$1:$1,0)-MATCH($F$1,[3]enemy_skill_triggers!$1:$1,0)+1,FALSE)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9" s="46" t="e">
        <f ca="1">VLOOKUP($F9,OFFSET([3]enemy_skill_triggers!$A$1,0,0,COUNTA([3]enemy_skill_triggers!$A:$A),MATCH(L$1,[3]enemy_skill_triggers!$1:$1,0)-MATCH($F$1,[3]enemy_skill_triggers!$1:$1,0)+1),MATCH(L$1,[3]enemy_skill_triggers!$1:$1,0)-MATCH($F$1,[3]enemy_skill_triggers!$1:$1,0)+1,FALSE)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9" s="46" t="e">
        <f ca="1">VLOOKUP($F9,OFFSET([3]enemy_skill_triggers!$A$1,0,0,COUNTA([3]enemy_skill_triggers!$A:$A),MATCH(M$1,[3]enemy_skill_triggers!$1:$1,0)-MATCH($F$1,[3]enemy_skill_triggers!$1:$1,0)+1),MATCH(M$1,[3]enemy_skill_triggers!$1:$1,0)-MATCH($F$1,[3]enemy_skill_triggers!$1:$1,0)+1,FALSE)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9" s="46" t="e">
        <f ca="1">VLOOKUP($F9,OFFSET([3]enemy_skill_triggers!$A$1,0,0,COUNTA([3]enemy_skill_triggers!$A:$A),MATCH(N$1,[3]enemy_skill_triggers!$1:$1,0)-MATCH($F$1,[3]enemy_skill_triggers!$1:$1,0)+1),MATCH(N$1,[3]enemy_skill_triggers!$1:$1,0)-MATCH($F$1,[3]enemy_skill_triggers!$1:$1,0)+1,FALSE)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9" s="46" t="e">
        <f ca="1">VLOOKUP($F9,OFFSET([3]enemy_skill_triggers!$A$1,0,0,COUNTA([3]enemy_skill_triggers!$A:$A),MATCH(O$1,[3]enemy_skill_triggers!$1:$1,0)-MATCH($F$1,[3]enemy_skill_triggers!$1:$1,0)+1),MATCH(O$1,[3]enemy_skill_triggers!$1:$1,0)-MATCH($F$1,[3]enemy_skill_triggers!$1:$1,0)+1,FALSE)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9" s="45"/>
      <c r="Q9" s="45"/>
      <c r="R9" s="45"/>
    </row>
    <row r="10" spans="1:18" ht="21" customHeight="1" x14ac:dyDescent="0.15">
      <c r="A10" s="37" t="str">
        <f t="shared" si="0"/>
        <v>13301720_13301725</v>
      </c>
      <c r="B10" s="106">
        <v>13301720</v>
      </c>
      <c r="C10" s="105">
        <v>13301725</v>
      </c>
      <c r="D10" s="44" t="e">
        <f ca="1">VLOOKUP($C10,OFFSET([3]enemy_skills!$A$1,0,0,COUNTA([3]enemy_skills!$A:$A),MATCH(D$1,[3]enemy_skills!$1:$1,0)-MATCH("enemy_skill_id",[3]enemy_skills!$1:$1,0)+1),MATCH(D$1,[3]enemy_skills!$1:$1,0)-MATCH("enemy_skill_id",[3]enemy_skills!$1:$1,0)+1,FALSE)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10" s="44" t="e">
        <f ca="1">VLOOKUP($C10,OFFSET([3]enemy_skills!$A$1,0,0,COUNTA([3]enemy_skills!$A:$A),MATCH(E$1,[3]enemy_skills!$1:$1,0)-MATCH("enemy_skill_id",[3]enemy_skills!$1:$1,0)+1),MATCH(E$1,[3]enemy_skills!$1:$1,0)-MATCH("enemy_skill_id",[3]enemy_skills!$1:$1,0)+1,FALSE)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10" s="105">
        <v>13301726</v>
      </c>
      <c r="G10" s="46" t="e">
        <f ca="1">VLOOKUP($F10,OFFSET([3]enemy_skill_triggers!$A$1,0,0,COUNTA([3]enemy_skill_triggers!$A:$A),MATCH(G$1,[3]enemy_skill_triggers!$1:$1,0)-MATCH($F$1,[3]enemy_skill_triggers!$1:$1,0)+1),MATCH(G$1,[3]enemy_skill_triggers!$1:$1,0)-MATCH($F$1,[3]enemy_skill_triggers!$1:$1,0)+1,FALSE)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10" s="46" t="e">
        <f ca="1">VLOOKUP($F10,OFFSET([3]enemy_skill_triggers!$A$1,0,0,COUNTA([3]enemy_skill_triggers!$A:$A),MATCH(H$1,[3]enemy_skill_triggers!$1:$1,0)-MATCH($F$1,[3]enemy_skill_triggers!$1:$1,0)+1),MATCH(H$1,[3]enemy_skill_triggers!$1:$1,0)-MATCH($F$1,[3]enemy_skill_triggers!$1:$1,0)+1,FALSE)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10" s="46" t="e">
        <f ca="1">VLOOKUP($F10,OFFSET([3]enemy_skill_triggers!$A$1,0,0,COUNTA([3]enemy_skill_triggers!$A:$A),MATCH(I$1,[3]enemy_skill_triggers!$1:$1,0)-MATCH($F$1,[3]enemy_skill_triggers!$1:$1,0)+1),MATCH(I$1,[3]enemy_skill_triggers!$1:$1,0)-MATCH($F$1,[3]enemy_skill_triggers!$1:$1,0)+1,FALSE)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10" s="46" t="e">
        <f ca="1">VLOOKUP($F10,OFFSET([3]enemy_skill_triggers!$A$1,0,0,COUNTA([3]enemy_skill_triggers!$A:$A),MATCH(J$1,[3]enemy_skill_triggers!$1:$1,0)-MATCH($F$1,[3]enemy_skill_triggers!$1:$1,0)+1),MATCH(J$1,[3]enemy_skill_triggers!$1:$1,0)-MATCH($F$1,[3]enemy_skill_triggers!$1:$1,0)+1,FALSE)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10" s="46" t="e">
        <f ca="1">VLOOKUP($F10,OFFSET([3]enemy_skill_triggers!$A$1,0,0,COUNTA([3]enemy_skill_triggers!$A:$A),MATCH(K$1,[3]enemy_skill_triggers!$1:$1,0)-MATCH($F$1,[3]enemy_skill_triggers!$1:$1,0)+1),MATCH(K$1,[3]enemy_skill_triggers!$1:$1,0)-MATCH($F$1,[3]enemy_skill_triggers!$1:$1,0)+1,FALSE)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10" s="46" t="e">
        <f ca="1">VLOOKUP($F10,OFFSET([3]enemy_skill_triggers!$A$1,0,0,COUNTA([3]enemy_skill_triggers!$A:$A),MATCH(L$1,[3]enemy_skill_triggers!$1:$1,0)-MATCH($F$1,[3]enemy_skill_triggers!$1:$1,0)+1),MATCH(L$1,[3]enemy_skill_triggers!$1:$1,0)-MATCH($F$1,[3]enemy_skill_triggers!$1:$1,0)+1,FALSE)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10" s="46" t="e">
        <f ca="1">VLOOKUP($F10,OFFSET([3]enemy_skill_triggers!$A$1,0,0,COUNTA([3]enemy_skill_triggers!$A:$A),MATCH(M$1,[3]enemy_skill_triggers!$1:$1,0)-MATCH($F$1,[3]enemy_skill_triggers!$1:$1,0)+1),MATCH(M$1,[3]enemy_skill_triggers!$1:$1,0)-MATCH($F$1,[3]enemy_skill_triggers!$1:$1,0)+1,FALSE)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10" s="46" t="e">
        <f ca="1">VLOOKUP($F10,OFFSET([3]enemy_skill_triggers!$A$1,0,0,COUNTA([3]enemy_skill_triggers!$A:$A),MATCH(N$1,[3]enemy_skill_triggers!$1:$1,0)-MATCH($F$1,[3]enemy_skill_triggers!$1:$1,0)+1),MATCH(N$1,[3]enemy_skill_triggers!$1:$1,0)-MATCH($F$1,[3]enemy_skill_triggers!$1:$1,0)+1,FALSE)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10" s="46" t="e">
        <f ca="1">VLOOKUP($F10,OFFSET([3]enemy_skill_triggers!$A$1,0,0,COUNTA([3]enemy_skill_triggers!$A:$A),MATCH(O$1,[3]enemy_skill_triggers!$1:$1,0)-MATCH($F$1,[3]enemy_skill_triggers!$1:$1,0)+1),MATCH(O$1,[3]enemy_skill_triggers!$1:$1,0)-MATCH($F$1,[3]enemy_skill_triggers!$1:$1,0)+1,FALSE)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10" s="45"/>
      <c r="Q10" s="45"/>
      <c r="R10" s="45"/>
    </row>
    <row r="11" spans="1:18" ht="21" customHeight="1" x14ac:dyDescent="0.15">
      <c r="A11" s="37" t="str">
        <f t="shared" si="0"/>
        <v>13301740_13301741</v>
      </c>
      <c r="B11" s="106">
        <v>13301740</v>
      </c>
      <c r="C11" s="45">
        <v>13301741</v>
      </c>
      <c r="D11" s="44" t="e">
        <f ca="1">VLOOKUP($C11,OFFSET([3]enemy_skills!$A$1,0,0,COUNTA([3]enemy_skills!$A:$A),MATCH(D$1,[3]enemy_skills!$1:$1,0)-MATCH("enemy_skill_id",[3]enemy_skills!$1:$1,0)+1),MATCH(D$1,[3]enemy_skills!$1:$1,0)-MATCH("enemy_skill_id",[3]enemy_skills!$1:$1,0)+1,FALSE)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11" s="44" t="e">
        <f ca="1">VLOOKUP($C11,OFFSET([3]enemy_skills!$A$1,0,0,COUNTA([3]enemy_skills!$A:$A),MATCH(E$1,[3]enemy_skills!$1:$1,0)-MATCH("enemy_skill_id",[3]enemy_skills!$1:$1,0)+1),MATCH(E$1,[3]enemy_skills!$1:$1,0)-MATCH("enemy_skill_id",[3]enemy_skills!$1:$1,0)+1,FALSE)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11" s="45">
        <v>13301741</v>
      </c>
      <c r="G11" s="46" t="e">
        <f ca="1">VLOOKUP($F11,OFFSET([3]enemy_skill_triggers!$A$1,0,0,COUNTA([3]enemy_skill_triggers!$A:$A),MATCH(G$1,[3]enemy_skill_triggers!$1:$1,0)-MATCH($F$1,[3]enemy_skill_triggers!$1:$1,0)+1),MATCH(G$1,[3]enemy_skill_triggers!$1:$1,0)-MATCH($F$1,[3]enemy_skill_triggers!$1:$1,0)+1,FALSE)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11" s="46" t="e">
        <f ca="1">VLOOKUP($F11,OFFSET([3]enemy_skill_triggers!$A$1,0,0,COUNTA([3]enemy_skill_triggers!$A:$A),MATCH(H$1,[3]enemy_skill_triggers!$1:$1,0)-MATCH($F$1,[3]enemy_skill_triggers!$1:$1,0)+1),MATCH(H$1,[3]enemy_skill_triggers!$1:$1,0)-MATCH($F$1,[3]enemy_skill_triggers!$1:$1,0)+1,FALSE)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11" s="46" t="e">
        <f ca="1">VLOOKUP($F11,OFFSET([3]enemy_skill_triggers!$A$1,0,0,COUNTA([3]enemy_skill_triggers!$A:$A),MATCH(I$1,[3]enemy_skill_triggers!$1:$1,0)-MATCH($F$1,[3]enemy_skill_triggers!$1:$1,0)+1),MATCH(I$1,[3]enemy_skill_triggers!$1:$1,0)-MATCH($F$1,[3]enemy_skill_triggers!$1:$1,0)+1,FALSE)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11" s="46" t="e">
        <f ca="1">VLOOKUP($F11,OFFSET([3]enemy_skill_triggers!$A$1,0,0,COUNTA([3]enemy_skill_triggers!$A:$A),MATCH(J$1,[3]enemy_skill_triggers!$1:$1,0)-MATCH($F$1,[3]enemy_skill_triggers!$1:$1,0)+1),MATCH(J$1,[3]enemy_skill_triggers!$1:$1,0)-MATCH($F$1,[3]enemy_skill_triggers!$1:$1,0)+1,FALSE)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11" s="46" t="e">
        <f ca="1">VLOOKUP($F11,OFFSET([3]enemy_skill_triggers!$A$1,0,0,COUNTA([3]enemy_skill_triggers!$A:$A),MATCH(K$1,[3]enemy_skill_triggers!$1:$1,0)-MATCH($F$1,[3]enemy_skill_triggers!$1:$1,0)+1),MATCH(K$1,[3]enemy_skill_triggers!$1:$1,0)-MATCH($F$1,[3]enemy_skill_triggers!$1:$1,0)+1,FALSE)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11" s="46" t="e">
        <f ca="1">VLOOKUP($F11,OFFSET([3]enemy_skill_triggers!$A$1,0,0,COUNTA([3]enemy_skill_triggers!$A:$A),MATCH(L$1,[3]enemy_skill_triggers!$1:$1,0)-MATCH($F$1,[3]enemy_skill_triggers!$1:$1,0)+1),MATCH(L$1,[3]enemy_skill_triggers!$1:$1,0)-MATCH($F$1,[3]enemy_skill_triggers!$1:$1,0)+1,FALSE)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11" s="46" t="e">
        <f ca="1">VLOOKUP($F11,OFFSET([3]enemy_skill_triggers!$A$1,0,0,COUNTA([3]enemy_skill_triggers!$A:$A),MATCH(M$1,[3]enemy_skill_triggers!$1:$1,0)-MATCH($F$1,[3]enemy_skill_triggers!$1:$1,0)+1),MATCH(M$1,[3]enemy_skill_triggers!$1:$1,0)-MATCH($F$1,[3]enemy_skill_triggers!$1:$1,0)+1,FALSE)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11" s="46" t="e">
        <f ca="1">VLOOKUP($F11,OFFSET([3]enemy_skill_triggers!$A$1,0,0,COUNTA([3]enemy_skill_triggers!$A:$A),MATCH(N$1,[3]enemy_skill_triggers!$1:$1,0)-MATCH($F$1,[3]enemy_skill_triggers!$1:$1,0)+1),MATCH(N$1,[3]enemy_skill_triggers!$1:$1,0)-MATCH($F$1,[3]enemy_skill_triggers!$1:$1,0)+1,FALSE)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11" s="46" t="e">
        <f ca="1">VLOOKUP($F11,OFFSET([3]enemy_skill_triggers!$A$1,0,0,COUNTA([3]enemy_skill_triggers!$A:$A),MATCH(O$1,[3]enemy_skill_triggers!$1:$1,0)-MATCH($F$1,[3]enemy_skill_triggers!$1:$1,0)+1),MATCH(O$1,[3]enemy_skill_triggers!$1:$1,0)-MATCH($F$1,[3]enemy_skill_triggers!$1:$1,0)+1,FALSE)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11" s="45"/>
      <c r="Q11" s="45"/>
      <c r="R11" s="45"/>
    </row>
    <row r="12" spans="1:18" ht="21" customHeight="1" x14ac:dyDescent="0.15">
      <c r="A12" s="37" t="str">
        <f t="shared" si="0"/>
        <v>13301740_13301742</v>
      </c>
      <c r="B12" s="106">
        <v>13301740</v>
      </c>
      <c r="C12" s="45">
        <v>13301742</v>
      </c>
      <c r="D12" s="44" t="e">
        <f ca="1">VLOOKUP($C12,OFFSET([3]enemy_skills!$A$1,0,0,COUNTA([3]enemy_skills!$A:$A),MATCH(D$1,[3]enemy_skills!$1:$1,0)-MATCH("enemy_skill_id",[3]enemy_skills!$1:$1,0)+1),MATCH(D$1,[3]enemy_skills!$1:$1,0)-MATCH("enemy_skill_id",[3]enemy_skills!$1:$1,0)+1,FALSE)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12" s="44" t="e">
        <f ca="1">VLOOKUP($C12,OFFSET([3]enemy_skills!$A$1,0,0,COUNTA([3]enemy_skills!$A:$A),MATCH(E$1,[3]enemy_skills!$1:$1,0)-MATCH("enemy_skill_id",[3]enemy_skills!$1:$1,0)+1),MATCH(E$1,[3]enemy_skills!$1:$1,0)-MATCH("enemy_skill_id",[3]enemy_skills!$1:$1,0)+1,FALSE)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12" s="45">
        <v>13301742</v>
      </c>
      <c r="G12" s="46" t="e">
        <f ca="1">VLOOKUP($F12,OFFSET([3]enemy_skill_triggers!$A$1,0,0,COUNTA([3]enemy_skill_triggers!$A:$A),MATCH(G$1,[3]enemy_skill_triggers!$1:$1,0)-MATCH($F$1,[3]enemy_skill_triggers!$1:$1,0)+1),MATCH(G$1,[3]enemy_skill_triggers!$1:$1,0)-MATCH($F$1,[3]enemy_skill_triggers!$1:$1,0)+1,FALSE)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12" s="46" t="e">
        <f ca="1">VLOOKUP($F12,OFFSET([3]enemy_skill_triggers!$A$1,0,0,COUNTA([3]enemy_skill_triggers!$A:$A),MATCH(H$1,[3]enemy_skill_triggers!$1:$1,0)-MATCH($F$1,[3]enemy_skill_triggers!$1:$1,0)+1),MATCH(H$1,[3]enemy_skill_triggers!$1:$1,0)-MATCH($F$1,[3]enemy_skill_triggers!$1:$1,0)+1,FALSE)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12" s="46" t="e">
        <f ca="1">VLOOKUP($F12,OFFSET([3]enemy_skill_triggers!$A$1,0,0,COUNTA([3]enemy_skill_triggers!$A:$A),MATCH(I$1,[3]enemy_skill_triggers!$1:$1,0)-MATCH($F$1,[3]enemy_skill_triggers!$1:$1,0)+1),MATCH(I$1,[3]enemy_skill_triggers!$1:$1,0)-MATCH($F$1,[3]enemy_skill_triggers!$1:$1,0)+1,FALSE)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12" s="46" t="e">
        <f ca="1">VLOOKUP($F12,OFFSET([3]enemy_skill_triggers!$A$1,0,0,COUNTA([3]enemy_skill_triggers!$A:$A),MATCH(J$1,[3]enemy_skill_triggers!$1:$1,0)-MATCH($F$1,[3]enemy_skill_triggers!$1:$1,0)+1),MATCH(J$1,[3]enemy_skill_triggers!$1:$1,0)-MATCH($F$1,[3]enemy_skill_triggers!$1:$1,0)+1,FALSE)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12" s="46" t="e">
        <f ca="1">VLOOKUP($F12,OFFSET([3]enemy_skill_triggers!$A$1,0,0,COUNTA([3]enemy_skill_triggers!$A:$A),MATCH(K$1,[3]enemy_skill_triggers!$1:$1,0)-MATCH($F$1,[3]enemy_skill_triggers!$1:$1,0)+1),MATCH(K$1,[3]enemy_skill_triggers!$1:$1,0)-MATCH($F$1,[3]enemy_skill_triggers!$1:$1,0)+1,FALSE)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12" s="46" t="e">
        <f ca="1">VLOOKUP($F12,OFFSET([3]enemy_skill_triggers!$A$1,0,0,COUNTA([3]enemy_skill_triggers!$A:$A),MATCH(L$1,[3]enemy_skill_triggers!$1:$1,0)-MATCH($F$1,[3]enemy_skill_triggers!$1:$1,0)+1),MATCH(L$1,[3]enemy_skill_triggers!$1:$1,0)-MATCH($F$1,[3]enemy_skill_triggers!$1:$1,0)+1,FALSE)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12" s="46" t="e">
        <f ca="1">VLOOKUP($F12,OFFSET([3]enemy_skill_triggers!$A$1,0,0,COUNTA([3]enemy_skill_triggers!$A:$A),MATCH(M$1,[3]enemy_skill_triggers!$1:$1,0)-MATCH($F$1,[3]enemy_skill_triggers!$1:$1,0)+1),MATCH(M$1,[3]enemy_skill_triggers!$1:$1,0)-MATCH($F$1,[3]enemy_skill_triggers!$1:$1,0)+1,FALSE)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12" s="46" t="e">
        <f ca="1">VLOOKUP($F12,OFFSET([3]enemy_skill_triggers!$A$1,0,0,COUNTA([3]enemy_skill_triggers!$A:$A),MATCH(N$1,[3]enemy_skill_triggers!$1:$1,0)-MATCH($F$1,[3]enemy_skill_triggers!$1:$1,0)+1),MATCH(N$1,[3]enemy_skill_triggers!$1:$1,0)-MATCH($F$1,[3]enemy_skill_triggers!$1:$1,0)+1,FALSE)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12" s="46" t="e">
        <f ca="1">VLOOKUP($F12,OFFSET([3]enemy_skill_triggers!$A$1,0,0,COUNTA([3]enemy_skill_triggers!$A:$A),MATCH(O$1,[3]enemy_skill_triggers!$1:$1,0)-MATCH($F$1,[3]enemy_skill_triggers!$1:$1,0)+1),MATCH(O$1,[3]enemy_skill_triggers!$1:$1,0)-MATCH($F$1,[3]enemy_skill_triggers!$1:$1,0)+1,FALSE)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12" s="45"/>
      <c r="Q12" s="45"/>
      <c r="R12" s="45"/>
    </row>
    <row r="13" spans="1:18" ht="21" customHeight="1" x14ac:dyDescent="0.15">
      <c r="A13" s="37" t="str">
        <f t="shared" si="0"/>
        <v>13301740_13301743</v>
      </c>
      <c r="B13" s="106">
        <v>13301740</v>
      </c>
      <c r="C13" s="45">
        <v>13301743</v>
      </c>
      <c r="D13" s="44" t="e">
        <f ca="1">VLOOKUP($C13,OFFSET([3]enemy_skills!$A$1,0,0,COUNTA([3]enemy_skills!$A:$A),MATCH(D$1,[3]enemy_skills!$1:$1,0)-MATCH("enemy_skill_id",[3]enemy_skills!$1:$1,0)+1),MATCH(D$1,[3]enemy_skills!$1:$1,0)-MATCH("enemy_skill_id",[3]enemy_skills!$1:$1,0)+1,FALSE)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13" s="44" t="e">
        <f ca="1">VLOOKUP($C13,OFFSET([3]enemy_skills!$A$1,0,0,COUNTA([3]enemy_skills!$A:$A),MATCH(E$1,[3]enemy_skills!$1:$1,0)-MATCH("enemy_skill_id",[3]enemy_skills!$1:$1,0)+1),MATCH(E$1,[3]enemy_skills!$1:$1,0)-MATCH("enemy_skill_id",[3]enemy_skills!$1:$1,0)+1,FALSE)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13" s="45">
        <v>13301743</v>
      </c>
      <c r="G13" s="46" t="e">
        <f ca="1">VLOOKUP($F13,OFFSET([3]enemy_skill_triggers!$A$1,0,0,COUNTA([3]enemy_skill_triggers!$A:$A),MATCH(G$1,[3]enemy_skill_triggers!$1:$1,0)-MATCH($F$1,[3]enemy_skill_triggers!$1:$1,0)+1),MATCH(G$1,[3]enemy_skill_triggers!$1:$1,0)-MATCH($F$1,[3]enemy_skill_triggers!$1:$1,0)+1,FALSE)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13" s="46" t="e">
        <f ca="1">VLOOKUP($F13,OFFSET([3]enemy_skill_triggers!$A$1,0,0,COUNTA([3]enemy_skill_triggers!$A:$A),MATCH(H$1,[3]enemy_skill_triggers!$1:$1,0)-MATCH($F$1,[3]enemy_skill_triggers!$1:$1,0)+1),MATCH(H$1,[3]enemy_skill_triggers!$1:$1,0)-MATCH($F$1,[3]enemy_skill_triggers!$1:$1,0)+1,FALSE)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13" s="46" t="e">
        <f ca="1">VLOOKUP($F13,OFFSET([3]enemy_skill_triggers!$A$1,0,0,COUNTA([3]enemy_skill_triggers!$A:$A),MATCH(I$1,[3]enemy_skill_triggers!$1:$1,0)-MATCH($F$1,[3]enemy_skill_triggers!$1:$1,0)+1),MATCH(I$1,[3]enemy_skill_triggers!$1:$1,0)-MATCH($F$1,[3]enemy_skill_triggers!$1:$1,0)+1,FALSE)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13" s="46" t="e">
        <f ca="1">VLOOKUP($F13,OFFSET([3]enemy_skill_triggers!$A$1,0,0,COUNTA([3]enemy_skill_triggers!$A:$A),MATCH(J$1,[3]enemy_skill_triggers!$1:$1,0)-MATCH($F$1,[3]enemy_skill_triggers!$1:$1,0)+1),MATCH(J$1,[3]enemy_skill_triggers!$1:$1,0)-MATCH($F$1,[3]enemy_skill_triggers!$1:$1,0)+1,FALSE)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13" s="46" t="e">
        <f ca="1">VLOOKUP($F13,OFFSET([3]enemy_skill_triggers!$A$1,0,0,COUNTA([3]enemy_skill_triggers!$A:$A),MATCH(K$1,[3]enemy_skill_triggers!$1:$1,0)-MATCH($F$1,[3]enemy_skill_triggers!$1:$1,0)+1),MATCH(K$1,[3]enemy_skill_triggers!$1:$1,0)-MATCH($F$1,[3]enemy_skill_triggers!$1:$1,0)+1,FALSE)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13" s="46" t="e">
        <f ca="1">VLOOKUP($F13,OFFSET([3]enemy_skill_triggers!$A$1,0,0,COUNTA([3]enemy_skill_triggers!$A:$A),MATCH(L$1,[3]enemy_skill_triggers!$1:$1,0)-MATCH($F$1,[3]enemy_skill_triggers!$1:$1,0)+1),MATCH(L$1,[3]enemy_skill_triggers!$1:$1,0)-MATCH($F$1,[3]enemy_skill_triggers!$1:$1,0)+1,FALSE)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13" s="46" t="e">
        <f ca="1">VLOOKUP($F13,OFFSET([3]enemy_skill_triggers!$A$1,0,0,COUNTA([3]enemy_skill_triggers!$A:$A),MATCH(M$1,[3]enemy_skill_triggers!$1:$1,0)-MATCH($F$1,[3]enemy_skill_triggers!$1:$1,0)+1),MATCH(M$1,[3]enemy_skill_triggers!$1:$1,0)-MATCH($F$1,[3]enemy_skill_triggers!$1:$1,0)+1,FALSE)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13" s="46" t="e">
        <f ca="1">VLOOKUP($F13,OFFSET([3]enemy_skill_triggers!$A$1,0,0,COUNTA([3]enemy_skill_triggers!$A:$A),MATCH(N$1,[3]enemy_skill_triggers!$1:$1,0)-MATCH($F$1,[3]enemy_skill_triggers!$1:$1,0)+1),MATCH(N$1,[3]enemy_skill_triggers!$1:$1,0)-MATCH($F$1,[3]enemy_skill_triggers!$1:$1,0)+1,FALSE)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13" s="46" t="e">
        <f ca="1">VLOOKUP($F13,OFFSET([3]enemy_skill_triggers!$A$1,0,0,COUNTA([3]enemy_skill_triggers!$A:$A),MATCH(O$1,[3]enemy_skill_triggers!$1:$1,0)-MATCH($F$1,[3]enemy_skill_triggers!$1:$1,0)+1),MATCH(O$1,[3]enemy_skill_triggers!$1:$1,0)-MATCH($F$1,[3]enemy_skill_triggers!$1:$1,0)+1,FALSE)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13" s="45"/>
      <c r="Q13" s="45"/>
      <c r="R13" s="45"/>
    </row>
    <row r="14" spans="1:18" ht="21" customHeight="1" x14ac:dyDescent="0.15">
      <c r="A14" s="37" t="str">
        <f t="shared" si="0"/>
        <v>13301760_13301761</v>
      </c>
      <c r="B14" s="45">
        <v>13301760</v>
      </c>
      <c r="C14" s="105">
        <v>13301761</v>
      </c>
      <c r="D14" s="44" t="e">
        <f ca="1">VLOOKUP($C14,OFFSET([3]enemy_skills!$A$1,0,0,COUNTA([3]enemy_skills!$A:$A),MATCH(D$1,[3]enemy_skills!$1:$1,0)-MATCH("enemy_skill_id",[3]enemy_skills!$1:$1,0)+1),MATCH(D$1,[3]enemy_skills!$1:$1,0)-MATCH("enemy_skill_id",[3]enemy_skills!$1:$1,0)+1,FALSE)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14" s="44" t="e">
        <f ca="1">VLOOKUP($C14,OFFSET([3]enemy_skills!$A$1,0,0,COUNTA([3]enemy_skills!$A:$A),MATCH(E$1,[3]enemy_skills!$1:$1,0)-MATCH("enemy_skill_id",[3]enemy_skills!$1:$1,0)+1),MATCH(E$1,[3]enemy_skills!$1:$1,0)-MATCH("enemy_skill_id",[3]enemy_skills!$1:$1,0)+1,FALSE)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14" s="105">
        <v>13301761</v>
      </c>
      <c r="G14" s="46" t="e">
        <f ca="1">VLOOKUP($F14,OFFSET([3]enemy_skill_triggers!$A$1,0,0,COUNTA([3]enemy_skill_triggers!$A:$A),MATCH(G$1,[3]enemy_skill_triggers!$1:$1,0)-MATCH($F$1,[3]enemy_skill_triggers!$1:$1,0)+1),MATCH(G$1,[3]enemy_skill_triggers!$1:$1,0)-MATCH($F$1,[3]enemy_skill_triggers!$1:$1,0)+1,FALSE)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14" s="46" t="e">
        <f ca="1">VLOOKUP($F14,OFFSET([3]enemy_skill_triggers!$A$1,0,0,COUNTA([3]enemy_skill_triggers!$A:$A),MATCH(H$1,[3]enemy_skill_triggers!$1:$1,0)-MATCH($F$1,[3]enemy_skill_triggers!$1:$1,0)+1),MATCH(H$1,[3]enemy_skill_triggers!$1:$1,0)-MATCH($F$1,[3]enemy_skill_triggers!$1:$1,0)+1,FALSE)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14" s="46" t="e">
        <f ca="1">VLOOKUP($F14,OFFSET([3]enemy_skill_triggers!$A$1,0,0,COUNTA([3]enemy_skill_triggers!$A:$A),MATCH(I$1,[3]enemy_skill_triggers!$1:$1,0)-MATCH($F$1,[3]enemy_skill_triggers!$1:$1,0)+1),MATCH(I$1,[3]enemy_skill_triggers!$1:$1,0)-MATCH($F$1,[3]enemy_skill_triggers!$1:$1,0)+1,FALSE)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14" s="46" t="e">
        <f ca="1">VLOOKUP($F14,OFFSET([3]enemy_skill_triggers!$A$1,0,0,COUNTA([3]enemy_skill_triggers!$A:$A),MATCH(J$1,[3]enemy_skill_triggers!$1:$1,0)-MATCH($F$1,[3]enemy_skill_triggers!$1:$1,0)+1),MATCH(J$1,[3]enemy_skill_triggers!$1:$1,0)-MATCH($F$1,[3]enemy_skill_triggers!$1:$1,0)+1,FALSE)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14" s="46" t="e">
        <f ca="1">VLOOKUP($F14,OFFSET([3]enemy_skill_triggers!$A$1,0,0,COUNTA([3]enemy_skill_triggers!$A:$A),MATCH(K$1,[3]enemy_skill_triggers!$1:$1,0)-MATCH($F$1,[3]enemy_skill_triggers!$1:$1,0)+1),MATCH(K$1,[3]enemy_skill_triggers!$1:$1,0)-MATCH($F$1,[3]enemy_skill_triggers!$1:$1,0)+1,FALSE)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14" s="46" t="e">
        <f ca="1">VLOOKUP($F14,OFFSET([3]enemy_skill_triggers!$A$1,0,0,COUNTA([3]enemy_skill_triggers!$A:$A),MATCH(L$1,[3]enemy_skill_triggers!$1:$1,0)-MATCH($F$1,[3]enemy_skill_triggers!$1:$1,0)+1),MATCH(L$1,[3]enemy_skill_triggers!$1:$1,0)-MATCH($F$1,[3]enemy_skill_triggers!$1:$1,0)+1,FALSE)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14" s="46" t="e">
        <f ca="1">VLOOKUP($F14,OFFSET([3]enemy_skill_triggers!$A$1,0,0,COUNTA([3]enemy_skill_triggers!$A:$A),MATCH(M$1,[3]enemy_skill_triggers!$1:$1,0)-MATCH($F$1,[3]enemy_skill_triggers!$1:$1,0)+1),MATCH(M$1,[3]enemy_skill_triggers!$1:$1,0)-MATCH($F$1,[3]enemy_skill_triggers!$1:$1,0)+1,FALSE)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14" s="46" t="e">
        <f ca="1">VLOOKUP($F14,OFFSET([3]enemy_skill_triggers!$A$1,0,0,COUNTA([3]enemy_skill_triggers!$A:$A),MATCH(N$1,[3]enemy_skill_triggers!$1:$1,0)-MATCH($F$1,[3]enemy_skill_triggers!$1:$1,0)+1),MATCH(N$1,[3]enemy_skill_triggers!$1:$1,0)-MATCH($F$1,[3]enemy_skill_triggers!$1:$1,0)+1,FALSE)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14" s="46" t="e">
        <f ca="1">VLOOKUP($F14,OFFSET([3]enemy_skill_triggers!$A$1,0,0,COUNTA([3]enemy_skill_triggers!$A:$A),MATCH(O$1,[3]enemy_skill_triggers!$1:$1,0)-MATCH($F$1,[3]enemy_skill_triggers!$1:$1,0)+1),MATCH(O$1,[3]enemy_skill_triggers!$1:$1,0)-MATCH($F$1,[3]enemy_skill_triggers!$1:$1,0)+1,FALSE)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14" s="45"/>
      <c r="Q14" s="45"/>
      <c r="R14" s="45"/>
    </row>
    <row r="15" spans="1:18" ht="21" customHeight="1" x14ac:dyDescent="0.15">
      <c r="A15" s="37" t="str">
        <f t="shared" si="0"/>
        <v>13301760_13301762</v>
      </c>
      <c r="B15" s="45">
        <v>13301760</v>
      </c>
      <c r="C15" s="105">
        <v>13301762</v>
      </c>
      <c r="D15" s="44" t="e">
        <f ca="1">VLOOKUP($C15,OFFSET([3]enemy_skills!$A$1,0,0,COUNTA([3]enemy_skills!$A:$A),MATCH(D$1,[3]enemy_skills!$1:$1,0)-MATCH("enemy_skill_id",[3]enemy_skills!$1:$1,0)+1),MATCH(D$1,[3]enemy_skills!$1:$1,0)-MATCH("enemy_skill_id",[3]enemy_skills!$1:$1,0)+1,FALSE)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15" s="44" t="e">
        <f ca="1">VLOOKUP($C15,OFFSET([3]enemy_skills!$A$1,0,0,COUNTA([3]enemy_skills!$A:$A),MATCH(E$1,[3]enemy_skills!$1:$1,0)-MATCH("enemy_skill_id",[3]enemy_skills!$1:$1,0)+1),MATCH(E$1,[3]enemy_skills!$1:$1,0)-MATCH("enemy_skill_id",[3]enemy_skills!$1:$1,0)+1,FALSE)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15" s="105">
        <v>13301762</v>
      </c>
      <c r="G15" s="46" t="e">
        <f ca="1">VLOOKUP($F15,OFFSET([3]enemy_skill_triggers!$A$1,0,0,COUNTA([3]enemy_skill_triggers!$A:$A),MATCH(G$1,[3]enemy_skill_triggers!$1:$1,0)-MATCH($F$1,[3]enemy_skill_triggers!$1:$1,0)+1),MATCH(G$1,[3]enemy_skill_triggers!$1:$1,0)-MATCH($F$1,[3]enemy_skill_triggers!$1:$1,0)+1,FALSE)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15" s="46" t="e">
        <f ca="1">VLOOKUP($F15,OFFSET([3]enemy_skill_triggers!$A$1,0,0,COUNTA([3]enemy_skill_triggers!$A:$A),MATCH(H$1,[3]enemy_skill_triggers!$1:$1,0)-MATCH($F$1,[3]enemy_skill_triggers!$1:$1,0)+1),MATCH(H$1,[3]enemy_skill_triggers!$1:$1,0)-MATCH($F$1,[3]enemy_skill_triggers!$1:$1,0)+1,FALSE)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15" s="46" t="e">
        <f ca="1">VLOOKUP($F15,OFFSET([3]enemy_skill_triggers!$A$1,0,0,COUNTA([3]enemy_skill_triggers!$A:$A),MATCH(I$1,[3]enemy_skill_triggers!$1:$1,0)-MATCH($F$1,[3]enemy_skill_triggers!$1:$1,0)+1),MATCH(I$1,[3]enemy_skill_triggers!$1:$1,0)-MATCH($F$1,[3]enemy_skill_triggers!$1:$1,0)+1,FALSE)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15" s="46" t="e">
        <f ca="1">VLOOKUP($F15,OFFSET([3]enemy_skill_triggers!$A$1,0,0,COUNTA([3]enemy_skill_triggers!$A:$A),MATCH(J$1,[3]enemy_skill_triggers!$1:$1,0)-MATCH($F$1,[3]enemy_skill_triggers!$1:$1,0)+1),MATCH(J$1,[3]enemy_skill_triggers!$1:$1,0)-MATCH($F$1,[3]enemy_skill_triggers!$1:$1,0)+1,FALSE)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15" s="46" t="e">
        <f ca="1">VLOOKUP($F15,OFFSET([3]enemy_skill_triggers!$A$1,0,0,COUNTA([3]enemy_skill_triggers!$A:$A),MATCH(K$1,[3]enemy_skill_triggers!$1:$1,0)-MATCH($F$1,[3]enemy_skill_triggers!$1:$1,0)+1),MATCH(K$1,[3]enemy_skill_triggers!$1:$1,0)-MATCH($F$1,[3]enemy_skill_triggers!$1:$1,0)+1,FALSE)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15" s="46" t="e">
        <f ca="1">VLOOKUP($F15,OFFSET([3]enemy_skill_triggers!$A$1,0,0,COUNTA([3]enemy_skill_triggers!$A:$A),MATCH(L$1,[3]enemy_skill_triggers!$1:$1,0)-MATCH($F$1,[3]enemy_skill_triggers!$1:$1,0)+1),MATCH(L$1,[3]enemy_skill_triggers!$1:$1,0)-MATCH($F$1,[3]enemy_skill_triggers!$1:$1,0)+1,FALSE)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15" s="46" t="e">
        <f ca="1">VLOOKUP($F15,OFFSET([3]enemy_skill_triggers!$A$1,0,0,COUNTA([3]enemy_skill_triggers!$A:$A),MATCH(M$1,[3]enemy_skill_triggers!$1:$1,0)-MATCH($F$1,[3]enemy_skill_triggers!$1:$1,0)+1),MATCH(M$1,[3]enemy_skill_triggers!$1:$1,0)-MATCH($F$1,[3]enemy_skill_triggers!$1:$1,0)+1,FALSE)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15" s="46" t="e">
        <f ca="1">VLOOKUP($F15,OFFSET([3]enemy_skill_triggers!$A$1,0,0,COUNTA([3]enemy_skill_triggers!$A:$A),MATCH(N$1,[3]enemy_skill_triggers!$1:$1,0)-MATCH($F$1,[3]enemy_skill_triggers!$1:$1,0)+1),MATCH(N$1,[3]enemy_skill_triggers!$1:$1,0)-MATCH($F$1,[3]enemy_skill_triggers!$1:$1,0)+1,FALSE)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15" s="46" t="e">
        <f ca="1">VLOOKUP($F15,OFFSET([3]enemy_skill_triggers!$A$1,0,0,COUNTA([3]enemy_skill_triggers!$A:$A),MATCH(O$1,[3]enemy_skill_triggers!$1:$1,0)-MATCH($F$1,[3]enemy_skill_triggers!$1:$1,0)+1),MATCH(O$1,[3]enemy_skill_triggers!$1:$1,0)-MATCH($F$1,[3]enemy_skill_triggers!$1:$1,0)+1,FALSE)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15" s="45"/>
      <c r="Q15" s="45"/>
      <c r="R15" s="45"/>
    </row>
    <row r="16" spans="1:18" ht="21" customHeight="1" x14ac:dyDescent="0.15">
      <c r="A16" s="37" t="str">
        <f t="shared" si="0"/>
        <v>13301760_13301763</v>
      </c>
      <c r="B16" s="45">
        <v>13301760</v>
      </c>
      <c r="C16" s="105">
        <v>13301763</v>
      </c>
      <c r="D16" s="44" t="e">
        <f ca="1">VLOOKUP($C16,OFFSET([3]enemy_skills!$A$1,0,0,COUNTA([3]enemy_skills!$A:$A),MATCH(D$1,[3]enemy_skills!$1:$1,0)-MATCH("enemy_skill_id",[3]enemy_skills!$1:$1,0)+1),MATCH(D$1,[3]enemy_skills!$1:$1,0)-MATCH("enemy_skill_id",[3]enemy_skills!$1:$1,0)+1,FALSE)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16" s="44" t="e">
        <f ca="1">VLOOKUP($C16,OFFSET([3]enemy_skills!$A$1,0,0,COUNTA([3]enemy_skills!$A:$A),MATCH(E$1,[3]enemy_skills!$1:$1,0)-MATCH("enemy_skill_id",[3]enemy_skills!$1:$1,0)+1),MATCH(E$1,[3]enemy_skills!$1:$1,0)-MATCH("enemy_skill_id",[3]enemy_skills!$1:$1,0)+1,FALSE)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16" s="105">
        <v>13301763</v>
      </c>
      <c r="G16" s="46" t="e">
        <f ca="1">VLOOKUP($F16,OFFSET([3]enemy_skill_triggers!$A$1,0,0,COUNTA([3]enemy_skill_triggers!$A:$A),MATCH(G$1,[3]enemy_skill_triggers!$1:$1,0)-MATCH($F$1,[3]enemy_skill_triggers!$1:$1,0)+1),MATCH(G$1,[3]enemy_skill_triggers!$1:$1,0)-MATCH($F$1,[3]enemy_skill_triggers!$1:$1,0)+1,FALSE)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16" s="46" t="e">
        <f ca="1">VLOOKUP($F16,OFFSET([3]enemy_skill_triggers!$A$1,0,0,COUNTA([3]enemy_skill_triggers!$A:$A),MATCH(H$1,[3]enemy_skill_triggers!$1:$1,0)-MATCH($F$1,[3]enemy_skill_triggers!$1:$1,0)+1),MATCH(H$1,[3]enemy_skill_triggers!$1:$1,0)-MATCH($F$1,[3]enemy_skill_triggers!$1:$1,0)+1,FALSE)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16" s="46" t="e">
        <f ca="1">VLOOKUP($F16,OFFSET([3]enemy_skill_triggers!$A$1,0,0,COUNTA([3]enemy_skill_triggers!$A:$A),MATCH(I$1,[3]enemy_skill_triggers!$1:$1,0)-MATCH($F$1,[3]enemy_skill_triggers!$1:$1,0)+1),MATCH(I$1,[3]enemy_skill_triggers!$1:$1,0)-MATCH($F$1,[3]enemy_skill_triggers!$1:$1,0)+1,FALSE)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16" s="46" t="e">
        <f ca="1">VLOOKUP($F16,OFFSET([3]enemy_skill_triggers!$A$1,0,0,COUNTA([3]enemy_skill_triggers!$A:$A),MATCH(J$1,[3]enemy_skill_triggers!$1:$1,0)-MATCH($F$1,[3]enemy_skill_triggers!$1:$1,0)+1),MATCH(J$1,[3]enemy_skill_triggers!$1:$1,0)-MATCH($F$1,[3]enemy_skill_triggers!$1:$1,0)+1,FALSE)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16" s="46" t="e">
        <f ca="1">VLOOKUP($F16,OFFSET([3]enemy_skill_triggers!$A$1,0,0,COUNTA([3]enemy_skill_triggers!$A:$A),MATCH(K$1,[3]enemy_skill_triggers!$1:$1,0)-MATCH($F$1,[3]enemy_skill_triggers!$1:$1,0)+1),MATCH(K$1,[3]enemy_skill_triggers!$1:$1,0)-MATCH($F$1,[3]enemy_skill_triggers!$1:$1,0)+1,FALSE)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16" s="46" t="e">
        <f ca="1">VLOOKUP($F16,OFFSET([3]enemy_skill_triggers!$A$1,0,0,COUNTA([3]enemy_skill_triggers!$A:$A),MATCH(L$1,[3]enemy_skill_triggers!$1:$1,0)-MATCH($F$1,[3]enemy_skill_triggers!$1:$1,0)+1),MATCH(L$1,[3]enemy_skill_triggers!$1:$1,0)-MATCH($F$1,[3]enemy_skill_triggers!$1:$1,0)+1,FALSE)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16" s="46" t="e">
        <f ca="1">VLOOKUP($F16,OFFSET([3]enemy_skill_triggers!$A$1,0,0,COUNTA([3]enemy_skill_triggers!$A:$A),MATCH(M$1,[3]enemy_skill_triggers!$1:$1,0)-MATCH($F$1,[3]enemy_skill_triggers!$1:$1,0)+1),MATCH(M$1,[3]enemy_skill_triggers!$1:$1,0)-MATCH($F$1,[3]enemy_skill_triggers!$1:$1,0)+1,FALSE)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16" s="46" t="e">
        <f ca="1">VLOOKUP($F16,OFFSET([3]enemy_skill_triggers!$A$1,0,0,COUNTA([3]enemy_skill_triggers!$A:$A),MATCH(N$1,[3]enemy_skill_triggers!$1:$1,0)-MATCH($F$1,[3]enemy_skill_triggers!$1:$1,0)+1),MATCH(N$1,[3]enemy_skill_triggers!$1:$1,0)-MATCH($F$1,[3]enemy_skill_triggers!$1:$1,0)+1,FALSE)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16" s="46" t="e">
        <f ca="1">VLOOKUP($F16,OFFSET([3]enemy_skill_triggers!$A$1,0,0,COUNTA([3]enemy_skill_triggers!$A:$A),MATCH(O$1,[3]enemy_skill_triggers!$1:$1,0)-MATCH($F$1,[3]enemy_skill_triggers!$1:$1,0)+1),MATCH(O$1,[3]enemy_skill_triggers!$1:$1,0)-MATCH($F$1,[3]enemy_skill_triggers!$1:$1,0)+1,FALSE)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16" s="45"/>
      <c r="Q16" s="45"/>
      <c r="R16" s="45"/>
    </row>
    <row r="17" spans="1:18" ht="21" customHeight="1" x14ac:dyDescent="0.15">
      <c r="A17" s="37" t="str">
        <f t="shared" si="0"/>
        <v>13301760_13301764</v>
      </c>
      <c r="B17" s="45">
        <v>13301760</v>
      </c>
      <c r="C17" s="105">
        <v>13301764</v>
      </c>
      <c r="D17" s="44" t="e">
        <f ca="1">VLOOKUP($C17,OFFSET([3]enemy_skills!$A$1,0,0,COUNTA([3]enemy_skills!$A:$A),MATCH(D$1,[3]enemy_skills!$1:$1,0)-MATCH("enemy_skill_id",[3]enemy_skills!$1:$1,0)+1),MATCH(D$1,[3]enemy_skills!$1:$1,0)-MATCH("enemy_skill_id",[3]enemy_skills!$1:$1,0)+1,FALSE)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17" s="44" t="e">
        <f ca="1">VLOOKUP($C17,OFFSET([3]enemy_skills!$A$1,0,0,COUNTA([3]enemy_skills!$A:$A),MATCH(E$1,[3]enemy_skills!$1:$1,0)-MATCH("enemy_skill_id",[3]enemy_skills!$1:$1,0)+1),MATCH(E$1,[3]enemy_skills!$1:$1,0)-MATCH("enemy_skill_id",[3]enemy_skills!$1:$1,0)+1,FALSE)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17" s="105">
        <v>13301764</v>
      </c>
      <c r="G17" s="46" t="e">
        <f ca="1">VLOOKUP($F17,OFFSET([3]enemy_skill_triggers!$A$1,0,0,COUNTA([3]enemy_skill_triggers!$A:$A),MATCH(G$1,[3]enemy_skill_triggers!$1:$1,0)-MATCH($F$1,[3]enemy_skill_triggers!$1:$1,0)+1),MATCH(G$1,[3]enemy_skill_triggers!$1:$1,0)-MATCH($F$1,[3]enemy_skill_triggers!$1:$1,0)+1,FALSE)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17" s="46" t="e">
        <f ca="1">VLOOKUP($F17,OFFSET([3]enemy_skill_triggers!$A$1,0,0,COUNTA([3]enemy_skill_triggers!$A:$A),MATCH(H$1,[3]enemy_skill_triggers!$1:$1,0)-MATCH($F$1,[3]enemy_skill_triggers!$1:$1,0)+1),MATCH(H$1,[3]enemy_skill_triggers!$1:$1,0)-MATCH($F$1,[3]enemy_skill_triggers!$1:$1,0)+1,FALSE)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17" s="46" t="e">
        <f ca="1">VLOOKUP($F17,OFFSET([3]enemy_skill_triggers!$A$1,0,0,COUNTA([3]enemy_skill_triggers!$A:$A),MATCH(I$1,[3]enemy_skill_triggers!$1:$1,0)-MATCH($F$1,[3]enemy_skill_triggers!$1:$1,0)+1),MATCH(I$1,[3]enemy_skill_triggers!$1:$1,0)-MATCH($F$1,[3]enemy_skill_triggers!$1:$1,0)+1,FALSE)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17" s="46" t="e">
        <f ca="1">VLOOKUP($F17,OFFSET([3]enemy_skill_triggers!$A$1,0,0,COUNTA([3]enemy_skill_triggers!$A:$A),MATCH(J$1,[3]enemy_skill_triggers!$1:$1,0)-MATCH($F$1,[3]enemy_skill_triggers!$1:$1,0)+1),MATCH(J$1,[3]enemy_skill_triggers!$1:$1,0)-MATCH($F$1,[3]enemy_skill_triggers!$1:$1,0)+1,FALSE)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17" s="46" t="e">
        <f ca="1">VLOOKUP($F17,OFFSET([3]enemy_skill_triggers!$A$1,0,0,COUNTA([3]enemy_skill_triggers!$A:$A),MATCH(K$1,[3]enemy_skill_triggers!$1:$1,0)-MATCH($F$1,[3]enemy_skill_triggers!$1:$1,0)+1),MATCH(K$1,[3]enemy_skill_triggers!$1:$1,0)-MATCH($F$1,[3]enemy_skill_triggers!$1:$1,0)+1,FALSE)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17" s="46" t="e">
        <f ca="1">VLOOKUP($F17,OFFSET([3]enemy_skill_triggers!$A$1,0,0,COUNTA([3]enemy_skill_triggers!$A:$A),MATCH(L$1,[3]enemy_skill_triggers!$1:$1,0)-MATCH($F$1,[3]enemy_skill_triggers!$1:$1,0)+1),MATCH(L$1,[3]enemy_skill_triggers!$1:$1,0)-MATCH($F$1,[3]enemy_skill_triggers!$1:$1,0)+1,FALSE)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17" s="46" t="e">
        <f ca="1">VLOOKUP($F17,OFFSET([3]enemy_skill_triggers!$A$1,0,0,COUNTA([3]enemy_skill_triggers!$A:$A),MATCH(M$1,[3]enemy_skill_triggers!$1:$1,0)-MATCH($F$1,[3]enemy_skill_triggers!$1:$1,0)+1),MATCH(M$1,[3]enemy_skill_triggers!$1:$1,0)-MATCH($F$1,[3]enemy_skill_triggers!$1:$1,0)+1,FALSE)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17" s="46" t="e">
        <f ca="1">VLOOKUP($F17,OFFSET([3]enemy_skill_triggers!$A$1,0,0,COUNTA([3]enemy_skill_triggers!$A:$A),MATCH(N$1,[3]enemy_skill_triggers!$1:$1,0)-MATCH($F$1,[3]enemy_skill_triggers!$1:$1,0)+1),MATCH(N$1,[3]enemy_skill_triggers!$1:$1,0)-MATCH($F$1,[3]enemy_skill_triggers!$1:$1,0)+1,FALSE)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17" s="46" t="e">
        <f ca="1">VLOOKUP($F17,OFFSET([3]enemy_skill_triggers!$A$1,0,0,COUNTA([3]enemy_skill_triggers!$A:$A),MATCH(O$1,[3]enemy_skill_triggers!$1:$1,0)-MATCH($F$1,[3]enemy_skill_triggers!$1:$1,0)+1),MATCH(O$1,[3]enemy_skill_triggers!$1:$1,0)-MATCH($F$1,[3]enemy_skill_triggers!$1:$1,0)+1,FALSE)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17" s="45"/>
      <c r="Q17" s="45"/>
      <c r="R17" s="45"/>
    </row>
    <row r="18" spans="1:18" ht="21" customHeight="1" x14ac:dyDescent="0.15">
      <c r="A18" s="37" t="str">
        <f t="shared" si="0"/>
        <v>13301760_13301765</v>
      </c>
      <c r="B18" s="45">
        <v>13301760</v>
      </c>
      <c r="C18" s="105">
        <v>13301765</v>
      </c>
      <c r="D18" s="44" t="e">
        <f ca="1">VLOOKUP($C18,OFFSET([3]enemy_skills!$A$1,0,0,COUNTA([3]enemy_skills!$A:$A),MATCH(D$1,[3]enemy_skills!$1:$1,0)-MATCH("enemy_skill_id",[3]enemy_skills!$1:$1,0)+1),MATCH(D$1,[3]enemy_skills!$1:$1,0)-MATCH("enemy_skill_id",[3]enemy_skills!$1:$1,0)+1,FALSE)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18" s="44" t="e">
        <f ca="1">VLOOKUP($C18,OFFSET([3]enemy_skills!$A$1,0,0,COUNTA([3]enemy_skills!$A:$A),MATCH(E$1,[3]enemy_skills!$1:$1,0)-MATCH("enemy_skill_id",[3]enemy_skills!$1:$1,0)+1),MATCH(E$1,[3]enemy_skills!$1:$1,0)-MATCH("enemy_skill_id",[3]enemy_skills!$1:$1,0)+1,FALSE)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18" s="105">
        <v>13301765</v>
      </c>
      <c r="G18" s="46" t="e">
        <f ca="1">VLOOKUP($F18,OFFSET([3]enemy_skill_triggers!$A$1,0,0,COUNTA([3]enemy_skill_triggers!$A:$A),MATCH(G$1,[3]enemy_skill_triggers!$1:$1,0)-MATCH($F$1,[3]enemy_skill_triggers!$1:$1,0)+1),MATCH(G$1,[3]enemy_skill_triggers!$1:$1,0)-MATCH($F$1,[3]enemy_skill_triggers!$1:$1,0)+1,FALSE)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18" s="46" t="e">
        <f ca="1">VLOOKUP($F18,OFFSET([3]enemy_skill_triggers!$A$1,0,0,COUNTA([3]enemy_skill_triggers!$A:$A),MATCH(H$1,[3]enemy_skill_triggers!$1:$1,0)-MATCH($F$1,[3]enemy_skill_triggers!$1:$1,0)+1),MATCH(H$1,[3]enemy_skill_triggers!$1:$1,0)-MATCH($F$1,[3]enemy_skill_triggers!$1:$1,0)+1,FALSE)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18" s="46" t="e">
        <f ca="1">VLOOKUP($F18,OFFSET([3]enemy_skill_triggers!$A$1,0,0,COUNTA([3]enemy_skill_triggers!$A:$A),MATCH(I$1,[3]enemy_skill_triggers!$1:$1,0)-MATCH($F$1,[3]enemy_skill_triggers!$1:$1,0)+1),MATCH(I$1,[3]enemy_skill_triggers!$1:$1,0)-MATCH($F$1,[3]enemy_skill_triggers!$1:$1,0)+1,FALSE)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18" s="46" t="e">
        <f ca="1">VLOOKUP($F18,OFFSET([3]enemy_skill_triggers!$A$1,0,0,COUNTA([3]enemy_skill_triggers!$A:$A),MATCH(J$1,[3]enemy_skill_triggers!$1:$1,0)-MATCH($F$1,[3]enemy_skill_triggers!$1:$1,0)+1),MATCH(J$1,[3]enemy_skill_triggers!$1:$1,0)-MATCH($F$1,[3]enemy_skill_triggers!$1:$1,0)+1,FALSE)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18" s="46" t="e">
        <f ca="1">VLOOKUP($F18,OFFSET([3]enemy_skill_triggers!$A$1,0,0,COUNTA([3]enemy_skill_triggers!$A:$A),MATCH(K$1,[3]enemy_skill_triggers!$1:$1,0)-MATCH($F$1,[3]enemy_skill_triggers!$1:$1,0)+1),MATCH(K$1,[3]enemy_skill_triggers!$1:$1,0)-MATCH($F$1,[3]enemy_skill_triggers!$1:$1,0)+1,FALSE)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18" s="46" t="e">
        <f ca="1">VLOOKUP($F18,OFFSET([3]enemy_skill_triggers!$A$1,0,0,COUNTA([3]enemy_skill_triggers!$A:$A),MATCH(L$1,[3]enemy_skill_triggers!$1:$1,0)-MATCH($F$1,[3]enemy_skill_triggers!$1:$1,0)+1),MATCH(L$1,[3]enemy_skill_triggers!$1:$1,0)-MATCH($F$1,[3]enemy_skill_triggers!$1:$1,0)+1,FALSE)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18" s="46" t="e">
        <f ca="1">VLOOKUP($F18,OFFSET([3]enemy_skill_triggers!$A$1,0,0,COUNTA([3]enemy_skill_triggers!$A:$A),MATCH(M$1,[3]enemy_skill_triggers!$1:$1,0)-MATCH($F$1,[3]enemy_skill_triggers!$1:$1,0)+1),MATCH(M$1,[3]enemy_skill_triggers!$1:$1,0)-MATCH($F$1,[3]enemy_skill_triggers!$1:$1,0)+1,FALSE)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18" s="46" t="e">
        <f ca="1">VLOOKUP($F18,OFFSET([3]enemy_skill_triggers!$A$1,0,0,COUNTA([3]enemy_skill_triggers!$A:$A),MATCH(N$1,[3]enemy_skill_triggers!$1:$1,0)-MATCH($F$1,[3]enemy_skill_triggers!$1:$1,0)+1),MATCH(N$1,[3]enemy_skill_triggers!$1:$1,0)-MATCH($F$1,[3]enemy_skill_triggers!$1:$1,0)+1,FALSE)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18" s="46" t="e">
        <f ca="1">VLOOKUP($F18,OFFSET([3]enemy_skill_triggers!$A$1,0,0,COUNTA([3]enemy_skill_triggers!$A:$A),MATCH(O$1,[3]enemy_skill_triggers!$1:$1,0)-MATCH($F$1,[3]enemy_skill_triggers!$1:$1,0)+1),MATCH(O$1,[3]enemy_skill_triggers!$1:$1,0)-MATCH($F$1,[3]enemy_skill_triggers!$1:$1,0)+1,FALSE)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18" s="45"/>
      <c r="Q18" s="45"/>
      <c r="R18" s="45"/>
    </row>
    <row r="19" spans="1:18" ht="21" customHeight="1" x14ac:dyDescent="0.15">
      <c r="A19" s="37" t="str">
        <f t="shared" si="0"/>
        <v>13301760_13301766</v>
      </c>
      <c r="B19" s="45">
        <v>13301760</v>
      </c>
      <c r="C19" s="105">
        <v>13301766</v>
      </c>
      <c r="D19" s="44" t="e">
        <f ca="1">VLOOKUP($C19,OFFSET([3]enemy_skills!$A$1,0,0,COUNTA([3]enemy_skills!$A:$A),MATCH(D$1,[3]enemy_skills!$1:$1,0)-MATCH("enemy_skill_id",[3]enemy_skills!$1:$1,0)+1),MATCH(D$1,[3]enemy_skills!$1:$1,0)-MATCH("enemy_skill_id",[3]enemy_skills!$1:$1,0)+1,FALSE)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19" s="44" t="e">
        <f ca="1">VLOOKUP($C19,OFFSET([3]enemy_skills!$A$1,0,0,COUNTA([3]enemy_skills!$A:$A),MATCH(E$1,[3]enemy_skills!$1:$1,0)-MATCH("enemy_skill_id",[3]enemy_skills!$1:$1,0)+1),MATCH(E$1,[3]enemy_skills!$1:$1,0)-MATCH("enemy_skill_id",[3]enemy_skills!$1:$1,0)+1,FALSE)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19" s="105">
        <v>13301766</v>
      </c>
      <c r="G19" s="46" t="e">
        <f ca="1">VLOOKUP($F19,OFFSET([3]enemy_skill_triggers!$A$1,0,0,COUNTA([3]enemy_skill_triggers!$A:$A),MATCH(G$1,[3]enemy_skill_triggers!$1:$1,0)-MATCH($F$1,[3]enemy_skill_triggers!$1:$1,0)+1),MATCH(G$1,[3]enemy_skill_triggers!$1:$1,0)-MATCH($F$1,[3]enemy_skill_triggers!$1:$1,0)+1,FALSE)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19" s="46" t="e">
        <f ca="1">VLOOKUP($F19,OFFSET([3]enemy_skill_triggers!$A$1,0,0,COUNTA([3]enemy_skill_triggers!$A:$A),MATCH(H$1,[3]enemy_skill_triggers!$1:$1,0)-MATCH($F$1,[3]enemy_skill_triggers!$1:$1,0)+1),MATCH(H$1,[3]enemy_skill_triggers!$1:$1,0)-MATCH($F$1,[3]enemy_skill_triggers!$1:$1,0)+1,FALSE)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19" s="46" t="e">
        <f ca="1">VLOOKUP($F19,OFFSET([3]enemy_skill_triggers!$A$1,0,0,COUNTA([3]enemy_skill_triggers!$A:$A),MATCH(I$1,[3]enemy_skill_triggers!$1:$1,0)-MATCH($F$1,[3]enemy_skill_triggers!$1:$1,0)+1),MATCH(I$1,[3]enemy_skill_triggers!$1:$1,0)-MATCH($F$1,[3]enemy_skill_triggers!$1:$1,0)+1,FALSE)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19" s="46" t="e">
        <f ca="1">VLOOKUP($F19,OFFSET([3]enemy_skill_triggers!$A$1,0,0,COUNTA([3]enemy_skill_triggers!$A:$A),MATCH(J$1,[3]enemy_skill_triggers!$1:$1,0)-MATCH($F$1,[3]enemy_skill_triggers!$1:$1,0)+1),MATCH(J$1,[3]enemy_skill_triggers!$1:$1,0)-MATCH($F$1,[3]enemy_skill_triggers!$1:$1,0)+1,FALSE)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19" s="46" t="e">
        <f ca="1">VLOOKUP($F19,OFFSET([3]enemy_skill_triggers!$A$1,0,0,COUNTA([3]enemy_skill_triggers!$A:$A),MATCH(K$1,[3]enemy_skill_triggers!$1:$1,0)-MATCH($F$1,[3]enemy_skill_triggers!$1:$1,0)+1),MATCH(K$1,[3]enemy_skill_triggers!$1:$1,0)-MATCH($F$1,[3]enemy_skill_triggers!$1:$1,0)+1,FALSE)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19" s="46" t="e">
        <f ca="1">VLOOKUP($F19,OFFSET([3]enemy_skill_triggers!$A$1,0,0,COUNTA([3]enemy_skill_triggers!$A:$A),MATCH(L$1,[3]enemy_skill_triggers!$1:$1,0)-MATCH($F$1,[3]enemy_skill_triggers!$1:$1,0)+1),MATCH(L$1,[3]enemy_skill_triggers!$1:$1,0)-MATCH($F$1,[3]enemy_skill_triggers!$1:$1,0)+1,FALSE)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19" s="46" t="e">
        <f ca="1">VLOOKUP($F19,OFFSET([3]enemy_skill_triggers!$A$1,0,0,COUNTA([3]enemy_skill_triggers!$A:$A),MATCH(M$1,[3]enemy_skill_triggers!$1:$1,0)-MATCH($F$1,[3]enemy_skill_triggers!$1:$1,0)+1),MATCH(M$1,[3]enemy_skill_triggers!$1:$1,0)-MATCH($F$1,[3]enemy_skill_triggers!$1:$1,0)+1,FALSE)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19" s="46" t="e">
        <f ca="1">VLOOKUP($F19,OFFSET([3]enemy_skill_triggers!$A$1,0,0,COUNTA([3]enemy_skill_triggers!$A:$A),MATCH(N$1,[3]enemy_skill_triggers!$1:$1,0)-MATCH($F$1,[3]enemy_skill_triggers!$1:$1,0)+1),MATCH(N$1,[3]enemy_skill_triggers!$1:$1,0)-MATCH($F$1,[3]enemy_skill_triggers!$1:$1,0)+1,FALSE)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19" s="46" t="e">
        <f ca="1">VLOOKUP($F19,OFFSET([3]enemy_skill_triggers!$A$1,0,0,COUNTA([3]enemy_skill_triggers!$A:$A),MATCH(O$1,[3]enemy_skill_triggers!$1:$1,0)-MATCH($F$1,[3]enemy_skill_triggers!$1:$1,0)+1),MATCH(O$1,[3]enemy_skill_triggers!$1:$1,0)-MATCH($F$1,[3]enemy_skill_triggers!$1:$1,0)+1,FALSE)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19" s="45"/>
      <c r="Q19" s="45"/>
      <c r="R19" s="45"/>
    </row>
    <row r="20" spans="1:18" ht="21" customHeight="1" x14ac:dyDescent="0.15">
      <c r="A20" s="37" t="str">
        <f t="shared" si="0"/>
        <v>13301760_13301767</v>
      </c>
      <c r="B20" s="45">
        <v>13301760</v>
      </c>
      <c r="C20" s="105">
        <v>13301767</v>
      </c>
      <c r="D20" s="44" t="e">
        <f ca="1">VLOOKUP($C20,OFFSET([3]enemy_skills!$A$1,0,0,COUNTA([3]enemy_skills!$A:$A),MATCH(D$1,[3]enemy_skills!$1:$1,0)-MATCH("enemy_skill_id",[3]enemy_skills!$1:$1,0)+1),MATCH(D$1,[3]enemy_skills!$1:$1,0)-MATCH("enemy_skill_id",[3]enemy_skills!$1:$1,0)+1,FALSE)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20" s="44" t="e">
        <f ca="1">VLOOKUP($C20,OFFSET([3]enemy_skills!$A$1,0,0,COUNTA([3]enemy_skills!$A:$A),MATCH(E$1,[3]enemy_skills!$1:$1,0)-MATCH("enemy_skill_id",[3]enemy_skills!$1:$1,0)+1),MATCH(E$1,[3]enemy_skills!$1:$1,0)-MATCH("enemy_skill_id",[3]enemy_skills!$1:$1,0)+1,FALSE)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20" s="105">
        <v>13301767</v>
      </c>
      <c r="G20" s="46" t="e">
        <f ca="1">VLOOKUP($F20,OFFSET([3]enemy_skill_triggers!$A$1,0,0,COUNTA([3]enemy_skill_triggers!$A:$A),MATCH(G$1,[3]enemy_skill_triggers!$1:$1,0)-MATCH($F$1,[3]enemy_skill_triggers!$1:$1,0)+1),MATCH(G$1,[3]enemy_skill_triggers!$1:$1,0)-MATCH($F$1,[3]enemy_skill_triggers!$1:$1,0)+1,FALSE)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20" s="46" t="e">
        <f ca="1">VLOOKUP($F20,OFFSET([3]enemy_skill_triggers!$A$1,0,0,COUNTA([3]enemy_skill_triggers!$A:$A),MATCH(H$1,[3]enemy_skill_triggers!$1:$1,0)-MATCH($F$1,[3]enemy_skill_triggers!$1:$1,0)+1),MATCH(H$1,[3]enemy_skill_triggers!$1:$1,0)-MATCH($F$1,[3]enemy_skill_triggers!$1:$1,0)+1,FALSE)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20" s="46" t="e">
        <f ca="1">VLOOKUP($F20,OFFSET([3]enemy_skill_triggers!$A$1,0,0,COUNTA([3]enemy_skill_triggers!$A:$A),MATCH(I$1,[3]enemy_skill_triggers!$1:$1,0)-MATCH($F$1,[3]enemy_skill_triggers!$1:$1,0)+1),MATCH(I$1,[3]enemy_skill_triggers!$1:$1,0)-MATCH($F$1,[3]enemy_skill_triggers!$1:$1,0)+1,FALSE)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20" s="46" t="e">
        <f ca="1">VLOOKUP($F20,OFFSET([3]enemy_skill_triggers!$A$1,0,0,COUNTA([3]enemy_skill_triggers!$A:$A),MATCH(J$1,[3]enemy_skill_triggers!$1:$1,0)-MATCH($F$1,[3]enemy_skill_triggers!$1:$1,0)+1),MATCH(J$1,[3]enemy_skill_triggers!$1:$1,0)-MATCH($F$1,[3]enemy_skill_triggers!$1:$1,0)+1,FALSE)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20" s="46" t="e">
        <f ca="1">VLOOKUP($F20,OFFSET([3]enemy_skill_triggers!$A$1,0,0,COUNTA([3]enemy_skill_triggers!$A:$A),MATCH(K$1,[3]enemy_skill_triggers!$1:$1,0)-MATCH($F$1,[3]enemy_skill_triggers!$1:$1,0)+1),MATCH(K$1,[3]enemy_skill_triggers!$1:$1,0)-MATCH($F$1,[3]enemy_skill_triggers!$1:$1,0)+1,FALSE)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20" s="46" t="e">
        <f ca="1">VLOOKUP($F20,OFFSET([3]enemy_skill_triggers!$A$1,0,0,COUNTA([3]enemy_skill_triggers!$A:$A),MATCH(L$1,[3]enemy_skill_triggers!$1:$1,0)-MATCH($F$1,[3]enemy_skill_triggers!$1:$1,0)+1),MATCH(L$1,[3]enemy_skill_triggers!$1:$1,0)-MATCH($F$1,[3]enemy_skill_triggers!$1:$1,0)+1,FALSE)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20" s="46" t="e">
        <f ca="1">VLOOKUP($F20,OFFSET([3]enemy_skill_triggers!$A$1,0,0,COUNTA([3]enemy_skill_triggers!$A:$A),MATCH(M$1,[3]enemy_skill_triggers!$1:$1,0)-MATCH($F$1,[3]enemy_skill_triggers!$1:$1,0)+1),MATCH(M$1,[3]enemy_skill_triggers!$1:$1,0)-MATCH($F$1,[3]enemy_skill_triggers!$1:$1,0)+1,FALSE)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20" s="46" t="e">
        <f ca="1">VLOOKUP($F20,OFFSET([3]enemy_skill_triggers!$A$1,0,0,COUNTA([3]enemy_skill_triggers!$A:$A),MATCH(N$1,[3]enemy_skill_triggers!$1:$1,0)-MATCH($F$1,[3]enemy_skill_triggers!$1:$1,0)+1),MATCH(N$1,[3]enemy_skill_triggers!$1:$1,0)-MATCH($F$1,[3]enemy_skill_triggers!$1:$1,0)+1,FALSE)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20" s="46" t="e">
        <f ca="1">VLOOKUP($F20,OFFSET([3]enemy_skill_triggers!$A$1,0,0,COUNTA([3]enemy_skill_triggers!$A:$A),MATCH(O$1,[3]enemy_skill_triggers!$1:$1,0)-MATCH($F$1,[3]enemy_skill_triggers!$1:$1,0)+1),MATCH(O$1,[3]enemy_skill_triggers!$1:$1,0)-MATCH($F$1,[3]enemy_skill_triggers!$1:$1,0)+1,FALSE)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20" s="45"/>
      <c r="Q20" s="45"/>
      <c r="R20" s="45"/>
    </row>
    <row r="21" spans="1:18" ht="21" customHeight="1" x14ac:dyDescent="0.15">
      <c r="A21" s="37" t="str">
        <f t="shared" si="0"/>
        <v>13301780_13301781</v>
      </c>
      <c r="B21" s="45">
        <v>13301780</v>
      </c>
      <c r="C21" s="45">
        <v>13301781</v>
      </c>
      <c r="D21" s="44" t="e">
        <f ca="1">VLOOKUP($C21,OFFSET([3]enemy_skills!$A$1,0,0,COUNTA([3]enemy_skills!$A:$A),MATCH(D$1,[3]enemy_skills!$1:$1,0)-MATCH("enemy_skill_id",[3]enemy_skills!$1:$1,0)+1),MATCH(D$1,[3]enemy_skills!$1:$1,0)-MATCH("enemy_skill_id",[3]enemy_skills!$1:$1,0)+1,FALSE)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21" s="44" t="e">
        <f ca="1">VLOOKUP($C21,OFFSET([3]enemy_skills!$A$1,0,0,COUNTA([3]enemy_skills!$A:$A),MATCH(E$1,[3]enemy_skills!$1:$1,0)-MATCH("enemy_skill_id",[3]enemy_skills!$1:$1,0)+1),MATCH(E$1,[3]enemy_skills!$1:$1,0)-MATCH("enemy_skill_id",[3]enemy_skills!$1:$1,0)+1,FALSE)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21" s="45">
        <v>13301781</v>
      </c>
      <c r="G21" s="46" t="e">
        <f ca="1">VLOOKUP($F21,OFFSET([3]enemy_skill_triggers!$A$1,0,0,COUNTA([3]enemy_skill_triggers!$A:$A),MATCH(G$1,[3]enemy_skill_triggers!$1:$1,0)-MATCH($F$1,[3]enemy_skill_triggers!$1:$1,0)+1),MATCH(G$1,[3]enemy_skill_triggers!$1:$1,0)-MATCH($F$1,[3]enemy_skill_triggers!$1:$1,0)+1,FALSE)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21" s="46" t="e">
        <f ca="1">VLOOKUP($F21,OFFSET([3]enemy_skill_triggers!$A$1,0,0,COUNTA([3]enemy_skill_triggers!$A:$A),MATCH(H$1,[3]enemy_skill_triggers!$1:$1,0)-MATCH($F$1,[3]enemy_skill_triggers!$1:$1,0)+1),MATCH(H$1,[3]enemy_skill_triggers!$1:$1,0)-MATCH($F$1,[3]enemy_skill_triggers!$1:$1,0)+1,FALSE)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21" s="46" t="e">
        <f ca="1">VLOOKUP($F21,OFFSET([3]enemy_skill_triggers!$A$1,0,0,COUNTA([3]enemy_skill_triggers!$A:$A),MATCH(I$1,[3]enemy_skill_triggers!$1:$1,0)-MATCH($F$1,[3]enemy_skill_triggers!$1:$1,0)+1),MATCH(I$1,[3]enemy_skill_triggers!$1:$1,0)-MATCH($F$1,[3]enemy_skill_triggers!$1:$1,0)+1,FALSE)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21" s="46" t="e">
        <f ca="1">VLOOKUP($F21,OFFSET([3]enemy_skill_triggers!$A$1,0,0,COUNTA([3]enemy_skill_triggers!$A:$A),MATCH(J$1,[3]enemy_skill_triggers!$1:$1,0)-MATCH($F$1,[3]enemy_skill_triggers!$1:$1,0)+1),MATCH(J$1,[3]enemy_skill_triggers!$1:$1,0)-MATCH($F$1,[3]enemy_skill_triggers!$1:$1,0)+1,FALSE)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21" s="46" t="e">
        <f ca="1">VLOOKUP($F21,OFFSET([3]enemy_skill_triggers!$A$1,0,0,COUNTA([3]enemy_skill_triggers!$A:$A),MATCH(K$1,[3]enemy_skill_triggers!$1:$1,0)-MATCH($F$1,[3]enemy_skill_triggers!$1:$1,0)+1),MATCH(K$1,[3]enemy_skill_triggers!$1:$1,0)-MATCH($F$1,[3]enemy_skill_triggers!$1:$1,0)+1,FALSE)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21" s="46" t="e">
        <f ca="1">VLOOKUP($F21,OFFSET([3]enemy_skill_triggers!$A$1,0,0,COUNTA([3]enemy_skill_triggers!$A:$A),MATCH(L$1,[3]enemy_skill_triggers!$1:$1,0)-MATCH($F$1,[3]enemy_skill_triggers!$1:$1,0)+1),MATCH(L$1,[3]enemy_skill_triggers!$1:$1,0)-MATCH($F$1,[3]enemy_skill_triggers!$1:$1,0)+1,FALSE)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21" s="46" t="e">
        <f ca="1">VLOOKUP($F21,OFFSET([3]enemy_skill_triggers!$A$1,0,0,COUNTA([3]enemy_skill_triggers!$A:$A),MATCH(M$1,[3]enemy_skill_triggers!$1:$1,0)-MATCH($F$1,[3]enemy_skill_triggers!$1:$1,0)+1),MATCH(M$1,[3]enemy_skill_triggers!$1:$1,0)-MATCH($F$1,[3]enemy_skill_triggers!$1:$1,0)+1,FALSE)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21" s="46" t="e">
        <f ca="1">VLOOKUP($F21,OFFSET([3]enemy_skill_triggers!$A$1,0,0,COUNTA([3]enemy_skill_triggers!$A:$A),MATCH(N$1,[3]enemy_skill_triggers!$1:$1,0)-MATCH($F$1,[3]enemy_skill_triggers!$1:$1,0)+1),MATCH(N$1,[3]enemy_skill_triggers!$1:$1,0)-MATCH($F$1,[3]enemy_skill_triggers!$1:$1,0)+1,FALSE)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21" s="46" t="e">
        <f ca="1">VLOOKUP($F21,OFFSET([3]enemy_skill_triggers!$A$1,0,0,COUNTA([3]enemy_skill_triggers!$A:$A),MATCH(O$1,[3]enemy_skill_triggers!$1:$1,0)-MATCH($F$1,[3]enemy_skill_triggers!$1:$1,0)+1),MATCH(O$1,[3]enemy_skill_triggers!$1:$1,0)-MATCH($F$1,[3]enemy_skill_triggers!$1:$1,0)+1,FALSE)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21" s="45"/>
      <c r="Q21" s="45"/>
      <c r="R21" s="45"/>
    </row>
    <row r="22" spans="1:18" ht="21" customHeight="1" x14ac:dyDescent="0.15">
      <c r="A22" s="37" t="str">
        <f t="shared" si="0"/>
        <v>13301780_13301782</v>
      </c>
      <c r="B22" s="45">
        <v>13301780</v>
      </c>
      <c r="C22" s="45">
        <v>13301782</v>
      </c>
      <c r="D22" s="44" t="e">
        <f ca="1">VLOOKUP($C22,OFFSET([3]enemy_skills!$A$1,0,0,COUNTA([3]enemy_skills!$A:$A),MATCH(D$1,[3]enemy_skills!$1:$1,0)-MATCH("enemy_skill_id",[3]enemy_skills!$1:$1,0)+1),MATCH(D$1,[3]enemy_skills!$1:$1,0)-MATCH("enemy_skill_id",[3]enemy_skills!$1:$1,0)+1,FALSE)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22" s="44" t="e">
        <f ca="1">VLOOKUP($C22,OFFSET([3]enemy_skills!$A$1,0,0,COUNTA([3]enemy_skills!$A:$A),MATCH(E$1,[3]enemy_skills!$1:$1,0)-MATCH("enemy_skill_id",[3]enemy_skills!$1:$1,0)+1),MATCH(E$1,[3]enemy_skills!$1:$1,0)-MATCH("enemy_skill_id",[3]enemy_skills!$1:$1,0)+1,FALSE)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22" s="45">
        <v>13301782</v>
      </c>
      <c r="G22" s="46" t="e">
        <f ca="1">VLOOKUP($F22,OFFSET([3]enemy_skill_triggers!$A$1,0,0,COUNTA([3]enemy_skill_triggers!$A:$A),MATCH(G$1,[3]enemy_skill_triggers!$1:$1,0)-MATCH($F$1,[3]enemy_skill_triggers!$1:$1,0)+1),MATCH(G$1,[3]enemy_skill_triggers!$1:$1,0)-MATCH($F$1,[3]enemy_skill_triggers!$1:$1,0)+1,FALSE)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22" s="46" t="e">
        <f ca="1">VLOOKUP($F22,OFFSET([3]enemy_skill_triggers!$A$1,0,0,COUNTA([3]enemy_skill_triggers!$A:$A),MATCH(H$1,[3]enemy_skill_triggers!$1:$1,0)-MATCH($F$1,[3]enemy_skill_triggers!$1:$1,0)+1),MATCH(H$1,[3]enemy_skill_triggers!$1:$1,0)-MATCH($F$1,[3]enemy_skill_triggers!$1:$1,0)+1,FALSE)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22" s="46" t="e">
        <f ca="1">VLOOKUP($F22,OFFSET([3]enemy_skill_triggers!$A$1,0,0,COUNTA([3]enemy_skill_triggers!$A:$A),MATCH(I$1,[3]enemy_skill_triggers!$1:$1,0)-MATCH($F$1,[3]enemy_skill_triggers!$1:$1,0)+1),MATCH(I$1,[3]enemy_skill_triggers!$1:$1,0)-MATCH($F$1,[3]enemy_skill_triggers!$1:$1,0)+1,FALSE)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22" s="46" t="e">
        <f ca="1">VLOOKUP($F22,OFFSET([3]enemy_skill_triggers!$A$1,0,0,COUNTA([3]enemy_skill_triggers!$A:$A),MATCH(J$1,[3]enemy_skill_triggers!$1:$1,0)-MATCH($F$1,[3]enemy_skill_triggers!$1:$1,0)+1),MATCH(J$1,[3]enemy_skill_triggers!$1:$1,0)-MATCH($F$1,[3]enemy_skill_triggers!$1:$1,0)+1,FALSE)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22" s="46" t="e">
        <f ca="1">VLOOKUP($F22,OFFSET([3]enemy_skill_triggers!$A$1,0,0,COUNTA([3]enemy_skill_triggers!$A:$A),MATCH(K$1,[3]enemy_skill_triggers!$1:$1,0)-MATCH($F$1,[3]enemy_skill_triggers!$1:$1,0)+1),MATCH(K$1,[3]enemy_skill_triggers!$1:$1,0)-MATCH($F$1,[3]enemy_skill_triggers!$1:$1,0)+1,FALSE)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22" s="46" t="e">
        <f ca="1">VLOOKUP($F22,OFFSET([3]enemy_skill_triggers!$A$1,0,0,COUNTA([3]enemy_skill_triggers!$A:$A),MATCH(L$1,[3]enemy_skill_triggers!$1:$1,0)-MATCH($F$1,[3]enemy_skill_triggers!$1:$1,0)+1),MATCH(L$1,[3]enemy_skill_triggers!$1:$1,0)-MATCH($F$1,[3]enemy_skill_triggers!$1:$1,0)+1,FALSE)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22" s="46" t="e">
        <f ca="1">VLOOKUP($F22,OFFSET([3]enemy_skill_triggers!$A$1,0,0,COUNTA([3]enemy_skill_triggers!$A:$A),MATCH(M$1,[3]enemy_skill_triggers!$1:$1,0)-MATCH($F$1,[3]enemy_skill_triggers!$1:$1,0)+1),MATCH(M$1,[3]enemy_skill_triggers!$1:$1,0)-MATCH($F$1,[3]enemy_skill_triggers!$1:$1,0)+1,FALSE)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22" s="46" t="e">
        <f ca="1">VLOOKUP($F22,OFFSET([3]enemy_skill_triggers!$A$1,0,0,COUNTA([3]enemy_skill_triggers!$A:$A),MATCH(N$1,[3]enemy_skill_triggers!$1:$1,0)-MATCH($F$1,[3]enemy_skill_triggers!$1:$1,0)+1),MATCH(N$1,[3]enemy_skill_triggers!$1:$1,0)-MATCH($F$1,[3]enemy_skill_triggers!$1:$1,0)+1,FALSE)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22" s="46" t="e">
        <f ca="1">VLOOKUP($F22,OFFSET([3]enemy_skill_triggers!$A$1,0,0,COUNTA([3]enemy_skill_triggers!$A:$A),MATCH(O$1,[3]enemy_skill_triggers!$1:$1,0)-MATCH($F$1,[3]enemy_skill_triggers!$1:$1,0)+1),MATCH(O$1,[3]enemy_skill_triggers!$1:$1,0)-MATCH($F$1,[3]enemy_skill_triggers!$1:$1,0)+1,FALSE)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22" s="45"/>
      <c r="Q22" s="45"/>
      <c r="R22" s="45"/>
    </row>
    <row r="23" spans="1:18" ht="21" customHeight="1" x14ac:dyDescent="0.15">
      <c r="A23" s="37" t="str">
        <f t="shared" si="0"/>
        <v>13301780_13301783</v>
      </c>
      <c r="B23" s="45">
        <v>13301780</v>
      </c>
      <c r="C23" s="45">
        <v>13301783</v>
      </c>
      <c r="D23" s="44" t="e">
        <f ca="1">VLOOKUP($C23,OFFSET([3]enemy_skills!$A$1,0,0,COUNTA([3]enemy_skills!$A:$A),MATCH(D$1,[3]enemy_skills!$1:$1,0)-MATCH("enemy_skill_id",[3]enemy_skills!$1:$1,0)+1),MATCH(D$1,[3]enemy_skills!$1:$1,0)-MATCH("enemy_skill_id",[3]enemy_skills!$1:$1,0)+1,FALSE)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23" s="44" t="e">
        <f ca="1">VLOOKUP($C23,OFFSET([3]enemy_skills!$A$1,0,0,COUNTA([3]enemy_skills!$A:$A),MATCH(E$1,[3]enemy_skills!$1:$1,0)-MATCH("enemy_skill_id",[3]enemy_skills!$1:$1,0)+1),MATCH(E$1,[3]enemy_skills!$1:$1,0)-MATCH("enemy_skill_id",[3]enemy_skills!$1:$1,0)+1,FALSE)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23" s="45">
        <v>13301783</v>
      </c>
      <c r="G23" s="46" t="e">
        <f ca="1">VLOOKUP($F23,OFFSET([3]enemy_skill_triggers!$A$1,0,0,COUNTA([3]enemy_skill_triggers!$A:$A),MATCH(G$1,[3]enemy_skill_triggers!$1:$1,0)-MATCH($F$1,[3]enemy_skill_triggers!$1:$1,0)+1),MATCH(G$1,[3]enemy_skill_triggers!$1:$1,0)-MATCH($F$1,[3]enemy_skill_triggers!$1:$1,0)+1,FALSE)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23" s="46" t="e">
        <f ca="1">VLOOKUP($F23,OFFSET([3]enemy_skill_triggers!$A$1,0,0,COUNTA([3]enemy_skill_triggers!$A:$A),MATCH(H$1,[3]enemy_skill_triggers!$1:$1,0)-MATCH($F$1,[3]enemy_skill_triggers!$1:$1,0)+1),MATCH(H$1,[3]enemy_skill_triggers!$1:$1,0)-MATCH($F$1,[3]enemy_skill_triggers!$1:$1,0)+1,FALSE)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23" s="46" t="e">
        <f ca="1">VLOOKUP($F23,OFFSET([3]enemy_skill_triggers!$A$1,0,0,COUNTA([3]enemy_skill_triggers!$A:$A),MATCH(I$1,[3]enemy_skill_triggers!$1:$1,0)-MATCH($F$1,[3]enemy_skill_triggers!$1:$1,0)+1),MATCH(I$1,[3]enemy_skill_triggers!$1:$1,0)-MATCH($F$1,[3]enemy_skill_triggers!$1:$1,0)+1,FALSE)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23" s="46" t="e">
        <f ca="1">VLOOKUP($F23,OFFSET([3]enemy_skill_triggers!$A$1,0,0,COUNTA([3]enemy_skill_triggers!$A:$A),MATCH(J$1,[3]enemy_skill_triggers!$1:$1,0)-MATCH($F$1,[3]enemy_skill_triggers!$1:$1,0)+1),MATCH(J$1,[3]enemy_skill_triggers!$1:$1,0)-MATCH($F$1,[3]enemy_skill_triggers!$1:$1,0)+1,FALSE)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23" s="46" t="e">
        <f ca="1">VLOOKUP($F23,OFFSET([3]enemy_skill_triggers!$A$1,0,0,COUNTA([3]enemy_skill_triggers!$A:$A),MATCH(K$1,[3]enemy_skill_triggers!$1:$1,0)-MATCH($F$1,[3]enemy_skill_triggers!$1:$1,0)+1),MATCH(K$1,[3]enemy_skill_triggers!$1:$1,0)-MATCH($F$1,[3]enemy_skill_triggers!$1:$1,0)+1,FALSE)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23" s="46" t="e">
        <f ca="1">VLOOKUP($F23,OFFSET([3]enemy_skill_triggers!$A$1,0,0,COUNTA([3]enemy_skill_triggers!$A:$A),MATCH(L$1,[3]enemy_skill_triggers!$1:$1,0)-MATCH($F$1,[3]enemy_skill_triggers!$1:$1,0)+1),MATCH(L$1,[3]enemy_skill_triggers!$1:$1,0)-MATCH($F$1,[3]enemy_skill_triggers!$1:$1,0)+1,FALSE)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23" s="46" t="e">
        <f ca="1">VLOOKUP($F23,OFFSET([3]enemy_skill_triggers!$A$1,0,0,COUNTA([3]enemy_skill_triggers!$A:$A),MATCH(M$1,[3]enemy_skill_triggers!$1:$1,0)-MATCH($F$1,[3]enemy_skill_triggers!$1:$1,0)+1),MATCH(M$1,[3]enemy_skill_triggers!$1:$1,0)-MATCH($F$1,[3]enemy_skill_triggers!$1:$1,0)+1,FALSE)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23" s="46" t="e">
        <f ca="1">VLOOKUP($F23,OFFSET([3]enemy_skill_triggers!$A$1,0,0,COUNTA([3]enemy_skill_triggers!$A:$A),MATCH(N$1,[3]enemy_skill_triggers!$1:$1,0)-MATCH($F$1,[3]enemy_skill_triggers!$1:$1,0)+1),MATCH(N$1,[3]enemy_skill_triggers!$1:$1,0)-MATCH($F$1,[3]enemy_skill_triggers!$1:$1,0)+1,FALSE)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23" s="46" t="e">
        <f ca="1">VLOOKUP($F23,OFFSET([3]enemy_skill_triggers!$A$1,0,0,COUNTA([3]enemy_skill_triggers!$A:$A),MATCH(O$1,[3]enemy_skill_triggers!$1:$1,0)-MATCH($F$1,[3]enemy_skill_triggers!$1:$1,0)+1),MATCH(O$1,[3]enemy_skill_triggers!$1:$1,0)-MATCH($F$1,[3]enemy_skill_triggers!$1:$1,0)+1,FALSE)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23" s="45"/>
      <c r="Q23" s="45"/>
      <c r="R23" s="45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22"/>
  <sheetViews>
    <sheetView showGridLines="0" tabSelected="1" zoomScale="120" zoomScaleNormal="120" zoomScalePageLayoutView="120" workbookViewId="0">
      <pane ySplit="1" topLeftCell="A2" activePane="bottomLeft" state="frozenSplit"/>
      <selection pane="bottomLeft" activeCell="B8" sqref="B8"/>
    </sheetView>
  </sheetViews>
  <sheetFormatPr baseColWidth="12" defaultColWidth="12.83203125" defaultRowHeight="21" customHeight="1" outlineLevelCol="1" x14ac:dyDescent="0.15"/>
  <cols>
    <col min="1" max="1" width="12.83203125" style="47"/>
    <col min="2" max="2" width="62.1640625" style="47" customWidth="1"/>
    <col min="3" max="4" width="12.83203125" style="47"/>
    <col min="5" max="5" width="23.6640625" style="47" bestFit="1" customWidth="1"/>
    <col min="6" max="6" width="44.1640625" style="47" bestFit="1" customWidth="1"/>
    <col min="7" max="7" width="52" style="47" customWidth="1" outlineLevel="1"/>
    <col min="8" max="8" width="18.33203125" style="47" customWidth="1" outlineLevel="1"/>
    <col min="9" max="11" width="18.6640625" style="47" customWidth="1" outlineLevel="1"/>
    <col min="12" max="12" width="23.6640625" style="47" customWidth="1"/>
    <col min="13" max="18" width="23.6640625" style="47" customWidth="1" outlineLevel="1"/>
    <col min="19" max="19" width="23.6640625" style="47" customWidth="1"/>
    <col min="20" max="24" width="23.6640625" style="47" customWidth="1" outlineLevel="1"/>
    <col min="25" max="25" width="23.6640625" style="47" customWidth="1"/>
    <col min="26" max="27" width="12.83203125" style="47"/>
    <col min="28" max="28" width="44.5" style="47" customWidth="1"/>
    <col min="29" max="16384" width="12.83203125" style="47"/>
  </cols>
  <sheetData>
    <row r="1" spans="1:28" ht="21" customHeight="1" x14ac:dyDescent="0.15">
      <c r="A1" s="38" t="s">
        <v>79</v>
      </c>
      <c r="B1" s="38" t="s">
        <v>80</v>
      </c>
      <c r="C1" s="38" t="s">
        <v>81</v>
      </c>
      <c r="D1" s="38" t="s">
        <v>125</v>
      </c>
      <c r="E1" s="38" t="s">
        <v>82</v>
      </c>
      <c r="F1" s="38" t="s">
        <v>83</v>
      </c>
      <c r="G1" s="39" t="s">
        <v>130</v>
      </c>
      <c r="H1" s="39" t="s">
        <v>136</v>
      </c>
      <c r="I1" s="39" t="s">
        <v>138</v>
      </c>
      <c r="J1" s="39" t="s">
        <v>137</v>
      </c>
      <c r="K1" s="39" t="s">
        <v>139</v>
      </c>
      <c r="L1" s="39" t="s">
        <v>131</v>
      </c>
      <c r="M1" s="39" t="s">
        <v>129</v>
      </c>
      <c r="N1" s="39" t="s">
        <v>132</v>
      </c>
      <c r="O1" s="39" t="s">
        <v>140</v>
      </c>
      <c r="P1" s="39" t="s">
        <v>141</v>
      </c>
      <c r="Q1" s="39" t="s">
        <v>142</v>
      </c>
      <c r="R1" s="39" t="s">
        <v>143</v>
      </c>
      <c r="S1" s="39" t="s">
        <v>133</v>
      </c>
      <c r="T1" s="39" t="s">
        <v>134</v>
      </c>
      <c r="U1" s="39" t="s">
        <v>144</v>
      </c>
      <c r="V1" s="39" t="s">
        <v>145</v>
      </c>
      <c r="W1" s="39" t="s">
        <v>146</v>
      </c>
      <c r="X1" s="39" t="s">
        <v>147</v>
      </c>
      <c r="Y1" s="39" t="s">
        <v>135</v>
      </c>
      <c r="Z1" s="39" t="s">
        <v>76</v>
      </c>
      <c r="AA1" s="39" t="s">
        <v>77</v>
      </c>
      <c r="AB1" s="39" t="s">
        <v>78</v>
      </c>
    </row>
    <row r="2" spans="1:28" ht="21" customHeight="1" x14ac:dyDescent="0.15">
      <c r="A2" s="45">
        <v>13301701</v>
      </c>
      <c r="B2" s="45" t="s">
        <v>332</v>
      </c>
      <c r="C2" s="48">
        <v>1</v>
      </c>
      <c r="D2" s="48" t="s">
        <v>269</v>
      </c>
      <c r="E2" s="49" t="s">
        <v>248</v>
      </c>
      <c r="F2" s="49" t="s">
        <v>298</v>
      </c>
      <c r="G2" s="61" t="str">
        <f>IFERROR(LEFT(B2,FIND("],",B2)),B2)</f>
        <v>[effect:enemy_message, val1:1, val2:2.8]</v>
      </c>
      <c r="H2" s="61">
        <f>FIND("effect:",G2)+7</f>
        <v>9</v>
      </c>
      <c r="I2" s="61">
        <f>IFERROR(FIND(",",G2),LEN(G2))</f>
        <v>22</v>
      </c>
      <c r="J2" s="61" t="e">
        <f>FIND("target:",G2)+7</f>
        <v>#VALUE!</v>
      </c>
      <c r="K2" s="61">
        <f>FIND(",",G2,I2+1)</f>
        <v>30</v>
      </c>
      <c r="L2" s="61" t="str">
        <f>IFERROR(VLOOKUP(MID(G2,J2,K2-J2),[6]skilldef!$C:$D,2,FALSE),"-") &amp; " / " &amp; IFERROR(VLOOKUP(MID(G2,H2,I2-H2),[6]skilldef!$A:$B,2,FALSE),"-")</f>
        <v>- / -</v>
      </c>
      <c r="M2" s="61" t="str">
        <f>IFERROR(RIGHT(B2,LEN(B2)-FIND("],",B2)-1),"none")</f>
        <v>[effect:damage_anti_cost, target:unit_all, lower:31, val1:99, val2:0.01, cost_type:unit],[effect:damage_anti_cost, target:unit_all, lower:31, val1:99, val2:0.01, cost_type:unit],[effect:suicide, val:1, dead_type:suicide, target:myself]</v>
      </c>
      <c r="N2" s="46" t="str">
        <f>IFERROR(LEFT(M2,FIND("],",M2)+S14),M2)</f>
        <v>[effect:damage_anti_cost, target:unit_all, lower:31, val1:99, val2:0.01, cost_type:unit],[effect:damage_anti_cost, target:unit_all, lower:31, val1:99, val2:0.01, cost_type:unit],[effect:suicide, val:1, dead_type:suicide, target:myself]</v>
      </c>
      <c r="O2" s="61">
        <f>FIND("effect:",N2)+7</f>
        <v>9</v>
      </c>
      <c r="P2" s="61">
        <f>IFERROR(FIND(",",N2),LEN(N2))</f>
        <v>25</v>
      </c>
      <c r="Q2" s="61">
        <f>FIND("target:",N2)+7</f>
        <v>34</v>
      </c>
      <c r="R2" s="61">
        <f>FIND(",",N2,P2+1)</f>
        <v>42</v>
      </c>
      <c r="S2" s="61" t="str">
        <f>IFERROR(VLOOKUP(MID(N2,Q2,R2-Q2),[6]skilldef!$C:$D,2,FALSE),"-") &amp; " / " &amp; IFERROR(VLOOKUP(MID(N2,O2,P2-O2),[6]skilldef!$A:$B,2,FALSE),"-")</f>
        <v>味方全体に / -</v>
      </c>
      <c r="T2" s="46" t="str">
        <f>IFERROR(RIGHT(M2,LEN(M2)-FIND("],",M2)-1),"none")</f>
        <v>[effect:damage_anti_cost, target:unit_all, lower:31, val1:99, val2:0.01, cost_type:unit],[effect:suicide, val:1, dead_type:suicide, target:myself]</v>
      </c>
      <c r="U2" s="61">
        <f>FIND("effect:",T2)+7</f>
        <v>9</v>
      </c>
      <c r="V2" s="61">
        <f>IFERROR(FIND(",",T2),LEN(T2))</f>
        <v>25</v>
      </c>
      <c r="W2" s="61">
        <f>FIND("target:",T2)+7</f>
        <v>34</v>
      </c>
      <c r="X2" s="61">
        <f>FIND(",",T2,V2+1)</f>
        <v>42</v>
      </c>
      <c r="Y2" s="61" t="str">
        <f>IFERROR(VLOOKUP(MID(T2,W2,X2-W2),[6]skilldef!$C:$D,2,FALSE),"-") &amp; " / " &amp; IFERROR(VLOOKUP(MID(T2,U2,V2-U2),[6]skilldef!$A:$B,2,FALSE),"-")</f>
        <v>味方全体に / -</v>
      </c>
      <c r="Z2" s="48"/>
      <c r="AA2" s="50"/>
      <c r="AB2" s="48"/>
    </row>
    <row r="3" spans="1:28" ht="31" customHeight="1" x14ac:dyDescent="0.15">
      <c r="A3" s="45">
        <v>13301711</v>
      </c>
      <c r="B3" s="45" t="s">
        <v>324</v>
      </c>
      <c r="C3" s="48">
        <v>1</v>
      </c>
      <c r="D3" s="48" t="s">
        <v>269</v>
      </c>
      <c r="E3" s="49" t="s">
        <v>299</v>
      </c>
      <c r="F3" s="49" t="s">
        <v>323</v>
      </c>
      <c r="G3" s="61" t="str">
        <f t="shared" ref="G3:G22" si="0">IFERROR(LEFT(B3,FIND("],",B3)),B3)</f>
        <v>[effect:enemy_message, val1:1, val2:2.6]</v>
      </c>
      <c r="H3" s="61">
        <f t="shared" ref="H3:H22" si="1">FIND("effect:",G3)+7</f>
        <v>9</v>
      </c>
      <c r="I3" s="61">
        <f t="shared" ref="I3:I22" si="2">IFERROR(FIND(",",G3),LEN(G3))</f>
        <v>22</v>
      </c>
      <c r="J3" s="61" t="e">
        <f t="shared" ref="J3:J22" si="3">FIND("target:",G3)+7</f>
        <v>#VALUE!</v>
      </c>
      <c r="K3" s="61">
        <f t="shared" ref="K3:K22" si="4">FIND(",",G3,I3+1)</f>
        <v>30</v>
      </c>
      <c r="L3" s="61" t="str">
        <f>IFERROR(VLOOKUP(MID(G3,J3,K3-J3),[6]skilldef!$C:$D,2,FALSE),"-") &amp; " / " &amp; IFERROR(VLOOKUP(MID(G3,H3,I3-H3),[6]skilldef!$A:$B,2,FALSE),"-")</f>
        <v>- / -</v>
      </c>
      <c r="M3" s="61" t="str">
        <f t="shared" ref="M3:M22" si="5">IFERROR(RIGHT(B3,LEN(B3)-FIND("],",B3)-1),"none")</f>
        <v>[effect:virus, target:unit_heal, turn:11, rate:1, val:0.62, animation:enemy_virus],[effect:fix_speed, target:myself, turn:1]</v>
      </c>
      <c r="N3" s="46" t="str">
        <f>IFERROR(LEFT(M3,FIND("],",M3)+S15),M3)</f>
        <v>[effect:virus, target:unit_heal, turn:11, rate:1, val:0.62, animation:enemy_virus],[effect:fix_speed, target:myself, turn:1]</v>
      </c>
      <c r="O3" s="61">
        <f t="shared" ref="O3:O22" si="6">FIND("effect:",N3)+7</f>
        <v>9</v>
      </c>
      <c r="P3" s="61">
        <f t="shared" ref="P3:P22" si="7">IFERROR(FIND(",",N3),LEN(N3))</f>
        <v>14</v>
      </c>
      <c r="Q3" s="61">
        <f t="shared" ref="Q3:Q22" si="8">FIND("target:",N3)+7</f>
        <v>23</v>
      </c>
      <c r="R3" s="61">
        <f t="shared" ref="R3:R22" si="9">FIND(",",N3,P3+1)</f>
        <v>32</v>
      </c>
      <c r="S3" s="61" t="str">
        <f>IFERROR(VLOOKUP(MID(N3,Q3,R3-Q3),[6]skilldef!$C:$D,2,FALSE),"-") &amp; " / " &amp; IFERROR(VLOOKUP(MID(N3,O3,P3-O3),[6]skilldef!$A:$B,2,FALSE),"-")</f>
        <v>回復タイプの味方に / ウィルス</v>
      </c>
      <c r="T3" s="46" t="str">
        <f t="shared" ref="T3:T22" si="10">IFERROR(RIGHT(M3,LEN(M3)-FIND("],",M3)-1),"none")</f>
        <v>[effect:fix_speed, target:myself, turn:1]</v>
      </c>
      <c r="U3" s="61">
        <f t="shared" ref="U3:U22" si="11">FIND("effect:",T3)+7</f>
        <v>9</v>
      </c>
      <c r="V3" s="61">
        <f t="shared" ref="V3:V22" si="12">IFERROR(FIND(",",T3),LEN(T3))</f>
        <v>18</v>
      </c>
      <c r="W3" s="61">
        <f t="shared" ref="W3:W22" si="13">FIND("target:",T3)+7</f>
        <v>27</v>
      </c>
      <c r="X3" s="61">
        <f t="shared" ref="X3:X22" si="14">FIND(",",T3,V3+1)</f>
        <v>33</v>
      </c>
      <c r="Y3" s="61" t="str">
        <f>IFERROR(VLOOKUP(MID(T3,W3,X3-W3),[6]skilldef!$C:$D,2,FALSE),"-") &amp; " / " &amp; IFERROR(VLOOKUP(MID(T3,U3,V3-U3),[6]skilldef!$A:$B,2,FALSE),"-")</f>
        <v>自分自身に / 行動値設定</v>
      </c>
      <c r="Z3" s="48"/>
      <c r="AA3" s="50"/>
      <c r="AB3" s="48"/>
    </row>
    <row r="4" spans="1:28" ht="21" customHeight="1" x14ac:dyDescent="0.15">
      <c r="A4" s="45">
        <v>13301712</v>
      </c>
      <c r="B4" s="45" t="s">
        <v>303</v>
      </c>
      <c r="C4" s="48">
        <v>1</v>
      </c>
      <c r="D4" s="48" t="s">
        <v>269</v>
      </c>
      <c r="E4" s="49" t="s">
        <v>270</v>
      </c>
      <c r="F4" s="49" t="s">
        <v>312</v>
      </c>
      <c r="G4" s="61" t="str">
        <f t="shared" si="0"/>
        <v xml:space="preserve">[effect:enhance_enemy, target:myself, turn:-1, status:attack, val:1, calc:mul, animation:enemy_enhance_attack]    </v>
      </c>
      <c r="H4" s="61">
        <f t="shared" si="1"/>
        <v>9</v>
      </c>
      <c r="I4" s="61">
        <f t="shared" si="2"/>
        <v>22</v>
      </c>
      <c r="J4" s="61">
        <f t="shared" si="3"/>
        <v>31</v>
      </c>
      <c r="K4" s="61">
        <f t="shared" si="4"/>
        <v>37</v>
      </c>
      <c r="L4" s="61" t="str">
        <f>IFERROR(VLOOKUP(MID(G4,J4,K4-J4),[6]skilldef!$C:$D,2,FALSE),"-") &amp; " / " &amp; IFERROR(VLOOKUP(MID(G4,H4,I4-H4),[6]skilldef!$A:$B,2,FALSE),"-")</f>
        <v>自分自身に / ステータス強化</v>
      </c>
      <c r="M4" s="61" t="str">
        <f t="shared" si="5"/>
        <v>none</v>
      </c>
      <c r="N4" s="46" t="str">
        <f>IFERROR(LEFT(M4,FIND("],",M4)+S20),M4)</f>
        <v>none</v>
      </c>
      <c r="O4" s="61" t="e">
        <f t="shared" si="6"/>
        <v>#VALUE!</v>
      </c>
      <c r="P4" s="61">
        <f t="shared" si="7"/>
        <v>4</v>
      </c>
      <c r="Q4" s="61" t="e">
        <f t="shared" si="8"/>
        <v>#VALUE!</v>
      </c>
      <c r="R4" s="61" t="e">
        <f t="shared" si="9"/>
        <v>#VALUE!</v>
      </c>
      <c r="S4" s="61" t="str">
        <f>IFERROR(VLOOKUP(MID(N4,Q4,R4-Q4),[6]skilldef!$C:$D,2,FALSE),"-") &amp; " / " &amp; IFERROR(VLOOKUP(MID(N4,O4,P4-O4),[6]skilldef!$A:$B,2,FALSE),"-")</f>
        <v>- / -</v>
      </c>
      <c r="T4" s="46" t="str">
        <f t="shared" si="10"/>
        <v>none</v>
      </c>
      <c r="U4" s="61" t="e">
        <f t="shared" si="11"/>
        <v>#VALUE!</v>
      </c>
      <c r="V4" s="61">
        <f t="shared" si="12"/>
        <v>4</v>
      </c>
      <c r="W4" s="61" t="e">
        <f t="shared" si="13"/>
        <v>#VALUE!</v>
      </c>
      <c r="X4" s="61" t="e">
        <f t="shared" si="14"/>
        <v>#VALUE!</v>
      </c>
      <c r="Y4" s="61" t="str">
        <f>IFERROR(VLOOKUP(MID(T4,W4,X4-W4),[6]skilldef!$C:$D,2,FALSE),"-") &amp; " / " &amp; IFERROR(VLOOKUP(MID(T4,U4,V4-U4),[6]skilldef!$A:$B,2,FALSE),"-")</f>
        <v>- / -</v>
      </c>
      <c r="Z4" s="48"/>
      <c r="AA4" s="50"/>
      <c r="AB4" s="48"/>
    </row>
    <row r="5" spans="1:28" ht="31" customHeight="1" x14ac:dyDescent="0.15">
      <c r="A5" s="105">
        <v>13301721</v>
      </c>
      <c r="B5" s="45" t="s">
        <v>304</v>
      </c>
      <c r="C5" s="48">
        <v>1</v>
      </c>
      <c r="D5" s="48" t="s">
        <v>271</v>
      </c>
      <c r="E5" s="49" t="s">
        <v>272</v>
      </c>
      <c r="F5" s="49" t="s">
        <v>318</v>
      </c>
      <c r="G5" s="61" t="str">
        <f t="shared" si="0"/>
        <v>[effect:tolerance, target:myself, turn:-1, tolerance_effect:all, count:-1, animation:enemy_tolerance]</v>
      </c>
      <c r="H5" s="61">
        <f t="shared" si="1"/>
        <v>9</v>
      </c>
      <c r="I5" s="61">
        <f t="shared" si="2"/>
        <v>18</v>
      </c>
      <c r="J5" s="61">
        <f t="shared" si="3"/>
        <v>27</v>
      </c>
      <c r="K5" s="61">
        <f t="shared" si="4"/>
        <v>33</v>
      </c>
      <c r="L5" s="61" t="str">
        <f>IFERROR(VLOOKUP(MID(G5,J5,K5-J5),[6]skilldef!$C:$D,2,FALSE),"-") &amp; " / " &amp; IFERROR(VLOOKUP(MID(G5,H5,I5-H5),[6]skilldef!$A:$B,2,FALSE),"-")</f>
        <v>自分自身に / 状態異常耐性</v>
      </c>
      <c r="M5" s="61" t="str">
        <f t="shared" si="5"/>
        <v>[effect:enhance_enemy, target:myself, turn:5, status:defense, val:5000, calc:add, animation:enemy_enhance_defense],[effect:fix_speed, target:myself, turn:1]</v>
      </c>
      <c r="N5" s="46" t="str">
        <f>IFERROR(LEFT(M5,FIND("],",M5)+S21),M5)</f>
        <v>[effect:enhance_enemy, target:myself, turn:5, status:defense, val:5000, calc:add, animation:enemy_enhance_defense],[effect:fix_speed, target:myself, turn:1]</v>
      </c>
      <c r="O5" s="61">
        <f t="shared" si="6"/>
        <v>9</v>
      </c>
      <c r="P5" s="61">
        <f t="shared" si="7"/>
        <v>22</v>
      </c>
      <c r="Q5" s="61">
        <f t="shared" si="8"/>
        <v>31</v>
      </c>
      <c r="R5" s="61">
        <f t="shared" si="9"/>
        <v>37</v>
      </c>
      <c r="S5" s="61" t="str">
        <f>IFERROR(VLOOKUP(MID(N5,Q5,R5-Q5),[6]skilldef!$C:$D,2,FALSE),"-") &amp; " / " &amp; IFERROR(VLOOKUP(MID(N5,O5,P5-O5),[6]skilldef!$A:$B,2,FALSE),"-")</f>
        <v>自分自身に / ステータス強化</v>
      </c>
      <c r="T5" s="46" t="str">
        <f t="shared" si="10"/>
        <v>[effect:fix_speed, target:myself, turn:1]</v>
      </c>
      <c r="U5" s="61">
        <f t="shared" si="11"/>
        <v>9</v>
      </c>
      <c r="V5" s="61">
        <f t="shared" si="12"/>
        <v>18</v>
      </c>
      <c r="W5" s="61">
        <f t="shared" si="13"/>
        <v>27</v>
      </c>
      <c r="X5" s="61">
        <f t="shared" si="14"/>
        <v>33</v>
      </c>
      <c r="Y5" s="61" t="str">
        <f>IFERROR(VLOOKUP(MID(T5,W5,X5-W5),[6]skilldef!$C:$D,2,FALSE),"-") &amp; " / " &amp; IFERROR(VLOOKUP(MID(T5,U5,V5-U5),[6]skilldef!$A:$B,2,FALSE),"-")</f>
        <v>自分自身に / 行動値設定</v>
      </c>
      <c r="Z5" s="48"/>
      <c r="AA5" s="50"/>
      <c r="AB5" s="48"/>
    </row>
    <row r="6" spans="1:28" ht="34" customHeight="1" x14ac:dyDescent="0.15">
      <c r="A6" s="105">
        <v>13301722</v>
      </c>
      <c r="B6" s="45" t="s">
        <v>300</v>
      </c>
      <c r="C6" s="48">
        <v>1</v>
      </c>
      <c r="D6" s="48" t="s">
        <v>271</v>
      </c>
      <c r="E6" s="49" t="s">
        <v>273</v>
      </c>
      <c r="F6" s="49" t="s">
        <v>313</v>
      </c>
      <c r="G6" s="61" t="str">
        <f t="shared" si="0"/>
        <v>[effect:enemy_message, val1:1, val2:2.6]</v>
      </c>
      <c r="H6" s="61">
        <f t="shared" si="1"/>
        <v>9</v>
      </c>
      <c r="I6" s="61">
        <f t="shared" si="2"/>
        <v>22</v>
      </c>
      <c r="J6" s="61" t="e">
        <f t="shared" si="3"/>
        <v>#VALUE!</v>
      </c>
      <c r="K6" s="61">
        <f t="shared" si="4"/>
        <v>30</v>
      </c>
      <c r="L6" s="61" t="str">
        <f>IFERROR(VLOOKUP(MID(G6,J6,K6-J6),[6]skilldef!$C:$D,2,FALSE),"-") &amp; " / " &amp; IFERROR(VLOOKUP(MID(G6,H6,I6-H6),[6]skilldef!$A:$B,2,FALSE),"-")</f>
        <v>- / -</v>
      </c>
      <c r="M6" s="61" t="str">
        <f t="shared" si="5"/>
        <v xml:space="preserve">[effect:damage_anti_color, target:unit_all, color:red, val1:0.45, val2:0.18],[effect:fix_speed, target:myself, turn:1],[effect:sp_boost, target:unit_machine, val:1, animation:sp_boost_one03]    </v>
      </c>
      <c r="N6" s="46" t="str">
        <f>IFERROR(LEFT(M6,FIND("],",M6)+#REF!),M6)</f>
        <v xml:space="preserve">[effect:damage_anti_color, target:unit_all, color:red, val1:0.45, val2:0.18],[effect:fix_speed, target:myself, turn:1],[effect:sp_boost, target:unit_machine, val:1, animation:sp_boost_one03]    </v>
      </c>
      <c r="O6" s="61">
        <f t="shared" si="6"/>
        <v>9</v>
      </c>
      <c r="P6" s="61">
        <f t="shared" si="7"/>
        <v>26</v>
      </c>
      <c r="Q6" s="61">
        <f t="shared" si="8"/>
        <v>35</v>
      </c>
      <c r="R6" s="61">
        <f t="shared" si="9"/>
        <v>43</v>
      </c>
      <c r="S6" s="61" t="str">
        <f>IFERROR(VLOOKUP(MID(N6,Q6,R6-Q6),[6]skilldef!$C:$D,2,FALSE),"-") &amp; " / " &amp; IFERROR(VLOOKUP(MID(N6,O6,P6-O6),[6]skilldef!$A:$B,2,FALSE),"-")</f>
        <v>味方全体に / 属性キラー</v>
      </c>
      <c r="T6" s="46" t="str">
        <f t="shared" si="10"/>
        <v xml:space="preserve">[effect:fix_speed, target:myself, turn:1],[effect:sp_boost, target:unit_machine, val:1, animation:sp_boost_one03]    </v>
      </c>
      <c r="U6" s="61">
        <f t="shared" si="11"/>
        <v>9</v>
      </c>
      <c r="V6" s="61">
        <f t="shared" si="12"/>
        <v>18</v>
      </c>
      <c r="W6" s="61">
        <f t="shared" si="13"/>
        <v>27</v>
      </c>
      <c r="X6" s="61">
        <f t="shared" si="14"/>
        <v>33</v>
      </c>
      <c r="Y6" s="61" t="str">
        <f>IFERROR(VLOOKUP(MID(T6,W6,X6-W6),[6]skilldef!$C:$D,2,FALSE),"-") &amp; " / " &amp; IFERROR(VLOOKUP(MID(T6,U6,V6-U6),[6]skilldef!$A:$B,2,FALSE),"-")</f>
        <v>自分自身に / 行動値設定</v>
      </c>
      <c r="Z6" s="48"/>
      <c r="AA6" s="50"/>
      <c r="AB6" s="48"/>
    </row>
    <row r="7" spans="1:28" ht="34" customHeight="1" x14ac:dyDescent="0.15">
      <c r="A7" s="105">
        <v>13301723</v>
      </c>
      <c r="B7" s="45" t="s">
        <v>301</v>
      </c>
      <c r="C7" s="48">
        <v>1</v>
      </c>
      <c r="D7" s="48" t="s">
        <v>274</v>
      </c>
      <c r="E7" s="49" t="s">
        <v>275</v>
      </c>
      <c r="F7" s="49" t="s">
        <v>314</v>
      </c>
      <c r="G7" s="61" t="str">
        <f t="shared" si="0"/>
        <v>[effect:enemy_message, val1:1, val2:2.6]</v>
      </c>
      <c r="H7" s="61">
        <f t="shared" si="1"/>
        <v>9</v>
      </c>
      <c r="I7" s="61">
        <f t="shared" si="2"/>
        <v>22</v>
      </c>
      <c r="J7" s="61" t="e">
        <f t="shared" si="3"/>
        <v>#VALUE!</v>
      </c>
      <c r="K7" s="61">
        <f t="shared" si="4"/>
        <v>30</v>
      </c>
      <c r="L7" s="61" t="str">
        <f>IFERROR(VLOOKUP(MID(G7,J7,K7-J7),[6]skilldef!$C:$D,2,FALSE),"-") &amp; " / " &amp; IFERROR(VLOOKUP(MID(G7,H7,I7-H7),[6]skilldef!$A:$B,2,FALSE),"-")</f>
        <v>- / -</v>
      </c>
      <c r="M7" s="61" t="str">
        <f t="shared" si="5"/>
        <v xml:space="preserve">[effect:damage_anti_color, target:unit_all, color:blue, val1:0.45, val2:0.18],[effect:fix_speed, target:myself, turn:1],[effect:sp_boost, target:unit_machine, val:1, animation:sp_boost_one03]  </v>
      </c>
      <c r="N7" s="46" t="str">
        <f>IFERROR(LEFT(M7,FIND("],",M7)+S22),M7)</f>
        <v xml:space="preserve">[effect:damage_anti_color, target:unit_all, color:blue, val1:0.45, val2:0.18],[effect:fix_speed, target:myself, turn:1],[effect:sp_boost, target:unit_machine, val:1, animation:sp_boost_one03]  </v>
      </c>
      <c r="O7" s="61">
        <f t="shared" si="6"/>
        <v>9</v>
      </c>
      <c r="P7" s="61">
        <f t="shared" si="7"/>
        <v>26</v>
      </c>
      <c r="Q7" s="61">
        <f t="shared" si="8"/>
        <v>35</v>
      </c>
      <c r="R7" s="61">
        <f t="shared" si="9"/>
        <v>43</v>
      </c>
      <c r="S7" s="61" t="str">
        <f>IFERROR(VLOOKUP(MID(N7,Q7,R7-Q7),[6]skilldef!$C:$D,2,FALSE),"-") &amp; " / " &amp; IFERROR(VLOOKUP(MID(N7,O7,P7-O7),[6]skilldef!$A:$B,2,FALSE),"-")</f>
        <v>味方全体に / 属性キラー</v>
      </c>
      <c r="T7" s="46" t="str">
        <f t="shared" si="10"/>
        <v xml:space="preserve">[effect:fix_speed, target:myself, turn:1],[effect:sp_boost, target:unit_machine, val:1, animation:sp_boost_one03]  </v>
      </c>
      <c r="U7" s="61">
        <f t="shared" si="11"/>
        <v>9</v>
      </c>
      <c r="V7" s="61">
        <f t="shared" si="12"/>
        <v>18</v>
      </c>
      <c r="W7" s="61">
        <f t="shared" si="13"/>
        <v>27</v>
      </c>
      <c r="X7" s="61">
        <f t="shared" si="14"/>
        <v>33</v>
      </c>
      <c r="Y7" s="61" t="str">
        <f>IFERROR(VLOOKUP(MID(T7,W7,X7-W7),[6]skilldef!$C:$D,2,FALSE),"-") &amp; " / " &amp; IFERROR(VLOOKUP(MID(T7,U7,V7-U7),[6]skilldef!$A:$B,2,FALSE),"-")</f>
        <v>自分自身に / 行動値設定</v>
      </c>
      <c r="Z7" s="48"/>
      <c r="AA7" s="50"/>
      <c r="AB7" s="48"/>
    </row>
    <row r="8" spans="1:28" ht="38" customHeight="1" x14ac:dyDescent="0.15">
      <c r="A8" s="105">
        <v>13301724</v>
      </c>
      <c r="B8" s="45" t="s">
        <v>338</v>
      </c>
      <c r="C8" s="48">
        <v>1</v>
      </c>
      <c r="D8" s="48" t="s">
        <v>276</v>
      </c>
      <c r="E8" s="49" t="s">
        <v>277</v>
      </c>
      <c r="F8" s="49" t="s">
        <v>315</v>
      </c>
      <c r="G8" s="61" t="str">
        <f t="shared" si="0"/>
        <v>[effect:critical, val:0.8]</v>
      </c>
      <c r="H8" s="61">
        <f t="shared" si="1"/>
        <v>9</v>
      </c>
      <c r="I8" s="61">
        <f t="shared" si="2"/>
        <v>17</v>
      </c>
      <c r="J8" s="61" t="e">
        <f t="shared" si="3"/>
        <v>#VALUE!</v>
      </c>
      <c r="K8" s="61" t="e">
        <f t="shared" si="4"/>
        <v>#VALUE!</v>
      </c>
      <c r="L8" s="61" t="str">
        <f>IFERROR(VLOOKUP(MID(G8,J8,K8-J8),[6]skilldef!$C:$D,2,FALSE),"-") &amp; " / " &amp; IFERROR(VLOOKUP(MID(G8,H8,I8-H8),[6]skilldef!$A:$B,2,FALSE),"-")</f>
        <v>- / 大攻撃</v>
      </c>
      <c r="M8" s="61" t="str">
        <f t="shared" si="5"/>
        <v>[effect:enemy_message, val1:1, val2:2.2],[effect:force_change_block, new_block:time_bomb, target:block_yellow, ignore01:crash, ignore02:crack_bomb, ignore03:time_bomb, color:block_yellow, count:4, val:0.16, min_time_count:2, max_time_count:2, animation:change_block],[effect:fix_speed, target:myself, turn:1]</v>
      </c>
      <c r="N8" s="46" t="str">
        <f>IFERROR(LEFT(M8,FIND("],",M8)+S22),M8)</f>
        <v>[effect:enemy_message, val1:1, val2:2.2],[effect:force_change_block, new_block:time_bomb, target:block_yellow, ignore01:crash, ignore02:crack_bomb, ignore03:time_bomb, color:block_yellow, count:4, val:0.16, min_time_count:2, max_time_count:2, animation:change_block],[effect:fix_speed, target:myself, turn:1]</v>
      </c>
      <c r="O8" s="61">
        <f t="shared" si="6"/>
        <v>9</v>
      </c>
      <c r="P8" s="61">
        <f t="shared" si="7"/>
        <v>22</v>
      </c>
      <c r="Q8" s="61">
        <f t="shared" si="8"/>
        <v>98</v>
      </c>
      <c r="R8" s="61">
        <f t="shared" si="9"/>
        <v>30</v>
      </c>
      <c r="S8" s="61" t="str">
        <f>IFERROR(VLOOKUP(MID(N8,Q8,R8-Q8),[6]skilldef!$C:$D,2,FALSE),"-") &amp; " / " &amp; IFERROR(VLOOKUP(MID(N8,O8,P8-O8),[6]skilldef!$A:$B,2,FALSE),"-")</f>
        <v>- / -</v>
      </c>
      <c r="T8" s="46" t="str">
        <f t="shared" si="10"/>
        <v>[effect:force_change_block, new_block:time_bomb, target:block_yellow, ignore01:crash, ignore02:crack_bomb, ignore03:time_bomb, color:block_yellow, count:4, val:0.16, min_time_count:2, max_time_count:2, animation:change_block],[effect:fix_speed, target:myself, turn:1]</v>
      </c>
      <c r="U8" s="61">
        <f t="shared" si="11"/>
        <v>9</v>
      </c>
      <c r="V8" s="61">
        <f t="shared" si="12"/>
        <v>27</v>
      </c>
      <c r="W8" s="61">
        <f t="shared" si="13"/>
        <v>57</v>
      </c>
      <c r="X8" s="61">
        <f t="shared" si="14"/>
        <v>48</v>
      </c>
      <c r="Y8" s="61" t="str">
        <f>IFERROR(VLOOKUP(MID(T8,W8,X8-W8),[6]skilldef!$C:$D,2,FALSE),"-") &amp; " / " &amp; IFERROR(VLOOKUP(MID(T8,U8,V8-U8),[6]skilldef!$A:$B,2,FALSE),"-")</f>
        <v>- / -</v>
      </c>
      <c r="Z8" s="48"/>
      <c r="AA8" s="50"/>
      <c r="AB8" s="48"/>
    </row>
    <row r="9" spans="1:28" ht="21" customHeight="1" x14ac:dyDescent="0.15">
      <c r="A9" s="105">
        <v>13301725</v>
      </c>
      <c r="B9" s="45" t="s">
        <v>325</v>
      </c>
      <c r="C9" s="48">
        <v>1</v>
      </c>
      <c r="D9" s="48" t="s">
        <v>271</v>
      </c>
      <c r="E9" s="49" t="s">
        <v>278</v>
      </c>
      <c r="F9" s="49" t="s">
        <v>327</v>
      </c>
      <c r="G9" s="61" t="str">
        <f t="shared" si="0"/>
        <v>[effect:enhance_enemy, target:myself, turn:3, status:attack, val:0.65, calc:mul, animation:enemy_enhance_attack]</v>
      </c>
      <c r="H9" s="61">
        <f t="shared" si="1"/>
        <v>9</v>
      </c>
      <c r="I9" s="61">
        <f t="shared" si="2"/>
        <v>22</v>
      </c>
      <c r="J9" s="61">
        <f t="shared" si="3"/>
        <v>31</v>
      </c>
      <c r="K9" s="61">
        <f t="shared" si="4"/>
        <v>37</v>
      </c>
      <c r="L9" s="61" t="str">
        <f>IFERROR(VLOOKUP(MID(G9,J9,K9-J9),[6]skilldef!$C:$D,2,FALSE),"-") &amp; " / " &amp; IFERROR(VLOOKUP(MID(G9,H9,I9-H9),[6]skilldef!$A:$B,2,FALSE),"-")</f>
        <v>自分自身に / ステータス強化</v>
      </c>
      <c r="M9" s="61" t="str">
        <f t="shared" si="5"/>
        <v>[effect:enhance_enemy, target:myself, turn:3, status:defense, val:2000, calc:add, animation:enemy_enhance_defense],[effect:fix_speed, target:myself, turn:1]</v>
      </c>
      <c r="N9" s="46" t="str">
        <f>IFERROR(LEFT(M9,FIND("],",M9)+#REF!),M9)</f>
        <v>[effect:enhance_enemy, target:myself, turn:3, status:defense, val:2000, calc:add, animation:enemy_enhance_defense],[effect:fix_speed, target:myself, turn:1]</v>
      </c>
      <c r="O9" s="61">
        <f t="shared" si="6"/>
        <v>9</v>
      </c>
      <c r="P9" s="61">
        <f t="shared" si="7"/>
        <v>22</v>
      </c>
      <c r="Q9" s="61">
        <f t="shared" si="8"/>
        <v>31</v>
      </c>
      <c r="R9" s="61">
        <f t="shared" si="9"/>
        <v>37</v>
      </c>
      <c r="S9" s="61" t="str">
        <f>IFERROR(VLOOKUP(MID(N9,Q9,R9-Q9),[6]skilldef!$C:$D,2,FALSE),"-") &amp; " / " &amp; IFERROR(VLOOKUP(MID(N9,O9,P9-O9),[6]skilldef!$A:$B,2,FALSE),"-")</f>
        <v>自分自身に / ステータス強化</v>
      </c>
      <c r="T9" s="46" t="str">
        <f t="shared" si="10"/>
        <v>[effect:fix_speed, target:myself, turn:1]</v>
      </c>
      <c r="U9" s="61">
        <f t="shared" si="11"/>
        <v>9</v>
      </c>
      <c r="V9" s="61">
        <f t="shared" si="12"/>
        <v>18</v>
      </c>
      <c r="W9" s="61">
        <f t="shared" si="13"/>
        <v>27</v>
      </c>
      <c r="X9" s="61">
        <f t="shared" si="14"/>
        <v>33</v>
      </c>
      <c r="Y9" s="61" t="str">
        <f>IFERROR(VLOOKUP(MID(T9,W9,X9-W9),[6]skilldef!$C:$D,2,FALSE),"-") &amp; " / " &amp; IFERROR(VLOOKUP(MID(T9,U9,V9-U9),[6]skilldef!$A:$B,2,FALSE),"-")</f>
        <v>自分自身に / 行動値設定</v>
      </c>
      <c r="Z9" s="48"/>
      <c r="AA9" s="50"/>
      <c r="AB9" s="48"/>
    </row>
    <row r="10" spans="1:28" ht="21" customHeight="1" x14ac:dyDescent="0.15">
      <c r="A10" s="45">
        <v>13301741</v>
      </c>
      <c r="B10" s="45" t="s">
        <v>279</v>
      </c>
      <c r="C10" s="48">
        <v>1</v>
      </c>
      <c r="D10" s="48" t="s">
        <v>271</v>
      </c>
      <c r="E10" s="49" t="s">
        <v>280</v>
      </c>
      <c r="F10" s="49" t="s">
        <v>281</v>
      </c>
      <c r="G10" s="61" t="str">
        <f t="shared" si="0"/>
        <v>[effect:break_attack_fix, target:unit_all, val:150, lowest_val:750, count:30, color:red, block01:block_red]</v>
      </c>
      <c r="H10" s="61">
        <f t="shared" si="1"/>
        <v>9</v>
      </c>
      <c r="I10" s="61">
        <f t="shared" si="2"/>
        <v>25</v>
      </c>
      <c r="J10" s="61">
        <f t="shared" si="3"/>
        <v>34</v>
      </c>
      <c r="K10" s="61">
        <f t="shared" si="4"/>
        <v>42</v>
      </c>
      <c r="L10" s="61" t="str">
        <f>IFERROR(VLOOKUP(MID(G10,J10,K10-J10),[6]skilldef!$C:$D,2,FALSE),"-") &amp; " / " &amp; IFERROR(VLOOKUP(MID(G10,H10,I10-H10),[6]skilldef!$A:$B,2,FALSE),"-")</f>
        <v>味方全体に / -</v>
      </c>
      <c r="M10" s="61" t="str">
        <f t="shared" si="5"/>
        <v>[effect:fix_speed, target:myself, turn:2]</v>
      </c>
      <c r="N10" s="46" t="str">
        <f>IFERROR(LEFT(M10,FIND("],",M10)+#REF!),M10)</f>
        <v>[effect:fix_speed, target:myself, turn:2]</v>
      </c>
      <c r="O10" s="61">
        <f t="shared" si="6"/>
        <v>9</v>
      </c>
      <c r="P10" s="61">
        <f t="shared" si="7"/>
        <v>18</v>
      </c>
      <c r="Q10" s="61">
        <f t="shared" si="8"/>
        <v>27</v>
      </c>
      <c r="R10" s="61">
        <f t="shared" si="9"/>
        <v>33</v>
      </c>
      <c r="S10" s="61" t="str">
        <f>IFERROR(VLOOKUP(MID(N10,Q10,R10-Q10),[6]skilldef!$C:$D,2,FALSE),"-") &amp; " / " &amp; IFERROR(VLOOKUP(MID(N10,O10,P10-O10),[6]skilldef!$A:$B,2,FALSE),"-")</f>
        <v>自分自身に / 行動値設定</v>
      </c>
      <c r="T10" s="46" t="str">
        <f t="shared" si="10"/>
        <v>none</v>
      </c>
      <c r="U10" s="61" t="e">
        <f t="shared" si="11"/>
        <v>#VALUE!</v>
      </c>
      <c r="V10" s="61">
        <f t="shared" si="12"/>
        <v>4</v>
      </c>
      <c r="W10" s="61" t="e">
        <f t="shared" si="13"/>
        <v>#VALUE!</v>
      </c>
      <c r="X10" s="61" t="e">
        <f t="shared" si="14"/>
        <v>#VALUE!</v>
      </c>
      <c r="Y10" s="61" t="str">
        <f>IFERROR(VLOOKUP(MID(T10,W10,X10-W10),[6]skilldef!$C:$D,2,FALSE),"-") &amp; " / " &amp; IFERROR(VLOOKUP(MID(T10,U10,V10-U10),[6]skilldef!$A:$B,2,FALSE),"-")</f>
        <v>- / -</v>
      </c>
      <c r="Z10" s="48"/>
      <c r="AA10" s="50"/>
      <c r="AB10" s="48"/>
    </row>
    <row r="11" spans="1:28" ht="21" customHeight="1" x14ac:dyDescent="0.15">
      <c r="A11" s="45">
        <v>13301742</v>
      </c>
      <c r="B11" s="45" t="s">
        <v>306</v>
      </c>
      <c r="C11" s="48">
        <v>1</v>
      </c>
      <c r="D11" s="48" t="s">
        <v>274</v>
      </c>
      <c r="E11" s="49" t="s">
        <v>282</v>
      </c>
      <c r="F11" s="49" t="s">
        <v>307</v>
      </c>
      <c r="G11" s="61" t="str">
        <f t="shared" si="0"/>
        <v>[effect:damage_anti_color, target:unit_all, color:green, val1:0.95, val2:0.05]</v>
      </c>
      <c r="H11" s="61">
        <f t="shared" si="1"/>
        <v>9</v>
      </c>
      <c r="I11" s="61">
        <f t="shared" si="2"/>
        <v>26</v>
      </c>
      <c r="J11" s="61">
        <f t="shared" si="3"/>
        <v>35</v>
      </c>
      <c r="K11" s="61">
        <f t="shared" si="4"/>
        <v>43</v>
      </c>
      <c r="L11" s="61" t="str">
        <f>IFERROR(VLOOKUP(MID(G11,J11,K11-J11),[6]skilldef!$C:$D,2,FALSE),"-") &amp; " / " &amp; IFERROR(VLOOKUP(MID(G11,H11,I11-H11),[6]skilldef!$A:$B,2,FALSE),"-")</f>
        <v>味方全体に / 属性キラー</v>
      </c>
      <c r="M11" s="61" t="str">
        <f t="shared" si="5"/>
        <v>none</v>
      </c>
      <c r="N11" s="46" t="str">
        <f t="shared" ref="N11:N16" si="15">IFERROR(LEFT(M11,FIND("],",M11)+S23),M11)</f>
        <v>none</v>
      </c>
      <c r="O11" s="61" t="e">
        <f t="shared" si="6"/>
        <v>#VALUE!</v>
      </c>
      <c r="P11" s="61">
        <f t="shared" si="7"/>
        <v>4</v>
      </c>
      <c r="Q11" s="61" t="e">
        <f t="shared" si="8"/>
        <v>#VALUE!</v>
      </c>
      <c r="R11" s="61" t="e">
        <f t="shared" si="9"/>
        <v>#VALUE!</v>
      </c>
      <c r="S11" s="61" t="str">
        <f>IFERROR(VLOOKUP(MID(N11,Q11,R11-Q11),[6]skilldef!$C:$D,2,FALSE),"-") &amp; " / " &amp; IFERROR(VLOOKUP(MID(N11,O11,P11-O11),[6]skilldef!$A:$B,2,FALSE),"-")</f>
        <v>- / -</v>
      </c>
      <c r="T11" s="46" t="str">
        <f t="shared" si="10"/>
        <v>none</v>
      </c>
      <c r="U11" s="61" t="e">
        <f t="shared" si="11"/>
        <v>#VALUE!</v>
      </c>
      <c r="V11" s="61">
        <f t="shared" si="12"/>
        <v>4</v>
      </c>
      <c r="W11" s="61" t="e">
        <f t="shared" si="13"/>
        <v>#VALUE!</v>
      </c>
      <c r="X11" s="61" t="e">
        <f t="shared" si="14"/>
        <v>#VALUE!</v>
      </c>
      <c r="Y11" s="61" t="str">
        <f>IFERROR(VLOOKUP(MID(T11,W11,X11-W11),[6]skilldef!$C:$D,2,FALSE),"-") &amp; " / " &amp; IFERROR(VLOOKUP(MID(T11,U11,V11-U11),[6]skilldef!$A:$B,2,FALSE),"-")</f>
        <v>- / -</v>
      </c>
      <c r="Z11" s="48"/>
      <c r="AA11" s="50"/>
      <c r="AB11" s="48"/>
    </row>
    <row r="12" spans="1:28" ht="33" customHeight="1" x14ac:dyDescent="0.15">
      <c r="A12" s="45">
        <v>13301743</v>
      </c>
      <c r="B12" s="45" t="s">
        <v>334</v>
      </c>
      <c r="C12" s="48">
        <v>1</v>
      </c>
      <c r="D12" s="48" t="s">
        <v>271</v>
      </c>
      <c r="E12" s="49" t="s">
        <v>283</v>
      </c>
      <c r="F12" s="49" t="s">
        <v>309</v>
      </c>
      <c r="G12" s="61" t="str">
        <f t="shared" si="0"/>
        <v>[effect:force_change_block, new_block:block_red, target:block_green, ignore01:crash, ignore02:crack_bomb, ignore03:time_bomb, count:0, val:0, animation:change_block]</v>
      </c>
      <c r="H12" s="61">
        <f t="shared" si="1"/>
        <v>9</v>
      </c>
      <c r="I12" s="61">
        <f t="shared" si="2"/>
        <v>27</v>
      </c>
      <c r="J12" s="61">
        <f t="shared" si="3"/>
        <v>57</v>
      </c>
      <c r="K12" s="61">
        <f t="shared" si="4"/>
        <v>48</v>
      </c>
      <c r="L12" s="61" t="str">
        <f>IFERROR(VLOOKUP(MID(G12,J12,K12-J12),[6]skilldef!$C:$D,2,FALSE),"-") &amp; " / " &amp; IFERROR(VLOOKUP(MID(G12,H12,I12-H12),[6]skilldef!$A:$B,2,FALSE),"-")</f>
        <v>- / -</v>
      </c>
      <c r="M12" s="61" t="str">
        <f t="shared" si="5"/>
        <v>[effect:enemy_message, val1:1.3, val2:1.5]</v>
      </c>
      <c r="N12" s="46" t="str">
        <f t="shared" si="15"/>
        <v>[effect:enemy_message, val1:1.3, val2:1.5]</v>
      </c>
      <c r="O12" s="61">
        <f t="shared" si="6"/>
        <v>9</v>
      </c>
      <c r="P12" s="61">
        <f t="shared" si="7"/>
        <v>22</v>
      </c>
      <c r="Q12" s="61" t="e">
        <f t="shared" si="8"/>
        <v>#VALUE!</v>
      </c>
      <c r="R12" s="61">
        <f t="shared" si="9"/>
        <v>32</v>
      </c>
      <c r="S12" s="61" t="str">
        <f>IFERROR(VLOOKUP(MID(N12,Q12,R12-Q12),[6]skilldef!$C:$D,2,FALSE),"-") &amp; " / " &amp; IFERROR(VLOOKUP(MID(N12,O12,P12-O12),[6]skilldef!$A:$B,2,FALSE),"-")</f>
        <v>- / -</v>
      </c>
      <c r="T12" s="46" t="str">
        <f t="shared" si="10"/>
        <v>none</v>
      </c>
      <c r="U12" s="61" t="e">
        <f t="shared" si="11"/>
        <v>#VALUE!</v>
      </c>
      <c r="V12" s="61">
        <f t="shared" si="12"/>
        <v>4</v>
      </c>
      <c r="W12" s="61" t="e">
        <f t="shared" si="13"/>
        <v>#VALUE!</v>
      </c>
      <c r="X12" s="61" t="e">
        <f t="shared" si="14"/>
        <v>#VALUE!</v>
      </c>
      <c r="Y12" s="61" t="str">
        <f>IFERROR(VLOOKUP(MID(T12,W12,X12-W12),[6]skilldef!$C:$D,2,FALSE),"-") &amp; " / " &amp; IFERROR(VLOOKUP(MID(T12,U12,V12-U12),[6]skilldef!$A:$B,2,FALSE),"-")</f>
        <v>- / -</v>
      </c>
      <c r="Z12" s="48"/>
      <c r="AA12" s="50"/>
      <c r="AB12" s="48"/>
    </row>
    <row r="13" spans="1:28" ht="35" customHeight="1" x14ac:dyDescent="0.15">
      <c r="A13" s="105">
        <v>13301761</v>
      </c>
      <c r="B13" s="45" t="s">
        <v>333</v>
      </c>
      <c r="C13" s="48">
        <v>1</v>
      </c>
      <c r="D13" s="48" t="s">
        <v>271</v>
      </c>
      <c r="E13" s="49" t="s">
        <v>284</v>
      </c>
      <c r="F13" s="49" t="s">
        <v>317</v>
      </c>
      <c r="G13" s="61" t="str">
        <f t="shared" si="0"/>
        <v>[effect:tolerance, target:myself, turn:-1, tolerance_effect:all, count:-1, animation:enemy_tolerance]</v>
      </c>
      <c r="H13" s="61">
        <f t="shared" si="1"/>
        <v>9</v>
      </c>
      <c r="I13" s="61">
        <f t="shared" si="2"/>
        <v>18</v>
      </c>
      <c r="J13" s="61">
        <f t="shared" si="3"/>
        <v>27</v>
      </c>
      <c r="K13" s="61">
        <f t="shared" si="4"/>
        <v>33</v>
      </c>
      <c r="L13" s="61" t="str">
        <f>IFERROR(VLOOKUP(MID(G13,J13,K13-J13),[6]skilldef!$C:$D,2,FALSE),"-") &amp; " / " &amp; IFERROR(VLOOKUP(MID(G13,H13,I13-H13),[6]skilldef!$A:$B,2,FALSE),"-")</f>
        <v>自分自身に / 状態異常耐性</v>
      </c>
      <c r="M13" s="61" t="str">
        <f t="shared" si="5"/>
        <v>[effect:enhance_enemy, target:myself, turn:3, status:defense, val:5000, calc:add, animation:enemy_enhance_defense],[effect:fix_speed, target:myself, turn:1]</v>
      </c>
      <c r="N13" s="46" t="str">
        <f t="shared" si="15"/>
        <v>[effect:enhance_enemy, target:myself, turn:3, status:defense, val:5000, calc:add, animation:enemy_enhance_defense]</v>
      </c>
      <c r="O13" s="61">
        <f t="shared" si="6"/>
        <v>9</v>
      </c>
      <c r="P13" s="61">
        <f t="shared" si="7"/>
        <v>22</v>
      </c>
      <c r="Q13" s="61">
        <f t="shared" si="8"/>
        <v>31</v>
      </c>
      <c r="R13" s="61">
        <f t="shared" si="9"/>
        <v>37</v>
      </c>
      <c r="S13" s="61" t="str">
        <f>IFERROR(VLOOKUP(MID(N13,Q13,R13-Q13),[6]skilldef!$C:$D,2,FALSE),"-") &amp; " / " &amp; IFERROR(VLOOKUP(MID(N13,O13,P13-O13),[6]skilldef!$A:$B,2,FALSE),"-")</f>
        <v>自分自身に / ステータス強化</v>
      </c>
      <c r="T13" s="46" t="str">
        <f t="shared" si="10"/>
        <v>[effect:fix_speed, target:myself, turn:1]</v>
      </c>
      <c r="U13" s="61">
        <f t="shared" si="11"/>
        <v>9</v>
      </c>
      <c r="V13" s="61">
        <f t="shared" si="12"/>
        <v>18</v>
      </c>
      <c r="W13" s="61">
        <f t="shared" si="13"/>
        <v>27</v>
      </c>
      <c r="X13" s="61">
        <f t="shared" si="14"/>
        <v>33</v>
      </c>
      <c r="Y13" s="61" t="str">
        <f>IFERROR(VLOOKUP(MID(T13,W13,X13-W13),[6]skilldef!$C:$D,2,FALSE),"-") &amp; " / " &amp; IFERROR(VLOOKUP(MID(T13,U13,V13-U13),[6]skilldef!$A:$B,2,FALSE),"-")</f>
        <v>自分自身に / 行動値設定</v>
      </c>
      <c r="Z13" s="48"/>
      <c r="AA13" s="50"/>
      <c r="AB13" s="48"/>
    </row>
    <row r="14" spans="1:28" ht="38" customHeight="1" x14ac:dyDescent="0.15">
      <c r="A14" s="105">
        <v>13301762</v>
      </c>
      <c r="B14" s="45" t="s">
        <v>335</v>
      </c>
      <c r="C14" s="48">
        <v>1</v>
      </c>
      <c r="D14" s="48" t="s">
        <v>271</v>
      </c>
      <c r="E14" s="49" t="s">
        <v>285</v>
      </c>
      <c r="F14" s="49" t="s">
        <v>313</v>
      </c>
      <c r="G14" s="61" t="str">
        <f t="shared" si="0"/>
        <v>[effect:enemy_message, val1:1, val2:2.6]</v>
      </c>
      <c r="H14" s="61">
        <f t="shared" si="1"/>
        <v>9</v>
      </c>
      <c r="I14" s="61">
        <f t="shared" si="2"/>
        <v>22</v>
      </c>
      <c r="J14" s="61" t="e">
        <f t="shared" si="3"/>
        <v>#VALUE!</v>
      </c>
      <c r="K14" s="61">
        <f t="shared" si="4"/>
        <v>30</v>
      </c>
      <c r="L14" s="61" t="str">
        <f>IFERROR(VLOOKUP(MID(G14,J14,K14-J14),[6]skilldef!$C:$D,2,FALSE),"-") &amp; " / " &amp; IFERROR(VLOOKUP(MID(G14,H14,I14-H14),[6]skilldef!$A:$B,2,FALSE),"-")</f>
        <v>- / -</v>
      </c>
      <c r="M14" s="61" t="str">
        <f t="shared" si="5"/>
        <v>[effect:damage_anti_color, target:unit_all, color:red, val1:0.36, val2:0.16],[effect:sp_boost, target:unit_machine, val:1, animation:sp_boost_one03]</v>
      </c>
      <c r="N14" s="46" t="str">
        <f t="shared" si="15"/>
        <v>[effect:damage_anti_color, target:unit_all, color:red, val1:0.36, val2:0.16]</v>
      </c>
      <c r="O14" s="61">
        <f t="shared" si="6"/>
        <v>9</v>
      </c>
      <c r="P14" s="61">
        <f t="shared" si="7"/>
        <v>26</v>
      </c>
      <c r="Q14" s="61">
        <f t="shared" si="8"/>
        <v>35</v>
      </c>
      <c r="R14" s="61">
        <f t="shared" si="9"/>
        <v>43</v>
      </c>
      <c r="S14" s="61" t="str">
        <f>IFERROR(VLOOKUP(MID(N14,Q14,R14-Q14),[6]skilldef!$C:$D,2,FALSE),"-") &amp; " / " &amp; IFERROR(VLOOKUP(MID(N14,O14,P14-O14),[6]skilldef!$A:$B,2,FALSE),"-")</f>
        <v>味方全体に / 属性キラー</v>
      </c>
      <c r="T14" s="46" t="str">
        <f t="shared" si="10"/>
        <v>[effect:sp_boost, target:unit_machine, val:1, animation:sp_boost_one03]</v>
      </c>
      <c r="U14" s="61">
        <f t="shared" si="11"/>
        <v>9</v>
      </c>
      <c r="V14" s="61">
        <f t="shared" si="12"/>
        <v>17</v>
      </c>
      <c r="W14" s="61">
        <f t="shared" si="13"/>
        <v>26</v>
      </c>
      <c r="X14" s="61">
        <f t="shared" si="14"/>
        <v>38</v>
      </c>
      <c r="Y14" s="61" t="str">
        <f>IFERROR(VLOOKUP(MID(T14,W14,X14-W14),[6]skilldef!$C:$D,2,FALSE),"-") &amp; " / " &amp; IFERROR(VLOOKUP(MID(T14,U14,V14-U14),[6]skilldef!$A:$B,2,FALSE),"-")</f>
        <v>- / -</v>
      </c>
      <c r="Z14" s="48"/>
      <c r="AA14" s="50"/>
      <c r="AB14" s="48"/>
    </row>
    <row r="15" spans="1:28" ht="35" customHeight="1" x14ac:dyDescent="0.15">
      <c r="A15" s="105">
        <v>13301763</v>
      </c>
      <c r="B15" s="45" t="s">
        <v>305</v>
      </c>
      <c r="C15" s="48">
        <v>1</v>
      </c>
      <c r="D15" s="48" t="s">
        <v>271</v>
      </c>
      <c r="E15" s="49" t="s">
        <v>286</v>
      </c>
      <c r="F15" s="49" t="s">
        <v>314</v>
      </c>
      <c r="G15" s="61" t="str">
        <f t="shared" si="0"/>
        <v>[effect:enemy_message, val1:1, val2:2.6]</v>
      </c>
      <c r="H15" s="61">
        <f t="shared" si="1"/>
        <v>9</v>
      </c>
      <c r="I15" s="61">
        <f t="shared" si="2"/>
        <v>22</v>
      </c>
      <c r="J15" s="61" t="e">
        <f t="shared" si="3"/>
        <v>#VALUE!</v>
      </c>
      <c r="K15" s="61">
        <f t="shared" si="4"/>
        <v>30</v>
      </c>
      <c r="L15" s="61" t="str">
        <f>IFERROR(VLOOKUP(MID(G15,J15,K15-J15),[6]skilldef!$C:$D,2,FALSE),"-") &amp; " / " &amp; IFERROR(VLOOKUP(MID(G15,H15,I15-H15),[6]skilldef!$A:$B,2,FALSE),"-")</f>
        <v>- / -</v>
      </c>
      <c r="M15" s="61" t="str">
        <f t="shared" si="5"/>
        <v xml:space="preserve">[effect:damage_anti_color, target:unit_all, color:blue, val1:0.36, val2:0.16],[effect:sp_boost, target:unit_machine, val:1, animation:sp_boost_one03]  </v>
      </c>
      <c r="N15" s="46" t="str">
        <f t="shared" si="15"/>
        <v>[effect:damage_anti_color, target:unit_all, color:blue, val1:0.36, val2:0.16]</v>
      </c>
      <c r="O15" s="61">
        <f t="shared" si="6"/>
        <v>9</v>
      </c>
      <c r="P15" s="61">
        <f t="shared" si="7"/>
        <v>26</v>
      </c>
      <c r="Q15" s="61">
        <f t="shared" si="8"/>
        <v>35</v>
      </c>
      <c r="R15" s="61">
        <f t="shared" si="9"/>
        <v>43</v>
      </c>
      <c r="S15" s="61" t="str">
        <f>IFERROR(VLOOKUP(MID(N15,Q15,R15-Q15),[6]skilldef!$C:$D,2,FALSE),"-") &amp; " / " &amp; IFERROR(VLOOKUP(MID(N15,O15,P15-O15),[6]skilldef!$A:$B,2,FALSE),"-")</f>
        <v>味方全体に / 属性キラー</v>
      </c>
      <c r="T15" s="46" t="str">
        <f t="shared" si="10"/>
        <v xml:space="preserve">[effect:sp_boost, target:unit_machine, val:1, animation:sp_boost_one03]  </v>
      </c>
      <c r="U15" s="61">
        <f t="shared" si="11"/>
        <v>9</v>
      </c>
      <c r="V15" s="61">
        <f t="shared" si="12"/>
        <v>17</v>
      </c>
      <c r="W15" s="61">
        <f t="shared" si="13"/>
        <v>26</v>
      </c>
      <c r="X15" s="61">
        <f t="shared" si="14"/>
        <v>38</v>
      </c>
      <c r="Y15" s="61" t="str">
        <f>IFERROR(VLOOKUP(MID(T15,W15,X15-W15),[6]skilldef!$C:$D,2,FALSE),"-") &amp; " / " &amp; IFERROR(VLOOKUP(MID(T15,U15,V15-U15),[6]skilldef!$A:$B,2,FALSE),"-")</f>
        <v>- / -</v>
      </c>
      <c r="Z15" s="48"/>
      <c r="AA15" s="50"/>
      <c r="AB15" s="48"/>
    </row>
    <row r="16" spans="1:28" ht="50" customHeight="1" x14ac:dyDescent="0.15">
      <c r="A16" s="105">
        <v>13301764</v>
      </c>
      <c r="B16" s="45" t="s">
        <v>311</v>
      </c>
      <c r="C16" s="48">
        <v>1</v>
      </c>
      <c r="D16" s="48" t="s">
        <v>287</v>
      </c>
      <c r="E16" s="49" t="s">
        <v>308</v>
      </c>
      <c r="F16" s="49" t="s">
        <v>316</v>
      </c>
      <c r="G16" s="61" t="str">
        <f t="shared" si="0"/>
        <v>[effect:damage_anti_color, target:unit_all, color:green, val1:0.9, val2:0.03]</v>
      </c>
      <c r="H16" s="61">
        <f t="shared" si="1"/>
        <v>9</v>
      </c>
      <c r="I16" s="61">
        <f t="shared" si="2"/>
        <v>26</v>
      </c>
      <c r="J16" s="61">
        <f t="shared" si="3"/>
        <v>35</v>
      </c>
      <c r="K16" s="61">
        <f t="shared" si="4"/>
        <v>43</v>
      </c>
      <c r="L16" s="61" t="str">
        <f>IFERROR(VLOOKUP(MID(G16,J16,K16-J16),[6]skilldef!$C:$D,2,FALSE),"-") &amp; " / " &amp; IFERROR(VLOOKUP(MID(G16,H16,I16-H16),[6]skilldef!$A:$B,2,FALSE),"-")</f>
        <v>味方全体に / 属性キラー</v>
      </c>
      <c r="M16" s="61" t="str">
        <f t="shared" si="5"/>
        <v>[effect:damage_anti_tribe, target:unit_all, tribe:animal, val1:0.88, val2:0.01]</v>
      </c>
      <c r="N16" s="46" t="str">
        <f t="shared" si="15"/>
        <v>[effect:damage_anti_tribe, target:unit_all, tribe:animal, val1:0.88, val2:0.01]</v>
      </c>
      <c r="O16" s="61">
        <f t="shared" si="6"/>
        <v>9</v>
      </c>
      <c r="P16" s="61">
        <f t="shared" si="7"/>
        <v>26</v>
      </c>
      <c r="Q16" s="61">
        <f t="shared" si="8"/>
        <v>35</v>
      </c>
      <c r="R16" s="61">
        <f t="shared" si="9"/>
        <v>43</v>
      </c>
      <c r="S16" s="61" t="str">
        <f>IFERROR(VLOOKUP(MID(N16,Q16,R16-Q16),[6]skilldef!$C:$D,2,FALSE),"-") &amp; " / " &amp; IFERROR(VLOOKUP(MID(N16,O16,P16-O16),[6]skilldef!$A:$B,2,FALSE),"-")</f>
        <v>味方全体に / 種族キラー</v>
      </c>
      <c r="T16" s="46" t="str">
        <f t="shared" si="10"/>
        <v>none</v>
      </c>
      <c r="U16" s="61" t="e">
        <f t="shared" si="11"/>
        <v>#VALUE!</v>
      </c>
      <c r="V16" s="61">
        <f t="shared" si="12"/>
        <v>4</v>
      </c>
      <c r="W16" s="61" t="e">
        <f t="shared" si="13"/>
        <v>#VALUE!</v>
      </c>
      <c r="X16" s="61" t="e">
        <f t="shared" si="14"/>
        <v>#VALUE!</v>
      </c>
      <c r="Y16" s="61" t="str">
        <f>IFERROR(VLOOKUP(MID(T16,W16,X16-W16),[6]skilldef!$C:$D,2,FALSE),"-") &amp; " / " &amp; IFERROR(VLOOKUP(MID(T16,U16,V16-U16),[6]skilldef!$A:$B,2,FALSE),"-")</f>
        <v>- / -</v>
      </c>
      <c r="Z16" s="48"/>
      <c r="AA16" s="50"/>
      <c r="AB16" s="48"/>
    </row>
    <row r="17" spans="1:28" ht="36" customHeight="1" x14ac:dyDescent="0.15">
      <c r="A17" s="105">
        <v>13301765</v>
      </c>
      <c r="B17" s="45" t="s">
        <v>322</v>
      </c>
      <c r="C17" s="48">
        <v>1</v>
      </c>
      <c r="D17" s="48" t="s">
        <v>302</v>
      </c>
      <c r="E17" s="49" t="s">
        <v>288</v>
      </c>
      <c r="F17" s="49" t="s">
        <v>321</v>
      </c>
      <c r="G17" s="61" t="str">
        <f t="shared" si="0"/>
        <v>[effect:critical, val:1]</v>
      </c>
      <c r="H17" s="61">
        <f t="shared" si="1"/>
        <v>9</v>
      </c>
      <c r="I17" s="61">
        <f t="shared" si="2"/>
        <v>17</v>
      </c>
      <c r="J17" s="61" t="e">
        <f t="shared" si="3"/>
        <v>#VALUE!</v>
      </c>
      <c r="K17" s="61" t="e">
        <f t="shared" si="4"/>
        <v>#VALUE!</v>
      </c>
      <c r="L17" s="61" t="str">
        <f>IFERROR(VLOOKUP(MID(G17,J17,K17-J17),[6]skilldef!$C:$D,2,FALSE),"-") &amp; " / " &amp; IFERROR(VLOOKUP(MID(G17,H17,I17-H17),[6]skilldef!$A:$B,2,FALSE),"-")</f>
        <v>- / 大攻撃</v>
      </c>
      <c r="M17" s="61" t="str">
        <f t="shared" si="5"/>
        <v>[effect:enemy_message, val1:1, val2:2.2],[effect:force_change_block, new_block:time_bomb, target:block_red, ignore01:crash, ignore02:crack_bomb, ignore03:time_bomb, color:block_red, count:5, val:0.1, min_time_count:2, max_time_count:3, animation:change_block]</v>
      </c>
      <c r="N17" s="46" t="str">
        <f>IFERROR(LEFT(M17,FIND("],",M17)+S28),M17)</f>
        <v>[effect:enemy_message, val1:1, val2:2.2]</v>
      </c>
      <c r="O17" s="61">
        <f t="shared" si="6"/>
        <v>9</v>
      </c>
      <c r="P17" s="61">
        <f t="shared" si="7"/>
        <v>22</v>
      </c>
      <c r="Q17" s="61" t="e">
        <f t="shared" si="8"/>
        <v>#VALUE!</v>
      </c>
      <c r="R17" s="61">
        <f t="shared" si="9"/>
        <v>30</v>
      </c>
      <c r="S17" s="61" t="str">
        <f>IFERROR(VLOOKUP(MID(N17,Q17,R17-Q17),[6]skilldef!$C:$D,2,FALSE),"-") &amp; " / " &amp; IFERROR(VLOOKUP(MID(N17,O17,P17-O17),[6]skilldef!$A:$B,2,FALSE),"-")</f>
        <v>- / -</v>
      </c>
      <c r="T17" s="46" t="str">
        <f t="shared" si="10"/>
        <v>[effect:force_change_block, new_block:time_bomb, target:block_red, ignore01:crash, ignore02:crack_bomb, ignore03:time_bomb, color:block_red, count:5, val:0.1, min_time_count:2, max_time_count:3, animation:change_block]</v>
      </c>
      <c r="U17" s="61">
        <f t="shared" si="11"/>
        <v>9</v>
      </c>
      <c r="V17" s="61">
        <f t="shared" si="12"/>
        <v>27</v>
      </c>
      <c r="W17" s="61">
        <f t="shared" si="13"/>
        <v>57</v>
      </c>
      <c r="X17" s="61">
        <f t="shared" si="14"/>
        <v>48</v>
      </c>
      <c r="Y17" s="61" t="str">
        <f>IFERROR(VLOOKUP(MID(T17,W17,X17-W17),[6]skilldef!$C:$D,2,FALSE),"-") &amp; " / " &amp; IFERROR(VLOOKUP(MID(T17,U17,V17-U17),[6]skilldef!$A:$B,2,FALSE),"-")</f>
        <v>- / -</v>
      </c>
      <c r="Z17" s="48"/>
      <c r="AA17" s="50"/>
      <c r="AB17" s="48"/>
    </row>
    <row r="18" spans="1:28" ht="32" customHeight="1" x14ac:dyDescent="0.15">
      <c r="A18" s="105">
        <v>13301766</v>
      </c>
      <c r="B18" s="45" t="s">
        <v>328</v>
      </c>
      <c r="C18" s="48">
        <v>1</v>
      </c>
      <c r="D18" s="48" t="s">
        <v>269</v>
      </c>
      <c r="E18" s="49" t="s">
        <v>289</v>
      </c>
      <c r="F18" s="49" t="s">
        <v>326</v>
      </c>
      <c r="G18" s="61" t="str">
        <f t="shared" si="0"/>
        <v>[effect:enemy_message, val1:1, val2:2.3]</v>
      </c>
      <c r="H18" s="61">
        <f t="shared" si="1"/>
        <v>9</v>
      </c>
      <c r="I18" s="61">
        <f t="shared" si="2"/>
        <v>22</v>
      </c>
      <c r="J18" s="61" t="e">
        <f t="shared" si="3"/>
        <v>#VALUE!</v>
      </c>
      <c r="K18" s="61">
        <f t="shared" si="4"/>
        <v>30</v>
      </c>
      <c r="L18" s="61" t="str">
        <f>IFERROR(VLOOKUP(MID(G18,J18,K18-J18),[6]skilldef!$C:$D,2,FALSE),"-") &amp; " / " &amp; IFERROR(VLOOKUP(MID(G18,H18,I18-H18),[6]skilldef!$A:$B,2,FALSE),"-")</f>
        <v>- / -</v>
      </c>
      <c r="M18" s="61" t="str">
        <f t="shared" si="5"/>
        <v>[effect:enhance_enemy, target:myself, turn:2, status:attack, val:0.65, calc:mul, animation:enemy_enhance_attack],[effect:enhance_enemy, target:myself, turn:3, status:defense, val:2000, calc:add, animation:enemy_enhance_defense]</v>
      </c>
      <c r="N18" s="46" t="str">
        <f>IFERROR(LEFT(M18,FIND("],",M18)+S29),M18)</f>
        <v>[effect:enhance_enemy, target:myself, turn:2, status:attack, val:0.65, calc:mul, animation:enemy_enhance_attack]</v>
      </c>
      <c r="O18" s="61">
        <f t="shared" si="6"/>
        <v>9</v>
      </c>
      <c r="P18" s="61">
        <f t="shared" si="7"/>
        <v>22</v>
      </c>
      <c r="Q18" s="61">
        <f t="shared" si="8"/>
        <v>31</v>
      </c>
      <c r="R18" s="61">
        <f t="shared" si="9"/>
        <v>37</v>
      </c>
      <c r="S18" s="61" t="str">
        <f>IFERROR(VLOOKUP(MID(N18,Q18,R18-Q18),[6]skilldef!$C:$D,2,FALSE),"-") &amp; " / " &amp; IFERROR(VLOOKUP(MID(N18,O18,P18-O18),[6]skilldef!$A:$B,2,FALSE),"-")</f>
        <v>自分自身に / ステータス強化</v>
      </c>
      <c r="T18" s="46" t="str">
        <f t="shared" si="10"/>
        <v>[effect:enhance_enemy, target:myself, turn:3, status:defense, val:2000, calc:add, animation:enemy_enhance_defense]</v>
      </c>
      <c r="U18" s="61">
        <f t="shared" si="11"/>
        <v>9</v>
      </c>
      <c r="V18" s="61">
        <f t="shared" si="12"/>
        <v>22</v>
      </c>
      <c r="W18" s="61">
        <f t="shared" si="13"/>
        <v>31</v>
      </c>
      <c r="X18" s="61">
        <f t="shared" si="14"/>
        <v>37</v>
      </c>
      <c r="Y18" s="61" t="str">
        <f>IFERROR(VLOOKUP(MID(T18,W18,X18-W18),[6]skilldef!$C:$D,2,FALSE),"-") &amp; " / " &amp; IFERROR(VLOOKUP(MID(T18,U18,V18-U18),[6]skilldef!$A:$B,2,FALSE),"-")</f>
        <v>自分自身に / ステータス強化</v>
      </c>
      <c r="Z18" s="48"/>
      <c r="AA18" s="50"/>
      <c r="AB18" s="48"/>
    </row>
    <row r="19" spans="1:28" ht="29" customHeight="1" x14ac:dyDescent="0.15">
      <c r="A19" s="105">
        <v>13301767</v>
      </c>
      <c r="B19" s="45" t="s">
        <v>329</v>
      </c>
      <c r="C19" s="48">
        <v>1</v>
      </c>
      <c r="D19" s="48" t="s">
        <v>271</v>
      </c>
      <c r="E19" s="49" t="s">
        <v>290</v>
      </c>
      <c r="F19" s="49" t="s">
        <v>330</v>
      </c>
      <c r="G19" s="61" t="str">
        <f t="shared" si="0"/>
        <v>[effect:enhance_enemy, target:myself, turn:5, status:attack, val:0.8, calc:mul, animation:enemy_enhance_attack]</v>
      </c>
      <c r="H19" s="61">
        <f t="shared" si="1"/>
        <v>9</v>
      </c>
      <c r="I19" s="61">
        <f t="shared" si="2"/>
        <v>22</v>
      </c>
      <c r="J19" s="61">
        <f t="shared" si="3"/>
        <v>31</v>
      </c>
      <c r="K19" s="61">
        <f t="shared" si="4"/>
        <v>37</v>
      </c>
      <c r="L19" s="61" t="str">
        <f>IFERROR(VLOOKUP(MID(G19,J19,K19-J19),[6]skilldef!$C:$D,2,FALSE),"-") &amp; " / " &amp; IFERROR(VLOOKUP(MID(G19,H19,I19-H19),[6]skilldef!$A:$B,2,FALSE),"-")</f>
        <v>自分自身に / ステータス強化</v>
      </c>
      <c r="M19" s="61" t="str">
        <f t="shared" si="5"/>
        <v>none</v>
      </c>
      <c r="N19" s="46" t="str">
        <f>IFERROR(LEFT(M19,FIND("],",M19)+S30),M19)</f>
        <v>none</v>
      </c>
      <c r="O19" s="61" t="e">
        <f t="shared" si="6"/>
        <v>#VALUE!</v>
      </c>
      <c r="P19" s="61">
        <f t="shared" si="7"/>
        <v>4</v>
      </c>
      <c r="Q19" s="61" t="e">
        <f t="shared" si="8"/>
        <v>#VALUE!</v>
      </c>
      <c r="R19" s="61" t="e">
        <f t="shared" si="9"/>
        <v>#VALUE!</v>
      </c>
      <c r="S19" s="61" t="str">
        <f>IFERROR(VLOOKUP(MID(N19,Q19,R19-Q19),[6]skilldef!$C:$D,2,FALSE),"-") &amp; " / " &amp; IFERROR(VLOOKUP(MID(N19,O19,P19-O19),[6]skilldef!$A:$B,2,FALSE),"-")</f>
        <v>- / -</v>
      </c>
      <c r="T19" s="46" t="str">
        <f t="shared" si="10"/>
        <v>none</v>
      </c>
      <c r="U19" s="61" t="e">
        <f t="shared" si="11"/>
        <v>#VALUE!</v>
      </c>
      <c r="V19" s="61">
        <f t="shared" si="12"/>
        <v>4</v>
      </c>
      <c r="W19" s="61" t="e">
        <f t="shared" si="13"/>
        <v>#VALUE!</v>
      </c>
      <c r="X19" s="61" t="e">
        <f t="shared" si="14"/>
        <v>#VALUE!</v>
      </c>
      <c r="Y19" s="61" t="str">
        <f>IFERROR(VLOOKUP(MID(T19,W19,X19-W19),[6]skilldef!$C:$D,2,FALSE),"-") &amp; " / " &amp; IFERROR(VLOOKUP(MID(T19,U19,V19-U19),[6]skilldef!$A:$B,2,FALSE),"-")</f>
        <v>- / -</v>
      </c>
      <c r="Z19" s="48"/>
      <c r="AA19" s="50"/>
      <c r="AB19" s="48"/>
    </row>
    <row r="20" spans="1:28" ht="21" customHeight="1" x14ac:dyDescent="0.15">
      <c r="A20" s="45">
        <v>13301781</v>
      </c>
      <c r="B20" s="45" t="s">
        <v>310</v>
      </c>
      <c r="C20" s="48">
        <v>1</v>
      </c>
      <c r="D20" s="48" t="s">
        <v>271</v>
      </c>
      <c r="E20" s="49" t="s">
        <v>291</v>
      </c>
      <c r="F20" s="49" t="s">
        <v>292</v>
      </c>
      <c r="G20" s="61" t="str">
        <f t="shared" si="0"/>
        <v>[effect:damage_anti_color, target:unit_all, color:yellow, val1:1.35, val2:0.01]</v>
      </c>
      <c r="H20" s="61">
        <f t="shared" si="1"/>
        <v>9</v>
      </c>
      <c r="I20" s="61">
        <f t="shared" si="2"/>
        <v>26</v>
      </c>
      <c r="J20" s="61">
        <f t="shared" si="3"/>
        <v>35</v>
      </c>
      <c r="K20" s="61">
        <f t="shared" si="4"/>
        <v>43</v>
      </c>
      <c r="L20" s="61" t="str">
        <f>IFERROR(VLOOKUP(MID(G20,J20,K20-J20),[6]skilldef!$C:$D,2,FALSE),"-") &amp; " / " &amp; IFERROR(VLOOKUP(MID(G20,H20,I20-H20),[6]skilldef!$A:$B,2,FALSE),"-")</f>
        <v>味方全体に / 属性キラー</v>
      </c>
      <c r="M20" s="61" t="str">
        <f t="shared" si="5"/>
        <v>[effect:fix_speed, target:myself, turn:1]</v>
      </c>
      <c r="N20" s="46" t="str">
        <f>IFERROR(LEFT(M20,FIND("],",M20)+S28),M20)</f>
        <v>[effect:fix_speed, target:myself, turn:1]</v>
      </c>
      <c r="O20" s="61">
        <f t="shared" si="6"/>
        <v>9</v>
      </c>
      <c r="P20" s="61">
        <f t="shared" si="7"/>
        <v>18</v>
      </c>
      <c r="Q20" s="61">
        <f t="shared" si="8"/>
        <v>27</v>
      </c>
      <c r="R20" s="61">
        <f t="shared" si="9"/>
        <v>33</v>
      </c>
      <c r="S20" s="61" t="str">
        <f>IFERROR(VLOOKUP(MID(N20,Q20,R20-Q20),[6]skilldef!$C:$D,2,FALSE),"-") &amp; " / " &amp; IFERROR(VLOOKUP(MID(N20,O20,P20-O20),[6]skilldef!$A:$B,2,FALSE),"-")</f>
        <v>自分自身に / 行動値設定</v>
      </c>
      <c r="T20" s="46" t="str">
        <f t="shared" si="10"/>
        <v>none</v>
      </c>
      <c r="U20" s="61" t="e">
        <f t="shared" si="11"/>
        <v>#VALUE!</v>
      </c>
      <c r="V20" s="61">
        <f t="shared" si="12"/>
        <v>4</v>
      </c>
      <c r="W20" s="61" t="e">
        <f t="shared" si="13"/>
        <v>#VALUE!</v>
      </c>
      <c r="X20" s="61" t="e">
        <f t="shared" si="14"/>
        <v>#VALUE!</v>
      </c>
      <c r="Y20" s="61" t="str">
        <f>IFERROR(VLOOKUP(MID(T20,W20,X20-W20),[6]skilldef!$C:$D,2,FALSE),"-") &amp; " / " &amp; IFERROR(VLOOKUP(MID(T20,U20,V20-U20),[6]skilldef!$A:$B,2,FALSE),"-")</f>
        <v>- / -</v>
      </c>
      <c r="Z20" s="48"/>
      <c r="AA20" s="50"/>
      <c r="AB20" s="48"/>
    </row>
    <row r="21" spans="1:28" ht="36" customHeight="1" x14ac:dyDescent="0.15">
      <c r="A21" s="45">
        <v>13301782</v>
      </c>
      <c r="B21" s="45" t="s">
        <v>319</v>
      </c>
      <c r="C21" s="48">
        <v>1</v>
      </c>
      <c r="D21" s="48" t="s">
        <v>271</v>
      </c>
      <c r="E21" s="49" t="s">
        <v>293</v>
      </c>
      <c r="F21" s="49" t="s">
        <v>320</v>
      </c>
      <c r="G21" s="61" t="str">
        <f t="shared" si="0"/>
        <v>[effect:critical, val:0.5]</v>
      </c>
      <c r="H21" s="61">
        <f t="shared" si="1"/>
        <v>9</v>
      </c>
      <c r="I21" s="61">
        <f t="shared" si="2"/>
        <v>17</v>
      </c>
      <c r="J21" s="61" t="e">
        <f t="shared" si="3"/>
        <v>#VALUE!</v>
      </c>
      <c r="K21" s="61" t="e">
        <f t="shared" si="4"/>
        <v>#VALUE!</v>
      </c>
      <c r="L21" s="61" t="str">
        <f>IFERROR(VLOOKUP(MID(G21,J21,K21-J21),[6]skilldef!$C:$D,2,FALSE),"-") &amp; " / " &amp; IFERROR(VLOOKUP(MID(G21,H21,I21-H21),[6]skilldef!$A:$B,2,FALSE),"-")</f>
        <v>- / 大攻撃</v>
      </c>
      <c r="M21" s="61" t="str">
        <f t="shared" si="5"/>
        <v>[effect:enemy_message, val1:1, val2:2.2],[effect:force_change_block, new_block:time_bomb, target:block_yellow, ignore01:crash, ignore02:crack_bomb, ignore03:time_bomb, color:block_yellow, count:6, val:0.1, min_time_count:2, max_time_count:3 animation:change_block]</v>
      </c>
      <c r="N21" s="46" t="str">
        <f>IFERROR(LEFT(M21,FIND("],",M21)+S29),M21)</f>
        <v>[effect:enemy_message, val1:1, val2:2.2]</v>
      </c>
      <c r="O21" s="61">
        <f t="shared" si="6"/>
        <v>9</v>
      </c>
      <c r="P21" s="61">
        <f t="shared" si="7"/>
        <v>22</v>
      </c>
      <c r="Q21" s="61" t="e">
        <f t="shared" si="8"/>
        <v>#VALUE!</v>
      </c>
      <c r="R21" s="61">
        <f t="shared" si="9"/>
        <v>30</v>
      </c>
      <c r="S21" s="61" t="str">
        <f>IFERROR(VLOOKUP(MID(N21,Q21,R21-Q21),[6]skilldef!$C:$D,2,FALSE),"-") &amp; " / " &amp; IFERROR(VLOOKUP(MID(N21,O21,P21-O21),[6]skilldef!$A:$B,2,FALSE),"-")</f>
        <v>- / -</v>
      </c>
      <c r="T21" s="46" t="str">
        <f t="shared" si="10"/>
        <v>[effect:force_change_block, new_block:time_bomb, target:block_yellow, ignore01:crash, ignore02:crack_bomb, ignore03:time_bomb, color:block_yellow, count:6, val:0.1, min_time_count:2, max_time_count:3 animation:change_block]</v>
      </c>
      <c r="U21" s="61">
        <f t="shared" si="11"/>
        <v>9</v>
      </c>
      <c r="V21" s="61">
        <f t="shared" si="12"/>
        <v>27</v>
      </c>
      <c r="W21" s="61">
        <f t="shared" si="13"/>
        <v>57</v>
      </c>
      <c r="X21" s="61">
        <f t="shared" si="14"/>
        <v>48</v>
      </c>
      <c r="Y21" s="61" t="str">
        <f>IFERROR(VLOOKUP(MID(T21,W21,X21-W21),[6]skilldef!$C:$D,2,FALSE),"-") &amp; " / " &amp; IFERROR(VLOOKUP(MID(T21,U21,V21-U21),[6]skilldef!$A:$B,2,FALSE),"-")</f>
        <v>- / -</v>
      </c>
      <c r="Z21" s="48"/>
      <c r="AA21" s="50"/>
      <c r="AB21" s="48"/>
    </row>
    <row r="22" spans="1:28" ht="21" customHeight="1" x14ac:dyDescent="0.15">
      <c r="A22" s="45">
        <v>13301783</v>
      </c>
      <c r="B22" s="45" t="s">
        <v>331</v>
      </c>
      <c r="C22" s="48">
        <v>1</v>
      </c>
      <c r="D22" s="48" t="s">
        <v>271</v>
      </c>
      <c r="E22" s="49" t="s">
        <v>294</v>
      </c>
      <c r="F22" s="49" t="s">
        <v>295</v>
      </c>
      <c r="G22" s="61" t="str">
        <f t="shared" si="0"/>
        <v>[effect:enhance_enemy, target:myself, turn:-1, status:attack, val:1, calc:mul, animation:enemy_enhance_attack]</v>
      </c>
      <c r="H22" s="61">
        <f t="shared" si="1"/>
        <v>9</v>
      </c>
      <c r="I22" s="61">
        <f t="shared" si="2"/>
        <v>22</v>
      </c>
      <c r="J22" s="61">
        <f t="shared" si="3"/>
        <v>31</v>
      </c>
      <c r="K22" s="61">
        <f t="shared" si="4"/>
        <v>37</v>
      </c>
      <c r="L22" s="61" t="str">
        <f>IFERROR(VLOOKUP(MID(G22,J22,K22-J22),[6]skilldef!$C:$D,2,FALSE),"-") &amp; " / " &amp; IFERROR(VLOOKUP(MID(G22,H22,I22-H22),[6]skilldef!$A:$B,2,FALSE),"-")</f>
        <v>自分自身に / ステータス強化</v>
      </c>
      <c r="M22" s="61" t="str">
        <f t="shared" si="5"/>
        <v>none</v>
      </c>
      <c r="N22" s="46" t="str">
        <f>IFERROR(LEFT(M22,FIND("],",M22)+S30),M22)</f>
        <v>none</v>
      </c>
      <c r="O22" s="61" t="e">
        <f t="shared" si="6"/>
        <v>#VALUE!</v>
      </c>
      <c r="P22" s="61">
        <f t="shared" si="7"/>
        <v>4</v>
      </c>
      <c r="Q22" s="61" t="e">
        <f t="shared" si="8"/>
        <v>#VALUE!</v>
      </c>
      <c r="R22" s="61" t="e">
        <f t="shared" si="9"/>
        <v>#VALUE!</v>
      </c>
      <c r="S22" s="61" t="str">
        <f>IFERROR(VLOOKUP(MID(N22,Q22,R22-Q22),[6]skilldef!$C:$D,2,FALSE),"-") &amp; " / " &amp; IFERROR(VLOOKUP(MID(N22,O22,P22-O22),[6]skilldef!$A:$B,2,FALSE),"-")</f>
        <v>- / -</v>
      </c>
      <c r="T22" s="46" t="str">
        <f t="shared" si="10"/>
        <v>none</v>
      </c>
      <c r="U22" s="61" t="e">
        <f t="shared" si="11"/>
        <v>#VALUE!</v>
      </c>
      <c r="V22" s="61">
        <f t="shared" si="12"/>
        <v>4</v>
      </c>
      <c r="W22" s="61" t="e">
        <f t="shared" si="13"/>
        <v>#VALUE!</v>
      </c>
      <c r="X22" s="61" t="e">
        <f t="shared" si="14"/>
        <v>#VALUE!</v>
      </c>
      <c r="Y22" s="61" t="str">
        <f>IFERROR(VLOOKUP(MID(T22,W22,X22-W22),[6]skilldef!$C:$D,2,FALSE),"-") &amp; " / " &amp; IFERROR(VLOOKUP(MID(T22,U22,V22-U22),[6]skilldef!$A:$B,2,FALSE),"-")</f>
        <v>- / -</v>
      </c>
      <c r="Z22" s="48"/>
      <c r="AA22" s="50"/>
      <c r="AB22" s="48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23"/>
  <sheetViews>
    <sheetView showGridLines="0" workbookViewId="0">
      <pane ySplit="1" topLeftCell="A2" activePane="bottomLeft" state="frozenSplit"/>
      <selection pane="bottomLeft" activeCell="A2" sqref="A2"/>
    </sheetView>
  </sheetViews>
  <sheetFormatPr baseColWidth="12" defaultColWidth="12.83203125" defaultRowHeight="21" customHeight="1" x14ac:dyDescent="0.15"/>
  <cols>
    <col min="1" max="1" width="16.1640625" style="47" bestFit="1" customWidth="1"/>
    <col min="2" max="2" width="13.33203125" style="47" bestFit="1" customWidth="1"/>
    <col min="3" max="3" width="11.83203125" style="47" bestFit="1" customWidth="1"/>
    <col min="4" max="4" width="14.6640625" style="47" bestFit="1" customWidth="1"/>
    <col min="5" max="5" width="15.6640625" style="47" bestFit="1" customWidth="1"/>
    <col min="6" max="6" width="17" style="47" bestFit="1" customWidth="1"/>
    <col min="7" max="7" width="15.6640625" style="47" bestFit="1" customWidth="1"/>
    <col min="8" max="9" width="14.6640625" style="47" customWidth="1"/>
    <col min="10" max="10" width="14.6640625" style="47" bestFit="1" customWidth="1"/>
    <col min="11" max="11" width="22.83203125" style="37" bestFit="1" customWidth="1"/>
    <col min="12" max="16384" width="12.83203125" style="43"/>
  </cols>
  <sheetData>
    <row r="1" spans="1:11" ht="21" customHeight="1" x14ac:dyDescent="0.15">
      <c r="A1" s="40" t="s">
        <v>84</v>
      </c>
      <c r="B1" s="40" t="s">
        <v>85</v>
      </c>
      <c r="C1" s="40" t="s">
        <v>86</v>
      </c>
      <c r="D1" s="40" t="s">
        <v>87</v>
      </c>
      <c r="E1" s="40" t="s">
        <v>70</v>
      </c>
      <c r="F1" s="51" t="s">
        <v>71</v>
      </c>
      <c r="G1" s="51" t="s">
        <v>72</v>
      </c>
      <c r="H1" s="40" t="s">
        <v>73</v>
      </c>
      <c r="I1" s="40" t="s">
        <v>74</v>
      </c>
      <c r="J1" s="40" t="s">
        <v>75</v>
      </c>
      <c r="K1" s="52" t="s">
        <v>88</v>
      </c>
    </row>
    <row r="2" spans="1:11" ht="21" customHeight="1" x14ac:dyDescent="0.15">
      <c r="A2" s="45">
        <v>13301701</v>
      </c>
      <c r="B2" s="45">
        <v>1</v>
      </c>
      <c r="C2" s="45" t="s">
        <v>53</v>
      </c>
      <c r="D2" s="45">
        <v>100</v>
      </c>
      <c r="E2" s="45" t="s">
        <v>53</v>
      </c>
      <c r="F2" s="45" t="s">
        <v>53</v>
      </c>
      <c r="G2" s="45">
        <v>1</v>
      </c>
      <c r="H2" s="45" t="s">
        <v>53</v>
      </c>
      <c r="I2" s="45" t="s">
        <v>53</v>
      </c>
      <c r="J2" s="46">
        <f t="shared" ref="J2:J23" si="0">D2</f>
        <v>100</v>
      </c>
    </row>
    <row r="3" spans="1:11" ht="21" customHeight="1" x14ac:dyDescent="0.15">
      <c r="A3" s="45">
        <v>13301711</v>
      </c>
      <c r="B3" s="45">
        <v>1</v>
      </c>
      <c r="C3" s="45" t="s">
        <v>53</v>
      </c>
      <c r="D3" s="45">
        <v>100</v>
      </c>
      <c r="E3" s="45" t="s">
        <v>53</v>
      </c>
      <c r="F3" s="45" t="s">
        <v>53</v>
      </c>
      <c r="G3" s="45">
        <v>1</v>
      </c>
      <c r="H3" s="45" t="s">
        <v>53</v>
      </c>
      <c r="I3" s="45" t="s">
        <v>53</v>
      </c>
      <c r="J3" s="46">
        <f t="shared" si="0"/>
        <v>100</v>
      </c>
    </row>
    <row r="4" spans="1:11" ht="21" customHeight="1" x14ac:dyDescent="0.15">
      <c r="A4" s="45">
        <v>13301712</v>
      </c>
      <c r="B4" s="45">
        <v>0</v>
      </c>
      <c r="C4" s="45" t="s">
        <v>53</v>
      </c>
      <c r="D4" s="45">
        <v>100</v>
      </c>
      <c r="E4" s="45" t="s">
        <v>53</v>
      </c>
      <c r="F4" s="45" t="s">
        <v>53</v>
      </c>
      <c r="G4" s="45">
        <v>1</v>
      </c>
      <c r="H4" s="45">
        <v>3</v>
      </c>
      <c r="I4" s="45" t="s">
        <v>53</v>
      </c>
      <c r="J4" s="46">
        <f t="shared" si="0"/>
        <v>100</v>
      </c>
    </row>
    <row r="5" spans="1:11" ht="21" customHeight="1" x14ac:dyDescent="0.15">
      <c r="A5" s="105">
        <v>13301721</v>
      </c>
      <c r="B5" s="45">
        <v>1</v>
      </c>
      <c r="C5" s="45" t="s">
        <v>268</v>
      </c>
      <c r="D5" s="45">
        <v>100</v>
      </c>
      <c r="E5" s="45" t="s">
        <v>268</v>
      </c>
      <c r="F5" s="45" t="s">
        <v>268</v>
      </c>
      <c r="G5" s="45">
        <v>1</v>
      </c>
      <c r="H5" s="45" t="s">
        <v>268</v>
      </c>
      <c r="I5" s="45" t="s">
        <v>268</v>
      </c>
      <c r="J5" s="46">
        <f t="shared" si="0"/>
        <v>100</v>
      </c>
    </row>
    <row r="6" spans="1:11" ht="21" customHeight="1" x14ac:dyDescent="0.15">
      <c r="A6" s="105">
        <v>13301722</v>
      </c>
      <c r="B6" s="45">
        <v>0</v>
      </c>
      <c r="C6" s="45">
        <v>100</v>
      </c>
      <c r="D6" s="45">
        <v>100</v>
      </c>
      <c r="E6" s="45" t="s">
        <v>268</v>
      </c>
      <c r="F6" s="45" t="s">
        <v>268</v>
      </c>
      <c r="G6" s="45" t="s">
        <v>268</v>
      </c>
      <c r="H6" s="45">
        <v>1</v>
      </c>
      <c r="I6" s="45" t="s">
        <v>268</v>
      </c>
      <c r="J6" s="46">
        <f t="shared" si="0"/>
        <v>100</v>
      </c>
    </row>
    <row r="7" spans="1:11" ht="21" customHeight="1" x14ac:dyDescent="0.15">
      <c r="A7" s="105">
        <v>13301723</v>
      </c>
      <c r="B7" s="45">
        <v>0</v>
      </c>
      <c r="C7" s="45">
        <v>110</v>
      </c>
      <c r="D7" s="45">
        <v>50</v>
      </c>
      <c r="E7" s="45" t="s">
        <v>268</v>
      </c>
      <c r="F7" s="45" t="s">
        <v>268</v>
      </c>
      <c r="G7" s="45" t="s">
        <v>268</v>
      </c>
      <c r="H7" s="45">
        <v>1</v>
      </c>
      <c r="I7" s="45" t="s">
        <v>268</v>
      </c>
      <c r="J7" s="46">
        <f t="shared" si="0"/>
        <v>50</v>
      </c>
    </row>
    <row r="8" spans="1:11" ht="21" customHeight="1" x14ac:dyDescent="0.15">
      <c r="A8" s="105">
        <v>13301724</v>
      </c>
      <c r="B8" s="45">
        <v>0</v>
      </c>
      <c r="C8" s="45">
        <v>120</v>
      </c>
      <c r="D8" s="45">
        <v>30</v>
      </c>
      <c r="E8" s="45" t="s">
        <v>268</v>
      </c>
      <c r="F8" s="45" t="s">
        <v>268</v>
      </c>
      <c r="G8" s="45" t="s">
        <v>268</v>
      </c>
      <c r="H8" s="45">
        <v>1</v>
      </c>
      <c r="I8" s="45" t="s">
        <v>268</v>
      </c>
      <c r="J8" s="46">
        <f t="shared" si="0"/>
        <v>30</v>
      </c>
    </row>
    <row r="9" spans="1:11" ht="21" customHeight="1" x14ac:dyDescent="0.15">
      <c r="A9" s="105">
        <v>13301725</v>
      </c>
      <c r="B9" s="45">
        <v>0</v>
      </c>
      <c r="C9" s="45">
        <v>130</v>
      </c>
      <c r="D9" s="45">
        <v>100</v>
      </c>
      <c r="E9" s="45" t="s">
        <v>268</v>
      </c>
      <c r="F9" s="45" t="s">
        <v>268</v>
      </c>
      <c r="G9" s="45" t="s">
        <v>268</v>
      </c>
      <c r="H9" s="45">
        <v>2</v>
      </c>
      <c r="I9" s="45" t="s">
        <v>268</v>
      </c>
      <c r="J9" s="46">
        <f t="shared" si="0"/>
        <v>100</v>
      </c>
    </row>
    <row r="10" spans="1:11" ht="21" customHeight="1" x14ac:dyDescent="0.15">
      <c r="A10" s="105">
        <v>13301726</v>
      </c>
      <c r="B10" s="45">
        <v>0</v>
      </c>
      <c r="C10" s="45">
        <v>140</v>
      </c>
      <c r="D10" s="45">
        <v>100</v>
      </c>
      <c r="E10" s="45" t="s">
        <v>268</v>
      </c>
      <c r="F10" s="45" t="s">
        <v>268</v>
      </c>
      <c r="G10" s="45" t="s">
        <v>268</v>
      </c>
      <c r="H10" s="45">
        <v>5</v>
      </c>
      <c r="I10" s="45" t="s">
        <v>268</v>
      </c>
      <c r="J10" s="46">
        <f t="shared" si="0"/>
        <v>100</v>
      </c>
    </row>
    <row r="11" spans="1:11" ht="21" customHeight="1" x14ac:dyDescent="0.15">
      <c r="A11" s="45">
        <v>13301741</v>
      </c>
      <c r="B11" s="45">
        <v>0</v>
      </c>
      <c r="C11" s="45">
        <v>100</v>
      </c>
      <c r="D11" s="45">
        <v>100</v>
      </c>
      <c r="E11" s="45" t="s">
        <v>268</v>
      </c>
      <c r="F11" s="45" t="s">
        <v>268</v>
      </c>
      <c r="G11" s="45" t="s">
        <v>268</v>
      </c>
      <c r="H11" s="45">
        <v>1</v>
      </c>
      <c r="I11" s="45" t="s">
        <v>268</v>
      </c>
      <c r="J11" s="46">
        <f t="shared" si="0"/>
        <v>100</v>
      </c>
    </row>
    <row r="12" spans="1:11" ht="21" customHeight="1" x14ac:dyDescent="0.15">
      <c r="A12" s="45">
        <v>13301742</v>
      </c>
      <c r="B12" s="45">
        <v>0</v>
      </c>
      <c r="C12" s="45">
        <v>110</v>
      </c>
      <c r="D12" s="45">
        <v>100</v>
      </c>
      <c r="E12" s="45" t="s">
        <v>268</v>
      </c>
      <c r="F12" s="45" t="s">
        <v>268</v>
      </c>
      <c r="G12" s="45" t="s">
        <v>268</v>
      </c>
      <c r="H12" s="45">
        <v>2</v>
      </c>
      <c r="I12" s="45" t="s">
        <v>268</v>
      </c>
      <c r="J12" s="46">
        <f t="shared" si="0"/>
        <v>100</v>
      </c>
    </row>
    <row r="13" spans="1:11" ht="21" customHeight="1" x14ac:dyDescent="0.15">
      <c r="A13" s="45">
        <v>13301743</v>
      </c>
      <c r="B13" s="45">
        <v>0</v>
      </c>
      <c r="C13" s="45">
        <v>120</v>
      </c>
      <c r="D13" s="45">
        <v>100</v>
      </c>
      <c r="E13" s="45" t="s">
        <v>268</v>
      </c>
      <c r="F13" s="45" t="s">
        <v>268</v>
      </c>
      <c r="G13" s="45" t="s">
        <v>268</v>
      </c>
      <c r="H13" s="45">
        <v>3</v>
      </c>
      <c r="I13" s="45" t="s">
        <v>268</v>
      </c>
      <c r="J13" s="46">
        <f t="shared" si="0"/>
        <v>100</v>
      </c>
    </row>
    <row r="14" spans="1:11" ht="21" customHeight="1" x14ac:dyDescent="0.15">
      <c r="A14" s="105">
        <v>13301761</v>
      </c>
      <c r="B14" s="45">
        <v>1</v>
      </c>
      <c r="C14" s="45" t="s">
        <v>268</v>
      </c>
      <c r="D14" s="45">
        <v>100</v>
      </c>
      <c r="E14" s="45" t="s">
        <v>268</v>
      </c>
      <c r="F14" s="45" t="s">
        <v>268</v>
      </c>
      <c r="G14" s="45">
        <v>1</v>
      </c>
      <c r="H14" s="45" t="s">
        <v>268</v>
      </c>
      <c r="I14" s="45" t="s">
        <v>268</v>
      </c>
      <c r="J14" s="46">
        <f t="shared" si="0"/>
        <v>100</v>
      </c>
    </row>
    <row r="15" spans="1:11" ht="21" customHeight="1" x14ac:dyDescent="0.15">
      <c r="A15" s="105">
        <v>13301762</v>
      </c>
      <c r="B15" s="45">
        <v>0</v>
      </c>
      <c r="C15" s="45">
        <v>100</v>
      </c>
      <c r="D15" s="45">
        <v>100</v>
      </c>
      <c r="E15" s="45" t="s">
        <v>268</v>
      </c>
      <c r="F15" s="45" t="s">
        <v>268</v>
      </c>
      <c r="G15" s="45" t="s">
        <v>268</v>
      </c>
      <c r="H15" s="45">
        <v>1</v>
      </c>
      <c r="I15" s="45" t="s">
        <v>268</v>
      </c>
      <c r="J15" s="46">
        <f t="shared" si="0"/>
        <v>100</v>
      </c>
    </row>
    <row r="16" spans="1:11" ht="21" customHeight="1" x14ac:dyDescent="0.15">
      <c r="A16" s="105">
        <v>13301763</v>
      </c>
      <c r="B16" s="45">
        <v>0</v>
      </c>
      <c r="C16" s="45">
        <v>110</v>
      </c>
      <c r="D16" s="45">
        <v>100</v>
      </c>
      <c r="E16" s="45" t="s">
        <v>268</v>
      </c>
      <c r="F16" s="45" t="s">
        <v>268</v>
      </c>
      <c r="G16" s="45" t="s">
        <v>268</v>
      </c>
      <c r="H16" s="45">
        <v>2</v>
      </c>
      <c r="I16" s="45" t="s">
        <v>268</v>
      </c>
      <c r="J16" s="46">
        <f t="shared" si="0"/>
        <v>100</v>
      </c>
    </row>
    <row r="17" spans="1:10" ht="21" customHeight="1" x14ac:dyDescent="0.15">
      <c r="A17" s="105">
        <v>13301764</v>
      </c>
      <c r="B17" s="45">
        <v>0</v>
      </c>
      <c r="C17" s="45">
        <v>120</v>
      </c>
      <c r="D17" s="45">
        <v>100</v>
      </c>
      <c r="E17" s="45" t="s">
        <v>268</v>
      </c>
      <c r="F17" s="45" t="s">
        <v>268</v>
      </c>
      <c r="G17" s="45" t="s">
        <v>268</v>
      </c>
      <c r="H17" s="45">
        <v>4</v>
      </c>
      <c r="I17" s="45" t="s">
        <v>268</v>
      </c>
      <c r="J17" s="46">
        <f t="shared" si="0"/>
        <v>100</v>
      </c>
    </row>
    <row r="18" spans="1:10" ht="21" customHeight="1" x14ac:dyDescent="0.15">
      <c r="A18" s="105">
        <v>13301765</v>
      </c>
      <c r="B18" s="45">
        <v>0</v>
      </c>
      <c r="C18" s="45">
        <v>130</v>
      </c>
      <c r="D18" s="45">
        <v>100</v>
      </c>
      <c r="E18" s="45" t="s">
        <v>268</v>
      </c>
      <c r="F18" s="45" t="s">
        <v>268</v>
      </c>
      <c r="G18" s="45" t="s">
        <v>268</v>
      </c>
      <c r="H18" s="45">
        <v>3</v>
      </c>
      <c r="I18" s="45" t="s">
        <v>268</v>
      </c>
      <c r="J18" s="46">
        <f t="shared" si="0"/>
        <v>100</v>
      </c>
    </row>
    <row r="19" spans="1:10" ht="21" customHeight="1" x14ac:dyDescent="0.15">
      <c r="A19" s="105">
        <v>13301766</v>
      </c>
      <c r="B19" s="45">
        <v>0</v>
      </c>
      <c r="C19" s="45">
        <v>150</v>
      </c>
      <c r="D19" s="45">
        <v>100</v>
      </c>
      <c r="E19" s="45" t="s">
        <v>268</v>
      </c>
      <c r="F19" s="45" t="s">
        <v>268</v>
      </c>
      <c r="G19" s="45">
        <v>1</v>
      </c>
      <c r="H19" s="45">
        <v>5</v>
      </c>
      <c r="I19" s="45" t="s">
        <v>268</v>
      </c>
      <c r="J19" s="46">
        <f t="shared" si="0"/>
        <v>100</v>
      </c>
    </row>
    <row r="20" spans="1:10" ht="21" customHeight="1" x14ac:dyDescent="0.15">
      <c r="A20" s="105">
        <v>13301767</v>
      </c>
      <c r="B20" s="45">
        <v>0</v>
      </c>
      <c r="C20" s="45">
        <v>140</v>
      </c>
      <c r="D20" s="45">
        <v>100</v>
      </c>
      <c r="E20" s="45" t="s">
        <v>268</v>
      </c>
      <c r="F20" s="45" t="s">
        <v>268</v>
      </c>
      <c r="G20" s="45" t="s">
        <v>268</v>
      </c>
      <c r="H20" s="45">
        <v>5</v>
      </c>
      <c r="I20" s="45" t="s">
        <v>268</v>
      </c>
      <c r="J20" s="46">
        <f t="shared" si="0"/>
        <v>100</v>
      </c>
    </row>
    <row r="21" spans="1:10" ht="21" customHeight="1" x14ac:dyDescent="0.15">
      <c r="A21" s="45">
        <v>13301781</v>
      </c>
      <c r="B21" s="45">
        <v>1</v>
      </c>
      <c r="C21" s="45" t="s">
        <v>268</v>
      </c>
      <c r="D21" s="45">
        <v>100</v>
      </c>
      <c r="E21" s="45" t="s">
        <v>268</v>
      </c>
      <c r="F21" s="45" t="s">
        <v>268</v>
      </c>
      <c r="G21" s="45">
        <v>1</v>
      </c>
      <c r="H21" s="45" t="s">
        <v>268</v>
      </c>
      <c r="I21" s="45" t="s">
        <v>268</v>
      </c>
      <c r="J21" s="46">
        <f t="shared" si="0"/>
        <v>100</v>
      </c>
    </row>
    <row r="22" spans="1:10" ht="21" customHeight="1" x14ac:dyDescent="0.15">
      <c r="A22" s="45">
        <v>13301782</v>
      </c>
      <c r="B22" s="45">
        <v>0</v>
      </c>
      <c r="C22" s="45" t="s">
        <v>268</v>
      </c>
      <c r="D22" s="45">
        <v>100</v>
      </c>
      <c r="E22" s="45" t="s">
        <v>268</v>
      </c>
      <c r="F22" s="45" t="s">
        <v>268</v>
      </c>
      <c r="G22" s="45" t="s">
        <v>268</v>
      </c>
      <c r="H22" s="45">
        <v>2</v>
      </c>
      <c r="I22" s="45" t="s">
        <v>268</v>
      </c>
      <c r="J22" s="46">
        <f t="shared" si="0"/>
        <v>100</v>
      </c>
    </row>
    <row r="23" spans="1:10" ht="21" customHeight="1" x14ac:dyDescent="0.15">
      <c r="A23" s="45">
        <v>13301783</v>
      </c>
      <c r="B23" s="45">
        <v>0</v>
      </c>
      <c r="C23" s="45">
        <v>100</v>
      </c>
      <c r="D23" s="45">
        <v>100</v>
      </c>
      <c r="E23" s="45" t="s">
        <v>268</v>
      </c>
      <c r="F23" s="45" t="s">
        <v>268</v>
      </c>
      <c r="G23" s="45">
        <v>1</v>
      </c>
      <c r="H23" s="45">
        <v>1</v>
      </c>
      <c r="I23" s="45">
        <v>586</v>
      </c>
      <c r="J23" s="46">
        <f t="shared" si="0"/>
        <v>100</v>
      </c>
    </row>
  </sheetData>
  <autoFilter ref="A1:G1"/>
  <phoneticPr fontId="5"/>
  <conditionalFormatting sqref="K1:K1048576">
    <cfRule type="duplicateValues" dxfId="0" priority="3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10"/>
  <sheetViews>
    <sheetView workbookViewId="0"/>
  </sheetViews>
  <sheetFormatPr baseColWidth="12" defaultRowHeight="15" x14ac:dyDescent="0.15"/>
  <cols>
    <col min="17" max="18" width="19" bestFit="1" customWidth="1"/>
  </cols>
  <sheetData>
    <row r="1" spans="1:18" x14ac:dyDescent="0.15">
      <c r="A1" s="62" t="s">
        <v>148</v>
      </c>
      <c r="B1" s="62" t="s">
        <v>149</v>
      </c>
      <c r="C1" s="63" t="s">
        <v>150</v>
      </c>
      <c r="D1" s="69" t="s">
        <v>151</v>
      </c>
      <c r="E1" s="64" t="s">
        <v>152</v>
      </c>
      <c r="F1" s="62" t="s">
        <v>153</v>
      </c>
      <c r="G1" s="62" t="s">
        <v>154</v>
      </c>
      <c r="H1" s="62" t="s">
        <v>155</v>
      </c>
      <c r="I1" s="62" t="s">
        <v>156</v>
      </c>
      <c r="J1" s="62" t="s">
        <v>157</v>
      </c>
      <c r="K1" s="62" t="s">
        <v>158</v>
      </c>
      <c r="L1" s="62" t="s">
        <v>159</v>
      </c>
      <c r="M1" s="62" t="s">
        <v>160</v>
      </c>
      <c r="N1" s="62" t="s">
        <v>161</v>
      </c>
      <c r="O1" s="62" t="s">
        <v>162</v>
      </c>
      <c r="P1" s="62" t="s">
        <v>163</v>
      </c>
      <c r="Q1" s="62" t="s">
        <v>164</v>
      </c>
      <c r="R1" s="62" t="s">
        <v>165</v>
      </c>
    </row>
    <row r="2" spans="1:18" x14ac:dyDescent="0.15">
      <c r="A2" s="55">
        <v>13302</v>
      </c>
      <c r="B2" s="55">
        <v>11</v>
      </c>
      <c r="C2" s="68" t="str">
        <f t="shared" ref="C2:C9" si="0">A2&amp; "_"&amp;B2</f>
        <v>13302_11</v>
      </c>
      <c r="D2" s="11" t="str">
        <f ca="1">VLOOKUP($C2,OFFSET([2]stages!$A$1,0,0,COUNTA([2]stages!$A:$A),MATCH(D$1,[2]stages!$2:$2,0)-MATCH($C$1,[2]stages!$2:$2,0)+1),MATCH(D$1,[2]stages!$2:$2,0)-MATCH($C$1,[2]stages!$2:$2,0)+1,FALSE)</f>
        <v>singleonly</v>
      </c>
      <c r="E2" s="55">
        <v>1</v>
      </c>
      <c r="F2" s="55" t="s">
        <v>249</v>
      </c>
      <c r="G2" s="55">
        <v>123</v>
      </c>
      <c r="H2" s="55">
        <v>1</v>
      </c>
      <c r="I2" s="55">
        <v>1</v>
      </c>
      <c r="J2" s="55">
        <v>1</v>
      </c>
      <c r="K2" s="55">
        <v>0</v>
      </c>
      <c r="L2" s="55">
        <v>0</v>
      </c>
      <c r="M2" s="55">
        <v>0</v>
      </c>
      <c r="N2" s="55">
        <v>0</v>
      </c>
      <c r="O2" s="55">
        <v>1</v>
      </c>
      <c r="P2" s="55">
        <v>20</v>
      </c>
      <c r="Q2" s="55" t="s">
        <v>166</v>
      </c>
      <c r="R2" s="55" t="s">
        <v>167</v>
      </c>
    </row>
    <row r="3" spans="1:18" x14ac:dyDescent="0.15">
      <c r="A3" s="55">
        <v>13302</v>
      </c>
      <c r="B3" s="55">
        <v>11</v>
      </c>
      <c r="C3" s="68" t="str">
        <f t="shared" si="0"/>
        <v>13302_11</v>
      </c>
      <c r="D3" s="11" t="str">
        <f ca="1">VLOOKUP($C3,OFFSET([2]stages!$A$1,0,0,COUNTA([2]stages!$A:$A),MATCH(D$1,[2]stages!$2:$2,0)-MATCH($C$1,[2]stages!$2:$2,0)+1),MATCH(D$1,[2]stages!$2:$2,0)-MATCH($C$1,[2]stages!$2:$2,0)+1,FALSE)</f>
        <v>singleonly</v>
      </c>
      <c r="E3" s="55">
        <v>2</v>
      </c>
      <c r="F3" s="55" t="s">
        <v>249</v>
      </c>
      <c r="G3" s="55">
        <v>609</v>
      </c>
      <c r="H3" s="55">
        <v>1</v>
      </c>
      <c r="I3" s="55">
        <v>1</v>
      </c>
      <c r="J3" s="55">
        <v>1</v>
      </c>
      <c r="K3" s="55">
        <v>0</v>
      </c>
      <c r="L3" s="55">
        <v>0</v>
      </c>
      <c r="M3" s="55">
        <v>0</v>
      </c>
      <c r="N3" s="55">
        <v>0</v>
      </c>
      <c r="O3" s="55">
        <v>1</v>
      </c>
      <c r="P3" s="55">
        <v>70</v>
      </c>
      <c r="Q3" s="55" t="s">
        <v>166</v>
      </c>
      <c r="R3" s="55" t="s">
        <v>167</v>
      </c>
    </row>
    <row r="4" spans="1:18" x14ac:dyDescent="0.15">
      <c r="A4" s="55">
        <v>13302</v>
      </c>
      <c r="B4" s="55">
        <v>11</v>
      </c>
      <c r="C4" s="68" t="str">
        <f t="shared" si="0"/>
        <v>13302_11</v>
      </c>
      <c r="D4" s="11" t="str">
        <f ca="1">VLOOKUP($C4,OFFSET([2]stages!$A$1,0,0,COUNTA([2]stages!$A:$A),MATCH(D$1,[2]stages!$2:$2,0)-MATCH($C$1,[2]stages!$2:$2,0)+1),MATCH(D$1,[2]stages!$2:$2,0)-MATCH($C$1,[2]stages!$2:$2,0)+1,FALSE)</f>
        <v>singleonly</v>
      </c>
      <c r="E4" s="55">
        <v>3</v>
      </c>
      <c r="F4" s="55" t="s">
        <v>249</v>
      </c>
      <c r="G4" s="55">
        <v>613</v>
      </c>
      <c r="H4" s="55">
        <v>1</v>
      </c>
      <c r="I4" s="55">
        <v>1</v>
      </c>
      <c r="J4" s="55">
        <v>1</v>
      </c>
      <c r="K4" s="55">
        <v>0</v>
      </c>
      <c r="L4" s="55">
        <v>0</v>
      </c>
      <c r="M4" s="55">
        <v>0</v>
      </c>
      <c r="N4" s="55">
        <v>0</v>
      </c>
      <c r="O4" s="55">
        <v>1</v>
      </c>
      <c r="P4" s="55">
        <v>190</v>
      </c>
      <c r="Q4" s="55" t="s">
        <v>166</v>
      </c>
      <c r="R4" s="55" t="s">
        <v>167</v>
      </c>
    </row>
    <row r="5" spans="1:18" x14ac:dyDescent="0.15">
      <c r="A5" s="55">
        <v>13302</v>
      </c>
      <c r="B5" s="55">
        <v>11</v>
      </c>
      <c r="C5" s="68" t="str">
        <f t="shared" si="0"/>
        <v>13302_11</v>
      </c>
      <c r="D5" s="11" t="str">
        <f ca="1">VLOOKUP($C5,OFFSET([2]stages!$A$1,0,0,COUNTA([2]stages!$A:$A),MATCH(D$1,[2]stages!$2:$2,0)-MATCH($C$1,[2]stages!$2:$2,0)+1),MATCH(D$1,[2]stages!$2:$2,0)-MATCH($C$1,[2]stages!$2:$2,0)+1,FALSE)</f>
        <v>singleonly</v>
      </c>
      <c r="E5" s="55">
        <v>4</v>
      </c>
      <c r="F5" s="55" t="s">
        <v>249</v>
      </c>
      <c r="G5" s="55">
        <v>125</v>
      </c>
      <c r="H5" s="55">
        <v>1</v>
      </c>
      <c r="I5" s="55">
        <v>1</v>
      </c>
      <c r="J5" s="55">
        <v>1</v>
      </c>
      <c r="K5" s="55">
        <v>0</v>
      </c>
      <c r="L5" s="55">
        <v>0</v>
      </c>
      <c r="M5" s="55">
        <v>0</v>
      </c>
      <c r="N5" s="55">
        <v>0</v>
      </c>
      <c r="O5" s="55">
        <v>1</v>
      </c>
      <c r="P5" s="55">
        <v>10</v>
      </c>
      <c r="Q5" s="55" t="s">
        <v>166</v>
      </c>
      <c r="R5" s="55" t="s">
        <v>167</v>
      </c>
    </row>
    <row r="6" spans="1:18" x14ac:dyDescent="0.15">
      <c r="A6" s="55">
        <v>13302</v>
      </c>
      <c r="B6" s="55">
        <v>11</v>
      </c>
      <c r="C6" s="68" t="str">
        <f t="shared" si="0"/>
        <v>13302_11</v>
      </c>
      <c r="D6" s="11" t="str">
        <f ca="1">VLOOKUP($C6,OFFSET([2]stages!$A$1,0,0,COUNTA([2]stages!$A:$A),MATCH(D$1,[2]stages!$2:$2,0)-MATCH($C$1,[2]stages!$2:$2,0)+1),MATCH(D$1,[2]stages!$2:$2,0)-MATCH($C$1,[2]stages!$2:$2,0)+1,FALSE)</f>
        <v>singleonly</v>
      </c>
      <c r="E6" s="55">
        <v>5</v>
      </c>
      <c r="F6" s="55" t="s">
        <v>249</v>
      </c>
      <c r="G6" s="55">
        <v>610</v>
      </c>
      <c r="H6" s="55">
        <v>1</v>
      </c>
      <c r="I6" s="55">
        <v>1</v>
      </c>
      <c r="J6" s="55">
        <v>1</v>
      </c>
      <c r="K6" s="55">
        <v>0</v>
      </c>
      <c r="L6" s="55">
        <v>0</v>
      </c>
      <c r="M6" s="55">
        <v>0</v>
      </c>
      <c r="N6" s="55">
        <v>0</v>
      </c>
      <c r="O6" s="55">
        <v>1</v>
      </c>
      <c r="P6" s="55">
        <v>40</v>
      </c>
      <c r="Q6" s="55" t="s">
        <v>166</v>
      </c>
      <c r="R6" s="55" t="s">
        <v>167</v>
      </c>
    </row>
    <row r="7" spans="1:18" x14ac:dyDescent="0.15">
      <c r="A7" s="55">
        <v>13302</v>
      </c>
      <c r="B7" s="55">
        <v>11</v>
      </c>
      <c r="C7" s="68" t="str">
        <f t="shared" si="0"/>
        <v>13302_11</v>
      </c>
      <c r="D7" s="11" t="str">
        <f ca="1">VLOOKUP($C7,OFFSET([2]stages!$A$1,0,0,COUNTA([2]stages!$A:$A),MATCH(D$1,[2]stages!$2:$2,0)-MATCH($C$1,[2]stages!$2:$2,0)+1),MATCH(D$1,[2]stages!$2:$2,0)-MATCH($C$1,[2]stages!$2:$2,0)+1,FALSE)</f>
        <v>singleonly</v>
      </c>
      <c r="E7" s="55">
        <v>6</v>
      </c>
      <c r="F7" s="55" t="s">
        <v>250</v>
      </c>
      <c r="G7" s="55">
        <v>500</v>
      </c>
      <c r="H7" s="55" t="s">
        <v>251</v>
      </c>
      <c r="I7" s="55">
        <v>1</v>
      </c>
      <c r="J7" s="55">
        <v>1</v>
      </c>
      <c r="K7" s="55">
        <v>0</v>
      </c>
      <c r="L7" s="55">
        <v>0</v>
      </c>
      <c r="M7" s="55">
        <v>0</v>
      </c>
      <c r="N7" s="55">
        <v>0</v>
      </c>
      <c r="O7" s="55">
        <v>1</v>
      </c>
      <c r="P7" s="55">
        <v>490</v>
      </c>
      <c r="Q7" s="55" t="s">
        <v>166</v>
      </c>
      <c r="R7" s="55" t="s">
        <v>167</v>
      </c>
    </row>
    <row r="8" spans="1:18" x14ac:dyDescent="0.15">
      <c r="A8" s="55">
        <v>13302</v>
      </c>
      <c r="B8" s="55">
        <v>11</v>
      </c>
      <c r="C8" s="68" t="str">
        <f t="shared" si="0"/>
        <v>13302_11</v>
      </c>
      <c r="D8" s="11" t="str">
        <f ca="1">VLOOKUP($C8,OFFSET([2]stages!$A$1,0,0,COUNTA([2]stages!$A:$A),MATCH(D$1,[2]stages!$2:$2,0)-MATCH($C$1,[2]stages!$2:$2,0)+1),MATCH(D$1,[2]stages!$2:$2,0)-MATCH($C$1,[2]stages!$2:$2,0)+1,FALSE)</f>
        <v>singleonly</v>
      </c>
      <c r="E8" s="55">
        <v>7</v>
      </c>
      <c r="F8" s="55" t="s">
        <v>249</v>
      </c>
      <c r="G8" s="55">
        <v>342</v>
      </c>
      <c r="H8" s="55">
        <v>1</v>
      </c>
      <c r="I8" s="55">
        <v>1</v>
      </c>
      <c r="J8" s="55">
        <v>1</v>
      </c>
      <c r="K8" s="55">
        <v>0</v>
      </c>
      <c r="L8" s="55">
        <v>0</v>
      </c>
      <c r="M8" s="55">
        <v>0</v>
      </c>
      <c r="N8" s="55">
        <v>0</v>
      </c>
      <c r="O8" s="55">
        <v>1</v>
      </c>
      <c r="P8" s="55">
        <v>20</v>
      </c>
      <c r="Q8" s="55" t="s">
        <v>166</v>
      </c>
      <c r="R8" s="55" t="s">
        <v>167</v>
      </c>
    </row>
    <row r="9" spans="1:18" x14ac:dyDescent="0.15">
      <c r="A9" s="55">
        <v>13302</v>
      </c>
      <c r="B9" s="55">
        <v>11</v>
      </c>
      <c r="C9" s="68" t="str">
        <f t="shared" si="0"/>
        <v>13302_11</v>
      </c>
      <c r="D9" s="11" t="str">
        <f ca="1">VLOOKUP($C9,OFFSET([2]stages!$A$1,0,0,COUNTA([2]stages!$A:$A),MATCH(D$1,[2]stages!$2:$2,0)-MATCH($C$1,[2]stages!$2:$2,0)+1),MATCH(D$1,[2]stages!$2:$2,0)-MATCH($C$1,[2]stages!$2:$2,0)+1,FALSE)</f>
        <v>singleonly</v>
      </c>
      <c r="E9" s="55">
        <v>8</v>
      </c>
      <c r="F9" s="55" t="s">
        <v>249</v>
      </c>
      <c r="G9" s="55">
        <v>343</v>
      </c>
      <c r="H9" s="55">
        <v>1</v>
      </c>
      <c r="I9" s="55">
        <v>1</v>
      </c>
      <c r="J9" s="55">
        <v>1</v>
      </c>
      <c r="K9" s="55">
        <v>0</v>
      </c>
      <c r="L9" s="55">
        <v>0</v>
      </c>
      <c r="M9" s="55">
        <v>0</v>
      </c>
      <c r="N9" s="55">
        <v>0</v>
      </c>
      <c r="O9" s="55">
        <v>1</v>
      </c>
      <c r="P9" s="55">
        <v>110</v>
      </c>
      <c r="Q9" s="55" t="s">
        <v>166</v>
      </c>
      <c r="R9" s="55" t="s">
        <v>167</v>
      </c>
    </row>
    <row r="10" spans="1:18" x14ac:dyDescent="0.15">
      <c r="A10" s="55">
        <v>13302</v>
      </c>
      <c r="B10" s="55">
        <v>11</v>
      </c>
      <c r="C10" s="68" t="str">
        <f t="shared" ref="C10" si="1">A10&amp; "_"&amp;B10</f>
        <v>13302_11</v>
      </c>
      <c r="D10" s="11" t="str">
        <f ca="1">VLOOKUP($C10,OFFSET([2]stages!$A$1,0,0,COUNTA([2]stages!$A:$A),MATCH(D$1,[2]stages!$2:$2,0)-MATCH($C$1,[2]stages!$2:$2,0)+1),MATCH(D$1,[2]stages!$2:$2,0)-MATCH($C$1,[2]stages!$2:$2,0)+1,FALSE)</f>
        <v>singleonly</v>
      </c>
      <c r="E10" s="55">
        <v>9</v>
      </c>
      <c r="F10" s="55" t="s">
        <v>249</v>
      </c>
      <c r="G10" s="55">
        <v>837</v>
      </c>
      <c r="H10" s="55">
        <v>1</v>
      </c>
      <c r="I10" s="55">
        <v>1</v>
      </c>
      <c r="J10" s="55">
        <v>1</v>
      </c>
      <c r="K10" s="55">
        <v>0</v>
      </c>
      <c r="L10" s="55">
        <v>0</v>
      </c>
      <c r="M10" s="55">
        <v>0</v>
      </c>
      <c r="N10" s="55">
        <v>0</v>
      </c>
      <c r="O10" s="55">
        <v>1</v>
      </c>
      <c r="P10" s="55">
        <v>50</v>
      </c>
      <c r="Q10" s="55" t="s">
        <v>166</v>
      </c>
      <c r="R10" s="55" t="s">
        <v>167</v>
      </c>
    </row>
  </sheetData>
  <phoneticPr fontId="5"/>
  <dataValidations count="1">
    <dataValidation type="list" allowBlank="1" showInputMessage="1" showErrorMessage="1" sqref="F2:F10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"/>
  <sheetViews>
    <sheetView showGridLines="0" workbookViewId="0">
      <pane ySplit="1" topLeftCell="A2" activePane="bottomLeft" state="frozen"/>
      <selection pane="bottomLeft" activeCell="A2" sqref="A2"/>
    </sheetView>
  </sheetViews>
  <sheetFormatPr baseColWidth="12" defaultColWidth="13" defaultRowHeight="15" outlineLevelCol="1" x14ac:dyDescent="0.15"/>
  <cols>
    <col min="1" max="1" width="13" style="84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3" t="s">
        <v>185</v>
      </c>
      <c r="B1" s="70" t="s">
        <v>186</v>
      </c>
      <c r="C1" s="74" t="s">
        <v>187</v>
      </c>
      <c r="D1" s="74" t="s">
        <v>33</v>
      </c>
      <c r="E1" s="70" t="s">
        <v>188</v>
      </c>
      <c r="F1" s="74" t="s">
        <v>189</v>
      </c>
      <c r="G1" s="74" t="s">
        <v>33</v>
      </c>
      <c r="H1" s="70" t="s">
        <v>190</v>
      </c>
      <c r="I1" s="87" t="s">
        <v>192</v>
      </c>
      <c r="J1" s="76" t="s">
        <v>125</v>
      </c>
      <c r="K1" s="75" t="s">
        <v>183</v>
      </c>
      <c r="L1" s="88" t="s">
        <v>182</v>
      </c>
      <c r="M1" s="77" t="s">
        <v>193</v>
      </c>
    </row>
  </sheetData>
  <phoneticPr fontId="5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O8"/>
  <sheetViews>
    <sheetView showGridLines="0" workbookViewId="0">
      <pane ySplit="1" topLeftCell="A2" activePane="bottomLeft" state="frozen"/>
      <selection pane="bottomLeft" activeCell="A2" sqref="A2"/>
    </sheetView>
  </sheetViews>
  <sheetFormatPr baseColWidth="12" defaultColWidth="13" defaultRowHeight="15" outlineLevelCol="1" x14ac:dyDescent="0.15"/>
  <cols>
    <col min="1" max="1" width="13" style="84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5" x14ac:dyDescent="0.15">
      <c r="A1" s="73" t="s">
        <v>185</v>
      </c>
      <c r="B1" s="70" t="s">
        <v>148</v>
      </c>
      <c r="C1" s="74" t="s">
        <v>187</v>
      </c>
      <c r="D1" s="74" t="s">
        <v>33</v>
      </c>
      <c r="E1" s="70" t="s">
        <v>188</v>
      </c>
      <c r="F1" s="74" t="s">
        <v>18</v>
      </c>
      <c r="G1" s="74" t="s">
        <v>33</v>
      </c>
      <c r="H1" s="70" t="s">
        <v>190</v>
      </c>
      <c r="I1" s="85" t="s">
        <v>191</v>
      </c>
      <c r="J1" s="87" t="s">
        <v>192</v>
      </c>
      <c r="K1" s="76" t="s">
        <v>125</v>
      </c>
      <c r="L1" s="75" t="s">
        <v>183</v>
      </c>
      <c r="M1" s="88" t="s">
        <v>182</v>
      </c>
      <c r="N1" s="77" t="s">
        <v>193</v>
      </c>
    </row>
    <row r="2" spans="1:15" ht="56" x14ac:dyDescent="0.15">
      <c r="A2" s="78" t="s">
        <v>194</v>
      </c>
      <c r="B2" s="79">
        <v>13302</v>
      </c>
      <c r="C2" s="80" t="str">
        <f ca="1">VLOOKUP($B2,OFFSET([2]quests!$A$1,0,0,COUNTA([2]quests!$A:$A),MATCH(C$1,[2]quests!$1:$1,0)-MATCH($B$1,[2]quests!$1:$1,0)+1),MATCH(C$1,[2]quests!$1:$1,0)-MATCH($B$1,[2]quests!$1:$1,0)+1,FALSE)</f>
        <v>タワーオブザクイーン -アヴァルシア-</v>
      </c>
      <c r="D2" s="80" t="str">
        <f ca="1">VLOOKUP($B2,OFFSET([2]quests!$A$1,0,0,COUNTA([2]quests!$A:$A),MATCH(D$1,[2]quests!$1:$1,0)-MATCH($B$1,[2]quests!$1:$1,0)+1),MATCH(D$1,[2]quests!$1:$1,0)-MATCH($B$1,[2]quests!$1:$1,0)+1,FALSE)</f>
        <v>タワーオブザクイーン1本目</v>
      </c>
      <c r="E2" s="81">
        <v>11</v>
      </c>
      <c r="F2" s="80" t="str">
        <f ca="1">VLOOKUP($B2&amp;"_"&amp;$E2,OFFSET([2]stages!$A$1,0,0,COUNTA([2]stages!$A:$A),MATCH(F$1,[2]stages!$2:$2,0)-MATCH("temp_stage",[2]stages!$2:$2,0)+1),MATCH(F$1,[2]stages!$2:$2,0)-MATCH("temp_stage",[2]stages!$2:$2,0)+1,FALSE)</f>
        <v>11階 コスト30以下限定</v>
      </c>
      <c r="G2" s="80" t="str">
        <f ca="1">VLOOKUP($B2&amp;"_"&amp;$E2,OFFSET([2]stages!$A$1,0,0,COUNTA([2]stages!$A:$A),MATCH(G$1,[2]stages!$2:$2,0)-MATCH("temp_stage",[2]stages!$2:$2,0)+1),MATCH(G$1,[2]stages!$2:$2,0)-MATCH("temp_stage",[2]stages!$2:$2,0)+1,FALSE)</f>
        <v>タワーオブザクイーン1本目</v>
      </c>
      <c r="H2" s="82">
        <v>1</v>
      </c>
      <c r="I2" s="86">
        <f>ROW()-1</f>
        <v>1</v>
      </c>
      <c r="J2" s="104">
        <v>13302700</v>
      </c>
      <c r="K2" s="81" t="s">
        <v>258</v>
      </c>
      <c r="L2" s="83" t="s">
        <v>195</v>
      </c>
      <c r="M2" s="102" t="s">
        <v>297</v>
      </c>
      <c r="N2" s="55" t="s">
        <v>196</v>
      </c>
      <c r="O2">
        <f>LEN(M2)</f>
        <v>43</v>
      </c>
    </row>
    <row r="3" spans="1:15" ht="56" x14ac:dyDescent="0.15">
      <c r="A3" s="78" t="s">
        <v>194</v>
      </c>
      <c r="B3" s="79">
        <v>13302</v>
      </c>
      <c r="C3" s="80" t="str">
        <f ca="1">VLOOKUP($B3,OFFSET([2]quests!$A$1,0,0,COUNTA([2]quests!$A:$A),MATCH(C$1,[2]quests!$1:$1,0)-MATCH($B$1,[2]quests!$1:$1,0)+1),MATCH(C$1,[2]quests!$1:$1,0)-MATCH($B$1,[2]quests!$1:$1,0)+1,FALSE)</f>
        <v>タワーオブザクイーン -アヴァルシア-</v>
      </c>
      <c r="D3" s="80" t="str">
        <f ca="1">VLOOKUP($B3,OFFSET([2]quests!$A$1,0,0,COUNTA([2]quests!$A:$A),MATCH(D$1,[2]quests!$1:$1,0)-MATCH($B$1,[2]quests!$1:$1,0)+1),MATCH(D$1,[2]quests!$1:$1,0)-MATCH($B$1,[2]quests!$1:$1,0)+1,FALSE)</f>
        <v>タワーオブザクイーン1本目</v>
      </c>
      <c r="E3" s="81">
        <v>11</v>
      </c>
      <c r="F3" s="80" t="str">
        <f ca="1">VLOOKUP($B3&amp;"_"&amp;$E3,OFFSET([2]stages!$A$1,0,0,COUNTA([2]stages!$A:$A),MATCH(F$1,[2]stages!$2:$2,0)-MATCH("temp_stage",[2]stages!$2:$2,0)+1),MATCH(F$1,[2]stages!$2:$2,0)-MATCH("temp_stage",[2]stages!$2:$2,0)+1,FALSE)</f>
        <v>11階 コスト30以下限定</v>
      </c>
      <c r="G3" s="80" t="str">
        <f ca="1">VLOOKUP($B3&amp;"_"&amp;$E3,OFFSET([2]stages!$A$1,0,0,COUNTA([2]stages!$A:$A),MATCH(G$1,[2]stages!$2:$2,0)-MATCH("temp_stage",[2]stages!$2:$2,0)+1),MATCH(G$1,[2]stages!$2:$2,0)-MATCH("temp_stage",[2]stages!$2:$2,0)+1,FALSE)</f>
        <v>タワーオブザクイーン1本目</v>
      </c>
      <c r="H3" s="82">
        <v>1</v>
      </c>
      <c r="I3" s="86">
        <f>ROW()-1</f>
        <v>2</v>
      </c>
      <c r="J3" s="104">
        <v>13302701</v>
      </c>
      <c r="K3" s="81" t="s">
        <v>259</v>
      </c>
      <c r="L3" s="83" t="s">
        <v>195</v>
      </c>
      <c r="M3" s="102" t="s">
        <v>260</v>
      </c>
      <c r="N3" s="55" t="s">
        <v>261</v>
      </c>
      <c r="O3">
        <f t="shared" ref="O3:O7" si="0">LEN(M3)</f>
        <v>38</v>
      </c>
    </row>
    <row r="4" spans="1:15" ht="56" x14ac:dyDescent="0.15">
      <c r="A4" s="78" t="s">
        <v>194</v>
      </c>
      <c r="B4" s="79">
        <v>13302</v>
      </c>
      <c r="C4" s="80" t="str">
        <f ca="1">VLOOKUP($B4,OFFSET([2]quests!$A$1,0,0,COUNTA([2]quests!$A:$A),MATCH(C$1,[2]quests!$1:$1,0)-MATCH($B$1,[2]quests!$1:$1,0)+1),MATCH(C$1,[2]quests!$1:$1,0)-MATCH($B$1,[2]quests!$1:$1,0)+1,FALSE)</f>
        <v>タワーオブザクイーン -アヴァルシア-</v>
      </c>
      <c r="D4" s="80" t="str">
        <f ca="1">VLOOKUP($B4,OFFSET([2]quests!$A$1,0,0,COUNTA([2]quests!$A:$A),MATCH(D$1,[2]quests!$1:$1,0)-MATCH($B$1,[2]quests!$1:$1,0)+1),MATCH(D$1,[2]quests!$1:$1,0)-MATCH($B$1,[2]quests!$1:$1,0)+1,FALSE)</f>
        <v>タワーオブザクイーン1本目</v>
      </c>
      <c r="E4" s="81">
        <v>11</v>
      </c>
      <c r="F4" s="80" t="str">
        <f ca="1">VLOOKUP($B4&amp;"_"&amp;$E4,OFFSET([2]stages!$A$1,0,0,COUNTA([2]stages!$A:$A),MATCH(F$1,[2]stages!$2:$2,0)-MATCH("temp_stage",[2]stages!$2:$2,0)+1),MATCH(F$1,[2]stages!$2:$2,0)-MATCH("temp_stage",[2]stages!$2:$2,0)+1,FALSE)</f>
        <v>11階 コスト30以下限定</v>
      </c>
      <c r="G4" s="80" t="str">
        <f ca="1">VLOOKUP($B4&amp;"_"&amp;$E4,OFFSET([2]stages!$A$1,0,0,COUNTA([2]stages!$A:$A),MATCH(G$1,[2]stages!$2:$2,0)-MATCH("temp_stage",[2]stages!$2:$2,0)+1),MATCH(G$1,[2]stages!$2:$2,0)-MATCH("temp_stage",[2]stages!$2:$2,0)+1,FALSE)</f>
        <v>タワーオブザクイーン1本目</v>
      </c>
      <c r="H4" s="82">
        <v>2</v>
      </c>
      <c r="I4" s="86">
        <f t="shared" ref="I4:I7" si="1">ROW()-1</f>
        <v>3</v>
      </c>
      <c r="J4" s="104">
        <v>13302702</v>
      </c>
      <c r="K4" s="81" t="s">
        <v>258</v>
      </c>
      <c r="L4" s="83" t="s">
        <v>195</v>
      </c>
      <c r="M4" s="102" t="s">
        <v>262</v>
      </c>
      <c r="N4" s="55" t="s">
        <v>196</v>
      </c>
      <c r="O4">
        <f t="shared" si="0"/>
        <v>50</v>
      </c>
    </row>
    <row r="5" spans="1:15" ht="28" x14ac:dyDescent="0.15">
      <c r="A5" s="78" t="s">
        <v>194</v>
      </c>
      <c r="B5" s="79">
        <v>13302</v>
      </c>
      <c r="C5" s="80" t="str">
        <f ca="1">VLOOKUP($B5,OFFSET([2]quests!$A$1,0,0,COUNTA([2]quests!$A:$A),MATCH(C$1,[2]quests!$1:$1,0)-MATCH($B$1,[2]quests!$1:$1,0)+1),MATCH(C$1,[2]quests!$1:$1,0)-MATCH($B$1,[2]quests!$1:$1,0)+1,FALSE)</f>
        <v>タワーオブザクイーン -アヴァルシア-</v>
      </c>
      <c r="D5" s="80" t="str">
        <f ca="1">VLOOKUP($B5,OFFSET([2]quests!$A$1,0,0,COUNTA([2]quests!$A:$A),MATCH(D$1,[2]quests!$1:$1,0)-MATCH($B$1,[2]quests!$1:$1,0)+1),MATCH(D$1,[2]quests!$1:$1,0)-MATCH($B$1,[2]quests!$1:$1,0)+1,FALSE)</f>
        <v>タワーオブザクイーン1本目</v>
      </c>
      <c r="E5" s="81">
        <v>11</v>
      </c>
      <c r="F5" s="80" t="str">
        <f ca="1">VLOOKUP($B5&amp;"_"&amp;$E5,OFFSET([2]stages!$A$1,0,0,COUNTA([2]stages!$A:$A),MATCH(F$1,[2]stages!$2:$2,0)-MATCH("temp_stage",[2]stages!$2:$2,0)+1),MATCH(F$1,[2]stages!$2:$2,0)-MATCH("temp_stage",[2]stages!$2:$2,0)+1,FALSE)</f>
        <v>11階 コスト30以下限定</v>
      </c>
      <c r="G5" s="80" t="str">
        <f ca="1">VLOOKUP($B5&amp;"_"&amp;$E5,OFFSET([2]stages!$A$1,0,0,COUNTA([2]stages!$A:$A),MATCH(G$1,[2]stages!$2:$2,0)-MATCH("temp_stage",[2]stages!$2:$2,0)+1),MATCH(G$1,[2]stages!$2:$2,0)-MATCH("temp_stage",[2]stages!$2:$2,0)+1,FALSE)</f>
        <v>タワーオブザクイーン1本目</v>
      </c>
      <c r="H5" s="82">
        <v>2</v>
      </c>
      <c r="I5" s="86">
        <f t="shared" si="1"/>
        <v>4</v>
      </c>
      <c r="J5" s="104">
        <v>13302703</v>
      </c>
      <c r="K5" s="81" t="s">
        <v>263</v>
      </c>
      <c r="L5" s="83" t="s">
        <v>195</v>
      </c>
      <c r="M5" s="102" t="s">
        <v>264</v>
      </c>
      <c r="N5" s="55" t="s">
        <v>265</v>
      </c>
      <c r="O5">
        <f t="shared" si="0"/>
        <v>40</v>
      </c>
    </row>
    <row r="6" spans="1:15" ht="56" x14ac:dyDescent="0.15">
      <c r="A6" s="78" t="s">
        <v>194</v>
      </c>
      <c r="B6" s="79">
        <v>13302</v>
      </c>
      <c r="C6" s="80" t="str">
        <f ca="1">VLOOKUP($B6,OFFSET([2]quests!$A$1,0,0,COUNTA([2]quests!$A:$A),MATCH(C$1,[2]quests!$1:$1,0)-MATCH($B$1,[2]quests!$1:$1,0)+1),MATCH(C$1,[2]quests!$1:$1,0)-MATCH($B$1,[2]quests!$1:$1,0)+1,FALSE)</f>
        <v>タワーオブザクイーン -アヴァルシア-</v>
      </c>
      <c r="D6" s="80" t="str">
        <f ca="1">VLOOKUP($B6,OFFSET([2]quests!$A$1,0,0,COUNTA([2]quests!$A:$A),MATCH(D$1,[2]quests!$1:$1,0)-MATCH($B$1,[2]quests!$1:$1,0)+1),MATCH(D$1,[2]quests!$1:$1,0)-MATCH($B$1,[2]quests!$1:$1,0)+1,FALSE)</f>
        <v>タワーオブザクイーン1本目</v>
      </c>
      <c r="E6" s="81">
        <v>11</v>
      </c>
      <c r="F6" s="80" t="str">
        <f ca="1">VLOOKUP($B6&amp;"_"&amp;$E6,OFFSET([2]stages!$A$1,0,0,COUNTA([2]stages!$A:$A),MATCH(F$1,[2]stages!$2:$2,0)-MATCH("temp_stage",[2]stages!$2:$2,0)+1),MATCH(F$1,[2]stages!$2:$2,0)-MATCH("temp_stage",[2]stages!$2:$2,0)+1,FALSE)</f>
        <v>11階 コスト30以下限定</v>
      </c>
      <c r="G6" s="80" t="str">
        <f ca="1">VLOOKUP($B6&amp;"_"&amp;$E6,OFFSET([2]stages!$A$1,0,0,COUNTA([2]stages!$A:$A),MATCH(G$1,[2]stages!$2:$2,0)-MATCH("temp_stage",[2]stages!$2:$2,0)+1),MATCH(G$1,[2]stages!$2:$2,0)-MATCH("temp_stage",[2]stages!$2:$2,0)+1,FALSE)</f>
        <v>タワーオブザクイーン1本目</v>
      </c>
      <c r="H6" s="82">
        <v>3</v>
      </c>
      <c r="I6" s="86">
        <f t="shared" si="1"/>
        <v>5</v>
      </c>
      <c r="J6" s="104">
        <v>13302704</v>
      </c>
      <c r="K6" s="81" t="s">
        <v>258</v>
      </c>
      <c r="L6" s="83" t="s">
        <v>195</v>
      </c>
      <c r="M6" s="102" t="s">
        <v>266</v>
      </c>
      <c r="N6" s="55" t="s">
        <v>196</v>
      </c>
      <c r="O6">
        <f t="shared" si="0"/>
        <v>47</v>
      </c>
    </row>
    <row r="7" spans="1:15" ht="56" x14ac:dyDescent="0.15">
      <c r="A7" s="78" t="s">
        <v>194</v>
      </c>
      <c r="B7" s="79">
        <v>13302</v>
      </c>
      <c r="C7" s="80" t="str">
        <f ca="1">VLOOKUP($B7,OFFSET([2]quests!$A$1,0,0,COUNTA([2]quests!$A:$A),MATCH(C$1,[2]quests!$1:$1,0)-MATCH($B$1,[2]quests!$1:$1,0)+1),MATCH(C$1,[2]quests!$1:$1,0)-MATCH($B$1,[2]quests!$1:$1,0)+1,FALSE)</f>
        <v>タワーオブザクイーン -アヴァルシア-</v>
      </c>
      <c r="D7" s="80" t="str">
        <f ca="1">VLOOKUP($B7,OFFSET([2]quests!$A$1,0,0,COUNTA([2]quests!$A:$A),MATCH(D$1,[2]quests!$1:$1,0)-MATCH($B$1,[2]quests!$1:$1,0)+1),MATCH(D$1,[2]quests!$1:$1,0)-MATCH($B$1,[2]quests!$1:$1,0)+1,FALSE)</f>
        <v>タワーオブザクイーン1本目</v>
      </c>
      <c r="E7" s="81">
        <v>11</v>
      </c>
      <c r="F7" s="80" t="str">
        <f ca="1">VLOOKUP($B7&amp;"_"&amp;$E7,OFFSET([2]stages!$A$1,0,0,COUNTA([2]stages!$A:$A),MATCH(F$1,[2]stages!$2:$2,0)-MATCH("temp_stage",[2]stages!$2:$2,0)+1),MATCH(F$1,[2]stages!$2:$2,0)-MATCH("temp_stage",[2]stages!$2:$2,0)+1,FALSE)</f>
        <v>11階 コスト30以下限定</v>
      </c>
      <c r="G7" s="80" t="str">
        <f ca="1">VLOOKUP($B7&amp;"_"&amp;$E7,OFFSET([2]stages!$A$1,0,0,COUNTA([2]stages!$A:$A),MATCH(G$1,[2]stages!$2:$2,0)-MATCH("temp_stage",[2]stages!$2:$2,0)+1),MATCH(G$1,[2]stages!$2:$2,0)-MATCH("temp_stage",[2]stages!$2:$2,0)+1,FALSE)</f>
        <v>タワーオブザクイーン1本目</v>
      </c>
      <c r="H7" s="82">
        <v>3</v>
      </c>
      <c r="I7" s="86">
        <f t="shared" si="1"/>
        <v>6</v>
      </c>
      <c r="J7" s="104">
        <v>13302705</v>
      </c>
      <c r="K7" s="81" t="s">
        <v>258</v>
      </c>
      <c r="L7" s="83" t="s">
        <v>195</v>
      </c>
      <c r="M7" s="102" t="s">
        <v>267</v>
      </c>
      <c r="N7" s="55" t="s">
        <v>196</v>
      </c>
      <c r="O7">
        <f t="shared" si="0"/>
        <v>46</v>
      </c>
    </row>
    <row r="8" spans="1:15" x14ac:dyDescent="0.15">
      <c r="M8" s="103"/>
    </row>
  </sheetData>
  <phoneticPr fontId="5"/>
  <dataValidations count="1">
    <dataValidation type="list" allowBlank="1" showInputMessage="1" showErrorMessage="1" sqref="A2:A7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3"/>
  <sheetViews>
    <sheetView showGridLines="0" workbookViewId="0">
      <pane ySplit="1" topLeftCell="A2" activePane="bottomLeft" state="frozen"/>
      <selection pane="bottomLeft" activeCell="A2" sqref="A2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0" t="s">
        <v>208</v>
      </c>
      <c r="B1" s="91" t="s">
        <v>209</v>
      </c>
      <c r="C1" s="74" t="s">
        <v>210</v>
      </c>
      <c r="D1" s="74" t="s">
        <v>33</v>
      </c>
      <c r="E1" s="91" t="s">
        <v>211</v>
      </c>
      <c r="F1" s="74" t="s">
        <v>212</v>
      </c>
      <c r="G1" s="74" t="s">
        <v>33</v>
      </c>
      <c r="H1" s="91" t="s">
        <v>213</v>
      </c>
      <c r="I1" s="91" t="s">
        <v>214</v>
      </c>
      <c r="J1" s="91" t="s">
        <v>215</v>
      </c>
      <c r="K1" s="70" t="s">
        <v>216</v>
      </c>
      <c r="L1" s="70" t="s">
        <v>217</v>
      </c>
      <c r="M1" s="70" t="s">
        <v>154</v>
      </c>
      <c r="N1" s="74" t="s">
        <v>16</v>
      </c>
      <c r="O1" s="70" t="s">
        <v>218</v>
      </c>
      <c r="P1" s="70" t="s">
        <v>57</v>
      </c>
      <c r="Q1" s="70" t="s">
        <v>219</v>
      </c>
      <c r="R1" s="70" t="s">
        <v>38</v>
      </c>
      <c r="S1" s="70" t="s">
        <v>40</v>
      </c>
      <c r="T1" s="70" t="s">
        <v>42</v>
      </c>
      <c r="U1" s="70" t="s">
        <v>44</v>
      </c>
      <c r="V1" s="70" t="s">
        <v>46</v>
      </c>
      <c r="W1" s="70" t="s">
        <v>220</v>
      </c>
      <c r="X1" s="70" t="s">
        <v>221</v>
      </c>
    </row>
    <row r="2" spans="1:24" x14ac:dyDescent="0.15">
      <c r="A2" s="92" t="str">
        <f>B2&amp;"_"&amp;E2&amp;"_"&amp;H2&amp;"_"&amp;I2&amp;"_"&amp;J2</f>
        <v>13302_11_singleonly_clear_1</v>
      </c>
      <c r="B2" s="79">
        <v>13302</v>
      </c>
      <c r="C2" s="80" t="str">
        <f ca="1">VLOOKUP($B2,OFFSET([2]quests!$A$1,0,0,COUNTA([2]quests!$A:$A),MATCH(C$1,[2]quests!$1:$1,0)-MATCH($B$1,[2]quests!$1:$1,0)+1),MATCH(C$1,[2]quests!$1:$1,0)-MATCH($B$1,[2]quests!$1:$1,0)+1,FALSE)</f>
        <v>タワーオブザクイーン -アヴァルシア-</v>
      </c>
      <c r="D2" s="80" t="str">
        <f ca="1">VLOOKUP($B2,OFFSET([2]quests!$A$1,0,0,COUNTA([2]quests!$A:$A),MATCH(D$1,[2]quests!$1:$1,0)-MATCH($B$1,[2]quests!$1:$1,0)+1),MATCH(D$1,[2]quests!$1:$1,0)-MATCH($B$1,[2]quests!$1:$1,0)+1,FALSE)</f>
        <v>タワーオブザクイーン1本目</v>
      </c>
      <c r="E2" s="81">
        <v>11</v>
      </c>
      <c r="F2" s="80" t="str">
        <f ca="1">VLOOKUP($B2&amp;"_"&amp;$E2,OFFSET([2]stages!$A$1,0,0,COUNTA([2]stages!$A:$A),MATCH(F$1,[2]stages!$2:$2,0)-MATCH("temp_stage",[2]stages!$2:$2,0)+1),MATCH(F$1,[2]stages!$2:$2,0)-MATCH("temp_stage",[2]stages!$2:$2,0)+1,FALSE)</f>
        <v>11階 コスト30以下限定</v>
      </c>
      <c r="G2" s="80" t="str">
        <f ca="1">VLOOKUP($B2&amp;"_"&amp;$E2,OFFSET([2]stages!$A$1,0,0,COUNTA([2]stages!$A:$A),MATCH(G$1,[2]stages!$2:$2,0)-MATCH("temp_stage",[2]stages!$2:$2,0)+1),MATCH(G$1,[2]stages!$2:$2,0)-MATCH("temp_stage",[2]stages!$2:$2,0)+1,FALSE)</f>
        <v>タワーオブザクイーン1本目</v>
      </c>
      <c r="H2" s="82" t="s">
        <v>256</v>
      </c>
      <c r="I2" s="81" t="s">
        <v>222</v>
      </c>
      <c r="J2" s="81">
        <v>1</v>
      </c>
      <c r="K2" s="81">
        <v>510</v>
      </c>
      <c r="L2" s="81" t="s">
        <v>252</v>
      </c>
      <c r="M2" s="81">
        <v>23000</v>
      </c>
      <c r="N2" s="93" t="str">
        <f ca="1">IF(L2="unit",VLOOKUP($M2,OFFSET([5]characters!$A$1,0,0,COUNTA([5]characters!$A:$A),MATCH(N$1,[5]characters!$1:$1,0)-MATCH("character_id",[5]characters!$1:$1,0)+1),MATCH(N$1,[5]characters!$1:$1,0)-MATCH("character_id",[5]characters!$1:$1,0)+1,FALSE),"")</f>
        <v/>
      </c>
      <c r="O2" s="81" t="s">
        <v>254</v>
      </c>
      <c r="P2" s="81">
        <v>1</v>
      </c>
      <c r="Q2" s="81">
        <v>1</v>
      </c>
      <c r="R2" s="81">
        <v>0</v>
      </c>
      <c r="S2" s="81">
        <v>0</v>
      </c>
      <c r="T2" s="81">
        <v>0</v>
      </c>
      <c r="U2" s="81">
        <v>0</v>
      </c>
      <c r="V2" s="81">
        <v>1</v>
      </c>
      <c r="W2" s="94" t="s">
        <v>223</v>
      </c>
      <c r="X2" s="95" t="s">
        <v>224</v>
      </c>
    </row>
    <row r="3" spans="1:24" x14ac:dyDescent="0.15">
      <c r="A3" s="92" t="str">
        <f>B3&amp;"_"&amp;E3&amp;"_"&amp;H3&amp;"_"&amp;I3&amp;"_"&amp;J3</f>
        <v>13302_11_singleonly_clear_2</v>
      </c>
      <c r="B3" s="79">
        <v>13302</v>
      </c>
      <c r="C3" s="80" t="str">
        <f ca="1">VLOOKUP($B3,OFFSET([2]quests!$A$1,0,0,COUNTA([2]quests!$A:$A),MATCH(C$1,[2]quests!$1:$1,0)-MATCH($B$1,[2]quests!$1:$1,0)+1),MATCH(C$1,[2]quests!$1:$1,0)-MATCH($B$1,[2]quests!$1:$1,0)+1,FALSE)</f>
        <v>タワーオブザクイーン -アヴァルシア-</v>
      </c>
      <c r="D3" s="80" t="str">
        <f ca="1">VLOOKUP($B3,OFFSET([2]quests!$A$1,0,0,COUNTA([2]quests!$A:$A),MATCH(D$1,[2]quests!$1:$1,0)-MATCH($B$1,[2]quests!$1:$1,0)+1),MATCH(D$1,[2]quests!$1:$1,0)-MATCH($B$1,[2]quests!$1:$1,0)+1,FALSE)</f>
        <v>タワーオブザクイーン1本目</v>
      </c>
      <c r="E3" s="81">
        <v>11</v>
      </c>
      <c r="F3" s="80" t="str">
        <f ca="1">VLOOKUP($B3&amp;"_"&amp;$E3,OFFSET([2]stages!$A$1,0,0,COUNTA([2]stages!$A:$A),MATCH(F$1,[2]stages!$2:$2,0)-MATCH("temp_stage",[2]stages!$2:$2,0)+1),MATCH(F$1,[2]stages!$2:$2,0)-MATCH("temp_stage",[2]stages!$2:$2,0)+1,FALSE)</f>
        <v>11階 コスト30以下限定</v>
      </c>
      <c r="G3" s="80" t="str">
        <f ca="1">VLOOKUP($B3&amp;"_"&amp;$E3,OFFSET([2]stages!$A$1,0,0,COUNTA([2]stages!$A:$A),MATCH(G$1,[2]stages!$2:$2,0)-MATCH("temp_stage",[2]stages!$2:$2,0)+1),MATCH(G$1,[2]stages!$2:$2,0)-MATCH("temp_stage",[2]stages!$2:$2,0)+1,FALSE)</f>
        <v>タワーオブザクイーン1本目</v>
      </c>
      <c r="H3" s="82" t="s">
        <v>257</v>
      </c>
      <c r="I3" s="81" t="s">
        <v>222</v>
      </c>
      <c r="J3" s="81">
        <v>2</v>
      </c>
      <c r="K3" s="81">
        <v>490</v>
      </c>
      <c r="L3" s="81" t="s">
        <v>253</v>
      </c>
      <c r="M3" s="81">
        <v>58000</v>
      </c>
      <c r="N3" s="93" t="str">
        <f ca="1">IF(L3="unit",VLOOKUP($M3,OFFSET([5]characters!$A$1,0,0,COUNTA([5]characters!$A:$A),MATCH(N$1,[5]characters!$1:$1,0)-MATCH("character_id",[5]characters!$1:$1,0)+1),MATCH(N$1,[5]characters!$1:$1,0)-MATCH("character_id",[5]characters!$1:$1,0)+1,FALSE),"")</f>
        <v/>
      </c>
      <c r="O3" s="81" t="s">
        <v>255</v>
      </c>
      <c r="P3" s="81">
        <v>1</v>
      </c>
      <c r="Q3" s="81">
        <v>1</v>
      </c>
      <c r="R3" s="81">
        <v>0</v>
      </c>
      <c r="S3" s="81">
        <v>0</v>
      </c>
      <c r="T3" s="81">
        <v>0</v>
      </c>
      <c r="U3" s="81">
        <v>0</v>
      </c>
      <c r="V3" s="81">
        <v>1</v>
      </c>
      <c r="W3" s="94" t="s">
        <v>223</v>
      </c>
      <c r="X3" s="95" t="s">
        <v>224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2017-01-27T09:12:28Z</dcterms:modified>
</cp:coreProperties>
</file>