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480" yWindow="460" windowWidth="2770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" i="57" l="1"/>
  <c r="E4" i="57"/>
  <c r="B4" i="57"/>
  <c r="F6" i="57"/>
  <c r="E6" i="57"/>
  <c r="B6" i="57"/>
  <c r="F9" i="57"/>
  <c r="E9" i="57"/>
  <c r="B9" i="57"/>
  <c r="F8" i="57"/>
  <c r="E8" i="57"/>
  <c r="B8" i="57"/>
  <c r="F7" i="57"/>
  <c r="E7" i="57"/>
  <c r="B7" i="57"/>
  <c r="F5" i="57"/>
  <c r="E5" i="57"/>
  <c r="B5" i="57"/>
  <c r="F3" i="57"/>
  <c r="E3" i="57"/>
  <c r="B3" i="57"/>
  <c r="J29" i="3"/>
  <c r="H29" i="3"/>
  <c r="C29" i="3"/>
  <c r="F29" i="3"/>
  <c r="E29" i="3"/>
  <c r="D29" i="3"/>
  <c r="A29" i="3"/>
  <c r="J28" i="3"/>
  <c r="H28" i="3"/>
  <c r="C28" i="3"/>
  <c r="F28" i="3"/>
  <c r="E28" i="3"/>
  <c r="D28" i="3"/>
  <c r="A28" i="3"/>
  <c r="J27" i="3"/>
  <c r="H27" i="3"/>
  <c r="C27" i="3"/>
  <c r="F27" i="3"/>
  <c r="E27" i="3"/>
  <c r="D27" i="3"/>
  <c r="A27" i="3"/>
  <c r="J26" i="3"/>
  <c r="H26" i="3"/>
  <c r="C26" i="3"/>
  <c r="F26" i="3"/>
  <c r="E26" i="3"/>
  <c r="D26" i="3"/>
  <c r="A26" i="3"/>
  <c r="J25" i="3"/>
  <c r="H25" i="3"/>
  <c r="C25" i="3"/>
  <c r="F25" i="3"/>
  <c r="E25" i="3"/>
  <c r="D25" i="3"/>
  <c r="A25" i="3"/>
  <c r="J24" i="3"/>
  <c r="H24" i="3"/>
  <c r="C24" i="3"/>
  <c r="F24" i="3"/>
  <c r="E24" i="3"/>
  <c r="D24" i="3"/>
  <c r="A24" i="3"/>
  <c r="J23" i="3"/>
  <c r="H23" i="3"/>
  <c r="C23" i="3"/>
  <c r="F23" i="3"/>
  <c r="E23" i="3"/>
  <c r="D23" i="3"/>
  <c r="A23" i="3"/>
  <c r="J22" i="3"/>
  <c r="H22" i="3"/>
  <c r="C22" i="3"/>
  <c r="F22" i="3"/>
  <c r="E22" i="3"/>
  <c r="D22" i="3"/>
  <c r="A22" i="3"/>
  <c r="J21" i="3"/>
  <c r="H21" i="3"/>
  <c r="C21" i="3"/>
  <c r="F21" i="3"/>
  <c r="E21" i="3"/>
  <c r="D21" i="3"/>
  <c r="A21" i="3"/>
  <c r="J20" i="3"/>
  <c r="H20" i="3"/>
  <c r="C20" i="3"/>
  <c r="F20" i="3"/>
  <c r="E20" i="3"/>
  <c r="D20" i="3"/>
  <c r="A20" i="3"/>
  <c r="J19" i="3"/>
  <c r="H19" i="3"/>
  <c r="C19" i="3"/>
  <c r="F19" i="3"/>
  <c r="E19" i="3"/>
  <c r="D19" i="3"/>
  <c r="A19" i="3"/>
  <c r="J18" i="3"/>
  <c r="H18" i="3"/>
  <c r="C18" i="3"/>
  <c r="F18" i="3"/>
  <c r="E18" i="3"/>
  <c r="D18" i="3"/>
  <c r="A18" i="3"/>
  <c r="J17" i="3"/>
  <c r="H17" i="3"/>
  <c r="C17" i="3"/>
  <c r="F17" i="3"/>
  <c r="E17" i="3"/>
  <c r="D17" i="3"/>
  <c r="A17" i="3"/>
  <c r="J16" i="3"/>
  <c r="H16" i="3"/>
  <c r="C16" i="3"/>
  <c r="F16" i="3"/>
  <c r="E16" i="3"/>
  <c r="D16" i="3"/>
  <c r="A16" i="3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G7" i="58"/>
  <c r="U7" i="58"/>
  <c r="S7" i="58"/>
  <c r="T7" i="58"/>
  <c r="R7" i="58"/>
  <c r="P7" i="58"/>
  <c r="O7" i="58"/>
  <c r="N7" i="58"/>
  <c r="M7" i="58"/>
  <c r="L7" i="58"/>
  <c r="J7" i="58"/>
  <c r="K7" i="58"/>
  <c r="I7" i="58"/>
  <c r="H7" i="58"/>
  <c r="F7" i="58"/>
  <c r="E7" i="58"/>
  <c r="D7" i="58"/>
  <c r="C7" i="58"/>
  <c r="B7" i="58"/>
  <c r="G6" i="58"/>
  <c r="U6" i="58"/>
  <c r="S6" i="58"/>
  <c r="T6" i="58"/>
  <c r="R6" i="58"/>
  <c r="P6" i="58"/>
  <c r="O6" i="58"/>
  <c r="N6" i="58"/>
  <c r="M6" i="58"/>
  <c r="L6" i="58"/>
  <c r="J6" i="58"/>
  <c r="K6" i="58"/>
  <c r="I6" i="58"/>
  <c r="H6" i="58"/>
  <c r="F6" i="58"/>
  <c r="E6" i="58"/>
  <c r="D6" i="58"/>
  <c r="C6" i="58"/>
  <c r="B6" i="58"/>
  <c r="G5" i="58"/>
  <c r="U5" i="58"/>
  <c r="S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G4" i="58"/>
  <c r="U4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55" i="54"/>
  <c r="D55" i="54"/>
  <c r="B55" i="54"/>
  <c r="E54" i="54"/>
  <c r="D54" i="54"/>
  <c r="B54" i="54"/>
  <c r="E53" i="54"/>
  <c r="D53" i="54"/>
  <c r="B53" i="54"/>
  <c r="E52" i="54"/>
  <c r="D52" i="54"/>
  <c r="B52" i="54"/>
  <c r="E51" i="54"/>
  <c r="D51" i="54"/>
  <c r="B51" i="54"/>
  <c r="E50" i="54"/>
  <c r="D50" i="54"/>
  <c r="B50" i="54"/>
  <c r="E49" i="54"/>
  <c r="D49" i="54"/>
  <c r="B49" i="54"/>
  <c r="E48" i="54"/>
  <c r="D48" i="54"/>
  <c r="B48" i="54"/>
  <c r="E47" i="54"/>
  <c r="D47" i="54"/>
  <c r="B47" i="54"/>
  <c r="E46" i="54"/>
  <c r="D46" i="54"/>
  <c r="B46" i="54"/>
  <c r="E45" i="54"/>
  <c r="D45" i="54"/>
  <c r="B45" i="54"/>
  <c r="E44" i="54"/>
  <c r="D44" i="54"/>
  <c r="B44" i="54"/>
  <c r="E43" i="54"/>
  <c r="D43" i="54"/>
  <c r="B43" i="54"/>
  <c r="E42" i="54"/>
  <c r="D42" i="54"/>
  <c r="B42" i="54"/>
  <c r="E41" i="54"/>
  <c r="D41" i="54"/>
  <c r="B41" i="54"/>
  <c r="E40" i="54"/>
  <c r="D40" i="54"/>
  <c r="B40" i="54"/>
  <c r="E39" i="54"/>
  <c r="D39" i="54"/>
  <c r="B39" i="54"/>
  <c r="E38" i="54"/>
  <c r="D38" i="54"/>
  <c r="B38" i="54"/>
  <c r="E37" i="54"/>
  <c r="D37" i="54"/>
  <c r="B37" i="54"/>
  <c r="E36" i="54"/>
  <c r="D36" i="54"/>
  <c r="B36" i="54"/>
  <c r="E35" i="54"/>
  <c r="D35" i="54"/>
  <c r="B35" i="54"/>
  <c r="E34" i="54"/>
  <c r="D34" i="54"/>
  <c r="B34" i="54"/>
  <c r="E33" i="54"/>
  <c r="D33" i="54"/>
  <c r="B33" i="54"/>
  <c r="E32" i="54"/>
  <c r="D32" i="54"/>
  <c r="B32" i="54"/>
  <c r="E31" i="54"/>
  <c r="D31" i="54"/>
  <c r="B31" i="54"/>
  <c r="E30" i="54"/>
  <c r="D30" i="54"/>
  <c r="B30" i="54"/>
  <c r="E29" i="54"/>
  <c r="D29" i="54"/>
  <c r="B29" i="54"/>
  <c r="E28" i="54"/>
  <c r="D28" i="54"/>
  <c r="B28" i="54"/>
  <c r="E27" i="54"/>
  <c r="D27" i="54"/>
  <c r="B27" i="54"/>
  <c r="E26" i="54"/>
  <c r="D26" i="54"/>
  <c r="B26" i="54"/>
  <c r="E25" i="54"/>
  <c r="D25" i="54"/>
  <c r="B25" i="54"/>
  <c r="E24" i="54"/>
  <c r="D24" i="54"/>
  <c r="B24" i="54"/>
  <c r="E23" i="54"/>
  <c r="D23" i="54"/>
  <c r="B23" i="54"/>
  <c r="E22" i="54"/>
  <c r="D22" i="54"/>
  <c r="B22" i="54"/>
  <c r="E21" i="54"/>
  <c r="D21" i="54"/>
  <c r="B21" i="54"/>
  <c r="E20" i="54"/>
  <c r="D20" i="54"/>
  <c r="B20" i="54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13" i="53"/>
  <c r="G13" i="53"/>
  <c r="E13" i="53"/>
  <c r="H12" i="53"/>
  <c r="G12" i="53"/>
  <c r="E12" i="53"/>
  <c r="H11" i="53"/>
  <c r="G11" i="53"/>
  <c r="E11" i="53"/>
  <c r="H10" i="53"/>
  <c r="G10" i="53"/>
  <c r="E10" i="53"/>
  <c r="H9" i="53"/>
  <c r="G9" i="53"/>
  <c r="E9" i="53"/>
  <c r="H8" i="53"/>
  <c r="G8" i="53"/>
  <c r="E8" i="53"/>
  <c r="H7" i="53"/>
  <c r="G7" i="53"/>
  <c r="E7" i="53"/>
  <c r="H6" i="53"/>
  <c r="G6" i="53"/>
  <c r="E6" i="53"/>
  <c r="H5" i="53"/>
  <c r="G5" i="53"/>
  <c r="E5" i="53"/>
  <c r="H4" i="53"/>
  <c r="G4" i="53"/>
  <c r="E4" i="53"/>
  <c r="K13" i="52"/>
  <c r="J13" i="52"/>
  <c r="H13" i="52"/>
  <c r="E13" i="52"/>
  <c r="K12" i="52"/>
  <c r="J12" i="52"/>
  <c r="H12" i="52"/>
  <c r="E12" i="52"/>
  <c r="K11" i="52"/>
  <c r="J11" i="52"/>
  <c r="H11" i="52"/>
  <c r="E11" i="52"/>
  <c r="K10" i="52"/>
  <c r="J10" i="52"/>
  <c r="H10" i="52"/>
  <c r="E10" i="52"/>
  <c r="K9" i="52"/>
  <c r="J9" i="52"/>
  <c r="H9" i="52"/>
  <c r="E9" i="52"/>
  <c r="K8" i="52"/>
  <c r="J8" i="52"/>
  <c r="H8" i="52"/>
  <c r="E8" i="52"/>
  <c r="K7" i="52"/>
  <c r="J7" i="52"/>
  <c r="H7" i="52"/>
  <c r="E7" i="52"/>
  <c r="K6" i="52"/>
  <c r="J6" i="52"/>
  <c r="H6" i="52"/>
  <c r="E6" i="52"/>
  <c r="K5" i="52"/>
  <c r="J5" i="52"/>
  <c r="H5" i="52"/>
  <c r="E5" i="52"/>
  <c r="K4" i="52"/>
  <c r="J4" i="52"/>
  <c r="H4" i="52"/>
  <c r="E4" i="52"/>
  <c r="H13" i="23"/>
  <c r="BR13" i="23"/>
  <c r="G13" i="23"/>
  <c r="BC13" i="23"/>
  <c r="BD13" i="23"/>
  <c r="Q13" i="23"/>
  <c r="V13" i="23"/>
  <c r="W13" i="23"/>
  <c r="AD13" i="23"/>
  <c r="I13" i="23"/>
  <c r="M13" i="23"/>
  <c r="BN13" i="23"/>
  <c r="U13" i="23"/>
  <c r="AC13" i="23"/>
  <c r="L13" i="23"/>
  <c r="BM13" i="23"/>
  <c r="T13" i="23"/>
  <c r="AB13" i="23"/>
  <c r="K13" i="23"/>
  <c r="BL13" i="23"/>
  <c r="S13" i="23"/>
  <c r="AA13" i="23"/>
  <c r="J13" i="23"/>
  <c r="BK13" i="23"/>
  <c r="H12" i="23"/>
  <c r="G12" i="23"/>
  <c r="BC12" i="23"/>
  <c r="BE13" i="23"/>
  <c r="BJ13" i="23"/>
  <c r="BI13" i="23"/>
  <c r="BH13" i="23"/>
  <c r="BG13" i="23"/>
  <c r="I12" i="23"/>
  <c r="J12" i="23"/>
  <c r="BF13" i="23"/>
  <c r="AX13" i="23"/>
  <c r="AW13" i="23"/>
  <c r="AV13" i="23"/>
  <c r="AU13" i="23"/>
  <c r="AS13" i="23"/>
  <c r="AR13" i="23"/>
  <c r="AQ13" i="23"/>
  <c r="AN13" i="23"/>
  <c r="AM13" i="23"/>
  <c r="AL13" i="23"/>
  <c r="AK13" i="23"/>
  <c r="AI13" i="23"/>
  <c r="AH13" i="23"/>
  <c r="AF13" i="23"/>
  <c r="Y13" i="23"/>
  <c r="Z13" i="23"/>
  <c r="X13" i="23"/>
  <c r="R13" i="23"/>
  <c r="P13" i="23"/>
  <c r="O13" i="23"/>
  <c r="G10" i="13"/>
  <c r="N13" i="23"/>
  <c r="F13" i="23"/>
  <c r="E13" i="23"/>
  <c r="D13" i="23"/>
  <c r="C13" i="23"/>
  <c r="B13" i="23"/>
  <c r="BR12" i="23"/>
  <c r="BD12" i="23"/>
  <c r="Q12" i="23"/>
  <c r="V12" i="23"/>
  <c r="W12" i="23"/>
  <c r="AD12" i="23"/>
  <c r="M12" i="23"/>
  <c r="BN12" i="23"/>
  <c r="U12" i="23"/>
  <c r="AC12" i="23"/>
  <c r="L12" i="23"/>
  <c r="BM12" i="23"/>
  <c r="T12" i="23"/>
  <c r="AB12" i="23"/>
  <c r="K12" i="23"/>
  <c r="BL12" i="23"/>
  <c r="S12" i="23"/>
  <c r="AA12" i="23"/>
  <c r="BK12" i="23"/>
  <c r="BE12" i="23"/>
  <c r="BJ12" i="23"/>
  <c r="BI12" i="23"/>
  <c r="BH12" i="23"/>
  <c r="BG12" i="23"/>
  <c r="BF12" i="23"/>
  <c r="AX12" i="23"/>
  <c r="AW12" i="23"/>
  <c r="AV12" i="23"/>
  <c r="AU12" i="23"/>
  <c r="AS12" i="23"/>
  <c r="AR12" i="23"/>
  <c r="AQ12" i="23"/>
  <c r="AN12" i="23"/>
  <c r="AM12" i="23"/>
  <c r="AL12" i="23"/>
  <c r="AK12" i="23"/>
  <c r="AI12" i="23"/>
  <c r="AH12" i="23"/>
  <c r="AF12" i="23"/>
  <c r="Y12" i="23"/>
  <c r="Z12" i="23"/>
  <c r="X12" i="23"/>
  <c r="R12" i="23"/>
  <c r="P12" i="23"/>
  <c r="O12" i="23"/>
  <c r="N12" i="23"/>
  <c r="F12" i="23"/>
  <c r="E12" i="23"/>
  <c r="D12" i="23"/>
  <c r="C12" i="23"/>
  <c r="B12" i="23"/>
  <c r="H11" i="23"/>
  <c r="BR11" i="23"/>
  <c r="G11" i="23"/>
  <c r="BC11" i="23"/>
  <c r="BD11" i="23"/>
  <c r="Q11" i="23"/>
  <c r="V11" i="23"/>
  <c r="W11" i="23"/>
  <c r="AD11" i="23"/>
  <c r="I11" i="23"/>
  <c r="M11" i="23"/>
  <c r="BN11" i="23"/>
  <c r="U11" i="23"/>
  <c r="AC11" i="23"/>
  <c r="L11" i="23"/>
  <c r="BM11" i="23"/>
  <c r="T11" i="23"/>
  <c r="AB11" i="23"/>
  <c r="K11" i="23"/>
  <c r="BL11" i="23"/>
  <c r="S11" i="23"/>
  <c r="AA11" i="23"/>
  <c r="J11" i="23"/>
  <c r="BK11" i="23"/>
  <c r="H10" i="23"/>
  <c r="G10" i="23"/>
  <c r="BC10" i="23"/>
  <c r="BE11" i="23"/>
  <c r="BJ11" i="23"/>
  <c r="BI11" i="23"/>
  <c r="BH11" i="23"/>
  <c r="BG11" i="23"/>
  <c r="I10" i="23"/>
  <c r="J10" i="23"/>
  <c r="BF11" i="23"/>
  <c r="AX11" i="23"/>
  <c r="AW11" i="23"/>
  <c r="AV11" i="23"/>
  <c r="AU11" i="23"/>
  <c r="AS11" i="23"/>
  <c r="AR11" i="23"/>
  <c r="AQ11" i="23"/>
  <c r="AN11" i="23"/>
  <c r="AM11" i="23"/>
  <c r="AL11" i="23"/>
  <c r="AK11" i="23"/>
  <c r="AI11" i="23"/>
  <c r="AH11" i="23"/>
  <c r="AF11" i="23"/>
  <c r="Y11" i="23"/>
  <c r="Z11" i="23"/>
  <c r="X11" i="23"/>
  <c r="R11" i="23"/>
  <c r="P11" i="23"/>
  <c r="O11" i="23"/>
  <c r="G9" i="13"/>
  <c r="N11" i="23"/>
  <c r="F11" i="23"/>
  <c r="E11" i="23"/>
  <c r="D11" i="23"/>
  <c r="C11" i="23"/>
  <c r="B11" i="23"/>
  <c r="BR10" i="23"/>
  <c r="BD10" i="23"/>
  <c r="Q10" i="23"/>
  <c r="V10" i="23"/>
  <c r="W10" i="23"/>
  <c r="AD10" i="23"/>
  <c r="M10" i="23"/>
  <c r="BN10" i="23"/>
  <c r="U10" i="23"/>
  <c r="AC10" i="23"/>
  <c r="L10" i="23"/>
  <c r="BM10" i="23"/>
  <c r="T10" i="23"/>
  <c r="AB10" i="23"/>
  <c r="K10" i="23"/>
  <c r="BL10" i="23"/>
  <c r="S10" i="23"/>
  <c r="AA10" i="23"/>
  <c r="BK10" i="23"/>
  <c r="BE10" i="23"/>
  <c r="BJ10" i="23"/>
  <c r="BI10" i="23"/>
  <c r="BH10" i="23"/>
  <c r="BG10" i="23"/>
  <c r="BF10" i="23"/>
  <c r="AX10" i="23"/>
  <c r="AW10" i="23"/>
  <c r="AV10" i="23"/>
  <c r="AU10" i="23"/>
  <c r="AS10" i="23"/>
  <c r="AR10" i="23"/>
  <c r="AQ10" i="23"/>
  <c r="AN10" i="23"/>
  <c r="AM10" i="23"/>
  <c r="AL10" i="23"/>
  <c r="AK10" i="23"/>
  <c r="AI10" i="23"/>
  <c r="AH10" i="23"/>
  <c r="AF10" i="23"/>
  <c r="Y10" i="23"/>
  <c r="Z10" i="23"/>
  <c r="X10" i="23"/>
  <c r="R10" i="23"/>
  <c r="P10" i="23"/>
  <c r="O10" i="23"/>
  <c r="N10" i="23"/>
  <c r="F10" i="23"/>
  <c r="E10" i="23"/>
  <c r="D10" i="23"/>
  <c r="C10" i="23"/>
  <c r="B10" i="23"/>
  <c r="H9" i="23"/>
  <c r="BR9" i="23"/>
  <c r="G9" i="23"/>
  <c r="BC9" i="23"/>
  <c r="BD9" i="23"/>
  <c r="Q9" i="23"/>
  <c r="V9" i="23"/>
  <c r="W9" i="23"/>
  <c r="AD9" i="23"/>
  <c r="I9" i="23"/>
  <c r="M9" i="23"/>
  <c r="BN9" i="23"/>
  <c r="U9" i="23"/>
  <c r="AC9" i="23"/>
  <c r="L9" i="23"/>
  <c r="BM9" i="23"/>
  <c r="T9" i="23"/>
  <c r="AB9" i="23"/>
  <c r="K9" i="23"/>
  <c r="BL9" i="23"/>
  <c r="S9" i="23"/>
  <c r="AA9" i="23"/>
  <c r="J9" i="23"/>
  <c r="BK9" i="23"/>
  <c r="H8" i="23"/>
  <c r="G8" i="23"/>
  <c r="BC8" i="23"/>
  <c r="BE9" i="23"/>
  <c r="BJ9" i="23"/>
  <c r="BI9" i="23"/>
  <c r="BH9" i="23"/>
  <c r="BG9" i="23"/>
  <c r="I8" i="23"/>
  <c r="J8" i="23"/>
  <c r="BF9" i="23"/>
  <c r="AX9" i="23"/>
  <c r="AW9" i="23"/>
  <c r="AV9" i="23"/>
  <c r="AU9" i="23"/>
  <c r="AS9" i="23"/>
  <c r="AR9" i="23"/>
  <c r="AQ9" i="23"/>
  <c r="AN9" i="23"/>
  <c r="AM9" i="23"/>
  <c r="AL9" i="23"/>
  <c r="AK9" i="23"/>
  <c r="AI9" i="23"/>
  <c r="AH9" i="23"/>
  <c r="AF9" i="23"/>
  <c r="Y9" i="23"/>
  <c r="Z9" i="23"/>
  <c r="X9" i="23"/>
  <c r="R9" i="23"/>
  <c r="P9" i="23"/>
  <c r="O9" i="23"/>
  <c r="N9" i="23"/>
  <c r="F9" i="23"/>
  <c r="E9" i="23"/>
  <c r="D9" i="23"/>
  <c r="C9" i="23"/>
  <c r="B9" i="23"/>
  <c r="BR8" i="23"/>
  <c r="BD8" i="23"/>
  <c r="Q8" i="23"/>
  <c r="V8" i="23"/>
  <c r="W8" i="23"/>
  <c r="AD8" i="23"/>
  <c r="M8" i="23"/>
  <c r="BN8" i="23"/>
  <c r="U8" i="23"/>
  <c r="AC8" i="23"/>
  <c r="L8" i="23"/>
  <c r="BM8" i="23"/>
  <c r="T8" i="23"/>
  <c r="AB8" i="23"/>
  <c r="K8" i="23"/>
  <c r="BL8" i="23"/>
  <c r="S8" i="23"/>
  <c r="AA8" i="23"/>
  <c r="BK8" i="23"/>
  <c r="BE8" i="23"/>
  <c r="BJ8" i="23"/>
  <c r="BI8" i="23"/>
  <c r="BH8" i="23"/>
  <c r="BG8" i="23"/>
  <c r="BF8" i="23"/>
  <c r="AX8" i="23"/>
  <c r="AW8" i="23"/>
  <c r="AV8" i="23"/>
  <c r="AU8" i="23"/>
  <c r="AS8" i="23"/>
  <c r="AR8" i="23"/>
  <c r="AQ8" i="23"/>
  <c r="AN8" i="23"/>
  <c r="AM8" i="23"/>
  <c r="AL8" i="23"/>
  <c r="AK8" i="23"/>
  <c r="AI8" i="23"/>
  <c r="AH8" i="23"/>
  <c r="AF8" i="23"/>
  <c r="Y8" i="23"/>
  <c r="Z8" i="23"/>
  <c r="X8" i="23"/>
  <c r="R8" i="23"/>
  <c r="P8" i="23"/>
  <c r="O8" i="23"/>
  <c r="N8" i="23"/>
  <c r="F8" i="23"/>
  <c r="E8" i="23"/>
  <c r="D8" i="23"/>
  <c r="C8" i="23"/>
  <c r="B8" i="23"/>
  <c r="H7" i="23"/>
  <c r="BR7" i="23"/>
  <c r="G7" i="23"/>
  <c r="BC7" i="23"/>
  <c r="BD7" i="23"/>
  <c r="Q7" i="23"/>
  <c r="V7" i="23"/>
  <c r="W7" i="23"/>
  <c r="AD7" i="23"/>
  <c r="I7" i="23"/>
  <c r="M7" i="23"/>
  <c r="BN7" i="23"/>
  <c r="U7" i="23"/>
  <c r="AC7" i="23"/>
  <c r="L7" i="23"/>
  <c r="BM7" i="23"/>
  <c r="T7" i="23"/>
  <c r="AB7" i="23"/>
  <c r="K7" i="23"/>
  <c r="BL7" i="23"/>
  <c r="S7" i="23"/>
  <c r="AA7" i="23"/>
  <c r="J7" i="23"/>
  <c r="BK7" i="23"/>
  <c r="H6" i="23"/>
  <c r="G6" i="23"/>
  <c r="BC6" i="23"/>
  <c r="BE7" i="23"/>
  <c r="BJ7" i="23"/>
  <c r="BI7" i="23"/>
  <c r="BH7" i="23"/>
  <c r="BG7" i="23"/>
  <c r="I6" i="23"/>
  <c r="J6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G3" i="13"/>
  <c r="N7" i="23"/>
  <c r="F7" i="23"/>
  <c r="E7" i="23"/>
  <c r="D7" i="23"/>
  <c r="C7" i="23"/>
  <c r="B7" i="23"/>
  <c r="BR6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H4" i="23"/>
  <c r="G4" i="23"/>
  <c r="BC4" i="23"/>
  <c r="BE5" i="23"/>
  <c r="BJ5" i="23"/>
  <c r="BI5" i="23"/>
  <c r="BH5" i="23"/>
  <c r="BG5" i="23"/>
  <c r="I4" i="23"/>
  <c r="J4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G4" i="13"/>
  <c r="N5" i="23"/>
  <c r="F5" i="23"/>
  <c r="E5" i="23"/>
  <c r="D5" i="23"/>
  <c r="C5" i="23"/>
  <c r="B5" i="23"/>
  <c r="BR4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H3" i="23"/>
  <c r="BR3" i="23"/>
  <c r="H2" i="23"/>
  <c r="BR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1" i="13"/>
  <c r="B2" i="23"/>
  <c r="B3" i="2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<sst xmlns="http://schemas.openxmlformats.org/spreadsheetml/2006/main" count="1196" uniqueCount="454">
  <si>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</si>
  <si>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</si>
  <si>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</si>
  <si>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</si>
  <si>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</si>
  <si>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</si>
  <si>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</si>
  <si>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</si>
  <si>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</si>
  <si>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</si>
  <si>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</si>
  <si>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</si>
  <si>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</si>
  <si>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</si>
  <si>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</si>
  <si>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</si>
  <si>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</si>
  <si>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</si>
  <si>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</si>
  <si>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</si>
  <si>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</si>
  <si>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</si>
  <si>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</si>
  <si>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</si>
  <si>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</si>
  <si>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</si>
  <si>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</si>
  <si>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</si>
  <si>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</si>
  <si>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</si>
  <si>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</si>
  <si>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</si>
  <si>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</si>
  <si>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</si>
  <si>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</si>
  <si>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</si>
  <si>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</si>
  <si>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</si>
  <si>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</si>
  <si>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</si>
  <si>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</si>
  <si>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</si>
  <si>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</si>
  <si>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</si>
  <si>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</si>
  <si>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</si>
  <si>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</si>
  <si>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</si>
  <si>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</si>
  <si>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</si>
  <si>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</si>
  <si>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</si>
  <si>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</si>
  <si>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</si>
  <si>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</si>
  <si>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</si>
  <si>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</si>
  <si>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</si>
  <si>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</si>
  <si>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</si>
  <si>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</si>
  <si>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</si>
  <si>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</si>
  <si>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</si>
  <si>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</si>
  <si>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</si>
  <si>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</si>
  <si>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</si>
  <si>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</si>
  <si>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</si>
  <si>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</si>
  <si>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</si>
  <si>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</si>
  <si>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</si>
  <si>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</si>
  <si>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</si>
  <si>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</si>
  <si>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</si>
  <si>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</si>
  <si>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</si>
  <si>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</si>
  <si>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</si>
  <si>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</si>
  <si>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</si>
  <si>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</si>
  <si>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</si>
  <si>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</si>
  <si>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</si>
  <si>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</si>
  <si>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</si>
  <si>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</si>
  <si>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</si>
  <si>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</si>
  <si>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</si>
  <si>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</si>
  <si>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</si>
  <si>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</si>
  <si>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</si>
  <si>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</si>
  <si>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</si>
  <si>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</si>
  <si>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</si>
  <si>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</si>
  <si>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</si>
  <si>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</si>
  <si>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</si>
  <si>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</si>
  <si>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</si>
  <si>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</si>
  <si>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</si>
  <si>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</si>
  <si>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</si>
  <si>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</si>
  <si>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</si>
  <si>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</si>
  <si>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</si>
  <si>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</si>
  <si>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</si>
  <si>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</si>
  <si>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</si>
  <si>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</si>
  <si>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</si>
  <si>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</si>
  <si>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</si>
  <si>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</si>
  <si>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</si>
  <si>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</si>
  <si>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</si>
  <si>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</si>
  <si>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</si>
  <si>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</si>
  <si>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</si>
  <si>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</si>
  <si>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</si>
  <si>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</si>
  <si>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</si>
  <si>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</si>
  <si>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</si>
  <si>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</si>
  <si>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</si>
  <si>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</si>
  <si>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</si>
  <si>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</si>
  <si>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</si>
  <si>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</si>
  <si>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</si>
  <si>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</si>
  <si>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</si>
  <si>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</si>
  <si>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</si>
  <si>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</si>
  <si>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</si>
  <si>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</si>
  <si>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</si>
  <si>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</si>
  <si>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</si>
  <si>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</si>
  <si>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</si>
  <si>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</si>
  <si>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</si>
  <si>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</si>
  <si>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</si>
  <si>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</si>
  <si>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</si>
  <si>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</si>
  <si>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</si>
  <si>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</si>
  <si>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</si>
  <si>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</si>
  <si>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</si>
  <si>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</si>
  <si>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</si>
  <si>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</si>
  <si>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</si>
  <si>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</si>
  <si>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</si>
  <si>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</si>
  <si>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</si>
  <si>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</si>
  <si>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</si>
  <si>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</si>
  <si>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</si>
  <si>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</si>
  <si>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</si>
  <si>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</si>
  <si>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</si>
  <si>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</si>
  <si>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</si>
  <si>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</si>
  <si>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</si>
  <si>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</si>
  <si>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</si>
  <si>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</si>
  <si>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</si>
  <si>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</si>
  <si>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</si>
  <si>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</si>
  <si>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</si>
  <si>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</si>
  <si>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</si>
  <si>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</si>
  <si>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</si>
  <si>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</si>
  <si>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</si>
  <si>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</si>
  <si>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</si>
  <si>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</si>
  <si>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</si>
  <si>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</si>
  <si>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</si>
  <si>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</si>
  <si>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</si>
  <si>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</si>
  <si>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</si>
  <si>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</si>
  <si>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</si>
  <si>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</si>
  <si>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</si>
  <si>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</si>
  <si>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</si>
  <si>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</si>
  <si>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</si>
  <si>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</si>
  <si>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</si>
  <si>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</si>
  <si>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</si>
  <si>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</si>
  <si>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</si>
  <si>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</si>
  <si>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</si>
  <si>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</si>
  <si>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</si>
  <si>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</si>
  <si>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</si>
  <si>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</si>
  <si>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</si>
  <si>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</si>
  <si>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</si>
  <si>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</si>
  <si>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</si>
  <si>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</si>
  <si>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</si>
  <si>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</si>
  <si>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</si>
  <si>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</si>
  <si>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</si>
  <si>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</si>
  <si>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</si>
  <si>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</si>
  <si>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</si>
  <si>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</si>
  <si>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</si>
  <si>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</si>
  <si>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</si>
  <si>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</si>
  <si>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</si>
  <si>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</si>
  <si>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</si>
  <si>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</si>
  <si>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</si>
  <si>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</si>
  <si>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</si>
  <si>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</si>
  <si>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</si>
  <si>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</si>
  <si>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</si>
  <si>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</si>
  <si>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</si>
  <si>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</si>
  <si>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</si>
  <si>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</si>
  <si>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</si>
  <si>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</si>
  <si>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</si>
  <si>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</si>
  <si>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</si>
  <si>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</si>
  <si>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</si>
  <si>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</si>
  <si>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</si>
  <si>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</si>
  <si>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</si>
  <si>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</si>
  <si>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</si>
  <si>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</si>
  <si>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</si>
  <si>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</si>
  <si>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</si>
  <si>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</si>
  <si>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</si>
  <si>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</si>
  <si>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</si>
  <si>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</si>
  <si>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</si>
  <si>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</si>
  <si>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</si>
  <si>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</si>
  <si>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</si>
  <si>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</si>
  <si>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</si>
  <si>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</si>
  <si>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</si>
  <si>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</si>
  <si>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</si>
  <si>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</si>
  <si>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</si>
  <si>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</si>
  <si>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</si>
  <si>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</si>
  <si>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</si>
  <si>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</si>
  <si>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</si>
  <si>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</si>
  <si>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</si>
  <si>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</si>
  <si>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</si>
  <si>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</si>
  <si>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</si>
  <si>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</si>
  <si>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</si>
  <si>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</si>
  <si>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</si>
  <si>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</si>
  <si>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</si>
  <si>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</si>
  <si>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</si>
  <si>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</si>
  <si>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</si>
  <si>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</si>
  <si>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</si>
  <si>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</si>
  <si>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</si>
  <si>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</si>
  <si>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</si>
  <si>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</si>
  <si>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</si>
  <si>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</si>
  <si>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</si>
  <si>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</si>
  <si>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Norse01</t>
    <phoneticPr fontId="22"/>
  </si>
  <si>
    <t>[effect:force_change_block, new_block:crack_bomb, target:block_all, ignore01:crash, ignore02:crack_bomb, ignore03:color_break, color:green, count:4, val:24, animation:change_block],[effect:force_change_block, new_block:crash, target:block_all, ignore01:crash, ignore02:crack_bomb, ignore03:color_break, count:6, val:6, animation:change_block]</t>
    <phoneticPr fontId="22"/>
  </si>
  <si>
    <t>[effect:force_change_block, new_block:crack_bomb, target:block_all, ignore01:crash, ignore02:crack_bomb, ignore03:color_break, color:green, count:4, val:24, animation:change_block],[effect:force_change_block, new_block:crash, target:block_all, ignore01:crash, ignore02:crack_bomb, ignore03:color_break, count:6, val:6, animation:change_block],[effect:enhance_unit, target:unit_green, turn:1, status:attack, val:0.255, calc:mul, animation:enhance_unit_all_attack04_unit01]</t>
    <phoneticPr fontId="22"/>
  </si>
  <si>
    <t>ランダムで最大4つ緑ボムパネル(大)を、最大6つCパネルに変換</t>
    <phoneticPr fontId="22"/>
  </si>
  <si>
    <t>ランダムで最大4つ緑ボムパネル(大)を、最大6つCパネルに変換し、1ターン緑属性の攻撃力を特大UP</t>
    <phoneticPr fontId="22"/>
  </si>
  <si>
    <t>[effect:damage, target:enemy_one, color:green, val:2, animation:damage_one_green03]</t>
    <phoneticPr fontId="22"/>
  </si>
  <si>
    <t>[effect:damage, target:enemy_one, color:green, val:2.25, animation:damage_one_green04]</t>
    <phoneticPr fontId="22"/>
  </si>
  <si>
    <t>1体に大ダメージ</t>
    <phoneticPr fontId="22"/>
  </si>
  <si>
    <t>1体に特大ダメージ</t>
    <phoneticPr fontId="22"/>
  </si>
  <si>
    <t>[effect:damage_heal, target:enemy_one, color:blue, val:1.2, animation:damage_one_blue03],[effect:heal_ratio, val:0.18, animation:heal02_unit01]</t>
    <phoneticPr fontId="22"/>
  </si>
  <si>
    <t>30</t>
    <phoneticPr fontId="22"/>
  </si>
  <si>
    <t>1</t>
    <phoneticPr fontId="22"/>
  </si>
  <si>
    <t>15</t>
    <phoneticPr fontId="22"/>
  </si>
  <si>
    <t>赤・時限式ダメージパネルを緑パネルに、黄・ダメージパネルをハートパネルに変換</t>
    <phoneticPr fontId="22"/>
  </si>
  <si>
    <t>赤・時限式ダメージパネルを緑パネルに、黄・ダメージパネルをハートパネルに変換+3ターン全ユニットの回復力を特大UP</t>
    <phoneticPr fontId="22"/>
  </si>
  <si>
    <t>[effect:force_change_block, new_block:block_green, target:block_red, count:0, val:0, animation:change_block],[effect:force_change_block, new_block:block_green, target:time_bomb, count:0, val:0, animation:change_block],[effect:force_change_block, new_block:block_heart, target:block_yellow, count:0, val:0, animation:change_block],[effect:force_change_block, new_block:block_heart, target:damage, count:0, val:0, animation:change_block]</t>
    <phoneticPr fontId="22"/>
  </si>
  <si>
    <t>[effect:force_change_block, new_block:block_green, target:block_red, count:0, val:0, animation:change_block],[effect:force_change_block, new_block:block_green, target:time_bomb, count:0, val:0, animation:change_block],[effect:force_change_block, new_block:block_heart, target:block_yellow, count:0, val:0, animation:change_block],[effect:force_change_block, new_block:block_heart, target:damage, count:0, val:0, animation:change_block],[effect:enhance_unit, target:unit_all, turn:3, status:heal, val:0.6, calc:mul, animation:enhance_unit_all_heal04_unit01]</t>
    <phoneticPr fontId="22"/>
  </si>
  <si>
    <t>[effect:damage, target:enemy_one, color:red, val:2, animation:damage_one_red03]</t>
    <phoneticPr fontId="22"/>
  </si>
  <si>
    <t>[effect:damage, target:enemy_one, color:red, val:2.25, animation:damage_one_red04]</t>
    <phoneticPr fontId="22"/>
  </si>
  <si>
    <t>1体に大ダメージ</t>
    <phoneticPr fontId="22"/>
  </si>
  <si>
    <t>old</t>
  </si>
  <si>
    <t>[effect:damage_anti_tribe, target:enemy_one, tribe:god, val1:3.375, val2:1.2, animation:damage_one_green04]</t>
    <phoneticPr fontId="22"/>
  </si>
  <si>
    <t>[effect:damage_anti_tribe, target:enemy_one, tribe:god, val1:3.75, val2:1.5, animation:damage_one_green04]</t>
    <phoneticPr fontId="22"/>
  </si>
  <si>
    <t>ファントムミョルニル</t>
    <phoneticPr fontId="22"/>
  </si>
  <si>
    <t>侵犯・ファントムミョルニル</t>
    <phoneticPr fontId="22"/>
  </si>
  <si>
    <t>エーリューズニルの団欒</t>
    <phoneticPr fontId="22"/>
  </si>
  <si>
    <t>エーリューズニルの叛乱</t>
    <phoneticPr fontId="22"/>
  </si>
  <si>
    <t>リスキー・ワン</t>
    <phoneticPr fontId="22"/>
  </si>
  <si>
    <t>ラスト・ワン</t>
    <phoneticPr fontId="22"/>
  </si>
  <si>
    <t>ミョルニル・ヘヴィチャージ</t>
    <phoneticPr fontId="22"/>
  </si>
  <si>
    <t>ミョルニル・ヘヴィドライヴァ</t>
    <phoneticPr fontId="22"/>
  </si>
  <si>
    <t>アップルプロンプト</t>
    <phoneticPr fontId="22"/>
  </si>
  <si>
    <t>ゴールデンアップルプロンプト</t>
    <phoneticPr fontId="22"/>
  </si>
  <si>
    <t>フォーシー・フォー・ミー</t>
    <phoneticPr fontId="22"/>
  </si>
  <si>
    <t>フォーシー・フォー・ユー</t>
    <phoneticPr fontId="22"/>
  </si>
  <si>
    <t>ブライト・スティーラー</t>
    <phoneticPr fontId="22"/>
  </si>
  <si>
    <t>グリッタリン・バーグラー</t>
    <phoneticPr fontId="22"/>
  </si>
  <si>
    <t>ボーン・イン・シャドウ</t>
    <phoneticPr fontId="22"/>
  </si>
  <si>
    <t>ボーン・トゥ・ヴァイオレイト</t>
    <phoneticPr fontId="22"/>
  </si>
  <si>
    <t>ラピッド・ブレイン</t>
    <phoneticPr fontId="22"/>
  </si>
  <si>
    <t>ラピッド・ブレイン・トリック</t>
    <phoneticPr fontId="22"/>
  </si>
  <si>
    <t>孤軍奮戦ローリングファイア</t>
    <phoneticPr fontId="22"/>
  </si>
  <si>
    <t>孤軍沸騰スコーチングファイア</t>
    <phoneticPr fontId="22"/>
  </si>
  <si>
    <t>プロミスド・アスガルド</t>
    <phoneticPr fontId="22"/>
  </si>
  <si>
    <t>フェイタル・アスガルド</t>
    <phoneticPr fontId="22"/>
  </si>
  <si>
    <t>プロフェシープロフェッション</t>
    <phoneticPr fontId="22"/>
  </si>
  <si>
    <t>giza</t>
  </si>
  <si>
    <t>逆巻け雷炎！…だっけか？</t>
  </si>
  <si>
    <t>オレだってやりゃできんだよ</t>
  </si>
  <si>
    <t>光り物は見逃せねぇな！</t>
  </si>
  <si>
    <t>オレは大物になる男だ！</t>
  </si>
  <si>
    <t>絶対ぇ成り上がってやる</t>
  </si>
  <si>
    <t>根こそぎだ…！！</t>
  </si>
  <si>
    <t>ロキのために用意したのー！</t>
  </si>
  <si>
    <t>みんなまだ頑張れるよね</t>
  </si>
  <si>
    <t>みんなー！起きてー！</t>
  </si>
  <si>
    <t>魂を奪ってくるんだよ？</t>
  </si>
  <si>
    <t>kumo</t>
  </si>
  <si>
    <t>これでロキの思い通り…</t>
  </si>
  <si>
    <t>問題…一番危ない奴は誰？</t>
  </si>
  <si>
    <t>なんだ…全員不合格か！！</t>
  </si>
  <si>
    <t>鈍い！鈍いねー！</t>
  </si>
  <si>
    <t>あんたの結末は計算済み</t>
  </si>
  <si>
    <t>あー…楽しませてくれよ</t>
  </si>
  <si>
    <t>もう飽き飽きしたんだ…</t>
  </si>
  <si>
    <t>甘く見てるでしょ私のこと</t>
  </si>
  <si>
    <t>一人でやってやるわよっ！</t>
  </si>
  <si>
    <t>助けなんていらないわ</t>
  </si>
  <si>
    <t>誰…？灼かれたいのは？</t>
  </si>
  <si>
    <t>逆巻け…雷炎っ！</t>
  </si>
  <si>
    <t>ブチギレたわ…正直ね</t>
  </si>
  <si>
    <t>えっとえっと…たしかこう！</t>
  </si>
  <si>
    <t>わ、私がなんとかしなきゃ…</t>
  </si>
  <si>
    <t>守るんだ…守らなきゃ…</t>
  </si>
  <si>
    <t>誰かが止めなきゃ…！</t>
  </si>
  <si>
    <t>うぅ…怖いです…けど…</t>
  </si>
  <si>
    <t>覚悟は…しましたから！</t>
  </si>
  <si>
    <t>抗えないから運命なのよ…</t>
  </si>
  <si>
    <t>それも愚問…</t>
  </si>
  <si>
    <t>わたし…知ってるのよ？</t>
  </si>
  <si>
    <t>抗うわけじゃないわ…</t>
  </si>
  <si>
    <t>言うこと…よく聞いて</t>
  </si>
  <si>
    <t>目になるわ…わたしが</t>
  </si>
  <si>
    <t>[effect:force_change_block, new_block:block_heart, target:block_blue, count:0, val:0, animation:change_block],[effect:force_change_block, new_block:block_red, target:block_green, count:0, val:0, animation:change_block],[effect:enhance_unit, target:unit_yellow/unit_red/or, turn:1, status:action, val:1, calc:add, animation:enhance_unit_one_action01]</t>
    <phoneticPr fontId="22"/>
  </si>
  <si>
    <t>[effect:force_change_block, new_block:block_heart, target:block_blue, count:0, val:0, animation:change_block],[effect:force_change_block, new_block:block_red, target:block_green, count:0, val:0, animation:change_block],[effect:enhance_unit, target:unit_yellow/unit_red/or, turn:1, status:action, val:1, calc:add, animation:enhance_unit_one_action01],[effect:change_panel_ratio, turn:1, block_type:yellow, val:0.6],[effect:change_panel_ratio, turn:1, block_type:red, val:0.6, animation:block_incidence04]</t>
    <phoneticPr fontId="22"/>
  </si>
  <si>
    <t>[effect:damage_heal, target:enemy_one, color:yellow, val:2, animation:damage_one_yellow03]</t>
    <phoneticPr fontId="22"/>
  </si>
  <si>
    <t>[effect:damage_heal, target:enemy_one, color:yellow, val:2.25, animation:damage_one_yellow04]</t>
    <phoneticPr fontId="22"/>
  </si>
  <si>
    <t>[effect:force_change_block, new_block:color_break, target:block_all, color:block_green, ignore01:crash, ignore02:crack_bomb, ignore03:color_break, count:1, val:0, animation:change_block],[effect:force_change_block, new_block:crack_bomb, target:block_blue, color:green, count:0, val:12, animation:change_block],[effect:force_change_block, new_block:crack_bomb, target:block_yellow, color:green, count:0, val:12, animation:change_block],[effect:enhance_unit, target:unit_green, turn:1, status:action, val:1, calc:add, animation:enhance_unit_one_action01]</t>
    <phoneticPr fontId="22"/>
  </si>
  <si>
    <t>[effect:force_change_block, new_block:color_break, target:block_all, color:block_green, ignore01:crash, ignore02:crack_bomb, ignore03:color_break, count:1, val:0, animation:change_block],[effect:force_change_block, new_block:crack_bomb, target:block_blue, color:green, count:0, val:12, animation:change_block],[effect:force_change_block, new_block:crack_bomb, target:block_yellow, color:green, count:0, val:12, animation:change_block],[effect:enhance_unit, target:unit_green, turn:2, status:action, val:1, calc:add, animation:enhance_unit_one_action01],[effect:change_bomb_range, target:unit_green, val:1.2, rate:1, turn:2, animation:bomb_big]</t>
    <phoneticPr fontId="22"/>
  </si>
  <si>
    <t>[effect:force_change_block, new_block:crash, target:block_green, count:0, val:6, animation:change_block],[effect:force_change_block, new_block:block_red, target:block_yellow, count:0, val:0, animation:change_block],[effect:enhance_unit, target:unit_blue, turn:1, status:action, val:1, calc:add, animation:enhance_unit_one_action01]</t>
    <phoneticPr fontId="22"/>
  </si>
  <si>
    <t>[effect:damage_heal, target:enemy_one, color:blue, val:1.5, animation:damage_one_blue04],[effect:heal_ratio, val:0.18, animation:heal02_unit01]</t>
    <phoneticPr fontId="22"/>
  </si>
  <si>
    <t>自身の回復力に比例して1体に特大ダメージ+HP回復</t>
    <phoneticPr fontId="22"/>
  </si>
  <si>
    <t>青パネルをハートパネルに、緑パネルを赤パネルに変換+1ターン黄・赤属性のタップ回数を1増やす</t>
    <phoneticPr fontId="22"/>
  </si>
  <si>
    <t>青パネルをハートパネルに、緑パネルを赤パネルに変換+1ターン黄・赤属性のタップ回数を1増やし、黄・赤パネルの出現率大UP</t>
    <rPh sb="39" eb="40">
      <t>カ</t>
    </rPh>
    <phoneticPr fontId="22"/>
  </si>
  <si>
    <t>[effect:damage, target:enemy_one, color:green, val:1.2, animation:damage_one_green04],[effect:enhance_unit, target:unit_green, turn:1, status:attack, val:0.075, calc:mul, animation:enhance_unit_all_attack02_unit01]</t>
    <phoneticPr fontId="22"/>
  </si>
  <si>
    <t>[effect:damage, target:enemy_one, color:green, val:1.5, animation:damage_one_green04],[effect:enhance_unit, target:unit_green, turn:1, status:attack, val:0.075, calc:mul, animation:enhance_unit_all_attack02_unit01]</t>
    <phoneticPr fontId="22"/>
  </si>
  <si>
    <t>緑パネルをCパネルに、黄パネルを赤パネルに変換+1ターン青属性ユニットのタップ数を1増やす</t>
    <phoneticPr fontId="22"/>
  </si>
  <si>
    <t>緑パネルをCパネルに、黄パネルを赤パネルに変換+1ターン青属性ユニットのタップ数を1増やし、敵からのダメージを25%軽減</t>
    <phoneticPr fontId="22"/>
  </si>
  <si>
    <t>[effect:force_change_block, new_block:crash, target:block_green, count:0, val:6, animation:change_block],[effect:force_change_block, new_block:block_red, target:block_yellow, count:0, val:0, animation:change_block],[effect:enhance_unit, target:unit_blue, turn:1, status:action, val:1, calc:add, animation:enhance_unit_one_action01],[effect:reduction, target:unit_all, turn:1, val:0.25, animation:reduction_one02]</t>
    <phoneticPr fontId="22"/>
  </si>
  <si>
    <t>[effect:regenerate, turn:3, val:1.2, animation:heal03_unit01],[effect:break_enchance_unit, target:myself, val:0.005, lowest_val:0.2, count :-1, status:attack, turn:3, block01:block_blue, calc:mul, animation:enhance_unit_all_attack02]</t>
    <phoneticPr fontId="22"/>
  </si>
  <si>
    <t>[effect:regenerate, turn:3, val:1, animation:heal03_unit01],[effect:break_enchance_unit, target:myself, val:0.005, lowest_val:0.2, count :-1, status:attack, turn:3, block01:block_blue, calc:mul, animation:enhance_unit_all_attack02],[effect:enhance_unit, target:unit_red, turn:2, status:defense, val:1440, calc:add, animation:enhance_unit_all_defense04]</t>
    <phoneticPr fontId="22"/>
  </si>
  <si>
    <t>みんなー！起きてー！</t>
    <phoneticPr fontId="22"/>
  </si>
  <si>
    <t>1体に大ダメージ+
緑属性ユニットの攻撃力UP</t>
    <phoneticPr fontId="22"/>
  </si>
  <si>
    <t>1体に特大ダメージ+
緑属性ユニットの攻撃力UP</t>
    <phoneticPr fontId="22"/>
  </si>
  <si>
    <t>3ターンHPを大回復し、自身の攻撃力をUP(青パネルを吸収し効果UP)</t>
    <phoneticPr fontId="22"/>
  </si>
  <si>
    <t>3ターンHPを大回復し、自身の攻撃力をUP(青パネルを吸収し効果UP)+2ターン赤属性の防御力を超大UP</t>
    <phoneticPr fontId="22"/>
  </si>
  <si>
    <t>ランダムで1個緑CBパネルに、青・黄パネルを緑ボムパネルに変換+1ターン緑属性ユニットのタップ数を1増やす</t>
    <phoneticPr fontId="22"/>
  </si>
  <si>
    <t>ランダムで1個緑CBパネルに、青・黄パネルを緑ボムパネルに変換+2ターン緑属性ユニットのタップ数を1増やし、爆風強化</t>
    <phoneticPr fontId="22"/>
  </si>
  <si>
    <t>みんな1つになっちゃえ…</t>
    <phoneticPr fontId="22"/>
  </si>
  <si>
    <t>自身の回復力に比例して
1体に大ダメージ</t>
    <phoneticPr fontId="22"/>
  </si>
  <si>
    <t>自身の回復力に比例して
1体に特大ダメージ</t>
    <phoneticPr fontId="22"/>
  </si>
  <si>
    <t>プロフェシーアクセッション</t>
    <phoneticPr fontId="22"/>
  </si>
  <si>
    <t>1体に大ダメージ
種族ゴッドに効果特大</t>
    <phoneticPr fontId="22"/>
  </si>
  <si>
    <t>1体に特大ダメージ
種族ゴッドに効果超大</t>
    <phoneticPr fontId="22"/>
  </si>
  <si>
    <t>自身の回復力に比例して1体に大ダメージ+HP回復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</si>
</sst>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57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340</v>
          </cell>
          <cell r="B64" t="str">
            <v>ja</v>
          </cell>
          <cell r="C64" t="str">
            <v>対ドラゴン&amp;アニマルダメージUP</v>
          </cell>
          <cell r="D64" t="str">
            <v>自身の攻撃対象が種族ドラゴン、アニマルの場合全ての攻撃の威力をUP</v>
          </cell>
        </row>
        <row r="65">
          <cell r="A65">
            <v>400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401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402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403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404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405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406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407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408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409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410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411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412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413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414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415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416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417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418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419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420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421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422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423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424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425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426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427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428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429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430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431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432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433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434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435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436</v>
          </cell>
          <cell r="B101" t="str">
            <v>ja</v>
          </cell>
          <cell r="C101" t="str">
            <v>対ゴッド&amp;ヒーロー ダメージUP</v>
          </cell>
          <cell r="D101" t="str">
            <v>自身の攻撃対象が種族ゴッド、ヒーローの場合全ての攻撃の威力をUP</v>
          </cell>
        </row>
        <row r="102">
          <cell r="A102">
            <v>600</v>
          </cell>
          <cell r="B102" t="str">
            <v>ja</v>
          </cell>
          <cell r="C102" t="str">
            <v>赤属性耐性25</v>
          </cell>
          <cell r="D102" t="str">
            <v>自身に対する赤属性の敵からの攻撃を25％軽減</v>
          </cell>
        </row>
        <row r="103">
          <cell r="A103">
            <v>601</v>
          </cell>
          <cell r="B103" t="str">
            <v>ja</v>
          </cell>
          <cell r="C103" t="str">
            <v>赤属性耐性25</v>
          </cell>
          <cell r="D103" t="str">
            <v>自身に対する赤属性の敵からの攻撃を25％軽減</v>
          </cell>
        </row>
        <row r="104">
          <cell r="A104">
            <v>602</v>
          </cell>
          <cell r="B104" t="str">
            <v>ja</v>
          </cell>
          <cell r="C104" t="str">
            <v>赤属性耐性25</v>
          </cell>
          <cell r="D104" t="str">
            <v>自身に対する赤属性の敵からの攻撃を25％軽減</v>
          </cell>
        </row>
        <row r="105">
          <cell r="A105">
            <v>603</v>
          </cell>
          <cell r="B105" t="str">
            <v>ja</v>
          </cell>
          <cell r="C105" t="str">
            <v>青属性耐性25</v>
          </cell>
          <cell r="D105" t="str">
            <v>自身に対する青属性の敵からの攻撃を25％軽減</v>
          </cell>
        </row>
        <row r="106">
          <cell r="A106">
            <v>604</v>
          </cell>
          <cell r="B106" t="str">
            <v>ja</v>
          </cell>
          <cell r="C106" t="str">
            <v>青属性耐性25</v>
          </cell>
          <cell r="D106" t="str">
            <v>自身に対する青属性の敵からの攻撃を25％軽減</v>
          </cell>
        </row>
        <row r="107">
          <cell r="A107">
            <v>605</v>
          </cell>
          <cell r="B107" t="str">
            <v>ja</v>
          </cell>
          <cell r="C107" t="str">
            <v>青属性耐性25</v>
          </cell>
          <cell r="D107" t="str">
            <v>自身に対する青属性の敵からの攻撃を25％軽減</v>
          </cell>
        </row>
        <row r="108">
          <cell r="A108">
            <v>606</v>
          </cell>
          <cell r="B108" t="str">
            <v>ja</v>
          </cell>
          <cell r="C108" t="str">
            <v>緑属性耐性25</v>
          </cell>
          <cell r="D108" t="str">
            <v>自身に対する緑属性の敵からの攻撃を25％軽減</v>
          </cell>
        </row>
        <row r="109">
          <cell r="A109">
            <v>607</v>
          </cell>
          <cell r="B109" t="str">
            <v>ja</v>
          </cell>
          <cell r="C109" t="str">
            <v>緑属性耐性25</v>
          </cell>
          <cell r="D109" t="str">
            <v>自身に対する緑属性の敵からの攻撃を25％軽減</v>
          </cell>
        </row>
        <row r="110">
          <cell r="A110">
            <v>608</v>
          </cell>
          <cell r="B110" t="str">
            <v>ja</v>
          </cell>
          <cell r="C110" t="str">
            <v>緑属性耐性25</v>
          </cell>
          <cell r="D110" t="str">
            <v>自身に対する緑属性の敵からの攻撃を25％軽減</v>
          </cell>
        </row>
        <row r="111">
          <cell r="A111">
            <v>609</v>
          </cell>
          <cell r="B111" t="str">
            <v>ja</v>
          </cell>
          <cell r="C111" t="str">
            <v>黄属性耐性25</v>
          </cell>
          <cell r="D111" t="str">
            <v>自身に対する黄属性の敵からの攻撃を25％軽減</v>
          </cell>
        </row>
        <row r="112">
          <cell r="A112">
            <v>610</v>
          </cell>
          <cell r="B112" t="str">
            <v>ja</v>
          </cell>
          <cell r="C112" t="str">
            <v>黄属性耐性25</v>
          </cell>
          <cell r="D112" t="str">
            <v>自身に対する黄属性の敵からの攻撃を25％軽減</v>
          </cell>
        </row>
        <row r="113">
          <cell r="A113">
            <v>611</v>
          </cell>
          <cell r="B113" t="str">
            <v>ja</v>
          </cell>
          <cell r="C113" t="str">
            <v>黄属性耐性25</v>
          </cell>
          <cell r="D113" t="str">
            <v>自身に対する黄属性の敵からの攻撃を25％軽減</v>
          </cell>
        </row>
        <row r="114">
          <cell r="A114">
            <v>612</v>
          </cell>
          <cell r="B114" t="str">
            <v>ja</v>
          </cell>
          <cell r="C114" t="str">
            <v>全属性耐性10</v>
          </cell>
          <cell r="D114" t="str">
            <v>自身に対する全属性の敵からの攻撃を10％軽減</v>
          </cell>
        </row>
        <row r="115">
          <cell r="A115">
            <v>613</v>
          </cell>
          <cell r="B115" t="str">
            <v>ja</v>
          </cell>
          <cell r="C115" t="str">
            <v>赤属性耐性10</v>
          </cell>
          <cell r="D115" t="str">
            <v>自身に対する赤属性の敵からの攻撃を10％軽減</v>
          </cell>
        </row>
        <row r="116">
          <cell r="A116">
            <v>614</v>
          </cell>
          <cell r="B116" t="str">
            <v>ja</v>
          </cell>
          <cell r="C116" t="str">
            <v>青属性耐性10</v>
          </cell>
          <cell r="D116" t="str">
            <v>自身に対する青属性の敵からの攻撃を10％軽減</v>
          </cell>
        </row>
        <row r="117">
          <cell r="A117">
            <v>615</v>
          </cell>
          <cell r="B117" t="str">
            <v>ja</v>
          </cell>
          <cell r="C117" t="str">
            <v>緑属性耐性10</v>
          </cell>
          <cell r="D117" t="str">
            <v>自身に対する緑属性の敵からの攻撃を10％軽減</v>
          </cell>
        </row>
        <row r="118">
          <cell r="A118">
            <v>616</v>
          </cell>
          <cell r="B118" t="str">
            <v>ja</v>
          </cell>
          <cell r="C118" t="str">
            <v>黄属性耐性10</v>
          </cell>
          <cell r="D118" t="str">
            <v>自身に対する黄属性の敵からの攻撃を10％軽減</v>
          </cell>
        </row>
        <row r="119">
          <cell r="A119">
            <v>617</v>
          </cell>
          <cell r="B119" t="str">
            <v>ja</v>
          </cell>
          <cell r="C119" t="str">
            <v>ゴッド種族耐性10</v>
          </cell>
          <cell r="D119" t="str">
            <v>自身に対するゴッド種族の敵からの攻撃を25％軽減</v>
          </cell>
        </row>
        <row r="120">
          <cell r="A120">
            <v>618</v>
          </cell>
          <cell r="B120" t="str">
            <v>ja</v>
          </cell>
          <cell r="C120" t="str">
            <v>赤属性耐性8</v>
          </cell>
          <cell r="D120" t="str">
            <v>自身に対する赤属性の敵からの攻撃を8%軽減</v>
          </cell>
        </row>
        <row r="121">
          <cell r="A121">
            <v>619</v>
          </cell>
          <cell r="B121" t="str">
            <v>ja</v>
          </cell>
          <cell r="C121" t="str">
            <v>青属性耐性8</v>
          </cell>
          <cell r="D121" t="str">
            <v>自身に対する青属性の敵からの攻撃を8%軽減</v>
          </cell>
        </row>
        <row r="122">
          <cell r="A122">
            <v>620</v>
          </cell>
          <cell r="B122" t="str">
            <v>ja</v>
          </cell>
          <cell r="C122" t="str">
            <v>緑属性耐性8</v>
          </cell>
          <cell r="D122" t="str">
            <v>自身に対する緑属性の敵からの攻撃を8%軽減</v>
          </cell>
        </row>
        <row r="123">
          <cell r="A123">
            <v>621</v>
          </cell>
          <cell r="B123" t="str">
            <v>ja</v>
          </cell>
          <cell r="C123" t="str">
            <v>黄属性耐性8</v>
          </cell>
          <cell r="D123" t="str">
            <v>自身に対する黄属性の敵からの攻撃を8%軽減</v>
          </cell>
        </row>
        <row r="124">
          <cell r="A124">
            <v>700</v>
          </cell>
          <cell r="B124" t="str">
            <v>ja</v>
          </cell>
          <cell r="C124" t="str">
            <v>フロア 回復</v>
          </cell>
          <cell r="D124" t="str">
            <v>全フロアの1ターン目終了時にパーティの合計HPの20％を回復する</v>
          </cell>
        </row>
        <row r="125">
          <cell r="A125">
            <v>701</v>
          </cell>
          <cell r="B125" t="str">
            <v>ja</v>
          </cell>
          <cell r="C125" t="str">
            <v>フロア 防御力アップ</v>
          </cell>
          <cell r="D125" t="str">
            <v>全フロアの1ターン目終了時に全ユニットの防御力を1ターン400UP</v>
          </cell>
        </row>
        <row r="126">
          <cell r="A126">
            <v>800</v>
          </cell>
          <cell r="B126" t="str">
            <v>ja</v>
          </cell>
          <cell r="C126" t="str">
            <v>パネルブレイク30 攻撃力UP</v>
          </cell>
          <cell r="D126" t="str">
            <v>自身が先頭の時、1ターンの間に合計30個以上パネルを破壊した場合に攻撃力UP</v>
          </cell>
        </row>
        <row r="127">
          <cell r="A127">
            <v>801</v>
          </cell>
          <cell r="B127" t="str">
            <v>ja</v>
          </cell>
          <cell r="C127" t="str">
            <v>パネルブレイク30 回復力UP</v>
          </cell>
          <cell r="D127" t="str">
            <v>自身が先頭の時、1ターンの間に合計30個以上パネルを破壊した場合に回復力UP</v>
          </cell>
        </row>
        <row r="128">
          <cell r="A128">
            <v>802</v>
          </cell>
          <cell r="B128" t="str">
            <v>ja</v>
          </cell>
          <cell r="C128" t="str">
            <v>パネルブレイク30 防御力小UP</v>
          </cell>
          <cell r="D128" t="str">
            <v>自身が先頭の時、1ターンの間に合計30個以上パネルを破壊した場合に防御力小UP</v>
          </cell>
        </row>
        <row r="129">
          <cell r="A129">
            <v>803</v>
          </cell>
          <cell r="B129" t="str">
            <v>ja</v>
          </cell>
          <cell r="C129" t="str">
            <v>パネルブレイク30 防御力UP</v>
          </cell>
          <cell r="D129" t="str">
            <v>自身が先頭の時、1ターンの間に合計30個以上パネルを破壊した場合に防御力UP</v>
          </cell>
        </row>
        <row r="130">
          <cell r="A130">
            <v>804</v>
          </cell>
          <cell r="B130" t="str">
            <v>ja</v>
          </cell>
          <cell r="C130" t="str">
            <v>パネルブレイク30 防御力大UP</v>
          </cell>
          <cell r="D130" t="str">
            <v>自身が先頭の時、1ターンの間に合計30個以上パネルを破壊した場合に防御力大UP</v>
          </cell>
        </row>
        <row r="131">
          <cell r="A131">
            <v>805</v>
          </cell>
          <cell r="B131" t="str">
            <v>ja</v>
          </cell>
          <cell r="C131" t="str">
            <v>パネルブレイク30 防御力特大UP</v>
          </cell>
          <cell r="D131" t="str">
            <v>自身が先頭の時、1ターンの間に合計30個以上パネルを破壊した場合に防御力特大UP</v>
          </cell>
        </row>
        <row r="132">
          <cell r="A132">
            <v>806</v>
          </cell>
          <cell r="B132" t="str">
            <v>ja</v>
          </cell>
          <cell r="C132" t="str">
            <v>ボムブレイク10 防御力UP</v>
          </cell>
          <cell r="D132" t="str">
            <v>自身または味方が1ターンの間に合計10個以上ボムパネルを破壊した場合に防御力UP</v>
          </cell>
        </row>
        <row r="133">
          <cell r="A133">
            <v>807</v>
          </cell>
          <cell r="B133" t="str">
            <v>ja</v>
          </cell>
          <cell r="C133" t="str">
            <v>パネル18 破壊フィーバーゲージ上昇</v>
          </cell>
          <cell r="D133" t="str">
            <v>自身が先頭の時、1ターンの間に合計18個以上パネルを破壊した場合にフィーバーゲージ上昇</v>
          </cell>
        </row>
        <row r="134">
          <cell r="A134">
            <v>808</v>
          </cell>
          <cell r="B134" t="str">
            <v>ja</v>
          </cell>
          <cell r="C134" t="str">
            <v>パネルブレイク40 防御力UP</v>
          </cell>
          <cell r="D134" t="str">
            <v>自身が先頭の時、1ターンの間に合計40個以上パネルを破壊した場合に青属性ユニットの防御力を400UP</v>
          </cell>
        </row>
        <row r="135">
          <cell r="A135">
            <v>809</v>
          </cell>
          <cell r="B135" t="str">
            <v>ja</v>
          </cell>
          <cell r="C135" t="str">
            <v>パネルブレイク40 攻撃力UP</v>
          </cell>
          <cell r="D135" t="str">
            <v>自身が先頭の時、1ターンの間に合計40個以上パネルを破壊した場合に攻撃力UP</v>
          </cell>
        </row>
        <row r="136">
          <cell r="A136">
            <v>810</v>
          </cell>
          <cell r="B136" t="str">
            <v>ja</v>
          </cell>
          <cell r="C136" t="str">
            <v>パネルブレイク40 攻撃力小UP</v>
          </cell>
          <cell r="D136" t="str">
            <v>自身が先頭の時、1ターンの間に合計40個以上パネルを破壊した場合に攻撃力小UP</v>
          </cell>
        </row>
        <row r="137">
          <cell r="A137">
            <v>811</v>
          </cell>
          <cell r="B137" t="str">
            <v>ja</v>
          </cell>
          <cell r="C137" t="str">
            <v>パネルブレイク30 攻撃力小UP</v>
          </cell>
          <cell r="D137" t="str">
            <v>自身が先頭の時、1ターンの間に合計30個以上パネルを破壊した場合に攻撃力小UP</v>
          </cell>
        </row>
        <row r="138">
          <cell r="A138">
            <v>812</v>
          </cell>
          <cell r="B138" t="str">
            <v>ja</v>
          </cell>
          <cell r="C138" t="str">
            <v>パネルブレイク40 HP小回復</v>
          </cell>
          <cell r="D138" t="str">
            <v>自身が先頭の時、1ターンの間に合計40個以上パネルを破壊した場合にターン終了時HP小回復</v>
          </cell>
        </row>
        <row r="139">
          <cell r="A139">
            <v>813</v>
          </cell>
          <cell r="B139" t="str">
            <v>ja</v>
          </cell>
          <cell r="C139" t="str">
            <v>パネルブレイク100 攻撃力UP</v>
          </cell>
          <cell r="D139" t="str">
            <v>自身が先頭の時、1ターンの間に合計100個以上パネルを破壊した場合に攻撃力2140UP</v>
          </cell>
        </row>
        <row r="140">
          <cell r="A140">
            <v>814</v>
          </cell>
          <cell r="B140" t="str">
            <v>ja</v>
          </cell>
          <cell r="C140" t="str">
            <v>パネルブレイク50 タップ回数UP</v>
          </cell>
          <cell r="D140" t="str">
            <v>自身が先頭の時、1ターンの間に合計50個以上パネルを破壊した場合にタップ回数1UP</v>
          </cell>
        </row>
        <row r="141">
          <cell r="A141">
            <v>815</v>
          </cell>
          <cell r="B141" t="str">
            <v>ja</v>
          </cell>
          <cell r="C141" t="str">
            <v>パネルブレイク50 HP回復</v>
          </cell>
          <cell r="D141" t="str">
            <v>自身が先頭の時、1ターンの間に合計50個以上パネルを破壊した場合にターン終了時HP回復</v>
          </cell>
        </row>
        <row r="142">
          <cell r="A142">
            <v>816</v>
          </cell>
          <cell r="B142" t="str">
            <v>ja</v>
          </cell>
          <cell r="C142" t="str">
            <v>ボムブレイク10 黄属性攻撃力UP</v>
          </cell>
          <cell r="D142" t="str">
            <v>自身または味方が1ターンの間に合計10個以上ボムパネルを破壊した場合に黄属性ユニットの攻撃力UP</v>
          </cell>
        </row>
        <row r="143">
          <cell r="A143">
            <v>817</v>
          </cell>
          <cell r="B143" t="str">
            <v>ja</v>
          </cell>
          <cell r="C143" t="str">
            <v>パネルブレイク50 生成短縮激烈</v>
          </cell>
          <cell r="D143" t="str">
            <v>自身が先頭の時、1ターンの間に合計50個以上パネルを破壊した場合にCパネル生成に必要なチェイン数を12短縮する</v>
          </cell>
        </row>
        <row r="144">
          <cell r="A144">
            <v>818</v>
          </cell>
          <cell r="B144" t="str">
            <v>ja</v>
          </cell>
          <cell r="C144" t="str">
            <v>パネルブレイク33 赤･緑属性防御UP</v>
          </cell>
          <cell r="D144" t="str">
            <v>自身が先頭の時、1ターンの間に合計33個以上パネルを破壊した場合に赤・緑属性の防御力を330UP</v>
          </cell>
        </row>
        <row r="145">
          <cell r="A145">
            <v>819</v>
          </cell>
          <cell r="B145" t="str">
            <v>ja</v>
          </cell>
          <cell r="C145" t="str">
            <v>パネルブレイク25 回復力UP</v>
          </cell>
          <cell r="D145" t="str">
            <v>自身が先頭の時、1ターンの間に合計25個以上パネルを破壊した場合に回復力UP</v>
          </cell>
        </row>
        <row r="146">
          <cell r="A146">
            <v>820</v>
          </cell>
          <cell r="B146" t="str">
            <v>ja</v>
          </cell>
          <cell r="C146" t="str">
            <v>パネルブレイク90 タップ回数UP</v>
          </cell>
          <cell r="D146" t="str">
            <v>自身が先頭の時、1ターンの間に合計90個以上パネルを破壊した場合にタップ回数1UP</v>
          </cell>
        </row>
        <row r="147">
          <cell r="A147">
            <v>900</v>
          </cell>
          <cell r="B147" t="str">
            <v>ja</v>
          </cell>
          <cell r="C147" t="str">
            <v>チェイン12 攻撃力UP</v>
          </cell>
          <cell r="D147" t="str">
            <v>自身が先頭の時、1タップで12個以上パネルを繋げた場合に攻撃力UP(1ターンに1度だけ発動)</v>
          </cell>
        </row>
        <row r="148">
          <cell r="A148">
            <v>901</v>
          </cell>
          <cell r="B148" t="str">
            <v>ja</v>
          </cell>
          <cell r="C148" t="str">
            <v>チェイン12 回復力UP</v>
          </cell>
          <cell r="D148" t="str">
            <v>自身が先頭の時、1タップで12個以上パネルを繋げた場合に回復力UP(1ターンに1度だけ発動)</v>
          </cell>
        </row>
        <row r="149">
          <cell r="A149">
            <v>902</v>
          </cell>
          <cell r="B149" t="str">
            <v>ja</v>
          </cell>
          <cell r="C149" t="str">
            <v>チェイン12 タップ回数UP</v>
          </cell>
          <cell r="D149" t="str">
            <v>自身が先頭の時、1タップで12個以上パネルを繋げた場合にタップ回数を1回増やす(1ターンに1度だけ発動)</v>
          </cell>
        </row>
        <row r="150">
          <cell r="A150">
            <v>903</v>
          </cell>
          <cell r="B150" t="str">
            <v>ja</v>
          </cell>
          <cell r="C150" t="str">
            <v>チェイン18 スキルゲージUP</v>
          </cell>
          <cell r="D150" t="str">
            <v>自身が先頭の時、1タップで18個以上パネルを繋げた場合に自身のスキルゲージを1増やす(1ターンに1度だけ発動)</v>
          </cell>
        </row>
        <row r="151">
          <cell r="A151">
            <v>904</v>
          </cell>
          <cell r="B151" t="str">
            <v>ja</v>
          </cell>
          <cell r="C151" t="str">
            <v>チェイン17 回復力UP</v>
          </cell>
          <cell r="D151" t="str">
            <v>自身が先頭の時、1タップで17個以上パネルを繋げた場合に自身の回復力を2017UP(1ターンに1度だけ発動)</v>
          </cell>
        </row>
        <row r="152">
          <cell r="A152">
            <v>905</v>
          </cell>
          <cell r="B152" t="str">
            <v>ja</v>
          </cell>
          <cell r="C152" t="str">
            <v>チェイン12 攻撃力小UP</v>
          </cell>
          <cell r="D152" t="str">
            <v>自身が先頭の時、1タップで12個以上パネルを繋げた場合に攻撃力小UP(1ターンに1度だけ発動)</v>
          </cell>
        </row>
        <row r="153">
          <cell r="A153">
            <v>906</v>
          </cell>
          <cell r="B153" t="str">
            <v>ja</v>
          </cell>
          <cell r="C153" t="str">
            <v>チェイン14 回復力小UP</v>
          </cell>
          <cell r="D153" t="str">
            <v>自身が先頭の時、1タップで14個以上パネルを繋げた場合に回復力小UP(1ターンに1度だけ発動)</v>
          </cell>
        </row>
        <row r="154">
          <cell r="A154">
            <v>907</v>
          </cell>
          <cell r="B154" t="str">
            <v>ja</v>
          </cell>
          <cell r="C154" t="str">
            <v>チェイン14 攻撃力UP</v>
          </cell>
          <cell r="D154" t="str">
            <v>自身が先頭の時、1タップで14個以上パネルを繋げた場合に攻撃力UP(1ターンに1度だけ発動)</v>
          </cell>
        </row>
        <row r="155">
          <cell r="A155">
            <v>908</v>
          </cell>
          <cell r="B155" t="str">
            <v>ja</v>
          </cell>
          <cell r="C155" t="str">
            <v>チェイン16 黄属性防御力UP</v>
          </cell>
          <cell r="D155" t="str">
            <v>自身が先頭の時、1タップで16個以上パネルを繋げた場合に黄属性ユニットの防御力UP(1ターンに1度だけ発動)</v>
          </cell>
        </row>
        <row r="156">
          <cell r="A156">
            <v>909</v>
          </cell>
          <cell r="B156" t="str">
            <v>ja</v>
          </cell>
          <cell r="C156" t="str">
            <v>チェイン30 Cパネル生成短縮(激烈)</v>
          </cell>
          <cell r="D156" t="str">
            <v>自身が先頭の時、1タップで30個以上パネルを繋げた場合にCパネル生成短縮(効果激烈)(1ターンに1度だけ発動)</v>
          </cell>
        </row>
        <row r="157">
          <cell r="A157">
            <v>910</v>
          </cell>
          <cell r="B157" t="str">
            <v>ja</v>
          </cell>
          <cell r="C157" t="str">
            <v>チェイン18 HP回復</v>
          </cell>
          <cell r="D157" t="str">
            <v>自身が先頭の時、1タップで18個以上パネルを繋げた場合にHPを2500回復(1ターンに1度だけ発動)</v>
          </cell>
        </row>
        <row r="158">
          <cell r="A158">
            <v>911</v>
          </cell>
          <cell r="B158" t="str">
            <v>ja</v>
          </cell>
          <cell r="C158" t="str">
            <v>チェイン24 ダメージ軽減</v>
          </cell>
          <cell r="D158" t="str">
            <v>自身が先頭の時、1タップで24個以上パネルを繋げた場合に敵からのダメージを15％軽減(1ターンに1度だけ発動)</v>
          </cell>
        </row>
        <row r="159">
          <cell r="A159">
            <v>1100</v>
          </cell>
          <cell r="B159" t="str">
            <v>ja</v>
          </cell>
          <cell r="C159" t="str">
            <v>Cパネル生成短縮</v>
          </cell>
          <cell r="D159" t="str">
            <v>自身が先頭の時、Cパネル生成に必要なチェイン数を1短縮する</v>
          </cell>
        </row>
        <row r="160">
          <cell r="A160">
            <v>1101</v>
          </cell>
          <cell r="B160" t="str">
            <v>ja</v>
          </cell>
          <cell r="C160" t="str">
            <v>Cパネル生成短縮(大)</v>
          </cell>
          <cell r="D160" t="str">
            <v>自身が先頭の時、Cパネル生成に必要なチェイン数を2短縮する</v>
          </cell>
        </row>
        <row r="161">
          <cell r="A161">
            <v>1200</v>
          </cell>
          <cell r="B161" t="str">
            <v>ja</v>
          </cell>
          <cell r="C161" t="str">
            <v>フィーバー攻撃UP</v>
          </cell>
          <cell r="D161" t="str">
            <v>自身が先頭の時、フィーバー発動時に緑属性の攻撃力と回復力UP</v>
          </cell>
        </row>
        <row r="162">
          <cell r="A162">
            <v>1300</v>
          </cell>
          <cell r="B162" t="str">
            <v>ja</v>
          </cell>
          <cell r="C162" t="str">
            <v>チェイン12 HP回復</v>
          </cell>
          <cell r="D162" t="str">
            <v>自身が先頭の時、1タップで12個以上パネルを繋げた場合にHPを2000回復(1ターンに1度だけ発動)</v>
          </cell>
        </row>
        <row r="163">
          <cell r="A163">
            <v>1400</v>
          </cell>
          <cell r="B163" t="str">
            <v>ja</v>
          </cell>
          <cell r="C163" t="str">
            <v>カウンター威力UP</v>
          </cell>
          <cell r="D163" t="str">
            <v>4ターン毎に自身のカウンタースキルの威力が1ターンの間UP</v>
          </cell>
        </row>
        <row r="164">
          <cell r="A164">
            <v>1500</v>
          </cell>
          <cell r="B164" t="str">
            <v>ja</v>
          </cell>
          <cell r="C164" t="str">
            <v>バリア15000</v>
          </cell>
          <cell r="D164" t="str">
            <v>戦闘開始時に、自身への直接ダメージを15000まで防ぐバリアを一度だけ展開(バリアは破壊されると復活しない)</v>
          </cell>
        </row>
        <row r="165">
          <cell r="A165">
            <v>1501</v>
          </cell>
          <cell r="B165" t="str">
            <v>ja</v>
          </cell>
          <cell r="C165" t="str">
            <v>バリア</v>
          </cell>
          <cell r="D165" t="str">
            <v>戦闘開始時に、ダメージを25000まで防ぐバリアを一度だけ展開</v>
          </cell>
        </row>
        <row r="166">
          <cell r="A166">
            <v>1502</v>
          </cell>
          <cell r="B166" t="str">
            <v>ja</v>
          </cell>
          <cell r="C166" t="str">
            <v>バリア</v>
          </cell>
          <cell r="D166" t="str">
            <v>戦闘開始時に、ダメージを50000まで防ぐバリアを一度だけ展開</v>
          </cell>
        </row>
        <row r="167">
          <cell r="A167">
            <v>1503</v>
          </cell>
          <cell r="B167" t="str">
            <v>ja</v>
          </cell>
          <cell r="C167" t="str">
            <v>バリア8000</v>
          </cell>
          <cell r="D167" t="str">
            <v>戦闘開始時に、自身への直接ダメージを8000まで防ぐバリアを一度だけ展開(バリアは破壊されると復活しない)</v>
          </cell>
        </row>
        <row r="168">
          <cell r="A168">
            <v>1504</v>
          </cell>
          <cell r="B168" t="str">
            <v>ja</v>
          </cell>
          <cell r="C168" t="str">
            <v>バリア10000</v>
          </cell>
          <cell r="D168" t="str">
            <v>戦闘開始時に、自身への直接ダメージを10000まで防ぐバリアを一度だけ展開(バリアは破壊されると復活しない)</v>
          </cell>
        </row>
        <row r="169">
          <cell r="A169">
            <v>1505</v>
          </cell>
          <cell r="B169" t="str">
            <v>ja</v>
          </cell>
          <cell r="C169" t="str">
            <v>バリア3939</v>
          </cell>
          <cell r="D169" t="str">
            <v>戦闘開始時に、自身への直接ダメージを3939まで防ぐバリアを一度だけ展開(バリアは破壊されると復活しない)</v>
          </cell>
        </row>
        <row r="170">
          <cell r="A170">
            <v>1600</v>
          </cell>
          <cell r="B170" t="str">
            <v>ja</v>
          </cell>
          <cell r="C170" t="str">
            <v>攻撃力・回復力UP</v>
          </cell>
          <cell r="D170" t="str">
            <v>自身の攻撃力と回復力をUP</v>
          </cell>
        </row>
        <row r="171">
          <cell r="A171">
            <v>1700</v>
          </cell>
          <cell r="B171" t="str">
            <v>ja</v>
          </cell>
          <cell r="C171" t="str">
            <v>パネルブレイク30 ターンHP小回復</v>
          </cell>
          <cell r="D171" t="str">
            <v>自身が先頭の時、1ターンの間に合計30個以上パネルを破壊した場合に1ターン HP小回復</v>
          </cell>
        </row>
        <row r="172">
          <cell r="A172">
            <v>1800</v>
          </cell>
          <cell r="B172" t="str">
            <v>ja</v>
          </cell>
          <cell r="C172" t="str">
            <v>フィーバー強化</v>
          </cell>
          <cell r="D172" t="str">
            <v>フィーバー時自身の攻撃力、回復力を特大UP</v>
          </cell>
        </row>
        <row r="173">
          <cell r="A173">
            <v>1900</v>
          </cell>
          <cell r="B173" t="str">
            <v>ja</v>
          </cell>
          <cell r="C173" t="str">
            <v>ハート出現率UP</v>
          </cell>
          <cell r="D173" t="str">
            <v>自身が先頭の時、ハートパネルの出現率UP</v>
          </cell>
        </row>
        <row r="174">
          <cell r="A174">
            <v>2000</v>
          </cell>
          <cell r="B174" t="str">
            <v>ja</v>
          </cell>
          <cell r="C174" t="str">
            <v>赤パネル出現率UP</v>
          </cell>
          <cell r="D174" t="str">
            <v>自身が先頭の時、赤パネルの出現率UP</v>
          </cell>
        </row>
        <row r="175">
          <cell r="A175">
            <v>2100</v>
          </cell>
          <cell r="B175" t="str">
            <v>ja</v>
          </cell>
          <cell r="C175" t="str">
            <v>緑パネル出現率UP</v>
          </cell>
          <cell r="D175" t="str">
            <v>自身が先頭の時、緑パネルの出現率UP</v>
          </cell>
        </row>
        <row r="176">
          <cell r="A176">
            <v>2200</v>
          </cell>
          <cell r="B176" t="str">
            <v>ja</v>
          </cell>
          <cell r="C176" t="str">
            <v>青パネル出現率UP</v>
          </cell>
          <cell r="D176" t="str">
            <v>自身が先頭の時、青パネルの出現率UP</v>
          </cell>
        </row>
        <row r="177">
          <cell r="A177">
            <v>2201</v>
          </cell>
          <cell r="B177" t="str">
            <v>ja</v>
          </cell>
          <cell r="C177" t="str">
            <v>青パネル出現率UP</v>
          </cell>
          <cell r="D177" t="str">
            <v>自身が先頭の時、青パネルの出現率UP</v>
          </cell>
        </row>
        <row r="178">
          <cell r="A178">
            <v>2300</v>
          </cell>
          <cell r="B178" t="str">
            <v>ja</v>
          </cell>
          <cell r="C178" t="str">
            <v>黄パネル出現率UP</v>
          </cell>
          <cell r="D178" t="str">
            <v>自身が先頭の時、黄パネルの出現率UP</v>
          </cell>
        </row>
        <row r="179">
          <cell r="A179">
            <v>2400</v>
          </cell>
          <cell r="B179" t="str">
            <v>ja</v>
          </cell>
          <cell r="C179" t="str">
            <v>ハートボムパネルドロップ</v>
          </cell>
          <cell r="D179" t="str">
            <v>自身が先頭の時、ハートパネルを確率でハートボムパネルに変換しドロップ</v>
          </cell>
        </row>
        <row r="180">
          <cell r="A180">
            <v>2401</v>
          </cell>
          <cell r="B180" t="str">
            <v>ja</v>
          </cell>
          <cell r="C180" t="str">
            <v>赤ボムパネルドロップ</v>
          </cell>
          <cell r="D180" t="str">
            <v>自身が先頭の時、赤パネルを低確率で赤ボムパネルに変換しドロップ</v>
          </cell>
        </row>
        <row r="181">
          <cell r="A181">
            <v>2402</v>
          </cell>
          <cell r="B181" t="str">
            <v>ja</v>
          </cell>
          <cell r="C181" t="str">
            <v>緑ボムパネルドロップ</v>
          </cell>
          <cell r="D181" t="str">
            <v>自身が先頭の時、緑パネルを低確率で緑ボムパネルに変換しドロップ</v>
          </cell>
        </row>
        <row r="182">
          <cell r="A182">
            <v>2403</v>
          </cell>
          <cell r="B182" t="str">
            <v>ja</v>
          </cell>
          <cell r="C182" t="str">
            <v>青ボムパネルドロップ</v>
          </cell>
          <cell r="D182" t="str">
            <v>自身が先頭の時、青パネルを確率で青ボムパネルに変換しドロップ</v>
          </cell>
        </row>
        <row r="183">
          <cell r="A183">
            <v>2500</v>
          </cell>
          <cell r="B183" t="str">
            <v>ja</v>
          </cell>
          <cell r="C183" t="str">
            <v>青パネルドロップ</v>
          </cell>
          <cell r="D183" t="str">
            <v>自身が先頭の時、緑パネルを確率で青パネルに変換しドロップ</v>
          </cell>
        </row>
        <row r="184">
          <cell r="A184">
            <v>2501</v>
          </cell>
          <cell r="B184" t="str">
            <v>ja</v>
          </cell>
          <cell r="C184" t="str">
            <v>黄パネルドロップ</v>
          </cell>
          <cell r="D184" t="str">
            <v>自身が先頭の時、青パネルを確率で黄パネルに変換しドロップ</v>
          </cell>
        </row>
        <row r="185">
          <cell r="A185">
            <v>2502</v>
          </cell>
          <cell r="B185" t="str">
            <v>ja</v>
          </cell>
          <cell r="C185" t="str">
            <v>赤パネルドロップ</v>
          </cell>
          <cell r="D185" t="str">
            <v>自身が先頭の時、黄パネルを確率で赤パネルに変換しドロップ</v>
          </cell>
        </row>
        <row r="186">
          <cell r="A186">
            <v>2503</v>
          </cell>
          <cell r="B186" t="str">
            <v>ja</v>
          </cell>
          <cell r="C186" t="str">
            <v>黄パネルドロップ</v>
          </cell>
          <cell r="D186" t="str">
            <v>自身が先頭の時、赤パネルを確率で黄パネルに変換しドロップ</v>
          </cell>
        </row>
        <row r="187">
          <cell r="A187">
            <v>2504</v>
          </cell>
          <cell r="B187" t="str">
            <v>ja</v>
          </cell>
          <cell r="C187" t="str">
            <v>SCパネルドロップ</v>
          </cell>
          <cell r="D187" t="str">
            <v>自身が先頭の時、緑パネルを確率でSCパネルに変換しドロップ</v>
          </cell>
        </row>
        <row r="188">
          <cell r="A188">
            <v>2505</v>
          </cell>
          <cell r="B188" t="str">
            <v>ja</v>
          </cell>
          <cell r="C188" t="str">
            <v>緑ボムパネル(大)ドロップ</v>
          </cell>
          <cell r="D188" t="str">
            <v>自身が先頭の時、低確率で緑ボムパネル(大)をドロップ</v>
          </cell>
        </row>
        <row r="189">
          <cell r="A189">
            <v>2506</v>
          </cell>
          <cell r="B189" t="str">
            <v>ja</v>
          </cell>
          <cell r="C189" t="str">
            <v>ハートボムパネル(大)ドロップ</v>
          </cell>
          <cell r="D189" t="str">
            <v>自身が先頭の時、低確率でハートボムパネル(大)をドロップ</v>
          </cell>
        </row>
        <row r="190">
          <cell r="A190">
            <v>2507</v>
          </cell>
          <cell r="B190" t="str">
            <v>ja</v>
          </cell>
          <cell r="C190" t="str">
            <v>Cパネルドロップ</v>
          </cell>
          <cell r="D190" t="str">
            <v>自身が先頭の時、低確率でCパネルをドロップ</v>
          </cell>
        </row>
        <row r="191">
          <cell r="A191">
            <v>2508</v>
          </cell>
          <cell r="B191" t="str">
            <v>ja</v>
          </cell>
          <cell r="C191" t="str">
            <v>黄パネルドロップ</v>
          </cell>
          <cell r="D191" t="str">
            <v>自身が先頭の時、緑パネルを確率で黄パネルに変換しドロップ</v>
          </cell>
        </row>
        <row r="192">
          <cell r="A192">
            <v>2600</v>
          </cell>
          <cell r="B192" t="str">
            <v>ja</v>
          </cell>
          <cell r="C192" t="str">
            <v>回復力400UP</v>
          </cell>
          <cell r="D192" t="str">
            <v>自身の回復力を400UP</v>
          </cell>
        </row>
        <row r="193">
          <cell r="A193">
            <v>2601</v>
          </cell>
          <cell r="B193" t="str">
            <v>ja</v>
          </cell>
          <cell r="C193" t="str">
            <v>回復力300UP</v>
          </cell>
          <cell r="D193" t="str">
            <v>自身の回復力を300UP</v>
          </cell>
        </row>
        <row r="194">
          <cell r="A194">
            <v>2700</v>
          </cell>
          <cell r="B194" t="str">
            <v>ja</v>
          </cell>
          <cell r="C194" t="str">
            <v>攻撃力UP</v>
          </cell>
          <cell r="D194" t="str">
            <v>自身の攻撃力を300UP</v>
          </cell>
        </row>
        <row r="195">
          <cell r="A195">
            <v>2701</v>
          </cell>
          <cell r="B195" t="str">
            <v>ja</v>
          </cell>
          <cell r="C195" t="str">
            <v>攻撃力UP</v>
          </cell>
          <cell r="D195" t="str">
            <v>自身の攻撃力を500UP</v>
          </cell>
        </row>
        <row r="196">
          <cell r="A196">
            <v>2800</v>
          </cell>
          <cell r="B196" t="str">
            <v>ja</v>
          </cell>
          <cell r="C196" t="str">
            <v>防御力UP</v>
          </cell>
          <cell r="D196" t="str">
            <v>自身の防御力を250UP</v>
          </cell>
        </row>
        <row r="197">
          <cell r="A197">
            <v>2801</v>
          </cell>
          <cell r="B197" t="str">
            <v>ja</v>
          </cell>
          <cell r="C197" t="str">
            <v>防御力UP</v>
          </cell>
          <cell r="D197" t="str">
            <v>自身の防御力を350UP</v>
          </cell>
        </row>
        <row r="198">
          <cell r="A198">
            <v>2802</v>
          </cell>
          <cell r="B198" t="str">
            <v>ja</v>
          </cell>
          <cell r="C198" t="str">
            <v>防御力UP</v>
          </cell>
          <cell r="D198" t="str">
            <v>自身の防御力を300UP</v>
          </cell>
        </row>
        <row r="199">
          <cell r="A199">
            <v>2803</v>
          </cell>
          <cell r="B199" t="str">
            <v>ja</v>
          </cell>
          <cell r="C199" t="str">
            <v>防御力UP</v>
          </cell>
          <cell r="D199" t="str">
            <v>自身の防御力を400UP</v>
          </cell>
        </row>
        <row r="200">
          <cell r="A200">
            <v>2900</v>
          </cell>
          <cell r="B200" t="str">
            <v>ja</v>
          </cell>
          <cell r="C200" t="str">
            <v>フィーバー50 攻撃力小UP</v>
          </cell>
          <cell r="D200" t="str">
            <v>フィーバーゲージが50％以上の時、自身の攻撃力小UP</v>
          </cell>
        </row>
        <row r="201">
          <cell r="A201">
            <v>2901</v>
          </cell>
          <cell r="B201" t="str">
            <v>ja</v>
          </cell>
          <cell r="C201" t="str">
            <v>フィーバー40 攻撃力UP</v>
          </cell>
          <cell r="D201" t="str">
            <v>フィーバーゲージが40％以上の時、自身の攻撃力UP</v>
          </cell>
        </row>
        <row r="202">
          <cell r="A202">
            <v>3000</v>
          </cell>
          <cell r="B202" t="str">
            <v>ja</v>
          </cell>
          <cell r="C202" t="str">
            <v>攻撃参加</v>
          </cell>
          <cell r="D202" t="str">
            <v>最初の1ターン目と、その後7ターン毎に自身が先頭以外でも通常攻撃に参加する</v>
          </cell>
        </row>
        <row r="203">
          <cell r="A203">
            <v>3100</v>
          </cell>
          <cell r="B203" t="str">
            <v>ja</v>
          </cell>
          <cell r="C203" t="str">
            <v>ボスフロア時 Cパネル生成短縮(特大)</v>
          </cell>
          <cell r="D203" t="str">
            <v>ボスフロアの1ターン目終了時に自身のCパネル生成に必要なチェイン数を4短縮する</v>
          </cell>
        </row>
        <row r="204">
          <cell r="A204">
            <v>3101</v>
          </cell>
          <cell r="B204" t="str">
            <v>ja</v>
          </cell>
          <cell r="C204" t="str">
            <v>ボスフロア時 バリア8000</v>
          </cell>
          <cell r="D204" t="str">
            <v>ボスフロアの1ターン目終了時に自身への直接ダメージを8000まで防ぐバリアを一度だけ展開(バリアは破壊されると復活しない)</v>
          </cell>
        </row>
        <row r="205">
          <cell r="A205">
            <v>3102</v>
          </cell>
          <cell r="B205" t="str">
            <v>ja</v>
          </cell>
          <cell r="C205" t="str">
            <v>ボスフロア時 Cスキル威力UP</v>
          </cell>
          <cell r="D205" t="str">
            <v>ボスフロアの1ターン目終了時に自身のCスキルの威力をUP</v>
          </cell>
        </row>
        <row r="206">
          <cell r="A206">
            <v>3200</v>
          </cell>
          <cell r="B206" t="str">
            <v>ja</v>
          </cell>
          <cell r="C206" t="str">
            <v>HP33%以下 攻撃力UP</v>
          </cell>
          <cell r="D206" t="str">
            <v>自身が先頭の時、残りHPが33%以下で攻撃力40%UP</v>
          </cell>
        </row>
        <row r="207">
          <cell r="A207">
            <v>9000</v>
          </cell>
          <cell r="B207" t="str">
            <v>ja</v>
          </cell>
          <cell r="C207" t="str">
            <v>ハップルチャレンジ ダメージUP</v>
          </cell>
          <cell r="D207" t="str">
            <v>ハップルチャレンジ内で自身の全ての攻撃の威力をUP</v>
          </cell>
        </row>
        <row r="208">
          <cell r="A208">
            <v>119402</v>
          </cell>
          <cell r="B208" t="str">
            <v>ja</v>
          </cell>
          <cell r="C208" t="str">
            <v>ハロウィンナイトパニック！ 威力UP</v>
          </cell>
          <cell r="D208" t="str">
            <v>ハロウィンナイトパニック！内で自身の全ての攻撃の威力を究極UP</v>
          </cell>
        </row>
        <row r="209">
          <cell r="A209">
            <v>808082</v>
          </cell>
          <cell r="B209" t="str">
            <v>ja</v>
          </cell>
          <cell r="C209" t="str">
            <v>Cパネルドロップ</v>
          </cell>
          <cell r="D209" t="str">
            <v>自身が先頭の時、低確率でCパネルをドロップ</v>
          </cell>
        </row>
        <row r="210">
          <cell r="A210">
            <v>2510</v>
          </cell>
          <cell r="B210" t="str">
            <v>ja</v>
          </cell>
          <cell r="C210" t="str">
            <v>青ボムパネル(大)ドロップ</v>
          </cell>
          <cell r="D210" t="str">
            <v>自身が先頭の時、低確率で青ボムパネル(大)をドロップ</v>
          </cell>
        </row>
        <row r="211">
          <cell r="A211">
            <v>2511</v>
          </cell>
          <cell r="B211" t="str">
            <v>ja</v>
          </cell>
          <cell r="C211" t="str">
            <v>緑ボムパネルドロップ</v>
          </cell>
          <cell r="D211" t="str">
            <v>自身が先頭の時、ハートパネルを確率で緑ボムパネルに変換しドロップ</v>
          </cell>
        </row>
        <row r="212">
          <cell r="A212">
            <v>2512</v>
          </cell>
          <cell r="B212" t="str">
            <v>ja</v>
          </cell>
          <cell r="C212" t="str">
            <v>ハートボムパネル(大)ドロップ</v>
          </cell>
          <cell r="D212" t="str">
            <v>自身が先頭の時、低確率でハートボムパネル(大)をドロップ</v>
          </cell>
        </row>
        <row r="213">
          <cell r="A213">
            <v>2513</v>
          </cell>
          <cell r="B213" t="str">
            <v>ja</v>
          </cell>
          <cell r="C213" t="str">
            <v>緑ボムパネル(大)ドロップ</v>
          </cell>
          <cell r="D213" t="str">
            <v>自身が先頭の時、低確率で緑ボムパネル(大)をドロップ</v>
          </cell>
        </row>
        <row r="214">
          <cell r="A214">
            <v>2600</v>
          </cell>
          <cell r="B214" t="str">
            <v>ja</v>
          </cell>
          <cell r="C214" t="str">
            <v>回復力400UP</v>
          </cell>
          <cell r="D214" t="str">
            <v>自身の回復力を400UP</v>
          </cell>
        </row>
        <row r="215">
          <cell r="A215">
            <v>2601</v>
          </cell>
          <cell r="B215" t="str">
            <v>ja</v>
          </cell>
          <cell r="C215" t="str">
            <v>回復力300UP</v>
          </cell>
          <cell r="D215" t="str">
            <v>自身の回復力を300UP</v>
          </cell>
        </row>
        <row r="216">
          <cell r="A216">
            <v>2700</v>
          </cell>
          <cell r="B216" t="str">
            <v>ja</v>
          </cell>
          <cell r="C216" t="str">
            <v>攻撃力UP</v>
          </cell>
          <cell r="D216" t="str">
            <v>自身の攻撃力を300UP</v>
          </cell>
        </row>
        <row r="217">
          <cell r="A217">
            <v>2701</v>
          </cell>
          <cell r="B217" t="str">
            <v>ja</v>
          </cell>
          <cell r="C217" t="str">
            <v>攻撃力UP</v>
          </cell>
          <cell r="D217" t="str">
            <v>自身の攻撃力を500UP</v>
          </cell>
        </row>
        <row r="218">
          <cell r="A218">
            <v>2800</v>
          </cell>
          <cell r="B218" t="str">
            <v>ja</v>
          </cell>
          <cell r="C218" t="str">
            <v>防御力UP</v>
          </cell>
          <cell r="D218" t="str">
            <v>自身の防御力を250UP</v>
          </cell>
        </row>
        <row r="219">
          <cell r="A219">
            <v>2801</v>
          </cell>
          <cell r="B219" t="str">
            <v>ja</v>
          </cell>
          <cell r="C219" t="str">
            <v>防御力UP</v>
          </cell>
          <cell r="D219" t="str">
            <v>自身の防御力を350UP</v>
          </cell>
        </row>
        <row r="220">
          <cell r="A220">
            <v>2802</v>
          </cell>
          <cell r="B220" t="str">
            <v>ja</v>
          </cell>
          <cell r="C220" t="str">
            <v>防御力UP</v>
          </cell>
          <cell r="D220" t="str">
            <v>自身の防御力を300UP</v>
          </cell>
        </row>
        <row r="221">
          <cell r="A221">
            <v>2803</v>
          </cell>
          <cell r="B221" t="str">
            <v>ja</v>
          </cell>
          <cell r="C221" t="str">
            <v>防御力UP</v>
          </cell>
          <cell r="D221" t="str">
            <v>自身の防御力を400UP</v>
          </cell>
        </row>
        <row r="222">
          <cell r="A222">
            <v>2804</v>
          </cell>
          <cell r="B222" t="str">
            <v>ja</v>
          </cell>
          <cell r="C222" t="str">
            <v>防御力UP</v>
          </cell>
          <cell r="D222" t="str">
            <v>自身の防御力を280UP</v>
          </cell>
        </row>
        <row r="223">
          <cell r="A223">
            <v>2900</v>
          </cell>
          <cell r="B223" t="str">
            <v>ja</v>
          </cell>
          <cell r="C223" t="str">
            <v>フィーバー50 攻撃力小UP</v>
          </cell>
          <cell r="D223" t="str">
            <v>フィーバーゲージが50％以上の時、自身の攻撃力小UP</v>
          </cell>
        </row>
        <row r="224">
          <cell r="A224">
            <v>2901</v>
          </cell>
          <cell r="B224" t="str">
            <v>ja</v>
          </cell>
          <cell r="C224" t="str">
            <v>フィーバー40 攻撃力UP</v>
          </cell>
          <cell r="D224" t="str">
            <v>フィーバーゲージが40％以上の時、自身の攻撃力UP</v>
          </cell>
        </row>
        <row r="225">
          <cell r="A225">
            <v>2902</v>
          </cell>
          <cell r="B225" t="str">
            <v>ja</v>
          </cell>
          <cell r="C225" t="str">
            <v>フィーバー80 攻撃力大UP</v>
          </cell>
          <cell r="D225" t="str">
            <v>フィーバーゲージが80％以上の時、自身の攻撃力大UP</v>
          </cell>
        </row>
        <row r="226">
          <cell r="A226">
            <v>2903</v>
          </cell>
          <cell r="B226" t="str">
            <v>ja</v>
          </cell>
          <cell r="C226" t="str">
            <v>フィーバー100 攻撃参加</v>
          </cell>
          <cell r="D226" t="str">
            <v>フィーバーゲージが100％の時、自身が先頭以外でも通常攻撃に参加する</v>
          </cell>
        </row>
        <row r="227">
          <cell r="A227">
            <v>3000</v>
          </cell>
          <cell r="B227" t="str">
            <v>ja</v>
          </cell>
          <cell r="C227" t="str">
            <v>攻撃参加</v>
          </cell>
          <cell r="D227" t="str">
            <v>最初の1ターン目と、その後7ターン毎に自身が先頭以外でも通常攻撃に参加する</v>
          </cell>
        </row>
        <row r="228">
          <cell r="A228">
            <v>3001</v>
          </cell>
          <cell r="B228" t="str">
            <v>ja</v>
          </cell>
          <cell r="C228" t="str">
            <v>攻撃参加</v>
          </cell>
          <cell r="D228" t="str">
            <v>最初の1ターン目と、その後6ターン毎に自身が先頭以外でも通常攻撃に参加する</v>
          </cell>
        </row>
        <row r="229">
          <cell r="A229">
            <v>3002</v>
          </cell>
          <cell r="B229" t="str">
            <v>ja</v>
          </cell>
          <cell r="C229" t="str">
            <v>攻撃参加</v>
          </cell>
          <cell r="D229" t="str">
            <v>最初の1ターン目と、その後9ターン毎に自身が先頭以外でも通常攻撃に参加する</v>
          </cell>
        </row>
        <row r="230">
          <cell r="A230">
            <v>3100</v>
          </cell>
          <cell r="B230" t="str">
            <v>ja</v>
          </cell>
          <cell r="C230" t="str">
            <v>ボスフロア Cパネル生成短縮(特大)</v>
          </cell>
          <cell r="D230" t="str">
            <v>ボスフロア内で自身が先頭の時、Cパネル生成に必要なチェイン数を短縮する</v>
          </cell>
        </row>
        <row r="231">
          <cell r="A231">
            <v>3101</v>
          </cell>
          <cell r="B231" t="str">
            <v>ja</v>
          </cell>
          <cell r="C231" t="str">
            <v>ボスフロア時 バリア3000</v>
          </cell>
          <cell r="D231" t="str">
            <v>ボスフロア到達時に自身への直接ダメージを3000まで防ぐバリアを一度だけ展開(バリアは破壊されると復活しない)</v>
          </cell>
        </row>
        <row r="232">
          <cell r="A232">
            <v>3102</v>
          </cell>
          <cell r="B232" t="str">
            <v>ja</v>
          </cell>
          <cell r="C232" t="str">
            <v>ボスフロア時 Cスキル威力UP</v>
          </cell>
          <cell r="D232" t="str">
            <v>ボスフロアの1ターン目終了時に自身のCスキルの威力をUP</v>
          </cell>
        </row>
        <row r="233">
          <cell r="A233">
            <v>3103</v>
          </cell>
          <cell r="B233" t="str">
            <v>ja</v>
          </cell>
          <cell r="C233" t="str">
            <v>ボスフロア 攻撃力UP</v>
          </cell>
          <cell r="D233" t="str">
            <v>ボスフロア内で自身の攻撃力を700UP</v>
          </cell>
        </row>
        <row r="234">
          <cell r="A234">
            <v>3200</v>
          </cell>
          <cell r="B234" t="str">
            <v>ja</v>
          </cell>
          <cell r="C234" t="str">
            <v>HP33%以下 攻撃力UP</v>
          </cell>
          <cell r="D234" t="str">
            <v>自身が先頭の時、残りHPが33%以下で攻撃力特大UP</v>
          </cell>
        </row>
        <row r="235">
          <cell r="A235">
            <v>3201</v>
          </cell>
          <cell r="B235" t="str">
            <v>ja</v>
          </cell>
          <cell r="C235" t="str">
            <v>HP35%以下 回復力UP</v>
          </cell>
          <cell r="D235" t="str">
            <v>自身が先頭の時、残りHPが35%以下で回復力40%UP</v>
          </cell>
        </row>
        <row r="236">
          <cell r="A236">
            <v>3202</v>
          </cell>
          <cell r="B236" t="str">
            <v>ja</v>
          </cell>
          <cell r="C236" t="str">
            <v>HP90%以上 全属性耐性15</v>
          </cell>
          <cell r="D236" t="str">
            <v>自身が先頭の時、残りHPが90%以上で全ユニットに対する全属性の敵からの攻撃を15％軽減</v>
          </cell>
        </row>
        <row r="237">
          <cell r="A237">
            <v>3203</v>
          </cell>
          <cell r="B237" t="str">
            <v>ja</v>
          </cell>
          <cell r="C237" t="str">
            <v>HP50%以下 防御力UP</v>
          </cell>
          <cell r="D237" t="str">
            <v>自身が先頭の時、残りHPが50%以下で防御力398UP</v>
          </cell>
        </row>
        <row r="238">
          <cell r="A238">
            <v>3204</v>
          </cell>
          <cell r="B238" t="str">
            <v>ja</v>
          </cell>
          <cell r="C238" t="str">
            <v>HP30%以下 攻撃力大UP</v>
          </cell>
          <cell r="D238" t="str">
            <v>自身が先頭の時、残りHPが30%以下で攻撃力大UP</v>
          </cell>
        </row>
        <row r="239">
          <cell r="A239">
            <v>3205</v>
          </cell>
          <cell r="B239" t="str">
            <v>ja</v>
          </cell>
          <cell r="C239" t="str">
            <v>HP90%以上 ダメージ軽減</v>
          </cell>
          <cell r="D239" t="str">
            <v>残りHPが90%以上の時、全ユニットが敵からの攻撃を15％軽減</v>
          </cell>
        </row>
        <row r="240">
          <cell r="A240">
            <v>4000</v>
          </cell>
          <cell r="B240" t="str">
            <v>ja</v>
          </cell>
          <cell r="C240" t="str">
            <v>被ダメージ時 HP回復</v>
          </cell>
          <cell r="D240" t="str">
            <v>自身が攻撃を受けた場合、次のターンの開始時にHP500回復する</v>
          </cell>
        </row>
        <row r="241">
          <cell r="A241">
            <v>8000</v>
          </cell>
          <cell r="B241" t="str">
            <v>ja</v>
          </cell>
          <cell r="C241" t="str">
            <v>ユニットが一番右にいるとき 攻撃力UP</v>
          </cell>
          <cell r="D241" t="str">
            <v>自身が一番右にいる場合、全ユニットの攻撃力UP</v>
          </cell>
        </row>
        <row r="242">
          <cell r="A242">
            <v>8001</v>
          </cell>
          <cell r="B242" t="str">
            <v>ja</v>
          </cell>
          <cell r="C242" t="str">
            <v>敵に青属性がいる場合 小カウンター</v>
          </cell>
          <cell r="D242" t="str">
            <v>敵に青属性がいる場合、小カウンター</v>
          </cell>
        </row>
        <row r="243">
          <cell r="A243">
            <v>8002</v>
          </cell>
          <cell r="B243" t="str">
            <v>ja</v>
          </cell>
          <cell r="C243" t="str">
            <v>テスト</v>
          </cell>
          <cell r="D243" t="str">
            <v>フロアスタート時、1ターン全ユニットの攻撃力UP</v>
          </cell>
        </row>
        <row r="244">
          <cell r="A244">
            <v>8003</v>
          </cell>
          <cell r="B244" t="str">
            <v>ja</v>
          </cell>
          <cell r="C244" t="str">
            <v>HP70%以上 ウィルス無効</v>
          </cell>
          <cell r="D244" t="str">
            <v>残りHPが70%以上で自身にかかるウィルスを無効化する</v>
          </cell>
        </row>
        <row r="245">
          <cell r="A245">
            <v>9000</v>
          </cell>
          <cell r="B245" t="str">
            <v>ja</v>
          </cell>
          <cell r="C245" t="str">
            <v>ハップルチャレンジ ダメージUP</v>
          </cell>
          <cell r="D245" t="str">
            <v>ハップルチャレンジ内で自身の全ての攻撃の威力をUP</v>
          </cell>
        </row>
        <row r="246">
          <cell r="A246">
            <v>9001</v>
          </cell>
          <cell r="B246" t="str">
            <v>ja</v>
          </cell>
          <cell r="C246" t="str">
            <v>クロネッカーチャレンジ ダメージUP</v>
          </cell>
          <cell r="D246" t="str">
            <v>クロネッカーチャレンジ内で自身の全ての攻撃の威力をUP</v>
          </cell>
        </row>
        <row r="247">
          <cell r="A247">
            <v>9002</v>
          </cell>
          <cell r="B247" t="str">
            <v>ja</v>
          </cell>
          <cell r="C247" t="str">
            <v>クロネッカーチャレンジ ダメージUP</v>
          </cell>
          <cell r="D247" t="str">
            <v>クロネッカーチャレンジ内で自身の全ての攻撃+カウンターの威力をUP</v>
          </cell>
        </row>
        <row r="248">
          <cell r="A248">
            <v>119402</v>
          </cell>
          <cell r="B248" t="str">
            <v>ja</v>
          </cell>
          <cell r="C248" t="str">
            <v>ハロウィンナイトパニック！ 威力UP</v>
          </cell>
          <cell r="D248" t="str">
            <v>ハロウィンナイトパニック！内で自身の全ての攻撃の威力を究極UP</v>
          </cell>
        </row>
        <row r="249">
          <cell r="A249">
            <v>500801</v>
          </cell>
          <cell r="B249" t="str">
            <v>ja</v>
          </cell>
          <cell r="C249" t="str">
            <v>パネルブレイク35 攻撃力小UP</v>
          </cell>
          <cell r="D249" t="str">
            <v>自身が先頭の時、1ターンの間に合計35個以上パネルを破壊した場合に攻撃力小UP</v>
          </cell>
        </row>
        <row r="250">
          <cell r="A250">
            <v>808082</v>
          </cell>
          <cell r="B250" t="str">
            <v>ja</v>
          </cell>
          <cell r="C250" t="str">
            <v>Cパネルドロップ</v>
          </cell>
          <cell r="D250" t="str">
            <v>自身が先頭の時、低確率でCパネルをドロップ</v>
          </cell>
        </row>
        <row r="251">
          <cell r="A251">
            <v>900000</v>
          </cell>
          <cell r="B251" t="str">
            <v>ja</v>
          </cell>
          <cell r="C251" t="str">
            <v>フィーバー100 プロテクトブレイク</v>
          </cell>
          <cell r="D251" t="str">
            <v>フィーバーゲージが100％以上の時、1ターンプロテクトブレイク</v>
          </cell>
        </row>
        <row r="252">
          <cell r="A252">
            <v>900001</v>
          </cell>
          <cell r="B252" t="str">
            <v>ja</v>
          </cell>
          <cell r="C252" t="str">
            <v>フィーバー100 お邪魔ブレイク</v>
          </cell>
          <cell r="D252" t="str">
            <v>フィーバーゲージが100％以上の時、1ターンお邪魔ブレイク</v>
          </cell>
        </row>
        <row r="253">
          <cell r="A253">
            <v>900402</v>
          </cell>
          <cell r="B253" t="str">
            <v>ja</v>
          </cell>
          <cell r="C253" t="str">
            <v>バリア3500</v>
          </cell>
          <cell r="D253" t="str">
            <v>戦闘開始時に、自身への直接ダメージを3500まで防ぐバリアを一度だけ展開(バリアは破壊されると復活しない)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  <row r="260">
          <cell r="A260">
            <v>8002</v>
          </cell>
          <cell r="B260" t="str">
            <v>ja</v>
          </cell>
          <cell r="C260" t="str">
            <v>テスト</v>
          </cell>
          <cell r="D260" t="str">
            <v>フロアスタート時、1ターン全ユニットの攻撃力UP</v>
          </cell>
        </row>
        <row r="261">
          <cell r="A261">
            <v>8003</v>
          </cell>
          <cell r="B261" t="str">
            <v>ja</v>
          </cell>
          <cell r="C261" t="str">
            <v>HP70%以上 ウィルス無効</v>
          </cell>
          <cell r="D261" t="str">
            <v>残りHPが70%以上で自身にかかるウィルスを無効化する</v>
          </cell>
        </row>
        <row r="262">
          <cell r="A262">
            <v>8004</v>
          </cell>
          <cell r="B262" t="str">
            <v>ja</v>
          </cell>
          <cell r="C262" t="str">
            <v>フロアスタート時 スキルブースト</v>
          </cell>
          <cell r="D262" t="str">
            <v>フロアスタート時、1ターンスキルブースト</v>
          </cell>
        </row>
        <row r="263">
          <cell r="A263">
            <v>9000</v>
          </cell>
          <cell r="B263" t="str">
            <v>ja</v>
          </cell>
          <cell r="C263" t="str">
            <v>ハップルチャレンジ ダメージUP</v>
          </cell>
          <cell r="D263" t="str">
            <v>ハップルチャレンジ内で自身の全ての攻撃の威力をUP</v>
          </cell>
        </row>
        <row r="264">
          <cell r="A264">
            <v>9001</v>
          </cell>
          <cell r="B264" t="str">
            <v>ja</v>
          </cell>
          <cell r="C264" t="str">
            <v>クロネッカーチャレンジ ダメージUP</v>
          </cell>
          <cell r="D264" t="str">
            <v>クロネッカーチャレンジ内で自身の全ての攻撃の威力をUP</v>
          </cell>
        </row>
        <row r="265">
          <cell r="A265">
            <v>9002</v>
          </cell>
          <cell r="B265" t="str">
            <v>ja</v>
          </cell>
          <cell r="C265" t="str">
            <v>クロネッカーチャレンジ ダメージUP</v>
          </cell>
          <cell r="D265" t="str">
            <v>クロネッカーチャレンジ内で自身の全ての攻撃+カウンターの威力をUP</v>
          </cell>
        </row>
        <row r="266">
          <cell r="A266">
            <v>9003</v>
          </cell>
          <cell r="B266" t="str">
            <v>ja</v>
          </cell>
          <cell r="C266" t="str">
            <v>オイラーチャレンジ ダメージUP</v>
          </cell>
          <cell r="D266" t="str">
            <v>オイラーチャレンジ内で自身の全ての攻撃の威力をUP</v>
          </cell>
        </row>
        <row r="267">
          <cell r="A267">
            <v>9004</v>
          </cell>
          <cell r="B267" t="str">
            <v>ja</v>
          </cell>
          <cell r="C267" t="str">
            <v>オイラーチャレンジ ダメージ究極UP</v>
          </cell>
          <cell r="D267" t="str">
            <v>オイラーチャレンジ内で自身の全ての攻撃の威力を究極UP</v>
          </cell>
        </row>
        <row r="268">
          <cell r="A268">
            <v>9005</v>
          </cell>
          <cell r="B268" t="str">
            <v>ja</v>
          </cell>
          <cell r="C268" t="str">
            <v>ヘンペルチャレンジ ダメージUP</v>
          </cell>
          <cell r="D268" t="str">
            <v>ヘンペルチャレンジ内で自身の全ての攻撃の威力をUP</v>
          </cell>
        </row>
        <row r="269">
          <cell r="A269">
            <v>9006</v>
          </cell>
          <cell r="B269" t="str">
            <v>ja</v>
          </cell>
          <cell r="C269" t="str">
            <v>ヘンペルチャレンジ ダメージUP</v>
          </cell>
          <cell r="D269" t="str">
            <v>ヘンペルチャレンジ内で自身の全ての攻撃+カウンターの威力をUP</v>
          </cell>
        </row>
        <row r="270">
          <cell r="A270">
            <v>119402</v>
          </cell>
          <cell r="B270" t="str">
            <v>ja</v>
          </cell>
          <cell r="C270" t="str">
            <v>ハロウィンナイトパニック！ 威力UP</v>
          </cell>
          <cell r="D270" t="str">
            <v>ハロウィンナイトパニック！内で自身の全ての攻撃の威力を究極UP</v>
          </cell>
        </row>
        <row r="271">
          <cell r="A271">
            <v>500801</v>
          </cell>
          <cell r="B271" t="str">
            <v>ja</v>
          </cell>
          <cell r="C271" t="str">
            <v>パネルブレイク35 攻撃力小UP</v>
          </cell>
          <cell r="D271" t="str">
            <v>自身が先頭の時、1ターンの間に合計35個以上パネルを破壊した場合に攻撃力小UP</v>
          </cell>
        </row>
        <row r="272">
          <cell r="A272">
            <v>808082</v>
          </cell>
          <cell r="B272" t="str">
            <v>ja</v>
          </cell>
          <cell r="C272" t="str">
            <v>Cパネルドロップ</v>
          </cell>
          <cell r="D272" t="str">
            <v>自身が先頭の時、低確率でCパネルをドロップ</v>
          </cell>
        </row>
        <row r="273">
          <cell r="A273">
            <v>900000</v>
          </cell>
          <cell r="B273" t="str">
            <v>ja</v>
          </cell>
          <cell r="C273" t="str">
            <v>フィーバー100 プロテクトブレイク</v>
          </cell>
          <cell r="D273" t="str">
            <v>フィーバーゲージが100％以上の時、1ターンプロテクトブレイク</v>
          </cell>
        </row>
        <row r="274">
          <cell r="A274">
            <v>900001</v>
          </cell>
          <cell r="B274" t="str">
            <v>ja</v>
          </cell>
          <cell r="C274" t="str">
            <v>フィーバー100 お邪魔ブレイク</v>
          </cell>
          <cell r="D274" t="str">
            <v>フィーバーゲージが100％以上の時、1ターンお邪魔ブレイク</v>
          </cell>
        </row>
        <row r="275">
          <cell r="A275">
            <v>900402</v>
          </cell>
          <cell r="B275" t="str">
            <v>ja</v>
          </cell>
          <cell r="C275" t="str">
            <v>バリア3500</v>
          </cell>
          <cell r="D275" t="str">
            <v>戦闘開始時に、自身への直接ダメージを3500まで防ぐバリアを一度だけ展開(バリアは破壊されると復活しない)</v>
          </cell>
        </row>
        <row r="276">
          <cell r="A276">
            <v>810202</v>
          </cell>
          <cell r="B276" t="str">
            <v>ja</v>
          </cell>
          <cell r="C276" t="str">
            <v>パネルブレイク50 ダメージ軽減</v>
          </cell>
          <cell r="D276" t="str">
            <v>自身が先頭の時、1ターンの間に合計50個以上パネルを破壊した場合敵からのダメージを15%軽減（1ターンに1度だけ発動）</v>
          </cell>
        </row>
        <row r="277">
          <cell r="A277">
            <v>811802</v>
          </cell>
          <cell r="B277" t="str">
            <v>ja</v>
          </cell>
          <cell r="C277" t="str">
            <v>ターン攻撃力UP</v>
          </cell>
          <cell r="D277" t="str">
            <v>最初の1ターン目と、その後6ターン毎に1ターン種族ドラゴン・ファンタジー・アニマルの攻撃力1000UP</v>
          </cell>
        </row>
        <row r="278">
          <cell r="A278">
            <v>812002</v>
          </cell>
          <cell r="B278" t="str">
            <v>ja</v>
          </cell>
          <cell r="C278" t="str">
            <v>ターンタップ増加</v>
          </cell>
          <cell r="D278" t="str">
            <v>最初の1ターン目と、その後6ターン毎に1ターン種族ドラゴン・ファンタジー・アニマルのタップ数1増加</v>
          </cell>
        </row>
        <row r="279">
          <cell r="A279">
            <v>811803</v>
          </cell>
          <cell r="B279" t="str">
            <v>ja</v>
          </cell>
          <cell r="C279" t="str">
            <v>端午クエスト ダメージUP</v>
          </cell>
          <cell r="D279" t="str">
            <v>端午クエスト内で自身の全ての攻撃の威力をUP</v>
          </cell>
        </row>
        <row r="280">
          <cell r="A280">
            <v>900802</v>
          </cell>
          <cell r="B280" t="str">
            <v>ja</v>
          </cell>
          <cell r="C280" t="str">
            <v>ターン攻撃力UP</v>
          </cell>
          <cell r="D280" t="str">
            <v>最初の1ターン目と、その後7ターン毎に1ターン赤属性の攻撃力777UP</v>
          </cell>
        </row>
        <row r="281">
          <cell r="A281">
            <v>3206</v>
          </cell>
          <cell r="B281" t="str">
            <v>ja</v>
          </cell>
          <cell r="C281" t="str">
            <v>HP30%以下 回復力UP</v>
          </cell>
          <cell r="D281" t="str">
            <v>残りHPが30%以下の時、全ユニットの回復力20%UP</v>
          </cell>
        </row>
        <row r="282">
          <cell r="A282">
            <v>3207</v>
          </cell>
          <cell r="B282" t="str">
            <v>ja</v>
          </cell>
          <cell r="C282" t="str">
            <v>HP50%以下 回復力UP</v>
          </cell>
          <cell r="D282" t="str">
            <v>残りHPが50%以下の時、全ユニットの回復力365UP</v>
          </cell>
        </row>
        <row r="283">
          <cell r="A283">
            <v>3208</v>
          </cell>
          <cell r="B283" t="str">
            <v>ja</v>
          </cell>
          <cell r="C283" t="str">
            <v>HP35%以下 防御力UP</v>
          </cell>
          <cell r="D283" t="str">
            <v>残りHPが35%以下の時、自身の防御力800UP</v>
          </cell>
        </row>
        <row r="284">
          <cell r="A284">
            <v>3209</v>
          </cell>
          <cell r="B284" t="str">
            <v>ja</v>
          </cell>
          <cell r="C284" t="str">
            <v>HP80%以下 攻撃力大UP</v>
          </cell>
          <cell r="D284" t="str">
            <v>残りHPが80%以下の時、自身の攻撃力大UP</v>
          </cell>
        </row>
        <row r="285">
          <cell r="A285">
            <v>3210</v>
          </cell>
          <cell r="B285" t="str">
            <v>ja</v>
          </cell>
          <cell r="C285" t="str">
            <v>HP75%以下 Cパネル生成短縮</v>
          </cell>
          <cell r="D285" t="str">
            <v>残りHPが75%以下の時、自身の攻撃力大UP</v>
          </cell>
        </row>
        <row r="286">
          <cell r="A286">
            <v>4000</v>
          </cell>
          <cell r="B286" t="str">
            <v>ja</v>
          </cell>
          <cell r="C286" t="str">
            <v>被ダメージ時 HP回復</v>
          </cell>
          <cell r="D286" t="str">
            <v>自身が攻撃を受けた場合、次のターンの開始時にHP500回復する</v>
          </cell>
        </row>
        <row r="287">
          <cell r="A287">
            <v>5000</v>
          </cell>
          <cell r="B287" t="str">
            <v>ja</v>
          </cell>
          <cell r="C287" t="str">
            <v>パーティー内ゴッド 攻撃力UP</v>
          </cell>
          <cell r="D287" t="str">
            <v>パーティー内に種族ゴッドがいる時、全ユニットの攻撃力を500UP</v>
          </cell>
        </row>
        <row r="288">
          <cell r="A288">
            <v>5001</v>
          </cell>
          <cell r="B288" t="str">
            <v>ja</v>
          </cell>
          <cell r="C288" t="str">
            <v>パーティー内バランス 回復力UP</v>
          </cell>
          <cell r="D288" t="str">
            <v>パーティー内にバランスタイプがいる時、全ユニットの回復力を500UP</v>
          </cell>
        </row>
        <row r="289">
          <cell r="A289">
            <v>5002</v>
          </cell>
          <cell r="B289" t="str">
            <v>ja</v>
          </cell>
          <cell r="C289" t="str">
            <v>パーティー内青属性 攻撃力UP</v>
          </cell>
          <cell r="D289" t="str">
            <v>パーティー内に青属性ユニットがいる時、全ユニットの攻撃力を700UP</v>
          </cell>
        </row>
        <row r="290">
          <cell r="A290">
            <v>5003</v>
          </cell>
          <cell r="B290" t="str">
            <v>ja</v>
          </cell>
          <cell r="C290" t="str">
            <v>パーティー内赤属性 自身攻撃力UP</v>
          </cell>
          <cell r="D290" t="str">
            <v>パーティー内に赤属性ユニットがいる時、自身の攻撃力を1500UP</v>
          </cell>
        </row>
        <row r="291">
          <cell r="A291">
            <v>8000</v>
          </cell>
          <cell r="B291" t="str">
            <v>ja</v>
          </cell>
          <cell r="C291" t="str">
            <v>ユニットが一番右にいるとき 攻撃力UP</v>
          </cell>
          <cell r="D291" t="str">
            <v>自身が一番右にいる場合、全ユニットの攻撃力UP</v>
          </cell>
        </row>
        <row r="292">
          <cell r="A292">
            <v>8001</v>
          </cell>
          <cell r="B292" t="str">
            <v>ja</v>
          </cell>
          <cell r="C292" t="str">
            <v>敵に青属性がいる場合 小カウンター</v>
          </cell>
          <cell r="D292" t="str">
            <v>敵に青属性がいる場合、小カウンター</v>
          </cell>
        </row>
        <row r="293">
          <cell r="A293">
            <v>8002</v>
          </cell>
          <cell r="B293" t="str">
            <v>ja</v>
          </cell>
          <cell r="C293" t="str">
            <v>テスト</v>
          </cell>
          <cell r="D293" t="str">
            <v>フロアスタート時、1ターン全ユニットの攻撃力UP</v>
          </cell>
        </row>
        <row r="294">
          <cell r="A294">
            <v>8003</v>
          </cell>
          <cell r="B294" t="str">
            <v>ja</v>
          </cell>
          <cell r="C294" t="str">
            <v>HP70%以上 ウィルス無効</v>
          </cell>
          <cell r="D294" t="str">
            <v>残りHPが70%以上で自身にかかるウィルスを無効化する</v>
          </cell>
        </row>
        <row r="295">
          <cell r="A295">
            <v>8004</v>
          </cell>
          <cell r="B295" t="str">
            <v>ja</v>
          </cell>
          <cell r="C295" t="str">
            <v>フロアスタート時 スキルブースト</v>
          </cell>
          <cell r="D295" t="str">
            <v>フロアスタート時、1ターンスキルブースト</v>
          </cell>
        </row>
        <row r="296">
          <cell r="A296">
            <v>8005</v>
          </cell>
          <cell r="B296" t="str">
            <v>ja</v>
          </cell>
          <cell r="C296" t="str">
            <v>ハートがハートボム大</v>
          </cell>
          <cell r="D296" t="str">
            <v>ハートがハートボム大</v>
          </cell>
        </row>
        <row r="297">
          <cell r="A297">
            <v>8006</v>
          </cell>
          <cell r="B297" t="str">
            <v>ja</v>
          </cell>
          <cell r="C297" t="str">
            <v>攻撃、回復、体力のCP短縮1</v>
          </cell>
          <cell r="D297" t="str">
            <v>攻撃、回復、体力のCP短縮1</v>
          </cell>
        </row>
        <row r="298">
          <cell r="A298">
            <v>8007</v>
          </cell>
          <cell r="B298" t="str">
            <v>ja</v>
          </cell>
          <cell r="C298" t="str">
            <v>自身の左ユニットが攻撃参加</v>
          </cell>
          <cell r="D298" t="str">
            <v>自身の左ユニットが攻撃参加</v>
          </cell>
        </row>
        <row r="299">
          <cell r="A299">
            <v>8008</v>
          </cell>
          <cell r="B299" t="str">
            <v>ja</v>
          </cell>
          <cell r="C299" t="str">
            <v>ターン経過回復力UP</v>
          </cell>
          <cell r="D299" t="str">
            <v>最初の1ターン目と、その後4ターン毎に2ターン全ユニットの回復力を1500UP</v>
          </cell>
        </row>
        <row r="300">
          <cell r="A300">
            <v>8009</v>
          </cell>
          <cell r="B300" t="str">
            <v>ja</v>
          </cell>
          <cell r="C300" t="str">
            <v>最終フロア Cパネル生成短縮(特大)</v>
          </cell>
          <cell r="D300" t="str">
            <v>最終フロア内で自身が先頭の時、Cパネル生成に必要なチェイン数を4短縮する</v>
          </cell>
        </row>
        <row r="301">
          <cell r="A301">
            <v>8010</v>
          </cell>
          <cell r="B301" t="str">
            <v>ja</v>
          </cell>
          <cell r="C301" t="str">
            <v>対Unknown&amp;青属性 ダメージUP</v>
          </cell>
          <cell r="D301" t="str">
            <v>自身の攻撃対象が種族Unknownで、青属性の場合全ての攻撃の威力をUP</v>
          </cell>
        </row>
        <row r="302">
          <cell r="A302">
            <v>8011</v>
          </cell>
          <cell r="B302" t="str">
            <v>ja</v>
          </cell>
          <cell r="C302" t="str">
            <v>対青属性 スリープ付与</v>
          </cell>
          <cell r="D302" t="str">
            <v>青属性を攻撃するとき、確率で1ターンスリープ付与</v>
          </cell>
        </row>
        <row r="303">
          <cell r="A303">
            <v>9000</v>
          </cell>
          <cell r="B303" t="str">
            <v>ja</v>
          </cell>
          <cell r="C303" t="str">
            <v>ハップルチャレンジ ダメージUP</v>
          </cell>
          <cell r="D303" t="str">
            <v>ハップルチャレンジ内で自身の全ての攻撃の威力をUP</v>
          </cell>
        </row>
        <row r="304">
          <cell r="A304">
            <v>9001</v>
          </cell>
          <cell r="B304" t="str">
            <v>ja</v>
          </cell>
          <cell r="C304" t="str">
            <v>クロネッカーチャレンジ ダメージUP</v>
          </cell>
          <cell r="D304" t="str">
            <v>クロネッカーチャレンジ内で自身の全ての攻撃の威力をUP</v>
          </cell>
        </row>
        <row r="305">
          <cell r="A305">
            <v>9002</v>
          </cell>
          <cell r="B305" t="str">
            <v>ja</v>
          </cell>
          <cell r="C305" t="str">
            <v>クロネッカーチャレンジ ダメージUP</v>
          </cell>
          <cell r="D305" t="str">
            <v>クロネッカーチャレンジ内で自身の全ての攻撃+カウンターの威力をUP</v>
          </cell>
        </row>
        <row r="306">
          <cell r="A306">
            <v>9003</v>
          </cell>
          <cell r="B306" t="str">
            <v>ja</v>
          </cell>
          <cell r="C306" t="str">
            <v>オイラーチャレンジ ダメージUP</v>
          </cell>
          <cell r="D306" t="str">
            <v>オイラーチャレンジ内で自身の全ての攻撃の威力をUP</v>
          </cell>
        </row>
        <row r="307">
          <cell r="A307">
            <v>9004</v>
          </cell>
          <cell r="B307" t="str">
            <v>ja</v>
          </cell>
          <cell r="C307" t="str">
            <v>オイラーチャレンジ ダメージ究極UP</v>
          </cell>
          <cell r="D307" t="str">
            <v>オイラーチャレンジ内で自身の全ての攻撃の威力を究極UP</v>
          </cell>
        </row>
        <row r="308">
          <cell r="A308">
            <v>9005</v>
          </cell>
          <cell r="B308" t="str">
            <v>ja</v>
          </cell>
          <cell r="C308" t="str">
            <v>ヘンペルチャレンジ ダメージUP</v>
          </cell>
          <cell r="D308" t="str">
            <v>ヘンペルチャレンジ内で自身の全ての攻撃の威力をUP</v>
          </cell>
        </row>
        <row r="309">
          <cell r="A309">
            <v>9006</v>
          </cell>
          <cell r="B309" t="str">
            <v>ja</v>
          </cell>
          <cell r="C309" t="str">
            <v>ヘンペルチャレンジ ダメージUP</v>
          </cell>
          <cell r="D309" t="str">
            <v>ヘンペルチャレンジ内で自身の全ての攻撃+カウンターの威力をUP</v>
          </cell>
        </row>
        <row r="310">
          <cell r="A310">
            <v>9007</v>
          </cell>
          <cell r="B310" t="str">
            <v>ja</v>
          </cell>
          <cell r="C310" t="str">
            <v>フロイトチャレンジ ダメージ究極UP</v>
          </cell>
          <cell r="D310" t="str">
            <v>フロイトチャレンジ内で自身の全ての攻撃の威力を究極UP</v>
          </cell>
        </row>
        <row r="311">
          <cell r="A311">
            <v>9008</v>
          </cell>
          <cell r="B311" t="str">
            <v>ja</v>
          </cell>
          <cell r="C311" t="str">
            <v>フロイトチャレンジ ダメージUP</v>
          </cell>
          <cell r="D311" t="str">
            <v>フロイトチャレンジ内で自身の全ての攻撃の威力をUP</v>
          </cell>
        </row>
        <row r="312">
          <cell r="A312">
            <v>9009</v>
          </cell>
          <cell r="B312" t="str">
            <v>ja</v>
          </cell>
          <cell r="C312" t="str">
            <v>フロイトチャレンジ ダメージUP</v>
          </cell>
          <cell r="D312" t="str">
            <v>フロイトチャレンジ内で自身の全ての攻撃+カウンターの威力をUP</v>
          </cell>
        </row>
        <row r="313">
          <cell r="A313">
            <v>9010</v>
          </cell>
          <cell r="B313" t="str">
            <v>ja</v>
          </cell>
          <cell r="C313" t="str">
            <v>ウエディングクエスト ダメージUP</v>
          </cell>
          <cell r="D313" t="str">
            <v>ウエディングクエスト内で自身の全ての攻撃の威力をUP</v>
          </cell>
        </row>
        <row r="314">
          <cell r="A314">
            <v>9011</v>
          </cell>
          <cell r="B314" t="str">
            <v>ja</v>
          </cell>
          <cell r="C314" t="str">
            <v>クリスマスクエストダメージ究極UP</v>
          </cell>
          <cell r="D314" t="str">
            <v>クリスマスクエスト内で自身の全ての攻撃の威力を究極UP</v>
          </cell>
        </row>
        <row r="315">
          <cell r="A315">
            <v>9012</v>
          </cell>
          <cell r="B315" t="str">
            <v>ja</v>
          </cell>
          <cell r="C315" t="str">
            <v>ウエディングクエスト ダメージ大UP</v>
          </cell>
          <cell r="D315" t="str">
            <v>ウエディングクエスト内で自身の全ての攻撃の威力を大UP</v>
          </cell>
        </row>
        <row r="316">
          <cell r="A316">
            <v>9013</v>
          </cell>
          <cell r="B316" t="str">
            <v>ja</v>
          </cell>
          <cell r="C316" t="str">
            <v>ラグランジュチャレンジ ダメージUP</v>
          </cell>
          <cell r="D316" t="str">
            <v>ラグランジュチャレンジ内で自身の全ての攻撃の威力をUP</v>
          </cell>
        </row>
        <row r="317">
          <cell r="A317">
            <v>9014</v>
          </cell>
          <cell r="B317" t="str">
            <v>ja</v>
          </cell>
          <cell r="C317" t="str">
            <v>ラグランジュチャレンジ ダメージ究極UP</v>
          </cell>
          <cell r="D317" t="str">
            <v>ラグランジュチャレンジ内で自身の全ての攻撃の威力を究極UP</v>
          </cell>
        </row>
        <row r="318">
          <cell r="A318">
            <v>9015</v>
          </cell>
          <cell r="B318" t="str">
            <v>ja</v>
          </cell>
          <cell r="C318" t="str">
            <v>ラグランジュチャレンジ ダメージUP</v>
          </cell>
          <cell r="D318" t="str">
            <v>ラグランジュチャレンジ内で自身の全ての攻撃+カウンターの威力をUP</v>
          </cell>
        </row>
        <row r="319">
          <cell r="A319">
            <v>119402</v>
          </cell>
          <cell r="B319" t="str">
            <v>ja</v>
          </cell>
          <cell r="C319" t="str">
            <v>ハロウィンナイトパニック！ 威力UP</v>
          </cell>
          <cell r="D319" t="str">
            <v>ハロウィンナイトパニック！内で自身の全ての攻撃の威力を究極UP</v>
          </cell>
        </row>
        <row r="320">
          <cell r="A320">
            <v>500801</v>
          </cell>
          <cell r="B320" t="str">
            <v>ja</v>
          </cell>
          <cell r="C320" t="str">
            <v>パネルブレイク35 攻撃力小UP</v>
          </cell>
          <cell r="D320" t="str">
            <v>自身が先頭の時、1ターンの間に合計35個以上パネルを破壊した場合に攻撃力小UP</v>
          </cell>
        </row>
        <row r="321">
          <cell r="A321">
            <v>808082</v>
          </cell>
          <cell r="B321" t="str">
            <v>ja</v>
          </cell>
          <cell r="C321" t="str">
            <v>Cパネルドロップ</v>
          </cell>
          <cell r="D321" t="str">
            <v>自身が先頭の時、低確率でCパネルをドロップ</v>
          </cell>
        </row>
        <row r="322">
          <cell r="A322">
            <v>900000</v>
          </cell>
          <cell r="B322" t="str">
            <v>ja</v>
          </cell>
          <cell r="C322" t="str">
            <v>フィーバー100 プロテクトブレイク</v>
          </cell>
          <cell r="D322" t="str">
            <v>フィーバーゲージが100％以上の時、1ターンプロテクトブレイク</v>
          </cell>
        </row>
        <row r="323">
          <cell r="A323">
            <v>900001</v>
          </cell>
          <cell r="B323" t="str">
            <v>ja</v>
          </cell>
          <cell r="C323" t="str">
            <v>フィーバー100 お邪魔ブレイク</v>
          </cell>
          <cell r="D323" t="str">
            <v>フィーバーゲージが100％以上の時、1ターンお邪魔ブレイク</v>
          </cell>
        </row>
        <row r="324">
          <cell r="A324">
            <v>900402</v>
          </cell>
          <cell r="B324" t="str">
            <v>ja</v>
          </cell>
          <cell r="C324" t="str">
            <v>バリア3500</v>
          </cell>
          <cell r="D324" t="str">
            <v>戦闘開始時に、自身への直接ダメージを3500まで防ぐバリアを一度だけ展開(バリアは破壊されると復活しない)</v>
          </cell>
        </row>
        <row r="325">
          <cell r="A325">
            <v>810202</v>
          </cell>
          <cell r="B325" t="str">
            <v>ja</v>
          </cell>
          <cell r="C325" t="str">
            <v>パネルブレイク50 ダメージ軽減</v>
          </cell>
          <cell r="D325" t="str">
            <v>自身が先頭の時、1ターンの間に合計50個以上パネルを破壊した場合敵からのダメージを15%軽減（1ターンに1度だけ発動）</v>
          </cell>
        </row>
        <row r="326">
          <cell r="A326">
            <v>811802</v>
          </cell>
          <cell r="B326" t="str">
            <v>ja</v>
          </cell>
          <cell r="C326" t="str">
            <v>ターン攻撃力UP</v>
          </cell>
          <cell r="D326" t="str">
            <v>最初の1ターン目と、その後6ターン毎に1ターン種族ドラゴン・ファンタジー・アニマルの攻撃力1000UP</v>
          </cell>
        </row>
        <row r="327">
          <cell r="A327">
            <v>812002</v>
          </cell>
          <cell r="B327" t="str">
            <v>ja</v>
          </cell>
          <cell r="C327" t="str">
            <v>ターンタップ増加</v>
          </cell>
          <cell r="D327" t="str">
            <v>最初の1ターン目と、その後6ターン毎に1ターン種族ドラゴン・ファンタジー・アニマルのタップ数1増加</v>
          </cell>
        </row>
        <row r="328">
          <cell r="A328">
            <v>811803</v>
          </cell>
          <cell r="B328" t="str">
            <v>ja</v>
          </cell>
          <cell r="C328" t="str">
            <v>端午クエスト ダメージUP</v>
          </cell>
          <cell r="D328" t="str">
            <v>端午クエスト内で自身の全ての攻撃の威力をUP</v>
          </cell>
        </row>
        <row r="329">
          <cell r="A329">
            <v>900802</v>
          </cell>
          <cell r="B329" t="str">
            <v>ja</v>
          </cell>
          <cell r="C329" t="str">
            <v>ターン攻撃力UP</v>
          </cell>
          <cell r="D329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B19" sqref="B19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359</v>
      </c>
      <c r="B2" s="105" t="s">
        <v>129</v>
      </c>
      <c r="C2" s="162" t="s">
        <v>339</v>
      </c>
      <c r="D2" s="105" t="s">
        <v>128</v>
      </c>
      <c r="E2" s="104" t="str">
        <f>B2&amp;C2&amp;D2</f>
        <v>units_Norse01.tmp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317</v>
      </c>
      <c r="S2" s="105"/>
      <c r="T2" s="105"/>
      <c r="U2" s="105"/>
      <c r="V2" s="105"/>
      <c r="W2" s="105"/>
    </row>
    <row r="3" spans="1:29" x14ac:dyDescent="0.15">
      <c r="A3" s="105" t="s">
        <v>359</v>
      </c>
      <c r="B3" s="105" t="s">
        <v>294</v>
      </c>
      <c r="C3" s="162" t="s">
        <v>339</v>
      </c>
      <c r="D3" s="105" t="s">
        <v>128</v>
      </c>
      <c r="E3" s="104" t="str">
        <f>B3&amp;C3&amp;D3</f>
        <v>fork_awake_units_Norse01.tmp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359</v>
      </c>
      <c r="B4" s="105" t="s">
        <v>130</v>
      </c>
      <c r="C4" s="162" t="s">
        <v>339</v>
      </c>
      <c r="D4" s="105" t="s">
        <v>128</v>
      </c>
      <c r="E4" s="104" t="str">
        <f>B4&amp;C4&amp;D4</f>
        <v>awake_materials_Norse01.tmp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359</v>
      </c>
      <c r="B5" s="105" t="s">
        <v>293</v>
      </c>
      <c r="C5" s="162" t="s">
        <v>339</v>
      </c>
      <c r="D5" s="105" t="s">
        <v>128</v>
      </c>
      <c r="E5" s="104" t="str">
        <f>B5&amp;C5&amp;D5</f>
        <v>fork_awake_materials_Norse01.tmp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359</v>
      </c>
      <c r="B6" s="105" t="s">
        <v>131</v>
      </c>
      <c r="C6" s="162" t="s">
        <v>339</v>
      </c>
      <c r="D6" s="105" t="s">
        <v>132</v>
      </c>
      <c r="E6" s="104" t="str">
        <f t="shared" ref="E6" si="0">B6&amp;C6&amp;D6</f>
        <v>unit_levels_calc_Norse01.tmp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359</v>
      </c>
      <c r="B7" s="105" t="s">
        <v>143</v>
      </c>
      <c r="C7" s="162" t="s">
        <v>339</v>
      </c>
      <c r="D7" s="105" t="s">
        <v>144</v>
      </c>
      <c r="E7" s="104" t="str">
        <f>B7&amp;C7&amp;D7</f>
        <v>unit_skills_data_Norse01.tmp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359</v>
      </c>
      <c r="B8" s="105" t="s">
        <v>149</v>
      </c>
      <c r="C8" s="162" t="s">
        <v>339</v>
      </c>
      <c r="D8" s="105" t="s">
        <v>128</v>
      </c>
      <c r="E8" s="104" t="str">
        <f>B8&amp;C8&amp;D8</f>
        <v>unit_skills_i18n_Norse01.tmp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359</v>
      </c>
      <c r="B9" s="105" t="s">
        <v>153</v>
      </c>
      <c r="C9" s="162" t="s">
        <v>339</v>
      </c>
      <c r="D9" s="105" t="s">
        <v>154</v>
      </c>
      <c r="E9" s="104" t="str">
        <f>B9&amp;C9&amp;D9</f>
        <v>crash_skills_data_Norse01.tmp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359</v>
      </c>
      <c r="B10" s="105" t="s">
        <v>157</v>
      </c>
      <c r="C10" s="162" t="s">
        <v>339</v>
      </c>
      <c r="D10" s="105" t="s">
        <v>158</v>
      </c>
      <c r="E10" s="104" t="str">
        <f t="shared" ref="E10" si="1">B10&amp;C10&amp;D10</f>
        <v>crash_skills_i18n_Norse01.tmp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359</v>
      </c>
      <c r="B11" s="108" t="s">
        <v>135</v>
      </c>
      <c r="C11" s="162" t="s">
        <v>339</v>
      </c>
      <c r="D11" s="105" t="s">
        <v>158</v>
      </c>
      <c r="E11" s="104" t="str">
        <f t="shared" ref="E11:E12" si="2">B11&amp;C11&amp;D11</f>
        <v>unit_serifs_data_Norse01.tmp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359</v>
      </c>
      <c r="B12" s="108" t="s">
        <v>136</v>
      </c>
      <c r="C12" s="162" t="s">
        <v>339</v>
      </c>
      <c r="D12" s="105" t="s">
        <v>158</v>
      </c>
      <c r="E12" s="104" t="str">
        <f t="shared" si="2"/>
        <v>unit_serifs_i18n_Norse01.tmp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184</v>
      </c>
      <c r="B13" s="105" t="s">
        <v>316</v>
      </c>
      <c r="C13" s="162" t="s">
        <v>339</v>
      </c>
      <c r="D13" s="105" t="s">
        <v>254</v>
      </c>
      <c r="E13" s="104" t="str">
        <f>B13&amp;C13&amp;D13</f>
        <v>abilities_tmp_Norse01.tmp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184</v>
      </c>
      <c r="B14" s="105" t="s">
        <v>259</v>
      </c>
      <c r="C14" s="162" t="s">
        <v>339</v>
      </c>
      <c r="D14" s="105" t="s">
        <v>128</v>
      </c>
      <c r="E14" s="104" t="str">
        <f>B14&amp;C14&amp;D14</f>
        <v>abilities_i18n_Norse01.tmp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359</v>
      </c>
      <c r="B15" s="105" t="s">
        <v>262</v>
      </c>
      <c r="C15" s="162" t="s">
        <v>339</v>
      </c>
      <c r="D15" s="105" t="s">
        <v>128</v>
      </c>
      <c r="E15" s="104" t="str">
        <f>B15&amp;C15&amp;D15</f>
        <v>unit_abilities_Norse01.tmp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3"/>
  <sheetViews>
    <sheetView showGridLines="0" workbookViewId="0">
      <pane xSplit="9" ySplit="1" topLeftCell="AU2" activePane="bottomRight" state="frozen"/>
      <selection pane="topRight" activeCell="J1" sqref="J1"/>
      <selection pane="bottomLeft" activeCell="A3" sqref="A3"/>
      <selection pane="bottomRight" activeCell="B4" sqref="B4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318</v>
      </c>
    </row>
    <row r="2" spans="1:70" ht="26" customHeight="1" x14ac:dyDescent="0.15">
      <c r="A2" s="186">
        <v>1254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スリュム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0">
        <f ca="1">VLOOKUP(I2,[1]属性!$A:$E,2,FALSE)</f>
        <v>1.02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</v>
      </c>
      <c r="N2" s="10">
        <f ca="1">INDEX(コスト!$A$1:$I$21,MATCH(H2,コスト!$A$1:$A$21,FALSE),MATCH(G2,コスト!$A$1:$I$1,FALSE))</f>
        <v>30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0">
        <f ca="1">VLOOKUP(Q2,[1]character_type_i18n!$A:$H,4,FALSE)</f>
        <v>1</v>
      </c>
      <c r="T2" s="10">
        <f ca="1">VLOOKUP(Q2,[1]character_type_i18n!$A:$H,5,FALSE)</f>
        <v>1</v>
      </c>
      <c r="U2" s="10">
        <f ca="1">VLOOKUP(Q2,[1]character_type_i18n!$A:$H,6,FALSE)</f>
        <v>1</v>
      </c>
      <c r="V2" s="10">
        <f ca="1">VLOOKUP(Q2,[1]character_type_i18n!$A:$H,7,FALSE)</f>
        <v>1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5" t="str">
        <f ca="1">VLOOKUP(W2,[1]character_tribe_i18n!$A:$H,3,FALSE)</f>
        <v>Unknown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demon</v>
      </c>
      <c r="Z2" s="5" t="str">
        <f ca="1">VLOOKUP(Y2,[1]character_tribe_i18n!$A:$H,3,FALSE)</f>
        <v>デーモン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1255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驕奢の神犯 スリュム</v>
      </c>
      <c r="AG2" s="186">
        <v>1254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スリュム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186">
        <v>1254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ファントムミョルニル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ランダムで最大4つ緑ボムパネル(大)を、最大6つCパネルに変換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186">
        <v>1254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ブライト・スティーラー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64">
        <v>1.01</v>
      </c>
      <c r="AZ2" s="64">
        <v>1.01</v>
      </c>
      <c r="BA2" s="64">
        <v>0</v>
      </c>
      <c r="BB2" s="64">
        <v>0.98</v>
      </c>
      <c r="BC2" s="10">
        <f ca="1">INDEX('RC6SV'!$A$1:$G$21,MATCH(H2,'RC6SV'!$A$1:$A$21,FALSE),MATCH(G2,'RC6SV'!$A$1:$G$1,FALSE))</f>
        <v>9000</v>
      </c>
      <c r="BD2" s="44">
        <f t="shared" ref="BD2" ca="1" si="2">ROUND(BC2*IF(AJ2=1,0.95,IF(AJ2=2,1,IF(AJ2,1.05,0))),0)</f>
        <v>9000</v>
      </c>
      <c r="BE2" s="10">
        <f t="shared" ref="BE2:BE13" ca="1" si="3">ROUND(IFERROR(INDIRECT(ADDRESS(MATCH($A2,$AE:$AE,0),MATCH($BC$1,$1:$1,0))),0),0)</f>
        <v>0</v>
      </c>
      <c r="BF2" s="10">
        <f t="shared" ref="BF2:BF13" ca="1" si="4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2318</v>
      </c>
      <c r="BH2" s="15">
        <f ca="1">IF($BE2&lt;=0,ROUND(BL2*0.5,0), ROUND($BE2*T2*AB2*K2*AZ2*0.8*[1]ステータス!$C$2,0))</f>
        <v>1336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1103</v>
      </c>
      <c r="BK2" s="10">
        <f ca="1">ROUND(BD2*S2*AA2*J2*AY2*[1]ステータス!$B$2,0)</f>
        <v>4636</v>
      </c>
      <c r="BL2" s="10">
        <f ca="1">ROUND(BD2*T2*AB2*K2*AZ2*[1]ステータス!$C$2,0)</f>
        <v>2672</v>
      </c>
      <c r="BM2" s="10">
        <f ca="1">ROUND(BD2*U2*AC2*L2*BA2*[1]ステータス!$D$2,0)</f>
        <v>0</v>
      </c>
      <c r="BN2" s="10">
        <f ca="1">ROUND(BD2*V2*AD2*M2*BB2*[1]ステータス!$E$2,0)</f>
        <v>2205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1</v>
      </c>
    </row>
    <row r="3" spans="1:70" ht="26" customHeight="1" x14ac:dyDescent="0.15">
      <c r="A3" s="186">
        <v>1255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驕奢の神犯 スリュム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0">
        <f ca="1">VLOOKUP(I3,[1]属性!$A:$E,2,FALSE)</f>
        <v>1.02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</v>
      </c>
      <c r="N3" s="10">
        <f ca="1">INDEX(コスト!$A$1:$I$21,MATCH(H3,コスト!$A$1:$A$21,FALSE),MATCH(G3,コスト!$A$1:$I$1,FALSE))</f>
        <v>45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unknown</v>
      </c>
      <c r="X3" s="5" t="str">
        <f ca="1">VLOOKUP(W3,[1]character_tribe_i18n!$A:$H,3,FALSE)</f>
        <v>Unknown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demon</v>
      </c>
      <c r="Z3" s="5" t="str">
        <f ca="1">VLOOKUP(Y3,[1]character_tribe_i18n!$A:$H,3,FALSE)</f>
        <v>デーモン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6">
        <v>1254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スリュム</v>
      </c>
      <c r="AI3" s="10" t="str">
        <f>IF(AE3="NULL","NULL",VLOOKUP(G3,ビット!$A$2:$B$7,2))</f>
        <v>NULL</v>
      </c>
      <c r="AJ3" s="6">
        <v>2</v>
      </c>
      <c r="AK3" s="7" t="str">
        <f t="shared" ref="AK3:AK4" si="5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186">
        <v>1255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侵犯・ファントムミョルニル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ランダムで最大4つ緑ボムパネル(大)を、最大6つCパネルに変換し、1ターン緑属性の攻撃力を特大UP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186">
        <v>1255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グリッタリン・バーグラー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64">
        <v>1.01</v>
      </c>
      <c r="AZ3" s="64">
        <v>1.01</v>
      </c>
      <c r="BA3" s="64">
        <v>0</v>
      </c>
      <c r="BB3" s="64">
        <v>0.98</v>
      </c>
      <c r="BC3" s="10">
        <f ca="1">INDEX('RC6SV'!$A$1:$G$21,MATCH(H3,'RC6SV'!$A$1:$A$21,FALSE),MATCH(G3,'RC6SV'!$A$1:$G$1,FALSE))</f>
        <v>12000</v>
      </c>
      <c r="BD3" s="44">
        <f t="shared" ref="BD3:BD4" ca="1" si="6">ROUND(BC3*IF(AJ3=1,0.95,IF(AJ3=2,1,IF(AJ3,1.05,0))),0)</f>
        <v>12000</v>
      </c>
      <c r="BE3" s="10">
        <f t="shared" ca="1" si="3"/>
        <v>9000</v>
      </c>
      <c r="BF3" s="10">
        <f t="shared" ca="1" si="4"/>
        <v>1</v>
      </c>
      <c r="BG3" s="15">
        <f ca="1">IF($BE3&lt;=0,ROUND(BK3*0.5,0), ROUND($BE3*S3*AA3*J3*AY3*0.8*[1]ステータス!$B$2,0))</f>
        <v>3709</v>
      </c>
      <c r="BH3" s="15">
        <f ca="1">IF($BE3&lt;=0,ROUND(BL3*0.5,0), ROUND($BE3*T3*AB3*K3*AZ3*0.8*[1]ステータス!$C$2,0))</f>
        <v>2138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1764</v>
      </c>
      <c r="BK3" s="10">
        <f ca="1">ROUND(BD3*S3*AA3*J3*AY3*[1]ステータス!$B$2,0)</f>
        <v>6181</v>
      </c>
      <c r="BL3" s="10">
        <f ca="1">ROUND(BD3*T3*AB3*K3*AZ3*[1]ステータス!$C$2,0)</f>
        <v>3563</v>
      </c>
      <c r="BM3" s="10">
        <f ca="1">ROUND(BD3*U3*AC3*L3*BA3*[1]ステータス!$D$2,0)</f>
        <v>0</v>
      </c>
      <c r="BN3" s="10">
        <f ca="1">ROUND(BD3*V3*AD3*M3*BB3*[1]ステータス!$E$2,0)</f>
        <v>2940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1</v>
      </c>
    </row>
    <row r="4" spans="1:70" ht="26" customHeight="1" x14ac:dyDescent="0.15">
      <c r="A4" s="186">
        <v>1256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ヘル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0">
        <f ca="1">VLOOKUP(I4,[1]属性!$A:$E,2,FALSE)</f>
        <v>0.98</v>
      </c>
      <c r="K4" s="10">
        <f ca="1">VLOOKUP(I4,[1]属性!$A:$E,3,FALSE)</f>
        <v>1.01</v>
      </c>
      <c r="L4" s="10">
        <f ca="1">VLOOKUP(I4,[1]属性!$A:$E,4,FALSE)</f>
        <v>1</v>
      </c>
      <c r="M4" s="10">
        <f ca="1">VLOOKUP(I4,[1]属性!$A:$E,5,FALSE)</f>
        <v>1.01</v>
      </c>
      <c r="N4" s="10">
        <f ca="1">INDEX(コスト!$A$1:$I$21,MATCH(H4,コスト!$A$1:$A$21,FALSE),MATCH(G4,コスト!$A$1:$I$1,FALSE))</f>
        <v>30</v>
      </c>
      <c r="O4" s="10">
        <f ca="1">INDEX(レベル!$A$1:$I$22,MATCH(H4,レベル!$A$1:$A$22,FALSE),MATCH(G4,レベル!$A$1:$I$1,FALSE))</f>
        <v>80</v>
      </c>
      <c r="P4" s="44">
        <f t="shared" ref="P4:P9" ca="1" si="7">IF(G4 &gt;= 6, 99,G4*15)</f>
        <v>75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heal</v>
      </c>
      <c r="R4" s="5" t="str">
        <f ca="1">VLOOKUP(Q4,[1]character_type_i18n!$A:$H,3,FALSE)</f>
        <v>回復タイプ</v>
      </c>
      <c r="S4" s="10">
        <f ca="1">VLOOKUP(Q4,[1]character_type_i18n!$A:$H,4,FALSE)</f>
        <v>0.8</v>
      </c>
      <c r="T4" s="10">
        <f ca="1">VLOOKUP(Q4,[1]character_type_i18n!$A:$H,5,FALSE)</f>
        <v>0.78</v>
      </c>
      <c r="U4" s="10">
        <f ca="1">VLOOKUP(Q4,[1]character_type_i18n!$A:$H,6,FALSE)</f>
        <v>1</v>
      </c>
      <c r="V4" s="10">
        <f ca="1">VLOOKUP(Q4,[1]character_type_i18n!$A:$H,7,FALSE)</f>
        <v>1.42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god</v>
      </c>
      <c r="X4" s="5" t="str">
        <f ca="1">VLOOKUP(W4,[1]character_tribe_i18n!$A:$H,3,FALSE)</f>
        <v>ゴッド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demon</v>
      </c>
      <c r="Z4" s="5" t="str">
        <f ca="1">VLOOKUP(Y4,[1]character_tribe_i18n!$A:$H,3,FALSE)</f>
        <v>デーモン</v>
      </c>
      <c r="AA4" s="10">
        <f ca="1">VLOOKUP(W4,[1]character_tribe_i18n!$A:$H,4,FALSE)</f>
        <v>0.96</v>
      </c>
      <c r="AB4" s="10">
        <f ca="1">VLOOKUP(W4,[1]character_tribe_i18n!$A:$H,5,FALSE)</f>
        <v>1.02</v>
      </c>
      <c r="AC4" s="10">
        <f ca="1">VLOOKUP(W4,[1]character_tribe_i18n!$A:$H,6,FALSE)</f>
        <v>1</v>
      </c>
      <c r="AD4" s="10">
        <f ca="1">VLOOKUP(W4,[1]character_tribe_i18n!$A:$H,7,FALSE)</f>
        <v>1.02</v>
      </c>
      <c r="AE4" s="187">
        <v>1257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危能の幼魔神 ヘル</v>
      </c>
      <c r="AG4" s="186">
        <v>1256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ヘル</v>
      </c>
      <c r="AI4" s="10">
        <f ca="1">IF(AE4="NULL","NULL",VLOOKUP(G4,ビット!$A$2:$B$7,2))</f>
        <v>200000</v>
      </c>
      <c r="AJ4" s="6">
        <v>2</v>
      </c>
      <c r="AK4" s="7" t="str">
        <f t="shared" si="5"/>
        <v>普通</v>
      </c>
      <c r="AL4" s="10" t="str">
        <f ca="1">INDEX(経験値!$A$1:$I$21,MATCH(H4,経験値!$A$1:$A$21,FALSE),MATCH(G4,経験値!$A$1:$I$1,FALSE))</f>
        <v>required_exp_200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186">
        <v>1256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エーリューズニルの団欒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青パネルをハートパネルに、緑パネルを赤パネルに変換+1ターン黄・赤属性のタップ回数を1増やす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186">
        <v>1256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ボーン・イン・シャドウ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自身の回復力に比例して_x000D_1体に大ダメージ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4">
        <v>1.3180000000000001</v>
      </c>
      <c r="AZ4" s="64">
        <v>0.98499999999999999</v>
      </c>
      <c r="BA4" s="64">
        <v>0</v>
      </c>
      <c r="BB4" s="64">
        <v>0.92300000000000004</v>
      </c>
      <c r="BC4" s="10">
        <f ca="1">INDEX('RC6SV'!$A$1:$G$21,MATCH(H4,'RC6SV'!$A$1:$A$21,FALSE),MATCH(G4,'RC6SV'!$A$1:$G$1,FALSE))</f>
        <v>9000</v>
      </c>
      <c r="BD4" s="44">
        <f t="shared" ca="1" si="6"/>
        <v>9000</v>
      </c>
      <c r="BE4" s="10">
        <f t="shared" ca="1" si="3"/>
        <v>0</v>
      </c>
      <c r="BF4" s="10">
        <f t="shared" ca="1" si="4"/>
        <v>1</v>
      </c>
      <c r="BG4" s="15">
        <f ca="1">IF($BE4&lt;=0,ROUND(BK4*0.5,0), ROUND($BE4*S4*AA4*J4*AY4*0.8*[1]ステータス!$B$2,0))</f>
        <v>2232</v>
      </c>
      <c r="BH4" s="15">
        <f ca="1">IF($BE4&lt;=0,ROUND(BL4*0.5,0), ROUND($BE4*T4*AB4*K4*AZ4*0.8*[1]ステータス!$C$2,0))</f>
        <v>1069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1519</v>
      </c>
      <c r="BK4" s="10">
        <f ca="1">ROUND(BD4*S4*AA4*J4*AY4*[1]ステータス!$B$2,0)</f>
        <v>4464</v>
      </c>
      <c r="BL4" s="10">
        <f ca="1">ROUND(BD4*T4*AB4*K4*AZ4*[1]ステータス!$C$2,0)</f>
        <v>2137</v>
      </c>
      <c r="BM4" s="10">
        <f ca="1">ROUND(BD4*U4*AC4*L4*BA4*[1]ステータス!$D$2,0)</f>
        <v>0</v>
      </c>
      <c r="BN4" s="10">
        <f ca="1">ROUND(BD4*V4*AD4*M4*BB4*[1]ステータス!$E$2,0)</f>
        <v>3038</v>
      </c>
      <c r="BO4" s="9">
        <v>0</v>
      </c>
      <c r="BP4" s="9">
        <v>1</v>
      </c>
      <c r="BQ4" s="36" t="s">
        <v>47</v>
      </c>
      <c r="BR4" s="9">
        <f ca="1">VLOOKUP(H4,[2]ghosts_label!$A$2:$B$19,2,FALSE)</f>
        <v>1</v>
      </c>
    </row>
    <row r="5" spans="1:70" ht="26" customHeight="1" x14ac:dyDescent="0.15">
      <c r="A5" s="186">
        <v>1257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危能の幼魔神 ヘル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0">
        <f ca="1">VLOOKUP(I5,[1]属性!$A:$E,2,FALSE)</f>
        <v>0.98</v>
      </c>
      <c r="K5" s="10">
        <f ca="1">VLOOKUP(I5,[1]属性!$A:$E,3,FALSE)</f>
        <v>1.01</v>
      </c>
      <c r="L5" s="10">
        <f ca="1">VLOOKUP(I5,[1]属性!$A:$E,4,FALSE)</f>
        <v>1</v>
      </c>
      <c r="M5" s="10">
        <f ca="1">VLOOKUP(I5,[1]属性!$A:$E,5,FALSE)</f>
        <v>1.01</v>
      </c>
      <c r="N5" s="10">
        <f ca="1">INDEX(コスト!$A$1:$I$21,MATCH(H5,コスト!$A$1:$A$21,FALSE),MATCH(G5,コスト!$A$1:$I$1,FALSE))</f>
        <v>45</v>
      </c>
      <c r="O5" s="10">
        <f ca="1">INDEX(レベル!$A$1:$I$22,MATCH(H5,レベル!$A$1:$A$22,FALSE),MATCH(G5,レベル!$A$1:$I$1,FALSE))</f>
        <v>99</v>
      </c>
      <c r="P5" s="44">
        <f t="shared" ca="1" si="7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heal</v>
      </c>
      <c r="R5" s="5" t="str">
        <f ca="1">VLOOKUP(Q5,[1]character_type_i18n!$A:$H,3,FALSE)</f>
        <v>回復タイプ</v>
      </c>
      <c r="S5" s="10">
        <f ca="1">VLOOKUP(Q5,[1]character_type_i18n!$A:$H,4,FALSE)</f>
        <v>0.8</v>
      </c>
      <c r="T5" s="10">
        <f ca="1">VLOOKUP(Q5,[1]character_type_i18n!$A:$H,5,FALSE)</f>
        <v>0.78</v>
      </c>
      <c r="U5" s="10">
        <f ca="1">VLOOKUP(Q5,[1]character_type_i18n!$A:$H,6,FALSE)</f>
        <v>1</v>
      </c>
      <c r="V5" s="10">
        <f ca="1">VLOOKUP(Q5,[1]character_type_i18n!$A:$H,7,FALSE)</f>
        <v>1.42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demon</v>
      </c>
      <c r="Z5" s="5" t="str">
        <f ca="1">VLOOKUP(Y5,[1]character_tribe_i18n!$A:$H,3,FALSE)</f>
        <v>デーモン</v>
      </c>
      <c r="AA5" s="10">
        <f ca="1">VLOOKUP(W5,[1]character_tribe_i18n!$A:$H,4,FALSE)</f>
        <v>0.96</v>
      </c>
      <c r="AB5" s="10">
        <f ca="1">VLOOKUP(W5,[1]character_tribe_i18n!$A:$H,5,FALSE)</f>
        <v>1.02</v>
      </c>
      <c r="AC5" s="10">
        <f ca="1">VLOOKUP(W5,[1]character_tribe_i18n!$A:$H,6,FALSE)</f>
        <v>1</v>
      </c>
      <c r="AD5" s="10">
        <f ca="1">VLOOKUP(W5,[1]character_tribe_i18n!$A:$H,7,FALSE)</f>
        <v>1.02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6">
        <v>1256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ヘル</v>
      </c>
      <c r="AI5" s="10" t="str">
        <f>IF(AE5="NULL","NULL",VLOOKUP(G5,ビット!$A$2:$B$7,2))</f>
        <v>NULL</v>
      </c>
      <c r="AJ5" s="6">
        <v>2</v>
      </c>
      <c r="AK5" s="7" t="str">
        <f t="shared" ref="AK5:AK10" si="8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186">
        <v>1257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エーリューズニルの叛乱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青パネルをハートパネルに、緑パネルを赤パネルに変換+1ターン黄・赤属性のタップ回数を1増やし、黄・赤パネルの出現率大UP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186">
        <v>1257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ボーン・トゥ・ヴァイオレイト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自身の回復力に比例して_x000D_1体に特大ダメージ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4">
        <v>1.3180000000000001</v>
      </c>
      <c r="AZ5" s="64">
        <v>0.98499999999999999</v>
      </c>
      <c r="BA5" s="64">
        <v>0</v>
      </c>
      <c r="BB5" s="64">
        <v>0.92300000000000004</v>
      </c>
      <c r="BC5" s="10">
        <f ca="1">INDEX('RC6SV'!$A$1:$G$21,MATCH(H5,'RC6SV'!$A$1:$A$21,FALSE),MATCH(G5,'RC6SV'!$A$1:$G$1,FALSE))</f>
        <v>12000</v>
      </c>
      <c r="BD5" s="44">
        <f t="shared" ref="BD5:BD10" ca="1" si="9">ROUND(BC5*IF(AJ5=1,0.95,IF(AJ5=2,1,IF(AJ5,1.05,0))),0)</f>
        <v>12000</v>
      </c>
      <c r="BE5" s="10">
        <f t="shared" ca="1" si="3"/>
        <v>9000</v>
      </c>
      <c r="BF5" s="10">
        <f t="shared" ca="1" si="4"/>
        <v>1</v>
      </c>
      <c r="BG5" s="15">
        <f ca="1">IF($BE5&lt;=0,ROUND(BK5*0.5,0), ROUND($BE5*S5*AA5*J5*AY5*0.8*[1]ステータス!$B$2,0))</f>
        <v>3571</v>
      </c>
      <c r="BH5" s="15">
        <f ca="1">IF($BE5&lt;=0,ROUND(BL5*0.5,0), ROUND($BE5*T5*AB5*K5*AZ5*0.8*[1]ステータス!$C$2,0))</f>
        <v>1710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2430</v>
      </c>
      <c r="BK5" s="10">
        <f ca="1">ROUND(BD5*S5*AA5*J5*AY5*[1]ステータス!$B$2,0)</f>
        <v>5952</v>
      </c>
      <c r="BL5" s="10">
        <f ca="1">ROUND(BD5*T5*AB5*K5*AZ5*[1]ステータス!$C$2,0)</f>
        <v>2849</v>
      </c>
      <c r="BM5" s="10">
        <f ca="1">ROUND(BD5*U5*AC5*L5*BA5*[1]ステータス!$D$2,0)</f>
        <v>0</v>
      </c>
      <c r="BN5" s="10">
        <f ca="1">ROUND(BD5*V5*AD5*M5*BB5*[1]ステータス!$E$2,0)</f>
        <v>4051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1</v>
      </c>
    </row>
    <row r="6" spans="1:70" ht="26" customHeight="1" x14ac:dyDescent="0.15">
      <c r="A6" s="186">
        <v>1258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ロキ</v>
      </c>
      <c r="C6" s="53">
        <f ca="1">VLOOKUP($A6,OFFSET([1]characters!$A$1,0,0,COUNTA([1]characters!$A:$A),MATCH(C$1,[1]characters!$1:$1,0)-MATCH($A$1,[1]characters!$1:$1,0)+1),MATCH(C$1,[1]characters!$1:$1,0)-MATCH($A$1,[1]characters!$1:$1,0)+1,FALSE)</f>
        <v>0</v>
      </c>
      <c r="D6" s="53">
        <f ca="1">VLOOKUP($A6,OFFSET([1]characters!$A$1,0,0,COUNTA([1]characters!$A:$A),MATCH(D$1,[1]characters!$1:$1,0)-MATCH($A$1,[1]characters!$1:$1,0)+1),MATCH(D$1,[1]characters!$1:$1,0)-MATCH($A$1,[1]characters!$1:$1,0)+1,FALSE)</f>
        <v>0</v>
      </c>
      <c r="E6" s="53">
        <f ca="1">VLOOKUP($A6,OFFSET([1]characters!$A$1,0,0,COUNTA([1]characters!$A:$A),MATCH(E$1,[1]characters!$1:$1,0)-MATCH($A$1,[1]characters!$1:$1,0)+1),MATCH(E$1,[1]characters!$1:$1,0)-MATCH($A$1,[1]characters!$1:$1,0)+1,FALSE)</f>
        <v>0</v>
      </c>
      <c r="F6" s="53">
        <f ca="1">VLOOKUP($A6,OFFSET([1]characters!$A$1,0,0,COUNTA([1]characters!$A:$A),MATCH(F$1,[1]characters!$1:$1,0)-MATCH($A$1,[1]characters!$1:$1,0)+1),MATCH(F$1,[1]characters!$1:$1,0)-MATCH($A$1,[1]characters!$1:$1,0)+1,FALSE)</f>
        <v>0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DropWizSS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0">
        <f ca="1">VLOOKUP(I6,[1]属性!$A:$E,2,FALSE)</f>
        <v>1.02</v>
      </c>
      <c r="K6" s="10">
        <f ca="1">VLOOKUP(I6,[1]属性!$A:$E,3,FALSE)</f>
        <v>0.98</v>
      </c>
      <c r="L6" s="10">
        <f ca="1">VLOOKUP(I6,[1]属性!$A:$E,4,FALSE)</f>
        <v>1</v>
      </c>
      <c r="M6" s="10">
        <f ca="1">VLOOKUP(I6,[1]属性!$A:$E,5,FALSE)</f>
        <v>1</v>
      </c>
      <c r="N6" s="10">
        <f ca="1">INDEX(コスト!$A$1:$I$21,MATCH(H6,コスト!$A$1:$A$21,FALSE),MATCH(G6,コスト!$A$1:$I$1,FALSE))</f>
        <v>35</v>
      </c>
      <c r="O6" s="10">
        <f ca="1">INDEX(レベル!$A$1:$I$22,MATCH(H6,レベル!$A$1:$A$22,FALSE),MATCH(G6,レベル!$A$1:$I$1,FALSE))</f>
        <v>80</v>
      </c>
      <c r="P6" s="44">
        <f t="shared" ca="1" si="7"/>
        <v>75</v>
      </c>
      <c r="Q6" s="53" t="str">
        <f ca="1">VLOOKUP($A6,OFFSET([1]characters!$A$1,0,0,COUNTA([1]characters!$A:$A),MATCH(Q$1,[1]characters!$1:$1,0)-MATCH($A$1,[1]characters!$1:$1,0)+1),MATCH(Q$1,[1]characters!$1:$1,0)-MATCH($A$1,[1]characters!$1:$1,0)+1,FALSE)</f>
        <v>balance</v>
      </c>
      <c r="R6" s="5" t="str">
        <f ca="1">VLOOKUP(Q6,[1]character_type_i18n!$A:$H,3,FALSE)</f>
        <v>バランスタイプ</v>
      </c>
      <c r="S6" s="10">
        <f ca="1">VLOOKUP(Q6,[1]character_type_i18n!$A:$H,4,FALSE)</f>
        <v>1</v>
      </c>
      <c r="T6" s="10">
        <f ca="1">VLOOKUP(Q6,[1]character_type_i18n!$A:$H,5,FALSE)</f>
        <v>1</v>
      </c>
      <c r="U6" s="10">
        <f ca="1">VLOOKUP(Q6,[1]character_type_i18n!$A:$H,6,FALSE)</f>
        <v>1</v>
      </c>
      <c r="V6" s="10">
        <f ca="1">VLOOKUP(Q6,[1]character_type_i18n!$A:$H,7,FALSE)</f>
        <v>1</v>
      </c>
      <c r="W6" s="53" t="str">
        <f ca="1">VLOOKUP($A6,OFFSET([1]characters!$A$1,0,0,COUNTA([1]characters!$A:$A),MATCH(W$1,[1]characters!$1:$1,0)-MATCH($A$1,[1]characters!$1:$1,0)+1),MATCH(W$1,[1]characters!$1:$1,0)-MATCH($A$1,[1]characters!$1:$1,0)+1,FALSE)</f>
        <v>god</v>
      </c>
      <c r="X6" s="5" t="str">
        <f ca="1">VLOOKUP(W6,[1]character_tribe_i18n!$A:$H,3,FALSE)</f>
        <v>ゴッド</v>
      </c>
      <c r="Y6" s="53" t="str">
        <f ca="1">VLOOKUP($A6,OFFSET([1]characters!$A$1,0,0,COUNTA([1]characters!$A:$A),MATCH(Y$1,[1]characters!$1:$1,0)-MATCH($A$1,[1]characters!$1:$1,0)+1),MATCH(Y$1,[1]characters!$1:$1,0)-MATCH($A$1,[1]characters!$1:$1,0)+1,FALSE)</f>
        <v>demon</v>
      </c>
      <c r="Z6" s="5" t="str">
        <f ca="1">VLOOKUP(Y6,[1]character_tribe_i18n!$A:$H,3,FALSE)</f>
        <v>デーモン</v>
      </c>
      <c r="AA6" s="10">
        <f ca="1">VLOOKUP(W6,[1]character_tribe_i18n!$A:$H,4,FALSE)</f>
        <v>0.96</v>
      </c>
      <c r="AB6" s="10">
        <f ca="1">VLOOKUP(W6,[1]character_tribe_i18n!$A:$H,5,FALSE)</f>
        <v>1.02</v>
      </c>
      <c r="AC6" s="10">
        <f ca="1">VLOOKUP(W6,[1]character_tribe_i18n!$A:$H,6,FALSE)</f>
        <v>1</v>
      </c>
      <c r="AD6" s="10">
        <f ca="1">VLOOKUP(W6,[1]character_tribe_i18n!$A:$H,7,FALSE)</f>
        <v>1.02</v>
      </c>
      <c r="AE6" s="187">
        <v>1259</v>
      </c>
      <c r="AF6" s="58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崩世を叫ぶ悪戯 ロキ</v>
      </c>
      <c r="AG6" s="186">
        <v>1258</v>
      </c>
      <c r="AH6" s="58" t="str">
        <f ca="1">VLOOKUP($AG6,OFFSET([1]characters!$A$1,0,0,COUNTA([1]characters!$A:$A),MATCH(AH$1,[1]characters!$1:$1,0)-MATCH($A$1,[1]characters!$1:$1,0)+1),MATCH(AH$1,[1]characters!$1:$1,0)-MATCH($A$1,[1]characters!$1:$1,0)+1,FALSE)</f>
        <v>ロキ</v>
      </c>
      <c r="AI6" s="10">
        <f ca="1">IF(AE6="NULL","NULL",VLOOKUP(G6,ビット!$A$2:$B$7,2))</f>
        <v>200000</v>
      </c>
      <c r="AJ6" s="6">
        <v>2</v>
      </c>
      <c r="AK6" s="7" t="str">
        <f t="shared" si="8"/>
        <v>普通</v>
      </c>
      <c r="AL6" s="10" t="str">
        <f ca="1">INDEX(経験値!$A$1:$I$21,MATCH(H6,経験値!$A$1:$A$21,FALSE),MATCH(G6,経験値!$A$1:$I$1,FALSE))</f>
        <v>required_exp_200</v>
      </c>
      <c r="AM6" s="8">
        <f ca="1">VLOOKUP(G6,経験値!$A$28:$B$32,2)</f>
        <v>6400</v>
      </c>
      <c r="AN6" s="16">
        <f ca="1">VLOOKUP(G6,ビット!$G$2:$H$7,2)</f>
        <v>900</v>
      </c>
      <c r="AO6" s="41"/>
      <c r="AP6" s="186">
        <v>1258</v>
      </c>
      <c r="AQ6" s="53" t="str">
        <f ca="1">VLOOKUP($AP6,OFFSET(unit_skills!$A$1,0,0,COUNTA(unit_skills!$A:$A),MATCH(AQ$1,unit_skills!$1:$1,0)-MATCH($AP$1,unit_skills!$1:$1,0)+1),MATCH(AQ$1,unit_skills!$1:$1,0)-MATCH($AP$1,unit_skills!$1:$1,0)+1,FALSE)</f>
        <v>リスキー・ワン</v>
      </c>
      <c r="AR6" s="53" t="str">
        <f ca="1">VLOOKUP($AP6,OFFSET(unit_skills!$A$1,0,0,COUNTA(unit_skills!$A:$A),MATCH(AR$1,unit_skills!$1:$1,0)-MATCH($AP$1,unit_skills!$1:$1,0)+1),MATCH(AR$1,unit_skills!$1:$1,0)-MATCH($AP$1,unit_skills!$1:$1,0)+1,FALSE)</f>
        <v>ランダムで1個緑CBパネルに、青・黄パネルを緑ボムパネルに変換+1ターン緑属性ユニットのタップ数を1増やす</v>
      </c>
      <c r="AS6" s="53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186">
        <v>1258</v>
      </c>
      <c r="AU6" s="53" t="str">
        <f ca="1">VLOOKUP($AT6,OFFSET(crash_skills!$A$1,0,0,COUNTA(crash_skills!$A:$A),MATCH(AU$1,crash_skills!$1:$1,0)-MATCH($AT$1,crash_skills!$1:$1,0)+1),MATCH(AU$1,crash_skills!$1:$1,0)-MATCH($AT$1,crash_skills!$1:$1,0)+1,FALSE)</f>
        <v>ラピッド・ブレイン</v>
      </c>
      <c r="AV6" s="53" t="str">
        <f ca="1">VLOOKUP($AT6,OFFSET(crash_skills!$A$1,0,0,COUNTA(crash_skills!$A:$A),MATCH(AV$1,crash_skills!$1:$1,0)-MATCH($AT$1,crash_skills!$1:$1,0)+1),MATCH(AV$1,crash_skills!$1:$1,0)-MATCH($AT$1,crash_skills!$1:$1,0)+1,FALSE)</f>
        <v>1体に大ダメージ+_x000D_緑属性ユニットの攻撃力UP</v>
      </c>
      <c r="AW6" s="53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4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4">
        <v>1.07</v>
      </c>
      <c r="AZ6" s="64">
        <v>1.3720000000000001</v>
      </c>
      <c r="BA6" s="64">
        <v>0</v>
      </c>
      <c r="BB6" s="64">
        <v>0.65</v>
      </c>
      <c r="BC6" s="10">
        <f ca="1">INDEX('RC6SV'!$A$1:$G$21,MATCH(H6,'RC6SV'!$A$1:$A$21,FALSE),MATCH(G6,'RC6SV'!$A$1:$G$1,FALSE))</f>
        <v>9500</v>
      </c>
      <c r="BD6" s="44">
        <f t="shared" ca="1" si="9"/>
        <v>9500</v>
      </c>
      <c r="BE6" s="10">
        <f t="shared" ca="1" si="3"/>
        <v>0</v>
      </c>
      <c r="BF6" s="10">
        <f t="shared" ca="1" si="4"/>
        <v>1</v>
      </c>
      <c r="BG6" s="15">
        <f ca="1">IF($BE6&lt;=0,ROUND(BK6*0.5,0), ROUND($BE6*S6*AA6*J6*AY6*0.8*[1]ステータス!$B$2,0))</f>
        <v>2489</v>
      </c>
      <c r="BH6" s="15">
        <f ca="1">IF($BE6&lt;=0,ROUND(BL6*0.5,0), ROUND($BE6*T6*AB6*K6*AZ6*0.8*[1]ステータス!$C$2,0))</f>
        <v>1955</v>
      </c>
      <c r="BI6" s="15">
        <f ca="1">IF($BE6&lt;=0,ROUND(BM6*0.5,0), ROUND($BE6*U6*AC6*L6*BA6*0.8*[1]ステータス!$D$2,0))</f>
        <v>0</v>
      </c>
      <c r="BJ6" s="15">
        <f ca="1">IF($BE6&lt;=0,ROUND(BN6*0.5,0), ROUND($BE6*V6*AD6*M6*BB6*0.8*[1]ステータス!$E$2,0))</f>
        <v>788</v>
      </c>
      <c r="BK6" s="10">
        <f ca="1">ROUND(BD6*S6*AA6*J6*AY6*[1]ステータス!$B$2,0)</f>
        <v>4977</v>
      </c>
      <c r="BL6" s="10">
        <f ca="1">ROUND(BD6*T6*AB6*K6*AZ6*[1]ステータス!$C$2,0)</f>
        <v>3909</v>
      </c>
      <c r="BM6" s="10">
        <f ca="1">ROUND(BD6*U6*AC6*L6*BA6*[1]ステータス!$D$2,0)</f>
        <v>0</v>
      </c>
      <c r="BN6" s="10">
        <f ca="1">ROUND(BD6*V6*AD6*M6*BB6*[1]ステータス!$E$2,0)</f>
        <v>1575</v>
      </c>
      <c r="BO6" s="9">
        <v>0</v>
      </c>
      <c r="BP6" s="9">
        <v>1</v>
      </c>
      <c r="BQ6" s="36" t="s">
        <v>47</v>
      </c>
      <c r="BR6" s="9">
        <f ca="1">VLOOKUP(H6,[2]ghosts_label!$A$2:$B$19,2,FALSE)</f>
        <v>1</v>
      </c>
    </row>
    <row r="7" spans="1:70" ht="26" customHeight="1" x14ac:dyDescent="0.15">
      <c r="A7" s="186">
        <v>1259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崩世を叫ぶ悪戯 ロキ</v>
      </c>
      <c r="C7" s="53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3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3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3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DropWizSS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10">
        <f ca="1">VLOOKUP(I7,[1]属性!$A:$E,2,FALSE)</f>
        <v>1.02</v>
      </c>
      <c r="K7" s="10">
        <f ca="1">VLOOKUP(I7,[1]属性!$A:$E,3,FALSE)</f>
        <v>0.98</v>
      </c>
      <c r="L7" s="10">
        <f ca="1">VLOOKUP(I7,[1]属性!$A:$E,4,FALSE)</f>
        <v>1</v>
      </c>
      <c r="M7" s="10">
        <f ca="1">VLOOKUP(I7,[1]属性!$A:$E,5,FALSE)</f>
        <v>1</v>
      </c>
      <c r="N7" s="10">
        <f ca="1">INDEX(コスト!$A$1:$I$21,MATCH(H7,コスト!$A$1:$A$21,FALSE),MATCH(G7,コスト!$A$1:$I$1,FALSE))</f>
        <v>50</v>
      </c>
      <c r="O7" s="10">
        <f ca="1">INDEX(レベル!$A$1:$I$22,MATCH(H7,レベル!$A$1:$A$22,FALSE),MATCH(G7,レベル!$A$1:$I$1,FALSE))</f>
        <v>99</v>
      </c>
      <c r="P7" s="44">
        <f t="shared" ca="1" si="7"/>
        <v>99</v>
      </c>
      <c r="Q7" s="53" t="str">
        <f ca="1">VLOOKUP($A7,OFFSET([1]characters!$A$1,0,0,COUNTA([1]characters!$A:$A),MATCH(Q$1,[1]characters!$1:$1,0)-MATCH($A$1,[1]characters!$1:$1,0)+1),MATCH(Q$1,[1]characters!$1:$1,0)-MATCH($A$1,[1]characters!$1:$1,0)+1,FALSE)</f>
        <v>balance</v>
      </c>
      <c r="R7" s="5" t="str">
        <f ca="1">VLOOKUP(Q7,[1]character_type_i18n!$A:$H,3,FALSE)</f>
        <v>バランスタイプ</v>
      </c>
      <c r="S7" s="10">
        <f ca="1">VLOOKUP(Q7,[1]character_type_i18n!$A:$H,4,FALSE)</f>
        <v>1</v>
      </c>
      <c r="T7" s="10">
        <f ca="1">VLOOKUP(Q7,[1]character_type_i18n!$A:$H,5,FALSE)</f>
        <v>1</v>
      </c>
      <c r="U7" s="10">
        <f ca="1">VLOOKUP(Q7,[1]character_type_i18n!$A:$H,6,FALSE)</f>
        <v>1</v>
      </c>
      <c r="V7" s="10">
        <f ca="1">VLOOKUP(Q7,[1]character_type_i18n!$A:$H,7,FALSE)</f>
        <v>1</v>
      </c>
      <c r="W7" s="53" t="str">
        <f ca="1">VLOOKUP($A7,OFFSET([1]characters!$A$1,0,0,COUNTA([1]characters!$A:$A),MATCH(W$1,[1]characters!$1:$1,0)-MATCH($A$1,[1]characters!$1:$1,0)+1),MATCH(W$1,[1]characters!$1:$1,0)-MATCH($A$1,[1]characters!$1:$1,0)+1,FALSE)</f>
        <v>god</v>
      </c>
      <c r="X7" s="5" t="str">
        <f ca="1">VLOOKUP(W7,[1]character_tribe_i18n!$A:$H,3,FALSE)</f>
        <v>ゴッド</v>
      </c>
      <c r="Y7" s="53" t="str">
        <f ca="1">VLOOKUP($A7,OFFSET([1]characters!$A$1,0,0,COUNTA([1]characters!$A:$A),MATCH(Y$1,[1]characters!$1:$1,0)-MATCH($A$1,[1]characters!$1:$1,0)+1),MATCH(Y$1,[1]characters!$1:$1,0)-MATCH($A$1,[1]characters!$1:$1,0)+1,FALSE)</f>
        <v>demon</v>
      </c>
      <c r="Z7" s="5" t="str">
        <f ca="1">VLOOKUP(Y7,[1]character_tribe_i18n!$A:$H,3,FALSE)</f>
        <v>デーモン</v>
      </c>
      <c r="AA7" s="10">
        <f ca="1">VLOOKUP(W7,[1]character_tribe_i18n!$A:$H,4,FALSE)</f>
        <v>0.96</v>
      </c>
      <c r="AB7" s="10">
        <f ca="1">VLOOKUP(W7,[1]character_tribe_i18n!$A:$H,5,FALSE)</f>
        <v>1.02</v>
      </c>
      <c r="AC7" s="10">
        <f ca="1">VLOOKUP(W7,[1]character_tribe_i18n!$A:$H,6,FALSE)</f>
        <v>1</v>
      </c>
      <c r="AD7" s="10">
        <f ca="1">VLOOKUP(W7,[1]character_tribe_i18n!$A:$H,7,FALSE)</f>
        <v>1.02</v>
      </c>
      <c r="AE7" s="187" t="s">
        <v>183</v>
      </c>
      <c r="AF7" s="58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86">
        <v>1258</v>
      </c>
      <c r="AH7" s="58" t="str">
        <f ca="1">VLOOKUP($AG7,OFFSET([1]characters!$A$1,0,0,COUNTA([1]characters!$A:$A),MATCH(AH$1,[1]characters!$1:$1,0)-MATCH($A$1,[1]characters!$1:$1,0)+1),MATCH(AH$1,[1]characters!$1:$1,0)-MATCH($A$1,[1]characters!$1:$1,0)+1,FALSE)</f>
        <v>ロキ</v>
      </c>
      <c r="AI7" s="10" t="str">
        <f>IF(AE7="NULL","NULL",VLOOKUP(G7,ビット!$A$2:$B$7,2))</f>
        <v>NULL</v>
      </c>
      <c r="AJ7" s="6">
        <v>2</v>
      </c>
      <c r="AK7" s="7" t="str">
        <f t="shared" si="8"/>
        <v>普通</v>
      </c>
      <c r="AL7" s="10" t="str">
        <f ca="1">INDEX(経験値!$A$1:$I$21,MATCH(H7,経験値!$A$1:$A$21,FALSE),MATCH(G7,経験値!$A$1:$I$1,FALSE))</f>
        <v>required_exp_250</v>
      </c>
      <c r="AM7" s="8">
        <f ca="1">VLOOKUP(G7,経験値!$A$28:$B$32,2)</f>
        <v>6400</v>
      </c>
      <c r="AN7" s="16">
        <f ca="1">VLOOKUP(G7,ビット!$G$2:$H$7,2)</f>
        <v>900</v>
      </c>
      <c r="AO7" s="41"/>
      <c r="AP7" s="186">
        <v>1259</v>
      </c>
      <c r="AQ7" s="53" t="str">
        <f ca="1">VLOOKUP($AP7,OFFSET(unit_skills!$A$1,0,0,COUNTA(unit_skills!$A:$A),MATCH(AQ$1,unit_skills!$1:$1,0)-MATCH($AP$1,unit_skills!$1:$1,0)+1),MATCH(AQ$1,unit_skills!$1:$1,0)-MATCH($AP$1,unit_skills!$1:$1,0)+1,FALSE)</f>
        <v>ラスト・ワン</v>
      </c>
      <c r="AR7" s="53" t="str">
        <f ca="1">VLOOKUP($AP7,OFFSET(unit_skills!$A$1,0,0,COUNTA(unit_skills!$A:$A),MATCH(AR$1,unit_skills!$1:$1,0)-MATCH($AP$1,unit_skills!$1:$1,0)+1),MATCH(AR$1,unit_skills!$1:$1,0)-MATCH($AP$1,unit_skills!$1:$1,0)+1,FALSE)</f>
        <v>ランダムで1個緑CBパネルに、青・黄パネルを緑ボムパネルに変換+2ターン緑属性ユニットのタップ数を1増やし、爆風強化</v>
      </c>
      <c r="AS7" s="53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186">
        <v>1259</v>
      </c>
      <c r="AU7" s="53" t="str">
        <f ca="1">VLOOKUP($AT7,OFFSET(crash_skills!$A$1,0,0,COUNTA(crash_skills!$A:$A),MATCH(AU$1,crash_skills!$1:$1,0)-MATCH($AT$1,crash_skills!$1:$1,0)+1),MATCH(AU$1,crash_skills!$1:$1,0)-MATCH($AT$1,crash_skills!$1:$1,0)+1,FALSE)</f>
        <v>ラピッド・ブレイン・トリック</v>
      </c>
      <c r="AV7" s="53" t="str">
        <f ca="1">VLOOKUP($AT7,OFFSET(crash_skills!$A$1,0,0,COUNTA(crash_skills!$A:$A),MATCH(AV$1,crash_skills!$1:$1,0)-MATCH($AT$1,crash_skills!$1:$1,0)+1),MATCH(AV$1,crash_skills!$1:$1,0)-MATCH($AT$1,crash_skills!$1:$1,0)+1,FALSE)</f>
        <v>1体に特大ダメージ+_x000D_緑属性ユニットの攻撃力UP</v>
      </c>
      <c r="AW7" s="53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4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4">
        <v>1.07</v>
      </c>
      <c r="AZ7" s="64">
        <v>1.3720000000000001</v>
      </c>
      <c r="BA7" s="64">
        <v>0</v>
      </c>
      <c r="BB7" s="64">
        <v>0.65</v>
      </c>
      <c r="BC7" s="10">
        <f ca="1">INDEX('RC6SV'!$A$1:$G$21,MATCH(H7,'RC6SV'!$A$1:$A$21,FALSE),MATCH(G7,'RC6SV'!$A$1:$G$1,FALSE))</f>
        <v>13000</v>
      </c>
      <c r="BD7" s="44">
        <f t="shared" ca="1" si="9"/>
        <v>13000</v>
      </c>
      <c r="BE7" s="10">
        <f t="shared" ca="1" si="3"/>
        <v>9500</v>
      </c>
      <c r="BF7" s="10">
        <f t="shared" ca="1" si="4"/>
        <v>1</v>
      </c>
      <c r="BG7" s="15">
        <f ca="1">IF($BE7&lt;=0,ROUND(BK7*0.5,0), ROUND($BE7*S7*AA7*J7*AY7*0.8*[1]ステータス!$B$2,0))</f>
        <v>3981</v>
      </c>
      <c r="BH7" s="15">
        <f ca="1">IF($BE7&lt;=0,ROUND(BL7*0.5,0), ROUND($BE7*T7*AB7*K7*AZ7*0.8*[1]ステータス!$C$2,0))</f>
        <v>3127</v>
      </c>
      <c r="BI7" s="15">
        <f ca="1">IF($BE7&lt;=0,ROUND(BM7*0.5,0), ROUND($BE7*U7*AC7*L7*BA7*0.8*[1]ステータス!$D$2,0))</f>
        <v>0</v>
      </c>
      <c r="BJ7" s="15">
        <f ca="1">IF($BE7&lt;=0,ROUND(BN7*0.5,0), ROUND($BE7*V7*AD7*M7*BB7*0.8*[1]ステータス!$E$2,0))</f>
        <v>1260</v>
      </c>
      <c r="BK7" s="10">
        <f ca="1">ROUND(BD7*S7*AA7*J7*AY7*[1]ステータス!$B$2,0)</f>
        <v>6810</v>
      </c>
      <c r="BL7" s="10">
        <f ca="1">ROUND(BD7*T7*AB7*K7*AZ7*[1]ステータス!$C$2,0)</f>
        <v>5349</v>
      </c>
      <c r="BM7" s="10">
        <f ca="1">ROUND(BD7*U7*AC7*L7*BA7*[1]ステータス!$D$2,0)</f>
        <v>0</v>
      </c>
      <c r="BN7" s="10">
        <f ca="1">ROUND(BD7*V7*AD7*M7*BB7*[1]ステータス!$E$2,0)</f>
        <v>2155</v>
      </c>
      <c r="BO7" s="9">
        <v>0</v>
      </c>
      <c r="BP7" s="9">
        <v>1</v>
      </c>
      <c r="BQ7" s="9" t="s">
        <v>47</v>
      </c>
      <c r="BR7" s="9">
        <f ca="1">VLOOKUP(H7,[2]ghosts_label!$A$2:$B$19,2,FALSE)</f>
        <v>1</v>
      </c>
    </row>
    <row r="8" spans="1:70" ht="26" customHeight="1" x14ac:dyDescent="0.15">
      <c r="A8" s="186">
        <v>1260</v>
      </c>
      <c r="B8" s="53" t="str">
        <f ca="1">VLOOKUP($A8,OFFSET([1]characters!$A$1,0,0,COUNTA([1]characters!$A:$A),MATCH(B$1,[1]characters!$1:$1,0)-MATCH($A$1,[1]characters!$1:$1,0)+1),MATCH(B$1,[1]characters!$1:$1,0)-MATCH($A$1,[1]characters!$1:$1,0)+1,FALSE)</f>
        <v>トール</v>
      </c>
      <c r="C8" s="53">
        <f ca="1">VLOOKUP($A8,OFFSET([1]characters!$A$1,0,0,COUNTA([1]characters!$A:$A),MATCH(C$1,[1]characters!$1:$1,0)-MATCH($A$1,[1]characters!$1:$1,0)+1),MATCH(C$1,[1]characters!$1:$1,0)-MATCH($A$1,[1]characters!$1:$1,0)+1,FALSE)</f>
        <v>0</v>
      </c>
      <c r="D8" s="53">
        <f ca="1">VLOOKUP($A8,OFFSET([1]characters!$A$1,0,0,COUNTA([1]characters!$A:$A),MATCH(D$1,[1]characters!$1:$1,0)-MATCH($A$1,[1]characters!$1:$1,0)+1),MATCH(D$1,[1]characters!$1:$1,0)-MATCH($A$1,[1]characters!$1:$1,0)+1,FALSE)</f>
        <v>0</v>
      </c>
      <c r="E8" s="53">
        <f ca="1">VLOOKUP($A8,OFFSET([1]characters!$A$1,0,0,COUNTA([1]characters!$A:$A),MATCH(E$1,[1]characters!$1:$1,0)-MATCH($A$1,[1]characters!$1:$1,0)+1),MATCH(E$1,[1]characters!$1:$1,0)-MATCH($A$1,[1]characters!$1:$1,0)+1,FALSE)</f>
        <v>0</v>
      </c>
      <c r="F8" s="53">
        <f ca="1">VLOOKUP($A8,OFFSET([1]characters!$A$1,0,0,COUNTA([1]characters!$A:$A),MATCH(F$1,[1]characters!$1:$1,0)-MATCH($A$1,[1]characters!$1:$1,0)+1),MATCH(F$1,[1]characters!$1:$1,0)-MATCH($A$1,[1]characters!$1:$1,0)+1,FALSE)</f>
        <v>0</v>
      </c>
      <c r="G8" s="53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3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3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0">
        <f ca="1">VLOOKUP(I8,[1]属性!$A:$E,2,FALSE)</f>
        <v>1</v>
      </c>
      <c r="K8" s="10">
        <f ca="1">VLOOKUP(I8,[1]属性!$A:$E,3,FALSE)</f>
        <v>1.02</v>
      </c>
      <c r="L8" s="10">
        <f ca="1">VLOOKUP(I8,[1]属性!$A:$E,4,FALSE)</f>
        <v>1</v>
      </c>
      <c r="M8" s="10">
        <f ca="1">VLOOKUP(I8,[1]属性!$A:$E,5,FALSE)</f>
        <v>0.98</v>
      </c>
      <c r="N8" s="10">
        <f ca="1">INDEX(コスト!$A$1:$I$21,MATCH(H8,コスト!$A$1:$A$21,FALSE),MATCH(G8,コスト!$A$1:$I$1,FALSE))</f>
        <v>35</v>
      </c>
      <c r="O8" s="10">
        <f ca="1">INDEX(レベル!$A$1:$I$22,MATCH(H8,レベル!$A$1:$A$22,FALSE),MATCH(G8,レベル!$A$1:$I$1,FALSE))</f>
        <v>80</v>
      </c>
      <c r="P8" s="44">
        <f t="shared" ca="1" si="7"/>
        <v>75</v>
      </c>
      <c r="Q8" s="53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0">
        <f ca="1">VLOOKUP(Q8,[1]character_type_i18n!$A:$H,4,FALSE)</f>
        <v>1</v>
      </c>
      <c r="T8" s="10">
        <f ca="1">VLOOKUP(Q8,[1]character_type_i18n!$A:$H,5,FALSE)</f>
        <v>1</v>
      </c>
      <c r="U8" s="10">
        <f ca="1">VLOOKUP(Q8,[1]character_type_i18n!$A:$H,6,FALSE)</f>
        <v>1</v>
      </c>
      <c r="V8" s="10">
        <f ca="1">VLOOKUP(Q8,[1]character_type_i18n!$A:$H,7,FALSE)</f>
        <v>1</v>
      </c>
      <c r="W8" s="53" t="str">
        <f ca="1">VLOOKUP($A8,OFFSET([1]characters!$A$1,0,0,COUNTA([1]characters!$A:$A),MATCH(W$1,[1]characters!$1:$1,0)-MATCH($A$1,[1]characters!$1:$1,0)+1),MATCH(W$1,[1]characters!$1:$1,0)-MATCH($A$1,[1]characters!$1:$1,0)+1,FALSE)</f>
        <v>god</v>
      </c>
      <c r="X8" s="5" t="str">
        <f ca="1">VLOOKUP(W8,[1]character_tribe_i18n!$A:$H,3,FALSE)</f>
        <v>ゴッド</v>
      </c>
      <c r="Y8" s="53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0">
        <f ca="1">VLOOKUP(W8,[1]character_tribe_i18n!$A:$H,4,FALSE)</f>
        <v>0.96</v>
      </c>
      <c r="AB8" s="10">
        <f ca="1">VLOOKUP(W8,[1]character_tribe_i18n!$A:$H,5,FALSE)</f>
        <v>1.02</v>
      </c>
      <c r="AC8" s="10">
        <f ca="1">VLOOKUP(W8,[1]character_tribe_i18n!$A:$H,6,FALSE)</f>
        <v>1</v>
      </c>
      <c r="AD8" s="10">
        <f ca="1">VLOOKUP(W8,[1]character_tribe_i18n!$A:$H,7,FALSE)</f>
        <v>1.02</v>
      </c>
      <c r="AE8" s="187">
        <v>1261</v>
      </c>
      <c r="AF8" s="58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燃雷の鎚撃 トール</v>
      </c>
      <c r="AG8" s="186">
        <v>1260</v>
      </c>
      <c r="AH8" s="58" t="str">
        <f ca="1">VLOOKUP($AG8,OFFSET([1]characters!$A$1,0,0,COUNTA([1]characters!$A:$A),MATCH(AH$1,[1]characters!$1:$1,0)-MATCH($A$1,[1]characters!$1:$1,0)+1),MATCH(AH$1,[1]characters!$1:$1,0)-MATCH($A$1,[1]characters!$1:$1,0)+1,FALSE)</f>
        <v>トール</v>
      </c>
      <c r="AI8" s="10">
        <f ca="1">IF(AE8="NULL","NULL",VLOOKUP(G8,ビット!$A$2:$B$7,2))</f>
        <v>200000</v>
      </c>
      <c r="AJ8" s="6">
        <v>2</v>
      </c>
      <c r="AK8" s="7" t="str">
        <f t="shared" si="8"/>
        <v>普通</v>
      </c>
      <c r="AL8" s="10" t="str">
        <f ca="1">INDEX(経験値!$A$1:$I$21,MATCH(H8,経験値!$A$1:$A$21,FALSE),MATCH(G8,経験値!$A$1:$I$1,FALSE))</f>
        <v>required_exp_200</v>
      </c>
      <c r="AM8" s="8">
        <f ca="1">VLOOKUP(G8,経験値!$A$28:$B$32,2)</f>
        <v>6400</v>
      </c>
      <c r="AN8" s="16">
        <f ca="1">VLOOKUP(G8,ビット!$G$2:$H$7,2)</f>
        <v>900</v>
      </c>
      <c r="AO8" s="41"/>
      <c r="AP8" s="186">
        <v>1260</v>
      </c>
      <c r="AQ8" s="53" t="str">
        <f ca="1">VLOOKUP($AP8,OFFSET(unit_skills!$A$1,0,0,COUNTA(unit_skills!$A:$A),MATCH(AQ$1,unit_skills!$1:$1,0)-MATCH($AP$1,unit_skills!$1:$1,0)+1),MATCH(AQ$1,unit_skills!$1:$1,0)-MATCH($AP$1,unit_skills!$1:$1,0)+1,FALSE)</f>
        <v>ミョルニル・ヘヴィチャージ</v>
      </c>
      <c r="AR8" s="53" t="str">
        <f ca="1">VLOOKUP($AP8,OFFSET(unit_skills!$A$1,0,0,COUNTA(unit_skills!$A:$A),MATCH(AR$1,unit_skills!$1:$1,0)-MATCH($AP$1,unit_skills!$1:$1,0)+1),MATCH(AR$1,unit_skills!$1:$1,0)-MATCH($AP$1,unit_skills!$1:$1,0)+1,FALSE)</f>
        <v>3ターンHPを大回復し、自身の攻撃力をUP(青パネルを吸収し効果UP)</v>
      </c>
      <c r="AS8" s="53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186">
        <v>1260</v>
      </c>
      <c r="AU8" s="53" t="str">
        <f ca="1">VLOOKUP($AT8,OFFSET(crash_skills!$A$1,0,0,COUNTA(crash_skills!$A:$A),MATCH(AU$1,crash_skills!$1:$1,0)-MATCH($AT$1,crash_skills!$1:$1,0)+1),MATCH(AU$1,crash_skills!$1:$1,0)-MATCH($AT$1,crash_skills!$1:$1,0)+1,FALSE)</f>
        <v>孤軍奮戦ローリングファイア</v>
      </c>
      <c r="AV8" s="53" t="str">
        <f ca="1">VLOOKUP($AT8,OFFSET(crash_skills!$A$1,0,0,COUNTA(crash_skills!$A:$A),MATCH(AV$1,crash_skills!$1:$1,0)-MATCH($AT$1,crash_skills!$1:$1,0)+1),MATCH(AV$1,crash_skills!$1:$1,0)-MATCH($AT$1,crash_skills!$1:$1,0)+1,FALSE)</f>
        <v>1体に大ダメージ</v>
      </c>
      <c r="AW8" s="53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4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4">
        <v>1.002</v>
      </c>
      <c r="AZ8" s="64">
        <v>1.0229999999999999</v>
      </c>
      <c r="BA8" s="64">
        <v>0</v>
      </c>
      <c r="BB8" s="64">
        <v>1.1399999999999999</v>
      </c>
      <c r="BC8" s="10">
        <f ca="1">INDEX('RC6SV'!$A$1:$G$21,MATCH(H8,'RC6SV'!$A$1:$A$21,FALSE),MATCH(G8,'RC6SV'!$A$1:$G$1,FALSE))</f>
        <v>9500</v>
      </c>
      <c r="BD8" s="44">
        <f t="shared" ca="1" si="9"/>
        <v>9500</v>
      </c>
      <c r="BE8" s="10">
        <f t="shared" ca="1" si="3"/>
        <v>0</v>
      </c>
      <c r="BF8" s="10">
        <f t="shared" ca="1" si="4"/>
        <v>1</v>
      </c>
      <c r="BG8" s="15">
        <f ca="1">IF($BE8&lt;=0,ROUND(BK8*0.5,0), ROUND($BE8*S8*AA8*J8*AY8*0.8*[1]ステータス!$B$2,0))</f>
        <v>2285</v>
      </c>
      <c r="BH8" s="15">
        <f ca="1">IF($BE8&lt;=0,ROUND(BL8*0.5,0), ROUND($BE8*T8*AB8*K8*AZ8*0.8*[1]ステータス!$C$2,0))</f>
        <v>1517</v>
      </c>
      <c r="BI8" s="15">
        <f ca="1">IF($BE8&lt;=0,ROUND(BM8*0.5,0), ROUND($BE8*U8*AC8*L8*BA8*0.8*[1]ステータス!$D$2,0))</f>
        <v>0</v>
      </c>
      <c r="BJ8" s="15">
        <f ca="1">IF($BE8&lt;=0,ROUND(BN8*0.5,0), ROUND($BE8*V8*AD8*M8*BB8*0.8*[1]ステータス!$E$2,0))</f>
        <v>1353</v>
      </c>
      <c r="BK8" s="10">
        <f ca="1">ROUND(BD8*S8*AA8*J8*AY8*[1]ステータス!$B$2,0)</f>
        <v>4569</v>
      </c>
      <c r="BL8" s="10">
        <f ca="1">ROUND(BD8*T8*AB8*K8*AZ8*[1]ステータス!$C$2,0)</f>
        <v>3033</v>
      </c>
      <c r="BM8" s="10">
        <f ca="1">ROUND(BD8*U8*AC8*L8*BA8*[1]ステータス!$D$2,0)</f>
        <v>0</v>
      </c>
      <c r="BN8" s="10">
        <f ca="1">ROUND(BD8*V8*AD8*M8*BB8*[1]ステータス!$E$2,0)</f>
        <v>2706</v>
      </c>
      <c r="BO8" s="9">
        <v>0</v>
      </c>
      <c r="BP8" s="9">
        <v>1</v>
      </c>
      <c r="BQ8" s="36" t="s">
        <v>47</v>
      </c>
      <c r="BR8" s="9">
        <f ca="1">VLOOKUP(H8,[2]ghosts_label!$A$2:$B$19,2,FALSE)</f>
        <v>5500</v>
      </c>
    </row>
    <row r="9" spans="1:70" ht="26" customHeight="1" x14ac:dyDescent="0.15">
      <c r="A9" s="186">
        <v>1261</v>
      </c>
      <c r="B9" s="53" t="str">
        <f ca="1">VLOOKUP($A9,OFFSET([1]characters!$A$1,0,0,COUNTA([1]characters!$A:$A),MATCH(B$1,[1]characters!$1:$1,0)-MATCH($A$1,[1]characters!$1:$1,0)+1),MATCH(B$1,[1]characters!$1:$1,0)-MATCH($A$1,[1]characters!$1:$1,0)+1,FALSE)</f>
        <v>燃雷の鎚撃 トール</v>
      </c>
      <c r="C9" s="53">
        <f ca="1">VLOOKUP($A9,OFFSET([1]characters!$A$1,0,0,COUNTA([1]characters!$A:$A),MATCH(C$1,[1]characters!$1:$1,0)-MATCH($A$1,[1]characters!$1:$1,0)+1),MATCH(C$1,[1]characters!$1:$1,0)-MATCH($A$1,[1]characters!$1:$1,0)+1,FALSE)</f>
        <v>0</v>
      </c>
      <c r="D9" s="53">
        <f ca="1">VLOOKUP($A9,OFFSET([1]characters!$A$1,0,0,COUNTA([1]characters!$A:$A),MATCH(D$1,[1]characters!$1:$1,0)-MATCH($A$1,[1]characters!$1:$1,0)+1),MATCH(D$1,[1]characters!$1:$1,0)-MATCH($A$1,[1]characters!$1:$1,0)+1,FALSE)</f>
        <v>0</v>
      </c>
      <c r="E9" s="53">
        <f ca="1">VLOOKUP($A9,OFFSET([1]characters!$A$1,0,0,COUNTA([1]characters!$A:$A),MATCH(E$1,[1]characters!$1:$1,0)-MATCH($A$1,[1]characters!$1:$1,0)+1),MATCH(E$1,[1]characters!$1:$1,0)-MATCH($A$1,[1]characters!$1:$1,0)+1,FALSE)</f>
        <v>0</v>
      </c>
      <c r="F9" s="53">
        <f ca="1">VLOOKUP($A9,OFFSET([1]characters!$A$1,0,0,COUNTA([1]characters!$A:$A),MATCH(F$1,[1]characters!$1:$1,0)-MATCH($A$1,[1]characters!$1:$1,0)+1),MATCH(F$1,[1]characters!$1:$1,0)-MATCH($A$1,[1]characters!$1:$1,0)+1,FALSE)</f>
        <v>0</v>
      </c>
      <c r="G9" s="53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3" t="str">
        <f ca="1">VLOOKUP($A9,OFFSET([1]characters!$A$1,0,0,COUNTA([1]characters!$A:$A),MATCH(H$1,[1]characters!$1:$1,0)-MATCH($A$1,[1]characters!$1:$1,0)+1),MATCH(H$1,[1]characters!$1:$1,0)-MATCH($A$1,[1]characters!$1:$1,0)+1,FALSE)</f>
        <v>PremiumSS</v>
      </c>
      <c r="I9" s="53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0">
        <f ca="1">VLOOKUP(I9,[1]属性!$A:$E,2,FALSE)</f>
        <v>1</v>
      </c>
      <c r="K9" s="10">
        <f ca="1">VLOOKUP(I9,[1]属性!$A:$E,3,FALSE)</f>
        <v>1.02</v>
      </c>
      <c r="L9" s="10">
        <f ca="1">VLOOKUP(I9,[1]属性!$A:$E,4,FALSE)</f>
        <v>1</v>
      </c>
      <c r="M9" s="10">
        <f ca="1">VLOOKUP(I9,[1]属性!$A:$E,5,FALSE)</f>
        <v>0.98</v>
      </c>
      <c r="N9" s="10">
        <f ca="1">INDEX(コスト!$A$1:$I$21,MATCH(H9,コスト!$A$1:$A$21,FALSE),MATCH(G9,コスト!$A$1:$I$1,FALSE))</f>
        <v>50</v>
      </c>
      <c r="O9" s="10">
        <f ca="1">INDEX(レベル!$A$1:$I$22,MATCH(H9,レベル!$A$1:$A$22,FALSE),MATCH(G9,レベル!$A$1:$I$1,FALSE))</f>
        <v>99</v>
      </c>
      <c r="P9" s="44">
        <f t="shared" ca="1" si="7"/>
        <v>99</v>
      </c>
      <c r="Q9" s="53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0">
        <f ca="1">VLOOKUP(Q9,[1]character_type_i18n!$A:$H,4,FALSE)</f>
        <v>1</v>
      </c>
      <c r="T9" s="10">
        <f ca="1">VLOOKUP(Q9,[1]character_type_i18n!$A:$H,5,FALSE)</f>
        <v>1</v>
      </c>
      <c r="U9" s="10">
        <f ca="1">VLOOKUP(Q9,[1]character_type_i18n!$A:$H,6,FALSE)</f>
        <v>1</v>
      </c>
      <c r="V9" s="10">
        <f ca="1">VLOOKUP(Q9,[1]character_type_i18n!$A:$H,7,FALSE)</f>
        <v>1</v>
      </c>
      <c r="W9" s="53" t="str">
        <f ca="1">VLOOKUP($A9,OFFSET([1]characters!$A$1,0,0,COUNTA([1]characters!$A:$A),MATCH(W$1,[1]characters!$1:$1,0)-MATCH($A$1,[1]characters!$1:$1,0)+1),MATCH(W$1,[1]characters!$1:$1,0)-MATCH($A$1,[1]characters!$1:$1,0)+1,FALSE)</f>
        <v>god</v>
      </c>
      <c r="X9" s="5" t="str">
        <f ca="1">VLOOKUP(W9,[1]character_tribe_i18n!$A:$H,3,FALSE)</f>
        <v>ゴッド</v>
      </c>
      <c r="Y9" s="53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0">
        <f ca="1">VLOOKUP(W9,[1]character_tribe_i18n!$A:$H,4,FALSE)</f>
        <v>0.96</v>
      </c>
      <c r="AB9" s="10">
        <f ca="1">VLOOKUP(W9,[1]character_tribe_i18n!$A:$H,5,FALSE)</f>
        <v>1.02</v>
      </c>
      <c r="AC9" s="10">
        <f ca="1">VLOOKUP(W9,[1]character_tribe_i18n!$A:$H,6,FALSE)</f>
        <v>1</v>
      </c>
      <c r="AD9" s="10">
        <f ca="1">VLOOKUP(W9,[1]character_tribe_i18n!$A:$H,7,FALSE)</f>
        <v>1.02</v>
      </c>
      <c r="AE9" s="187" t="s">
        <v>183</v>
      </c>
      <c r="AF9" s="58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186">
        <v>1260</v>
      </c>
      <c r="AH9" s="58" t="str">
        <f ca="1">VLOOKUP($AG9,OFFSET([1]characters!$A$1,0,0,COUNTA([1]characters!$A:$A),MATCH(AH$1,[1]characters!$1:$1,0)-MATCH($A$1,[1]characters!$1:$1,0)+1),MATCH(AH$1,[1]characters!$1:$1,0)-MATCH($A$1,[1]characters!$1:$1,0)+1,FALSE)</f>
        <v>トール</v>
      </c>
      <c r="AI9" s="10" t="str">
        <f>IF(AE9="NULL","NULL",VLOOKUP(G9,ビット!$A$2:$B$7,2))</f>
        <v>NULL</v>
      </c>
      <c r="AJ9" s="6">
        <v>2</v>
      </c>
      <c r="AK9" s="7" t="str">
        <f t="shared" si="8"/>
        <v>普通</v>
      </c>
      <c r="AL9" s="10" t="str">
        <f ca="1">INDEX(経験値!$A$1:$I$21,MATCH(H9,経験値!$A$1:$A$21,FALSE),MATCH(G9,経験値!$A$1:$I$1,FALSE))</f>
        <v>required_exp_250</v>
      </c>
      <c r="AM9" s="8">
        <f ca="1">VLOOKUP(G9,経験値!$A$28:$B$32,2)</f>
        <v>6400</v>
      </c>
      <c r="AN9" s="16">
        <f ca="1">VLOOKUP(G9,ビット!$G$2:$H$7,2)</f>
        <v>900</v>
      </c>
      <c r="AO9" s="41"/>
      <c r="AP9" s="186">
        <v>1261</v>
      </c>
      <c r="AQ9" s="53" t="str">
        <f ca="1">VLOOKUP($AP9,OFFSET(unit_skills!$A$1,0,0,COUNTA(unit_skills!$A:$A),MATCH(AQ$1,unit_skills!$1:$1,0)-MATCH($AP$1,unit_skills!$1:$1,0)+1),MATCH(AQ$1,unit_skills!$1:$1,0)-MATCH($AP$1,unit_skills!$1:$1,0)+1,FALSE)</f>
        <v>ミョルニル・ヘヴィドライヴァ</v>
      </c>
      <c r="AR9" s="53" t="str">
        <f ca="1">VLOOKUP($AP9,OFFSET(unit_skills!$A$1,0,0,COUNTA(unit_skills!$A:$A),MATCH(AR$1,unit_skills!$1:$1,0)-MATCH($AP$1,unit_skills!$1:$1,0)+1),MATCH(AR$1,unit_skills!$1:$1,0)-MATCH($AP$1,unit_skills!$1:$1,0)+1,FALSE)</f>
        <v>3ターンHPを大回復し、自身の攻撃力をUP(青パネルを吸収し効果UP)+2ターン赤属性の防御力を超大UP</v>
      </c>
      <c r="AS9" s="53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186">
        <v>1261</v>
      </c>
      <c r="AU9" s="53" t="str">
        <f ca="1">VLOOKUP($AT9,OFFSET(crash_skills!$A$1,0,0,COUNTA(crash_skills!$A:$A),MATCH(AU$1,crash_skills!$1:$1,0)-MATCH($AT$1,crash_skills!$1:$1,0)+1),MATCH(AU$1,crash_skills!$1:$1,0)-MATCH($AT$1,crash_skills!$1:$1,0)+1,FALSE)</f>
        <v>孤軍沸騰スコーチングファイア</v>
      </c>
      <c r="AV9" s="53" t="str">
        <f ca="1">VLOOKUP($AT9,OFFSET(crash_skills!$A$1,0,0,COUNTA(crash_skills!$A:$A),MATCH(AV$1,crash_skills!$1:$1,0)-MATCH($AT$1,crash_skills!$1:$1,0)+1),MATCH(AV$1,crash_skills!$1:$1,0)-MATCH($AT$1,crash_skills!$1:$1,0)+1,FALSE)</f>
        <v>1体に特大ダメージ</v>
      </c>
      <c r="AW9" s="53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4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4">
        <v>1.002</v>
      </c>
      <c r="AZ9" s="64">
        <v>1.0229999999999999</v>
      </c>
      <c r="BA9" s="64">
        <v>0</v>
      </c>
      <c r="BB9" s="64">
        <v>1.1399999999999999</v>
      </c>
      <c r="BC9" s="10">
        <f ca="1">INDEX('RC6SV'!$A$1:$G$21,MATCH(H9,'RC6SV'!$A$1:$A$21,FALSE),MATCH(G9,'RC6SV'!$A$1:$G$1,FALSE))</f>
        <v>13000</v>
      </c>
      <c r="BD9" s="44">
        <f t="shared" ca="1" si="9"/>
        <v>13000</v>
      </c>
      <c r="BE9" s="10">
        <f t="shared" ca="1" si="3"/>
        <v>9500</v>
      </c>
      <c r="BF9" s="10">
        <f t="shared" ca="1" si="4"/>
        <v>1</v>
      </c>
      <c r="BG9" s="15">
        <f ca="1">IF($BE9&lt;=0,ROUND(BK9*0.5,0), ROUND($BE9*S9*AA9*J9*AY9*0.8*[1]ステータス!$B$2,0))</f>
        <v>3655</v>
      </c>
      <c r="BH9" s="15">
        <f ca="1">IF($BE9&lt;=0,ROUND(BL9*0.5,0), ROUND($BE9*T9*AB9*K9*AZ9*0.8*[1]ステータス!$C$2,0))</f>
        <v>2427</v>
      </c>
      <c r="BI9" s="15">
        <f ca="1">IF($BE9&lt;=0,ROUND(BM9*0.5,0), ROUND($BE9*U9*AC9*L9*BA9*0.8*[1]ステータス!$D$2,0))</f>
        <v>0</v>
      </c>
      <c r="BJ9" s="15">
        <f ca="1">IF($BE9&lt;=0,ROUND(BN9*0.5,0), ROUND($BE9*V9*AD9*M9*BB9*0.8*[1]ステータス!$E$2,0))</f>
        <v>2165</v>
      </c>
      <c r="BK9" s="10">
        <f ca="1">ROUND(BD9*S9*AA9*J9*AY9*[1]ステータス!$B$2,0)</f>
        <v>6252</v>
      </c>
      <c r="BL9" s="10">
        <f ca="1">ROUND(BD9*T9*AB9*K9*AZ9*[1]ステータス!$C$2,0)</f>
        <v>4151</v>
      </c>
      <c r="BM9" s="10">
        <f ca="1">ROUND(BD9*U9*AC9*L9*BA9*[1]ステータス!$D$2,0)</f>
        <v>0</v>
      </c>
      <c r="BN9" s="10">
        <f ca="1">ROUND(BD9*V9*AD9*M9*BB9*[1]ステータス!$E$2,0)</f>
        <v>3704</v>
      </c>
      <c r="BO9" s="9">
        <v>0</v>
      </c>
      <c r="BP9" s="9">
        <v>1</v>
      </c>
      <c r="BQ9" s="9" t="s">
        <v>47</v>
      </c>
      <c r="BR9" s="9">
        <f ca="1">VLOOKUP(H9,[2]ghosts_label!$A$2:$B$19,2,FALSE)</f>
        <v>5500</v>
      </c>
    </row>
    <row r="10" spans="1:70" ht="26" customHeight="1" x14ac:dyDescent="0.15">
      <c r="A10" s="186">
        <v>1262</v>
      </c>
      <c r="B10" s="53" t="str">
        <f ca="1">VLOOKUP($A10,OFFSET([1]characters!$A$1,0,0,COUNTA([1]characters!$A:$A),MATCH(B$1,[1]characters!$1:$1,0)-MATCH($A$1,[1]characters!$1:$1,0)+1),MATCH(B$1,[1]characters!$1:$1,0)-MATCH($A$1,[1]characters!$1:$1,0)+1,FALSE)</f>
        <v>イズン</v>
      </c>
      <c r="C10" s="53">
        <f ca="1">VLOOKUP($A10,OFFSET([1]characters!$A$1,0,0,COUNTA([1]characters!$A:$A),MATCH(C$1,[1]characters!$1:$1,0)-MATCH($A$1,[1]characters!$1:$1,0)+1),MATCH(C$1,[1]characters!$1:$1,0)-MATCH($A$1,[1]characters!$1:$1,0)+1,FALSE)</f>
        <v>0</v>
      </c>
      <c r="D10" s="53">
        <f ca="1">VLOOKUP($A10,OFFSET([1]characters!$A$1,0,0,COUNTA([1]characters!$A:$A),MATCH(D$1,[1]characters!$1:$1,0)-MATCH($A$1,[1]characters!$1:$1,0)+1),MATCH(D$1,[1]characters!$1:$1,0)-MATCH($A$1,[1]characters!$1:$1,0)+1,FALSE)</f>
        <v>0</v>
      </c>
      <c r="E10" s="53">
        <f ca="1">VLOOKUP($A10,OFFSET([1]characters!$A$1,0,0,COUNTA([1]characters!$A:$A),MATCH(E$1,[1]characters!$1:$1,0)-MATCH($A$1,[1]characters!$1:$1,0)+1),MATCH(E$1,[1]characters!$1:$1,0)-MATCH($A$1,[1]characters!$1:$1,0)+1,FALSE)</f>
        <v>0</v>
      </c>
      <c r="F10" s="53">
        <f ca="1">VLOOKUP($A10,OFFSET([1]characters!$A$1,0,0,COUNTA([1]characters!$A:$A),MATCH(F$1,[1]characters!$1:$1,0)-MATCH($A$1,[1]characters!$1:$1,0)+1),MATCH(F$1,[1]characters!$1:$1,0)-MATCH($A$1,[1]characters!$1:$1,0)+1,FALSE)</f>
        <v>0</v>
      </c>
      <c r="G10" s="53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3" t="str">
        <f ca="1">VLOOKUP($A10,OFFSET([1]characters!$A$1,0,0,COUNTA([1]characters!$A:$A),MATCH(H$1,[1]characters!$1:$1,0)-MATCH($A$1,[1]characters!$1:$1,0)+1),MATCH(H$1,[1]characters!$1:$1,0)-MATCH($A$1,[1]characters!$1:$1,0)+1,FALSE)</f>
        <v>PremiumSSw</v>
      </c>
      <c r="I10" s="53" t="str">
        <f ca="1">VLOOKUP($A10,OFFSET([1]characters!$A$1,0,0,COUNTA([1]characters!$A:$A),MATCH(I$1,[1]characters!$1:$1,0)-MATCH($A$1,[1]characters!$1:$1,0)+1),MATCH(I$1,[1]characters!$1:$1,0)-MATCH($A$1,[1]characters!$1:$1,0)+1,FALSE)</f>
        <v>green</v>
      </c>
      <c r="J10" s="10">
        <f ca="1">VLOOKUP(I10,[1]属性!$A:$E,2,FALSE)</f>
        <v>1.02</v>
      </c>
      <c r="K10" s="10">
        <f ca="1">VLOOKUP(I10,[1]属性!$A:$E,3,FALSE)</f>
        <v>0.98</v>
      </c>
      <c r="L10" s="10">
        <f ca="1">VLOOKUP(I10,[1]属性!$A:$E,4,FALSE)</f>
        <v>1</v>
      </c>
      <c r="M10" s="10">
        <f ca="1">VLOOKUP(I10,[1]属性!$A:$E,5,FALSE)</f>
        <v>1</v>
      </c>
      <c r="N10" s="10">
        <f ca="1">INDEX(コスト!$A$1:$I$21,MATCH(H10,コスト!$A$1:$A$21,FALSE),MATCH(G10,コスト!$A$1:$I$1,FALSE))</f>
        <v>38</v>
      </c>
      <c r="O10" s="10">
        <f ca="1">INDEX(レベル!$A$1:$I$22,MATCH(H10,レベル!$A$1:$A$22,FALSE),MATCH(G10,レベル!$A$1:$I$1,FALSE))</f>
        <v>80</v>
      </c>
      <c r="P10" s="44">
        <f t="shared" ref="P10:P13" ca="1" si="10">IF(G10 &gt;= 6, 99,G10*15)</f>
        <v>75</v>
      </c>
      <c r="Q10" s="53" t="str">
        <f ca="1">VLOOKUP($A10,OFFSET([1]characters!$A$1,0,0,COUNTA([1]characters!$A:$A),MATCH(Q$1,[1]characters!$1:$1,0)-MATCH($A$1,[1]characters!$1:$1,0)+1),MATCH(Q$1,[1]characters!$1:$1,0)-MATCH($A$1,[1]characters!$1:$1,0)+1,FALSE)</f>
        <v>heal</v>
      </c>
      <c r="R10" s="5" t="str">
        <f ca="1">VLOOKUP(Q10,[1]character_type_i18n!$A:$H,3,FALSE)</f>
        <v>回復タイプ</v>
      </c>
      <c r="S10" s="10">
        <f ca="1">VLOOKUP(Q10,[1]character_type_i18n!$A:$H,4,FALSE)</f>
        <v>0.8</v>
      </c>
      <c r="T10" s="10">
        <f ca="1">VLOOKUP(Q10,[1]character_type_i18n!$A:$H,5,FALSE)</f>
        <v>0.78</v>
      </c>
      <c r="U10" s="10">
        <f ca="1">VLOOKUP(Q10,[1]character_type_i18n!$A:$H,6,FALSE)</f>
        <v>1</v>
      </c>
      <c r="V10" s="10">
        <f ca="1">VLOOKUP(Q10,[1]character_type_i18n!$A:$H,7,FALSE)</f>
        <v>1.42</v>
      </c>
      <c r="W10" s="53" t="str">
        <f ca="1">VLOOKUP($A10,OFFSET([1]characters!$A$1,0,0,COUNTA([1]characters!$A:$A),MATCH(W$1,[1]characters!$1:$1,0)-MATCH($A$1,[1]characters!$1:$1,0)+1),MATCH(W$1,[1]characters!$1:$1,0)-MATCH($A$1,[1]characters!$1:$1,0)+1,FALSE)</f>
        <v>god</v>
      </c>
      <c r="X10" s="5" t="str">
        <f ca="1">VLOOKUP(W10,[1]character_tribe_i18n!$A:$H,3,FALSE)</f>
        <v>ゴッド</v>
      </c>
      <c r="Y10" s="53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0">
        <f ca="1">VLOOKUP(W10,[1]character_tribe_i18n!$A:$H,4,FALSE)</f>
        <v>0.96</v>
      </c>
      <c r="AB10" s="10">
        <f ca="1">VLOOKUP(W10,[1]character_tribe_i18n!$A:$H,5,FALSE)</f>
        <v>1.02</v>
      </c>
      <c r="AC10" s="10">
        <f ca="1">VLOOKUP(W10,[1]character_tribe_i18n!$A:$H,6,FALSE)</f>
        <v>1</v>
      </c>
      <c r="AD10" s="10">
        <f ca="1">VLOOKUP(W10,[1]character_tribe_i18n!$A:$H,7,FALSE)</f>
        <v>1.02</v>
      </c>
      <c r="AE10" s="187">
        <v>1263</v>
      </c>
      <c r="AF10" s="58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純朴なる檻理人 イズン</v>
      </c>
      <c r="AG10" s="186">
        <v>1262</v>
      </c>
      <c r="AH10" s="58" t="str">
        <f ca="1">VLOOKUP($AG10,OFFSET([1]characters!$A$1,0,0,COUNTA([1]characters!$A:$A),MATCH(AH$1,[1]characters!$1:$1,0)-MATCH($A$1,[1]characters!$1:$1,0)+1),MATCH(AH$1,[1]characters!$1:$1,0)-MATCH($A$1,[1]characters!$1:$1,0)+1,FALSE)</f>
        <v>イズン</v>
      </c>
      <c r="AI10" s="10">
        <f ca="1">IF(AE10="NULL","NULL",VLOOKUP(G10,ビット!$A$2:$B$7,2))</f>
        <v>200000</v>
      </c>
      <c r="AJ10" s="6">
        <v>2</v>
      </c>
      <c r="AK10" s="7" t="str">
        <f t="shared" si="8"/>
        <v>普通</v>
      </c>
      <c r="AL10" s="10" t="str">
        <f ca="1">INDEX(経験値!$A$1:$I$21,MATCH(H10,経験値!$A$1:$A$21,FALSE),MATCH(G10,経験値!$A$1:$I$1,FALSE))</f>
        <v>required_exp_200</v>
      </c>
      <c r="AM10" s="8">
        <f ca="1">VLOOKUP(G10,経験値!$A$28:$B$32,2)</f>
        <v>6400</v>
      </c>
      <c r="AN10" s="16">
        <f ca="1">VLOOKUP(G10,ビット!$G$2:$H$7,2)</f>
        <v>900</v>
      </c>
      <c r="AO10" s="41"/>
      <c r="AP10" s="186">
        <v>1262</v>
      </c>
      <c r="AQ10" s="53" t="str">
        <f ca="1">VLOOKUP($AP10,OFFSET(unit_skills!$A$1,0,0,COUNTA(unit_skills!$A:$A),MATCH(AQ$1,unit_skills!$1:$1,0)-MATCH($AP$1,unit_skills!$1:$1,0)+1),MATCH(AQ$1,unit_skills!$1:$1,0)-MATCH($AP$1,unit_skills!$1:$1,0)+1,FALSE)</f>
        <v>アップルプロンプト</v>
      </c>
      <c r="AR10" s="53" t="str">
        <f ca="1">VLOOKUP($AP10,OFFSET(unit_skills!$A$1,0,0,COUNTA(unit_skills!$A:$A),MATCH(AR$1,unit_skills!$1:$1,0)-MATCH($AP$1,unit_skills!$1:$1,0)+1),MATCH(AR$1,unit_skills!$1:$1,0)-MATCH($AP$1,unit_skills!$1:$1,0)+1,FALSE)</f>
        <v>赤・時限式ダメージパネルを緑パネルに、黄・ダメージパネルをハートパネルに変換</v>
      </c>
      <c r="AS10" s="53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186">
        <v>1262</v>
      </c>
      <c r="AU10" s="53" t="str">
        <f ca="1">VLOOKUP($AT10,OFFSET(crash_skills!$A$1,0,0,COUNTA(crash_skills!$A:$A),MATCH(AU$1,crash_skills!$1:$1,0)-MATCH($AT$1,crash_skills!$1:$1,0)+1),MATCH(AU$1,crash_skills!$1:$1,0)-MATCH($AT$1,crash_skills!$1:$1,0)+1,FALSE)</f>
        <v>プロミスド・アスガルド</v>
      </c>
      <c r="AV10" s="53" t="str">
        <f ca="1">VLOOKUP($AT10,OFFSET(crash_skills!$A$1,0,0,COUNTA(crash_skills!$A:$A),MATCH(AV$1,crash_skills!$1:$1,0)-MATCH($AT$1,crash_skills!$1:$1,0)+1),MATCH(AV$1,crash_skills!$1:$1,0)-MATCH($AT$1,crash_skills!$1:$1,0)+1,FALSE)</f>
        <v>1体に大ダメージ_x000D_種族ゴッドに効果特大</v>
      </c>
      <c r="AW10" s="53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4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4">
        <v>1.04</v>
      </c>
      <c r="AZ10" s="64">
        <v>1.161</v>
      </c>
      <c r="BA10" s="64">
        <v>0</v>
      </c>
      <c r="BB10" s="64">
        <v>0.79</v>
      </c>
      <c r="BC10" s="10">
        <f ca="1">INDEX('RC6SV'!$A$1:$G$21,MATCH(H10,'RC6SV'!$A$1:$A$21,FALSE),MATCH(G10,'RC6SV'!$A$1:$G$1,FALSE))</f>
        <v>10000</v>
      </c>
      <c r="BD10" s="44">
        <f t="shared" ca="1" si="9"/>
        <v>10000</v>
      </c>
      <c r="BE10" s="10">
        <f t="shared" ca="1" si="3"/>
        <v>0</v>
      </c>
      <c r="BF10" s="10">
        <f t="shared" ca="1" si="4"/>
        <v>1</v>
      </c>
      <c r="BG10" s="15">
        <f ca="1">IF($BE10&lt;=0,ROUND(BK10*0.5,0), ROUND($BE10*S10*AA10*J10*AY10*0.8*[1]ステータス!$B$2,0))</f>
        <v>2037</v>
      </c>
      <c r="BH10" s="15">
        <f ca="1">IF($BE10&lt;=0,ROUND(BL10*0.5,0), ROUND($BE10*T10*AB10*K10*AZ10*0.8*[1]ステータス!$C$2,0))</f>
        <v>1358</v>
      </c>
      <c r="BI10" s="15">
        <f ca="1">IF($BE10&lt;=0,ROUND(BM10*0.5,0), ROUND($BE10*U10*AC10*L10*BA10*0.8*[1]ステータス!$D$2,0))</f>
        <v>0</v>
      </c>
      <c r="BJ10" s="15">
        <f ca="1">IF($BE10&lt;=0,ROUND(BN10*0.5,0), ROUND($BE10*V10*AD10*M10*BB10*0.8*[1]ステータス!$E$2,0))</f>
        <v>1431</v>
      </c>
      <c r="BK10" s="10">
        <f ca="1">ROUND(BD10*S10*AA10*J10*AY10*[1]ステータス!$B$2,0)</f>
        <v>4073</v>
      </c>
      <c r="BL10" s="10">
        <f ca="1">ROUND(BD10*T10*AB10*K10*AZ10*[1]ステータス!$C$2,0)</f>
        <v>2716</v>
      </c>
      <c r="BM10" s="10">
        <f ca="1">ROUND(BD10*U10*AC10*L10*BA10*[1]ステータス!$D$2,0)</f>
        <v>0</v>
      </c>
      <c r="BN10" s="10">
        <f ca="1">ROUND(BD10*V10*AD10*M10*BB10*[1]ステータス!$E$2,0)</f>
        <v>2861</v>
      </c>
      <c r="BO10" s="9">
        <v>0</v>
      </c>
      <c r="BP10" s="9">
        <v>1</v>
      </c>
      <c r="BQ10" s="36" t="s">
        <v>47</v>
      </c>
      <c r="BR10" s="9">
        <f ca="1">VLOOKUP(H10,[2]ghosts_label!$A$2:$B$19,2,FALSE)</f>
        <v>6000</v>
      </c>
    </row>
    <row r="11" spans="1:70" ht="26" customHeight="1" x14ac:dyDescent="0.15">
      <c r="A11" s="186">
        <v>1263</v>
      </c>
      <c r="B11" s="53" t="str">
        <f ca="1">VLOOKUP($A11,OFFSET([1]characters!$A$1,0,0,COUNTA([1]characters!$A:$A),MATCH(B$1,[1]characters!$1:$1,0)-MATCH($A$1,[1]characters!$1:$1,0)+1),MATCH(B$1,[1]characters!$1:$1,0)-MATCH($A$1,[1]characters!$1:$1,0)+1,FALSE)</f>
        <v>純朴なる檻理人 イズン</v>
      </c>
      <c r="C11" s="53">
        <f ca="1">VLOOKUP($A11,OFFSET([1]characters!$A$1,0,0,COUNTA([1]characters!$A:$A),MATCH(C$1,[1]characters!$1:$1,0)-MATCH($A$1,[1]characters!$1:$1,0)+1),MATCH(C$1,[1]characters!$1:$1,0)-MATCH($A$1,[1]characters!$1:$1,0)+1,FALSE)</f>
        <v>0</v>
      </c>
      <c r="D11" s="53">
        <f ca="1">VLOOKUP($A11,OFFSET([1]characters!$A$1,0,0,COUNTA([1]characters!$A:$A),MATCH(D$1,[1]characters!$1:$1,0)-MATCH($A$1,[1]characters!$1:$1,0)+1),MATCH(D$1,[1]characters!$1:$1,0)-MATCH($A$1,[1]characters!$1:$1,0)+1,FALSE)</f>
        <v>0</v>
      </c>
      <c r="E11" s="53">
        <f ca="1">VLOOKUP($A11,OFFSET([1]characters!$A$1,0,0,COUNTA([1]characters!$A:$A),MATCH(E$1,[1]characters!$1:$1,0)-MATCH($A$1,[1]characters!$1:$1,0)+1),MATCH(E$1,[1]characters!$1:$1,0)-MATCH($A$1,[1]characters!$1:$1,0)+1,FALSE)</f>
        <v>0</v>
      </c>
      <c r="F11" s="53">
        <f ca="1">VLOOKUP($A11,OFFSET([1]characters!$A$1,0,0,COUNTA([1]characters!$A:$A),MATCH(F$1,[1]characters!$1:$1,0)-MATCH($A$1,[1]characters!$1:$1,0)+1),MATCH(F$1,[1]characters!$1:$1,0)-MATCH($A$1,[1]characters!$1:$1,0)+1,FALSE)</f>
        <v>0</v>
      </c>
      <c r="G11" s="53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3" t="str">
        <f ca="1">VLOOKUP($A11,OFFSET([1]characters!$A$1,0,0,COUNTA([1]characters!$A:$A),MATCH(H$1,[1]characters!$1:$1,0)-MATCH($A$1,[1]characters!$1:$1,0)+1),MATCH(H$1,[1]characters!$1:$1,0)-MATCH($A$1,[1]characters!$1:$1,0)+1,FALSE)</f>
        <v>PremiumSSw</v>
      </c>
      <c r="I11" s="53" t="str">
        <f ca="1">VLOOKUP($A11,OFFSET([1]characters!$A$1,0,0,COUNTA([1]characters!$A:$A),MATCH(I$1,[1]characters!$1:$1,0)-MATCH($A$1,[1]characters!$1:$1,0)+1),MATCH(I$1,[1]characters!$1:$1,0)-MATCH($A$1,[1]characters!$1:$1,0)+1,FALSE)</f>
        <v>green</v>
      </c>
      <c r="J11" s="10">
        <f ca="1">VLOOKUP(I11,[1]属性!$A:$E,2,FALSE)</f>
        <v>1.02</v>
      </c>
      <c r="K11" s="10">
        <f ca="1">VLOOKUP(I11,[1]属性!$A:$E,3,FALSE)</f>
        <v>0.98</v>
      </c>
      <c r="L11" s="10">
        <f ca="1">VLOOKUP(I11,[1]属性!$A:$E,4,FALSE)</f>
        <v>1</v>
      </c>
      <c r="M11" s="10">
        <f ca="1">VLOOKUP(I11,[1]属性!$A:$E,5,FALSE)</f>
        <v>1</v>
      </c>
      <c r="N11" s="10">
        <f ca="1">INDEX(コスト!$A$1:$I$21,MATCH(H11,コスト!$A$1:$A$21,FALSE),MATCH(G11,コスト!$A$1:$I$1,FALSE))</f>
        <v>53</v>
      </c>
      <c r="O11" s="10">
        <f ca="1">INDEX(レベル!$A$1:$I$22,MATCH(H11,レベル!$A$1:$A$22,FALSE),MATCH(G11,レベル!$A$1:$I$1,FALSE))</f>
        <v>99</v>
      </c>
      <c r="P11" s="44">
        <f t="shared" ca="1" si="10"/>
        <v>99</v>
      </c>
      <c r="Q11" s="53" t="str">
        <f ca="1">VLOOKUP($A11,OFFSET([1]characters!$A$1,0,0,COUNTA([1]characters!$A:$A),MATCH(Q$1,[1]characters!$1:$1,0)-MATCH($A$1,[1]characters!$1:$1,0)+1),MATCH(Q$1,[1]characters!$1:$1,0)-MATCH($A$1,[1]characters!$1:$1,0)+1,FALSE)</f>
        <v>heal</v>
      </c>
      <c r="R11" s="5" t="str">
        <f ca="1">VLOOKUP(Q11,[1]character_type_i18n!$A:$H,3,FALSE)</f>
        <v>回復タイプ</v>
      </c>
      <c r="S11" s="10">
        <f ca="1">VLOOKUP(Q11,[1]character_type_i18n!$A:$H,4,FALSE)</f>
        <v>0.8</v>
      </c>
      <c r="T11" s="10">
        <f ca="1">VLOOKUP(Q11,[1]character_type_i18n!$A:$H,5,FALSE)</f>
        <v>0.78</v>
      </c>
      <c r="U11" s="10">
        <f ca="1">VLOOKUP(Q11,[1]character_type_i18n!$A:$H,6,FALSE)</f>
        <v>1</v>
      </c>
      <c r="V11" s="10">
        <f ca="1">VLOOKUP(Q11,[1]character_type_i18n!$A:$H,7,FALSE)</f>
        <v>1.42</v>
      </c>
      <c r="W11" s="53" t="str">
        <f ca="1">VLOOKUP($A11,OFFSET([1]characters!$A$1,0,0,COUNTA([1]characters!$A:$A),MATCH(W$1,[1]characters!$1:$1,0)-MATCH($A$1,[1]characters!$1:$1,0)+1),MATCH(W$1,[1]characters!$1:$1,0)-MATCH($A$1,[1]characters!$1:$1,0)+1,FALSE)</f>
        <v>god</v>
      </c>
      <c r="X11" s="5" t="str">
        <f ca="1">VLOOKUP(W11,[1]character_tribe_i18n!$A:$H,3,FALSE)</f>
        <v>ゴッド</v>
      </c>
      <c r="Y11" s="53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0">
        <f ca="1">VLOOKUP(W11,[1]character_tribe_i18n!$A:$H,4,FALSE)</f>
        <v>0.96</v>
      </c>
      <c r="AB11" s="10">
        <f ca="1">VLOOKUP(W11,[1]character_tribe_i18n!$A:$H,5,FALSE)</f>
        <v>1.02</v>
      </c>
      <c r="AC11" s="10">
        <f ca="1">VLOOKUP(W11,[1]character_tribe_i18n!$A:$H,6,FALSE)</f>
        <v>1</v>
      </c>
      <c r="AD11" s="10">
        <f ca="1">VLOOKUP(W11,[1]character_tribe_i18n!$A:$H,7,FALSE)</f>
        <v>1.02</v>
      </c>
      <c r="AE11" s="187" t="s">
        <v>183</v>
      </c>
      <c r="AF11" s="58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186">
        <v>1262</v>
      </c>
      <c r="AH11" s="58" t="str">
        <f ca="1">VLOOKUP($AG11,OFFSET([1]characters!$A$1,0,0,COUNTA([1]characters!$A:$A),MATCH(AH$1,[1]characters!$1:$1,0)-MATCH($A$1,[1]characters!$1:$1,0)+1),MATCH(AH$1,[1]characters!$1:$1,0)-MATCH($A$1,[1]characters!$1:$1,0)+1,FALSE)</f>
        <v>イズン</v>
      </c>
      <c r="AI11" s="10" t="str">
        <f>IF(AE11="NULL","NULL",VLOOKUP(G11,ビット!$A$2:$B$7,2))</f>
        <v>NULL</v>
      </c>
      <c r="AJ11" s="6">
        <v>2</v>
      </c>
      <c r="AK11" s="7" t="str">
        <f t="shared" ref="AK11:AK13" si="11">IF(AJ11=1,"早熟",IF(AJ11=2,"普通",IF(AJ11=3,"晩成","")))</f>
        <v>普通</v>
      </c>
      <c r="AL11" s="10" t="str">
        <f ca="1">INDEX(経験値!$A$1:$I$21,MATCH(H11,経験値!$A$1:$A$21,FALSE),MATCH(G11,経験値!$A$1:$I$1,FALSE))</f>
        <v>required_exp_250</v>
      </c>
      <c r="AM11" s="8">
        <f ca="1">VLOOKUP(G11,経験値!$A$28:$B$32,2)</f>
        <v>6400</v>
      </c>
      <c r="AN11" s="16">
        <f ca="1">VLOOKUP(G11,ビット!$G$2:$H$7,2)</f>
        <v>900</v>
      </c>
      <c r="AO11" s="41"/>
      <c r="AP11" s="186">
        <v>1263</v>
      </c>
      <c r="AQ11" s="53" t="str">
        <f ca="1">VLOOKUP($AP11,OFFSET(unit_skills!$A$1,0,0,COUNTA(unit_skills!$A:$A),MATCH(AQ$1,unit_skills!$1:$1,0)-MATCH($AP$1,unit_skills!$1:$1,0)+1),MATCH(AQ$1,unit_skills!$1:$1,0)-MATCH($AP$1,unit_skills!$1:$1,0)+1,FALSE)</f>
        <v>ゴールデンアップルプロンプト</v>
      </c>
      <c r="AR11" s="53" t="str">
        <f ca="1">VLOOKUP($AP11,OFFSET(unit_skills!$A$1,0,0,COUNTA(unit_skills!$A:$A),MATCH(AR$1,unit_skills!$1:$1,0)-MATCH($AP$1,unit_skills!$1:$1,0)+1),MATCH(AR$1,unit_skills!$1:$1,0)-MATCH($AP$1,unit_skills!$1:$1,0)+1,FALSE)</f>
        <v>赤・時限式ダメージパネルを緑パネルに、黄・ダメージパネルをハートパネルに変換+3ターン全ユニットの回復力を特大UP</v>
      </c>
      <c r="AS11" s="53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186">
        <v>1263</v>
      </c>
      <c r="AU11" s="53" t="str">
        <f ca="1">VLOOKUP($AT11,OFFSET(crash_skills!$A$1,0,0,COUNTA(crash_skills!$A:$A),MATCH(AU$1,crash_skills!$1:$1,0)-MATCH($AT$1,crash_skills!$1:$1,0)+1),MATCH(AU$1,crash_skills!$1:$1,0)-MATCH($AT$1,crash_skills!$1:$1,0)+1,FALSE)</f>
        <v>フェイタル・アスガルド</v>
      </c>
      <c r="AV11" s="53" t="str">
        <f ca="1">VLOOKUP($AT11,OFFSET(crash_skills!$A$1,0,0,COUNTA(crash_skills!$A:$A),MATCH(AV$1,crash_skills!$1:$1,0)-MATCH($AT$1,crash_skills!$1:$1,0)+1),MATCH(AV$1,crash_skills!$1:$1,0)-MATCH($AT$1,crash_skills!$1:$1,0)+1,FALSE)</f>
        <v>1体に特大ダメージ_x000D_種族ゴッドに効果超大</v>
      </c>
      <c r="AW11" s="53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4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4">
        <v>1.04</v>
      </c>
      <c r="AZ11" s="64">
        <v>1.161</v>
      </c>
      <c r="BA11" s="64">
        <v>0</v>
      </c>
      <c r="BB11" s="64">
        <v>0.79</v>
      </c>
      <c r="BC11" s="10">
        <f ca="1">INDEX('RC6SV'!$A$1:$G$21,MATCH(H11,'RC6SV'!$A$1:$A$21,FALSE),MATCH(G11,'RC6SV'!$A$1:$G$1,FALSE))</f>
        <v>14000</v>
      </c>
      <c r="BD11" s="44">
        <f t="shared" ref="BD11:BD13" ca="1" si="12">ROUND(BC11*IF(AJ11=1,0.95,IF(AJ11=2,1,IF(AJ11,1.05,0))),0)</f>
        <v>14000</v>
      </c>
      <c r="BE11" s="10">
        <f t="shared" ca="1" si="3"/>
        <v>10000</v>
      </c>
      <c r="BF11" s="10">
        <f t="shared" ca="1" si="4"/>
        <v>1</v>
      </c>
      <c r="BG11" s="15">
        <f ca="1">IF($BE11&lt;=0,ROUND(BK11*0.5,0), ROUND($BE11*S11*AA11*J11*AY11*0.8*[1]ステータス!$B$2,0))</f>
        <v>3259</v>
      </c>
      <c r="BH11" s="15">
        <f ca="1">IF($BE11&lt;=0,ROUND(BL11*0.5,0), ROUND($BE11*T11*AB11*K11*AZ11*0.8*[1]ステータス!$C$2,0))</f>
        <v>2173</v>
      </c>
      <c r="BI11" s="15">
        <f ca="1">IF($BE11&lt;=0,ROUND(BM11*0.5,0), ROUND($BE11*U11*AC11*L11*BA11*0.8*[1]ステータス!$D$2,0))</f>
        <v>0</v>
      </c>
      <c r="BJ11" s="15">
        <f ca="1">IF($BE11&lt;=0,ROUND(BN11*0.5,0), ROUND($BE11*V11*AD11*M11*BB11*0.8*[1]ステータス!$E$2,0))</f>
        <v>2288</v>
      </c>
      <c r="BK11" s="10">
        <f ca="1">ROUND(BD11*S11*AA11*J11*AY11*[1]ステータス!$B$2,0)</f>
        <v>5703</v>
      </c>
      <c r="BL11" s="10">
        <f ca="1">ROUND(BD11*T11*AB11*K11*AZ11*[1]ステータス!$C$2,0)</f>
        <v>3802</v>
      </c>
      <c r="BM11" s="10">
        <f ca="1">ROUND(BD11*U11*AC11*L11*BA11*[1]ステータス!$D$2,0)</f>
        <v>0</v>
      </c>
      <c r="BN11" s="10">
        <f ca="1">ROUND(BD11*V11*AD11*M11*BB11*[1]ステータス!$E$2,0)</f>
        <v>4005</v>
      </c>
      <c r="BO11" s="9">
        <v>0</v>
      </c>
      <c r="BP11" s="9">
        <v>1</v>
      </c>
      <c r="BQ11" s="9" t="s">
        <v>47</v>
      </c>
      <c r="BR11" s="9">
        <f ca="1">VLOOKUP(H11,[2]ghosts_label!$A$2:$B$19,2,FALSE)</f>
        <v>6000</v>
      </c>
    </row>
    <row r="12" spans="1:70" ht="26" customHeight="1" x14ac:dyDescent="0.15">
      <c r="A12" s="186">
        <v>1264</v>
      </c>
      <c r="B12" s="53" t="str">
        <f ca="1">VLOOKUP($A12,OFFSET([1]characters!$A$1,0,0,COUNTA([1]characters!$A:$A),MATCH(B$1,[1]characters!$1:$1,0)-MATCH($A$1,[1]characters!$1:$1,0)+1),MATCH(B$1,[1]characters!$1:$1,0)-MATCH($A$1,[1]characters!$1:$1,0)+1,FALSE)</f>
        <v>ウルズ</v>
      </c>
      <c r="C12" s="53">
        <f ca="1">VLOOKUP($A12,OFFSET([1]characters!$A$1,0,0,COUNTA([1]characters!$A:$A),MATCH(C$1,[1]characters!$1:$1,0)-MATCH($A$1,[1]characters!$1:$1,0)+1),MATCH(C$1,[1]characters!$1:$1,0)-MATCH($A$1,[1]characters!$1:$1,0)+1,FALSE)</f>
        <v>0</v>
      </c>
      <c r="D12" s="53">
        <f ca="1">VLOOKUP($A12,OFFSET([1]characters!$A$1,0,0,COUNTA([1]characters!$A:$A),MATCH(D$1,[1]characters!$1:$1,0)-MATCH($A$1,[1]characters!$1:$1,0)+1),MATCH(D$1,[1]characters!$1:$1,0)-MATCH($A$1,[1]characters!$1:$1,0)+1,FALSE)</f>
        <v>0</v>
      </c>
      <c r="E12" s="53">
        <f ca="1">VLOOKUP($A12,OFFSET([1]characters!$A$1,0,0,COUNTA([1]characters!$A:$A),MATCH(E$1,[1]characters!$1:$1,0)-MATCH($A$1,[1]characters!$1:$1,0)+1),MATCH(E$1,[1]characters!$1:$1,0)-MATCH($A$1,[1]characters!$1:$1,0)+1,FALSE)</f>
        <v>0</v>
      </c>
      <c r="F12" s="53">
        <f ca="1">VLOOKUP($A12,OFFSET([1]characters!$A$1,0,0,COUNTA([1]characters!$A:$A),MATCH(F$1,[1]characters!$1:$1,0)-MATCH($A$1,[1]characters!$1:$1,0)+1),MATCH(F$1,[1]characters!$1:$1,0)-MATCH($A$1,[1]characters!$1:$1,0)+1,FALSE)</f>
        <v>0</v>
      </c>
      <c r="G12" s="53">
        <f ca="1">VLOOKUP($A12,OFFSET([1]characters!$A$1,0,0,COUNTA([1]characters!$A:$A),MATCH(G$1,[1]characters!$1:$1,0)-MATCH($A$1,[1]characters!$1:$1,0)+1),MATCH(G$1,[1]characters!$1:$1,0)-MATCH($A$1,[1]characters!$1:$1,0)+1,FALSE)</f>
        <v>5</v>
      </c>
      <c r="H12" s="53" t="str">
        <f ca="1">VLOOKUP($A12,OFFSET([1]characters!$A$1,0,0,COUNTA([1]characters!$A:$A),MATCH(H$1,[1]characters!$1:$1,0)-MATCH($A$1,[1]characters!$1:$1,0)+1),MATCH(H$1,[1]characters!$1:$1,0)-MATCH($A$1,[1]characters!$1:$1,0)+1,FALSE)</f>
        <v>PremiumSS</v>
      </c>
      <c r="I12" s="53" t="str">
        <f ca="1">VLOOKUP($A12,OFFSET([1]characters!$A$1,0,0,COUNTA([1]characters!$A:$A),MATCH(I$1,[1]characters!$1:$1,0)-MATCH($A$1,[1]characters!$1:$1,0)+1),MATCH(I$1,[1]characters!$1:$1,0)-MATCH($A$1,[1]characters!$1:$1,0)+1,FALSE)</f>
        <v>blue</v>
      </c>
      <c r="J12" s="10">
        <f ca="1">VLOOKUP(I12,[1]属性!$A:$E,2,FALSE)</f>
        <v>1</v>
      </c>
      <c r="K12" s="10">
        <f ca="1">VLOOKUP(I12,[1]属性!$A:$E,3,FALSE)</f>
        <v>0.98</v>
      </c>
      <c r="L12" s="10">
        <f ca="1">VLOOKUP(I12,[1]属性!$A:$E,4,FALSE)</f>
        <v>1</v>
      </c>
      <c r="M12" s="10">
        <f ca="1">VLOOKUP(I12,[1]属性!$A:$E,5,FALSE)</f>
        <v>1.02</v>
      </c>
      <c r="N12" s="10">
        <f ca="1">INDEX(コスト!$A$1:$I$21,MATCH(H12,コスト!$A$1:$A$21,FALSE),MATCH(G12,コスト!$A$1:$I$1,FALSE))</f>
        <v>35</v>
      </c>
      <c r="O12" s="10">
        <f ca="1">INDEX(レベル!$A$1:$I$22,MATCH(H12,レベル!$A$1:$A$22,FALSE),MATCH(G12,レベル!$A$1:$I$1,FALSE))</f>
        <v>80</v>
      </c>
      <c r="P12" s="44">
        <f t="shared" ca="1" si="10"/>
        <v>75</v>
      </c>
      <c r="Q12" s="53" t="str">
        <f ca="1">VLOOKUP($A12,OFFSET([1]characters!$A$1,0,0,COUNTA([1]characters!$A:$A),MATCH(Q$1,[1]characters!$1:$1,0)-MATCH($A$1,[1]characters!$1:$1,0)+1),MATCH(Q$1,[1]characters!$1:$1,0)-MATCH($A$1,[1]characters!$1:$1,0)+1,FALSE)</f>
        <v>heal</v>
      </c>
      <c r="R12" s="5" t="str">
        <f ca="1">VLOOKUP(Q12,[1]character_type_i18n!$A:$H,3,FALSE)</f>
        <v>回復タイプ</v>
      </c>
      <c r="S12" s="10">
        <f ca="1">VLOOKUP(Q12,[1]character_type_i18n!$A:$H,4,FALSE)</f>
        <v>0.8</v>
      </c>
      <c r="T12" s="10">
        <f ca="1">VLOOKUP(Q12,[1]character_type_i18n!$A:$H,5,FALSE)</f>
        <v>0.78</v>
      </c>
      <c r="U12" s="10">
        <f ca="1">VLOOKUP(Q12,[1]character_type_i18n!$A:$H,6,FALSE)</f>
        <v>1</v>
      </c>
      <c r="V12" s="10">
        <f ca="1">VLOOKUP(Q12,[1]character_type_i18n!$A:$H,7,FALSE)</f>
        <v>1.42</v>
      </c>
      <c r="W12" s="53" t="str">
        <f ca="1">VLOOKUP($A12,OFFSET([1]characters!$A$1,0,0,COUNTA([1]characters!$A:$A),MATCH(W$1,[1]characters!$1:$1,0)-MATCH($A$1,[1]characters!$1:$1,0)+1),MATCH(W$1,[1]characters!$1:$1,0)-MATCH($A$1,[1]characters!$1:$1,0)+1,FALSE)</f>
        <v>god</v>
      </c>
      <c r="X12" s="5" t="str">
        <f ca="1">VLOOKUP(W12,[1]character_tribe_i18n!$A:$H,3,FALSE)</f>
        <v>ゴッド</v>
      </c>
      <c r="Y12" s="53" t="str">
        <f ca="1">VLOOKUP($A12,OFFSET([1]characters!$A$1,0,0,COUNTA([1]characters!$A:$A),MATCH(Y$1,[1]characters!$1:$1,0)-MATCH($A$1,[1]characters!$1:$1,0)+1),MATCH(Y$1,[1]characters!$1:$1,0)-MATCH($A$1,[1]characters!$1:$1,0)+1,FALSE)</f>
        <v>demon</v>
      </c>
      <c r="Z12" s="5" t="str">
        <f ca="1">VLOOKUP(Y12,[1]character_tribe_i18n!$A:$H,3,FALSE)</f>
        <v>デーモン</v>
      </c>
      <c r="AA12" s="10">
        <f ca="1">VLOOKUP(W12,[1]character_tribe_i18n!$A:$H,4,FALSE)</f>
        <v>0.96</v>
      </c>
      <c r="AB12" s="10">
        <f ca="1">VLOOKUP(W12,[1]character_tribe_i18n!$A:$H,5,FALSE)</f>
        <v>1.02</v>
      </c>
      <c r="AC12" s="10">
        <f ca="1">VLOOKUP(W12,[1]character_tribe_i18n!$A:$H,6,FALSE)</f>
        <v>1</v>
      </c>
      <c r="AD12" s="10">
        <f ca="1">VLOOKUP(W12,[1]character_tribe_i18n!$A:$H,7,FALSE)</f>
        <v>1.02</v>
      </c>
      <c r="AE12" s="187">
        <v>1265</v>
      </c>
      <c r="AF12" s="58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静観する世限者 ウルズ</v>
      </c>
      <c r="AG12" s="186">
        <v>1264</v>
      </c>
      <c r="AH12" s="58" t="str">
        <f ca="1">VLOOKUP($AG12,OFFSET([1]characters!$A$1,0,0,COUNTA([1]characters!$A:$A),MATCH(AH$1,[1]characters!$1:$1,0)-MATCH($A$1,[1]characters!$1:$1,0)+1),MATCH(AH$1,[1]characters!$1:$1,0)-MATCH($A$1,[1]characters!$1:$1,0)+1,FALSE)</f>
        <v>ウルズ</v>
      </c>
      <c r="AI12" s="10">
        <f ca="1">IF(AE12="NULL","NULL",VLOOKUP(G12,ビット!$A$2:$B$7,2))</f>
        <v>200000</v>
      </c>
      <c r="AJ12" s="6">
        <v>2</v>
      </c>
      <c r="AK12" s="7" t="str">
        <f t="shared" si="11"/>
        <v>普通</v>
      </c>
      <c r="AL12" s="10" t="str">
        <f ca="1">INDEX(経験値!$A$1:$I$21,MATCH(H12,経験値!$A$1:$A$21,FALSE),MATCH(G12,経験値!$A$1:$I$1,FALSE))</f>
        <v>required_exp_200</v>
      </c>
      <c r="AM12" s="8">
        <f ca="1">VLOOKUP(G12,経験値!$A$28:$B$32,2)</f>
        <v>6400</v>
      </c>
      <c r="AN12" s="16">
        <f ca="1">VLOOKUP(G12,ビット!$G$2:$H$7,2)</f>
        <v>900</v>
      </c>
      <c r="AO12" s="41"/>
      <c r="AP12" s="186">
        <v>1264</v>
      </c>
      <c r="AQ12" s="53" t="str">
        <f ca="1">VLOOKUP($AP12,OFFSET(unit_skills!$A$1,0,0,COUNTA(unit_skills!$A:$A),MATCH(AQ$1,unit_skills!$1:$1,0)-MATCH($AP$1,unit_skills!$1:$1,0)+1),MATCH(AQ$1,unit_skills!$1:$1,0)-MATCH($AP$1,unit_skills!$1:$1,0)+1,FALSE)</f>
        <v>フォーシー・フォー・ミー</v>
      </c>
      <c r="AR12" s="53" t="str">
        <f ca="1">VLOOKUP($AP12,OFFSET(unit_skills!$A$1,0,0,COUNTA(unit_skills!$A:$A),MATCH(AR$1,unit_skills!$1:$1,0)-MATCH($AP$1,unit_skills!$1:$1,0)+1),MATCH(AR$1,unit_skills!$1:$1,0)-MATCH($AP$1,unit_skills!$1:$1,0)+1,FALSE)</f>
        <v>緑パネルをCパネルに、黄パネルを赤パネルに変換+1ターン青属性ユニットのタップ数を1増やす</v>
      </c>
      <c r="AS12" s="53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186">
        <v>1264</v>
      </c>
      <c r="AU12" s="53" t="str">
        <f ca="1">VLOOKUP($AT12,OFFSET(crash_skills!$A$1,0,0,COUNTA(crash_skills!$A:$A),MATCH(AU$1,crash_skills!$1:$1,0)-MATCH($AT$1,crash_skills!$1:$1,0)+1),MATCH(AU$1,crash_skills!$1:$1,0)-MATCH($AT$1,crash_skills!$1:$1,0)+1,FALSE)</f>
        <v>プロフェシーアクセッション</v>
      </c>
      <c r="AV12" s="53" t="str">
        <f ca="1">VLOOKUP($AT12,OFFSET(crash_skills!$A$1,0,0,COUNTA(crash_skills!$A:$A),MATCH(AV$1,crash_skills!$1:$1,0)-MATCH($AT$1,crash_skills!$1:$1,0)+1),MATCH(AV$1,crash_skills!$1:$1,0)-MATCH($AT$1,crash_skills!$1:$1,0)+1,FALSE)</f>
        <v>自身の回復力に比例して1体に大ダメージ+HP回復</v>
      </c>
      <c r="AW12" s="53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4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4">
        <v>1.05</v>
      </c>
      <c r="AZ12" s="64">
        <v>0.92</v>
      </c>
      <c r="BA12" s="64">
        <v>0</v>
      </c>
      <c r="BB12" s="64">
        <v>0.96899999999999997</v>
      </c>
      <c r="BC12" s="10">
        <f ca="1">INDEX('RC6SV'!$A$1:$G$21,MATCH(H12,'RC6SV'!$A$1:$A$21,FALSE),MATCH(G12,'RC6SV'!$A$1:$G$1,FALSE))</f>
        <v>9500</v>
      </c>
      <c r="BD12" s="44">
        <f t="shared" ca="1" si="12"/>
        <v>9500</v>
      </c>
      <c r="BE12" s="10">
        <f t="shared" ca="1" si="3"/>
        <v>0</v>
      </c>
      <c r="BF12" s="10">
        <f t="shared" ca="1" si="4"/>
        <v>1</v>
      </c>
      <c r="BG12" s="15">
        <f ca="1">IF($BE12&lt;=0,ROUND(BK12*0.5,0), ROUND($BE12*S12*AA12*J12*AY12*0.8*[1]ステータス!$B$2,0))</f>
        <v>1915</v>
      </c>
      <c r="BH12" s="15">
        <f ca="1">IF($BE12&lt;=0,ROUND(BL12*0.5,0), ROUND($BE12*T12*AB12*K12*AZ12*0.8*[1]ステータス!$C$2,0))</f>
        <v>1022</v>
      </c>
      <c r="BI12" s="15">
        <f ca="1">IF($BE12&lt;=0,ROUND(BM12*0.5,0), ROUND($BE12*U12*AC12*L12*BA12*0.8*[1]ステータス!$D$2,0))</f>
        <v>0</v>
      </c>
      <c r="BJ12" s="15">
        <f ca="1">IF($BE12&lt;=0,ROUND(BN12*0.5,0), ROUND($BE12*V12*AD12*M12*BB12*0.8*[1]ステータス!$E$2,0))</f>
        <v>1700</v>
      </c>
      <c r="BK12" s="10">
        <f ca="1">ROUND(BD12*S12*AA12*J12*AY12*[1]ステータス!$B$2,0)</f>
        <v>3830</v>
      </c>
      <c r="BL12" s="10">
        <f ca="1">ROUND(BD12*T12*AB12*K12*AZ12*[1]ステータス!$C$2,0)</f>
        <v>2044</v>
      </c>
      <c r="BM12" s="10">
        <f ca="1">ROUND(BD12*U12*AC12*L12*BA12*[1]ステータス!$D$2,0)</f>
        <v>0</v>
      </c>
      <c r="BN12" s="10">
        <f ca="1">ROUND(BD12*V12*AD12*M12*BB12*[1]ステータス!$E$2,0)</f>
        <v>3400</v>
      </c>
      <c r="BO12" s="9">
        <v>0</v>
      </c>
      <c r="BP12" s="9">
        <v>1</v>
      </c>
      <c r="BQ12" s="36" t="s">
        <v>47</v>
      </c>
      <c r="BR12" s="9">
        <f ca="1">VLOOKUP(H12,[2]ghosts_label!$A$2:$B$19,2,FALSE)</f>
        <v>5500</v>
      </c>
    </row>
    <row r="13" spans="1:70" ht="26" customHeight="1" x14ac:dyDescent="0.15">
      <c r="A13" s="186">
        <v>1265</v>
      </c>
      <c r="B13" s="53" t="str">
        <f ca="1">VLOOKUP($A13,OFFSET([1]characters!$A$1,0,0,COUNTA([1]characters!$A:$A),MATCH(B$1,[1]characters!$1:$1,0)-MATCH($A$1,[1]characters!$1:$1,0)+1),MATCH(B$1,[1]characters!$1:$1,0)-MATCH($A$1,[1]characters!$1:$1,0)+1,FALSE)</f>
        <v>静観する世限者 ウルズ</v>
      </c>
      <c r="C13" s="53">
        <f ca="1">VLOOKUP($A13,OFFSET([1]characters!$A$1,0,0,COUNTA([1]characters!$A:$A),MATCH(C$1,[1]characters!$1:$1,0)-MATCH($A$1,[1]characters!$1:$1,0)+1),MATCH(C$1,[1]characters!$1:$1,0)-MATCH($A$1,[1]characters!$1:$1,0)+1,FALSE)</f>
        <v>0</v>
      </c>
      <c r="D13" s="53">
        <f ca="1">VLOOKUP($A13,OFFSET([1]characters!$A$1,0,0,COUNTA([1]characters!$A:$A),MATCH(D$1,[1]characters!$1:$1,0)-MATCH($A$1,[1]characters!$1:$1,0)+1),MATCH(D$1,[1]characters!$1:$1,0)-MATCH($A$1,[1]characters!$1:$1,0)+1,FALSE)</f>
        <v>0</v>
      </c>
      <c r="E13" s="53">
        <f ca="1">VLOOKUP($A13,OFFSET([1]characters!$A$1,0,0,COUNTA([1]characters!$A:$A),MATCH(E$1,[1]characters!$1:$1,0)-MATCH($A$1,[1]characters!$1:$1,0)+1),MATCH(E$1,[1]characters!$1:$1,0)-MATCH($A$1,[1]characters!$1:$1,0)+1,FALSE)</f>
        <v>0</v>
      </c>
      <c r="F13" s="53">
        <f ca="1">VLOOKUP($A13,OFFSET([1]characters!$A$1,0,0,COUNTA([1]characters!$A:$A),MATCH(F$1,[1]characters!$1:$1,0)-MATCH($A$1,[1]characters!$1:$1,0)+1),MATCH(F$1,[1]characters!$1:$1,0)-MATCH($A$1,[1]characters!$1:$1,0)+1,FALSE)</f>
        <v>0</v>
      </c>
      <c r="G13" s="53">
        <f ca="1">VLOOKUP($A13,OFFSET([1]characters!$A$1,0,0,COUNTA([1]characters!$A:$A),MATCH(G$1,[1]characters!$1:$1,0)-MATCH($A$1,[1]characters!$1:$1,0)+1),MATCH(G$1,[1]characters!$1:$1,0)-MATCH($A$1,[1]characters!$1:$1,0)+1,FALSE)</f>
        <v>6</v>
      </c>
      <c r="H13" s="53" t="str">
        <f ca="1">VLOOKUP($A13,OFFSET([1]characters!$A$1,0,0,COUNTA([1]characters!$A:$A),MATCH(H$1,[1]characters!$1:$1,0)-MATCH($A$1,[1]characters!$1:$1,0)+1),MATCH(H$1,[1]characters!$1:$1,0)-MATCH($A$1,[1]characters!$1:$1,0)+1,FALSE)</f>
        <v>PremiumSS</v>
      </c>
      <c r="I13" s="53" t="str">
        <f ca="1">VLOOKUP($A13,OFFSET([1]characters!$A$1,0,0,COUNTA([1]characters!$A:$A),MATCH(I$1,[1]characters!$1:$1,0)-MATCH($A$1,[1]characters!$1:$1,0)+1),MATCH(I$1,[1]characters!$1:$1,0)-MATCH($A$1,[1]characters!$1:$1,0)+1,FALSE)</f>
        <v>blue</v>
      </c>
      <c r="J13" s="10">
        <f ca="1">VLOOKUP(I13,[1]属性!$A:$E,2,FALSE)</f>
        <v>1</v>
      </c>
      <c r="K13" s="10">
        <f ca="1">VLOOKUP(I13,[1]属性!$A:$E,3,FALSE)</f>
        <v>0.98</v>
      </c>
      <c r="L13" s="10">
        <f ca="1">VLOOKUP(I13,[1]属性!$A:$E,4,FALSE)</f>
        <v>1</v>
      </c>
      <c r="M13" s="10">
        <f ca="1">VLOOKUP(I13,[1]属性!$A:$E,5,FALSE)</f>
        <v>1.02</v>
      </c>
      <c r="N13" s="10">
        <f ca="1">INDEX(コスト!$A$1:$I$21,MATCH(H13,コスト!$A$1:$A$21,FALSE),MATCH(G13,コスト!$A$1:$I$1,FALSE))</f>
        <v>50</v>
      </c>
      <c r="O13" s="10">
        <f ca="1">INDEX(レベル!$A$1:$I$22,MATCH(H13,レベル!$A$1:$A$22,FALSE),MATCH(G13,レベル!$A$1:$I$1,FALSE))</f>
        <v>99</v>
      </c>
      <c r="P13" s="44">
        <f t="shared" ca="1" si="10"/>
        <v>99</v>
      </c>
      <c r="Q13" s="53" t="str">
        <f ca="1">VLOOKUP($A13,OFFSET([1]characters!$A$1,0,0,COUNTA([1]characters!$A:$A),MATCH(Q$1,[1]characters!$1:$1,0)-MATCH($A$1,[1]characters!$1:$1,0)+1),MATCH(Q$1,[1]characters!$1:$1,0)-MATCH($A$1,[1]characters!$1:$1,0)+1,FALSE)</f>
        <v>heal</v>
      </c>
      <c r="R13" s="5" t="str">
        <f ca="1">VLOOKUP(Q13,[1]character_type_i18n!$A:$H,3,FALSE)</f>
        <v>回復タイプ</v>
      </c>
      <c r="S13" s="10">
        <f ca="1">VLOOKUP(Q13,[1]character_type_i18n!$A:$H,4,FALSE)</f>
        <v>0.8</v>
      </c>
      <c r="T13" s="10">
        <f ca="1">VLOOKUP(Q13,[1]character_type_i18n!$A:$H,5,FALSE)</f>
        <v>0.78</v>
      </c>
      <c r="U13" s="10">
        <f ca="1">VLOOKUP(Q13,[1]character_type_i18n!$A:$H,6,FALSE)</f>
        <v>1</v>
      </c>
      <c r="V13" s="10">
        <f ca="1">VLOOKUP(Q13,[1]character_type_i18n!$A:$H,7,FALSE)</f>
        <v>1.42</v>
      </c>
      <c r="W13" s="53" t="str">
        <f ca="1">VLOOKUP($A13,OFFSET([1]characters!$A$1,0,0,COUNTA([1]characters!$A:$A),MATCH(W$1,[1]characters!$1:$1,0)-MATCH($A$1,[1]characters!$1:$1,0)+1),MATCH(W$1,[1]characters!$1:$1,0)-MATCH($A$1,[1]characters!$1:$1,0)+1,FALSE)</f>
        <v>god</v>
      </c>
      <c r="X13" s="5" t="str">
        <f ca="1">VLOOKUP(W13,[1]character_tribe_i18n!$A:$H,3,FALSE)</f>
        <v>ゴッド</v>
      </c>
      <c r="Y13" s="53" t="str">
        <f ca="1">VLOOKUP($A13,OFFSET([1]characters!$A$1,0,0,COUNTA([1]characters!$A:$A),MATCH(Y$1,[1]characters!$1:$1,0)-MATCH($A$1,[1]characters!$1:$1,0)+1),MATCH(Y$1,[1]characters!$1:$1,0)-MATCH($A$1,[1]characters!$1:$1,0)+1,FALSE)</f>
        <v>demon</v>
      </c>
      <c r="Z13" s="5" t="str">
        <f ca="1">VLOOKUP(Y13,[1]character_tribe_i18n!$A:$H,3,FALSE)</f>
        <v>デーモン</v>
      </c>
      <c r="AA13" s="10">
        <f ca="1">VLOOKUP(W13,[1]character_tribe_i18n!$A:$H,4,FALSE)</f>
        <v>0.96</v>
      </c>
      <c r="AB13" s="10">
        <f ca="1">VLOOKUP(W13,[1]character_tribe_i18n!$A:$H,5,FALSE)</f>
        <v>1.02</v>
      </c>
      <c r="AC13" s="10">
        <f ca="1">VLOOKUP(W13,[1]character_tribe_i18n!$A:$H,6,FALSE)</f>
        <v>1</v>
      </c>
      <c r="AD13" s="10">
        <f ca="1">VLOOKUP(W13,[1]character_tribe_i18n!$A:$H,7,FALSE)</f>
        <v>1.02</v>
      </c>
      <c r="AE13" s="187" t="s">
        <v>183</v>
      </c>
      <c r="AF13" s="58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186">
        <v>1264</v>
      </c>
      <c r="AH13" s="58" t="str">
        <f ca="1">VLOOKUP($AG13,OFFSET([1]characters!$A$1,0,0,COUNTA([1]characters!$A:$A),MATCH(AH$1,[1]characters!$1:$1,0)-MATCH($A$1,[1]characters!$1:$1,0)+1),MATCH(AH$1,[1]characters!$1:$1,0)-MATCH($A$1,[1]characters!$1:$1,0)+1,FALSE)</f>
        <v>ウルズ</v>
      </c>
      <c r="AI13" s="10" t="str">
        <f>IF(AE13="NULL","NULL",VLOOKUP(G13,ビット!$A$2:$B$7,2))</f>
        <v>NULL</v>
      </c>
      <c r="AJ13" s="6">
        <v>2</v>
      </c>
      <c r="AK13" s="7" t="str">
        <f t="shared" si="11"/>
        <v>普通</v>
      </c>
      <c r="AL13" s="10" t="str">
        <f ca="1">INDEX(経験値!$A$1:$I$21,MATCH(H13,経験値!$A$1:$A$21,FALSE),MATCH(G13,経験値!$A$1:$I$1,FALSE))</f>
        <v>required_exp_250</v>
      </c>
      <c r="AM13" s="8">
        <f ca="1">VLOOKUP(G13,経験値!$A$28:$B$32,2)</f>
        <v>6400</v>
      </c>
      <c r="AN13" s="16">
        <f ca="1">VLOOKUP(G13,ビット!$G$2:$H$7,2)</f>
        <v>900</v>
      </c>
      <c r="AO13" s="41"/>
      <c r="AP13" s="186">
        <v>1265</v>
      </c>
      <c r="AQ13" s="53" t="str">
        <f ca="1">VLOOKUP($AP13,OFFSET(unit_skills!$A$1,0,0,COUNTA(unit_skills!$A:$A),MATCH(AQ$1,unit_skills!$1:$1,0)-MATCH($AP$1,unit_skills!$1:$1,0)+1),MATCH(AQ$1,unit_skills!$1:$1,0)-MATCH($AP$1,unit_skills!$1:$1,0)+1,FALSE)</f>
        <v>フォーシー・フォー・ユー</v>
      </c>
      <c r="AR13" s="53" t="str">
        <f ca="1">VLOOKUP($AP13,OFFSET(unit_skills!$A$1,0,0,COUNTA(unit_skills!$A:$A),MATCH(AR$1,unit_skills!$1:$1,0)-MATCH($AP$1,unit_skills!$1:$1,0)+1),MATCH(AR$1,unit_skills!$1:$1,0)-MATCH($AP$1,unit_skills!$1:$1,0)+1,FALSE)</f>
        <v>緑パネルをCパネルに、黄パネルを赤パネルに変換+1ターン青属性ユニットのタップ数を1増やし、敵からのダメージを25%軽減</v>
      </c>
      <c r="AS13" s="53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186">
        <v>1265</v>
      </c>
      <c r="AU13" s="53" t="str">
        <f ca="1">VLOOKUP($AT13,OFFSET(crash_skills!$A$1,0,0,COUNTA(crash_skills!$A:$A),MATCH(AU$1,crash_skills!$1:$1,0)-MATCH($AT$1,crash_skills!$1:$1,0)+1),MATCH(AU$1,crash_skills!$1:$1,0)-MATCH($AT$1,crash_skills!$1:$1,0)+1,FALSE)</f>
        <v>プロフェシープロフェッション</v>
      </c>
      <c r="AV13" s="53" t="str">
        <f ca="1">VLOOKUP($AT13,OFFSET(crash_skills!$A$1,0,0,COUNTA(crash_skills!$A:$A),MATCH(AV$1,crash_skills!$1:$1,0)-MATCH($AT$1,crash_skills!$1:$1,0)+1),MATCH(AV$1,crash_skills!$1:$1,0)-MATCH($AT$1,crash_skills!$1:$1,0)+1,FALSE)</f>
        <v>自身の回復力に比例して1体に特大ダメージ+HP回復</v>
      </c>
      <c r="AW13" s="53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4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4">
        <v>1.05</v>
      </c>
      <c r="AZ13" s="64">
        <v>0.92</v>
      </c>
      <c r="BA13" s="64">
        <v>0</v>
      </c>
      <c r="BB13" s="64">
        <v>0.96899999999999997</v>
      </c>
      <c r="BC13" s="10">
        <f ca="1">INDEX('RC6SV'!$A$1:$G$21,MATCH(H13,'RC6SV'!$A$1:$A$21,FALSE),MATCH(G13,'RC6SV'!$A$1:$G$1,FALSE))</f>
        <v>13000</v>
      </c>
      <c r="BD13" s="44">
        <f t="shared" ca="1" si="12"/>
        <v>13000</v>
      </c>
      <c r="BE13" s="10">
        <f t="shared" ca="1" si="3"/>
        <v>9500</v>
      </c>
      <c r="BF13" s="10">
        <f t="shared" ca="1" si="4"/>
        <v>1</v>
      </c>
      <c r="BG13" s="15">
        <f ca="1">IF($BE13&lt;=0,ROUND(BK13*0.5,0), ROUND($BE13*S13*AA13*J13*AY13*0.8*[1]ステータス!$B$2,0))</f>
        <v>3064</v>
      </c>
      <c r="BH13" s="15">
        <f ca="1">IF($BE13&lt;=0,ROUND(BL13*0.5,0), ROUND($BE13*T13*AB13*K13*AZ13*0.8*[1]ステータス!$C$2,0))</f>
        <v>1635</v>
      </c>
      <c r="BI13" s="15">
        <f ca="1">IF($BE13&lt;=0,ROUND(BM13*0.5,0), ROUND($BE13*U13*AC13*L13*BA13*0.8*[1]ステータス!$D$2,0))</f>
        <v>0</v>
      </c>
      <c r="BJ13" s="15">
        <f ca="1">IF($BE13&lt;=0,ROUND(BN13*0.5,0), ROUND($BE13*V13*AD13*M13*BB13*0.8*[1]ステータス!$E$2,0))</f>
        <v>2720</v>
      </c>
      <c r="BK13" s="10">
        <f ca="1">ROUND(BD13*S13*AA13*J13*AY13*[1]ステータス!$B$2,0)</f>
        <v>5242</v>
      </c>
      <c r="BL13" s="10">
        <f ca="1">ROUND(BD13*T13*AB13*K13*AZ13*[1]ステータス!$C$2,0)</f>
        <v>2798</v>
      </c>
      <c r="BM13" s="10">
        <f ca="1">ROUND(BD13*U13*AC13*L13*BA13*[1]ステータス!$D$2,0)</f>
        <v>0</v>
      </c>
      <c r="BN13" s="10">
        <f ca="1">ROUND(BD13*V13*AD13*M13*BB13*[1]ステータス!$E$2,0)</f>
        <v>4653</v>
      </c>
      <c r="BO13" s="9">
        <v>0</v>
      </c>
      <c r="BP13" s="9">
        <v>1</v>
      </c>
      <c r="BQ13" s="9" t="s">
        <v>47</v>
      </c>
      <c r="BR13" s="9">
        <f ca="1">VLOOKUP(H13,[2]ghosts_label!$A$2:$B$19,2,FALSE)</f>
        <v>5500</v>
      </c>
    </row>
  </sheetData>
  <autoFilter ref="A1:BQ1"/>
  <phoneticPr fontId="10"/>
  <conditionalFormatting sqref="BO1">
    <cfRule type="cellIs" dxfId="56" priority="120" stopIfTrue="1" operator="equal">
      <formula>1</formula>
    </cfRule>
  </conditionalFormatting>
  <conditionalFormatting sqref="BQ1">
    <cfRule type="cellIs" dxfId="55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3"/>
  <sheetViews>
    <sheetView showGridLines="0" zoomScale="115" workbookViewId="0">
      <pane xSplit="4" ySplit="1" topLeftCell="I2" activePane="bottomRight" state="frozen"/>
      <selection pane="topRight" activeCell="D1" sqref="D1"/>
      <selection pane="bottomLeft" activeCell="A2" sqref="A2"/>
      <selection pane="bottomRight" activeCell="D7" sqref="D7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1254</v>
      </c>
      <c r="B2" s="129" t="s">
        <v>186</v>
      </c>
      <c r="C2" s="188" t="s">
        <v>362</v>
      </c>
      <c r="D2" s="188" t="s">
        <v>342</v>
      </c>
      <c r="E2" s="131">
        <f t="shared" ref="E2" si="0">LEN(D2)</f>
        <v>31</v>
      </c>
      <c r="F2" s="63">
        <v>15</v>
      </c>
      <c r="G2" s="113">
        <v>7</v>
      </c>
      <c r="H2" s="132">
        <f>2001</f>
        <v>2001</v>
      </c>
      <c r="I2" s="189" t="s">
        <v>340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スリュム</v>
      </c>
      <c r="K2" s="133">
        <f>IFERROR(VLOOKUP(A2,[1]characters!$A:$R,18),0)</f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1255</v>
      </c>
      <c r="B3" s="129" t="s">
        <v>186</v>
      </c>
      <c r="C3" s="188" t="s">
        <v>363</v>
      </c>
      <c r="D3" s="188" t="s">
        <v>343</v>
      </c>
      <c r="E3" s="131">
        <f t="shared" ref="E3:E4" si="1">LEN(D3)</f>
        <v>49</v>
      </c>
      <c r="F3" s="63">
        <v>14</v>
      </c>
      <c r="G3" s="113">
        <v>7</v>
      </c>
      <c r="H3" s="132">
        <f>2001</f>
        <v>2001</v>
      </c>
      <c r="I3" s="189" t="s">
        <v>341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驕奢の神犯 スリュム</v>
      </c>
      <c r="K3" s="133">
        <f>IFERROR(VLOOKUP(A3,[1]characters!$A:$R,18),0)</f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1256</v>
      </c>
      <c r="B4" s="129" t="s">
        <v>186</v>
      </c>
      <c r="C4" s="188" t="s">
        <v>364</v>
      </c>
      <c r="D4" s="188" t="s">
        <v>431</v>
      </c>
      <c r="E4" s="131">
        <f t="shared" si="1"/>
        <v>46</v>
      </c>
      <c r="F4" s="63">
        <v>14</v>
      </c>
      <c r="G4" s="113">
        <v>7</v>
      </c>
      <c r="H4" s="132">
        <f>2001</f>
        <v>2001</v>
      </c>
      <c r="I4" s="189" t="s">
        <v>422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ヘル</v>
      </c>
      <c r="K4" s="133">
        <f>IFERROR(VLOOKUP(A4,[1]characters!$A:$R,18),0)</f>
        <v>3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1257</v>
      </c>
      <c r="B5" s="129" t="s">
        <v>186</v>
      </c>
      <c r="C5" s="188" t="s">
        <v>365</v>
      </c>
      <c r="D5" s="188" t="s">
        <v>432</v>
      </c>
      <c r="E5" s="131">
        <f t="shared" ref="E5:E10" si="2">LEN(D5)</f>
        <v>60</v>
      </c>
      <c r="F5" s="63">
        <v>13</v>
      </c>
      <c r="G5" s="113">
        <v>7</v>
      </c>
      <c r="H5" s="132">
        <f>2001</f>
        <v>2001</v>
      </c>
      <c r="I5" s="189" t="s">
        <v>423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危能の幼魔神 ヘル</v>
      </c>
      <c r="K5" s="133">
        <f>IFERROR(VLOOKUP(A5,[1]characters!$A:$R,18),0)</f>
        <v>3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1258</v>
      </c>
      <c r="B6" s="129" t="s">
        <v>186</v>
      </c>
      <c r="C6" s="188" t="s">
        <v>366</v>
      </c>
      <c r="D6" s="188" t="s">
        <v>445</v>
      </c>
      <c r="E6" s="131">
        <f t="shared" si="2"/>
        <v>53</v>
      </c>
      <c r="F6" s="63">
        <v>24</v>
      </c>
      <c r="G6" s="113">
        <v>16</v>
      </c>
      <c r="H6" s="132">
        <f>2001</f>
        <v>2001</v>
      </c>
      <c r="I6" s="189" t="s">
        <v>426</v>
      </c>
      <c r="J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ロキ</v>
      </c>
      <c r="K6" s="133">
        <f>IFERROR(VLOOKUP(A6,[1]characters!$A:$R,18),0)</f>
        <v>3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1259</v>
      </c>
      <c r="B7" s="129" t="s">
        <v>186</v>
      </c>
      <c r="C7" s="188" t="s">
        <v>367</v>
      </c>
      <c r="D7" s="188" t="s">
        <v>446</v>
      </c>
      <c r="E7" s="131">
        <f t="shared" si="2"/>
        <v>58</v>
      </c>
      <c r="F7" s="63">
        <v>23</v>
      </c>
      <c r="G7" s="113">
        <v>16</v>
      </c>
      <c r="H7" s="132">
        <f>2001</f>
        <v>2001</v>
      </c>
      <c r="I7" s="189" t="s">
        <v>427</v>
      </c>
      <c r="J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崩世を叫ぶ悪戯 ロキ</v>
      </c>
      <c r="K7" s="133">
        <f>IFERROR(VLOOKUP(A7,[1]characters!$A:$R,18),0)</f>
        <v>3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6">
        <v>1260</v>
      </c>
      <c r="B8" s="129" t="s">
        <v>186</v>
      </c>
      <c r="C8" s="188" t="s">
        <v>368</v>
      </c>
      <c r="D8" s="188" t="s">
        <v>443</v>
      </c>
      <c r="E8" s="131">
        <f t="shared" si="2"/>
        <v>35</v>
      </c>
      <c r="F8" s="63">
        <v>12</v>
      </c>
      <c r="G8" s="113">
        <v>5</v>
      </c>
      <c r="H8" s="132">
        <f>2001</f>
        <v>2001</v>
      </c>
      <c r="I8" s="189" t="s">
        <v>438</v>
      </c>
      <c r="J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トール</v>
      </c>
      <c r="K8" s="133">
        <f>IFERROR(VLOOKUP(A8,[1]characters!$A:$R,18),0)</f>
        <v>3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6">
        <v>1261</v>
      </c>
      <c r="B9" s="129" t="s">
        <v>186</v>
      </c>
      <c r="C9" s="188" t="s">
        <v>369</v>
      </c>
      <c r="D9" s="188" t="s">
        <v>444</v>
      </c>
      <c r="E9" s="131">
        <f t="shared" si="2"/>
        <v>52</v>
      </c>
      <c r="F9" s="63">
        <v>11</v>
      </c>
      <c r="G9" s="113">
        <v>5</v>
      </c>
      <c r="H9" s="132">
        <f>2001</f>
        <v>2001</v>
      </c>
      <c r="I9" s="189" t="s">
        <v>439</v>
      </c>
      <c r="J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燃雷の鎚撃 トール</v>
      </c>
      <c r="K9" s="133">
        <f>IFERROR(VLOOKUP(A9,[1]characters!$A:$R,18),0)</f>
        <v>3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6">
        <v>1262</v>
      </c>
      <c r="B10" s="129" t="s">
        <v>186</v>
      </c>
      <c r="C10" s="188" t="s">
        <v>370</v>
      </c>
      <c r="D10" s="188" t="s">
        <v>352</v>
      </c>
      <c r="E10" s="131">
        <f t="shared" si="2"/>
        <v>38</v>
      </c>
      <c r="F10" s="63">
        <v>12</v>
      </c>
      <c r="G10" s="113">
        <v>5</v>
      </c>
      <c r="H10" s="132">
        <f>2001</f>
        <v>2001</v>
      </c>
      <c r="I10" s="189" t="s">
        <v>354</v>
      </c>
      <c r="J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イズン</v>
      </c>
      <c r="K10" s="133">
        <f>IFERROR(VLOOKUP(A10,[1]characters!$A:$R,18),0)</f>
        <v>3</v>
      </c>
      <c r="L10" s="134"/>
      <c r="M10" s="135"/>
      <c r="N10" s="135"/>
      <c r="O10" s="135"/>
      <c r="P10" s="135"/>
      <c r="Q10" s="135"/>
      <c r="R10" s="130"/>
      <c r="S10" s="136"/>
    </row>
    <row r="11" spans="1:19" ht="21" customHeight="1" x14ac:dyDescent="0.15">
      <c r="A11" s="186">
        <v>1263</v>
      </c>
      <c r="B11" s="129" t="s">
        <v>186</v>
      </c>
      <c r="C11" s="188" t="s">
        <v>371</v>
      </c>
      <c r="D11" s="188" t="s">
        <v>353</v>
      </c>
      <c r="E11" s="131">
        <f t="shared" ref="E11:E13" si="3">LEN(D11)</f>
        <v>57</v>
      </c>
      <c r="F11" s="63">
        <v>11</v>
      </c>
      <c r="G11" s="113">
        <v>5</v>
      </c>
      <c r="H11" s="132">
        <f>2001</f>
        <v>2001</v>
      </c>
      <c r="I11" s="189" t="s">
        <v>355</v>
      </c>
      <c r="J11" s="53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純朴なる檻理人 イズン</v>
      </c>
      <c r="K11" s="133">
        <f>IFERROR(VLOOKUP(A11,[1]characters!$A:$R,18),0)</f>
        <v>3</v>
      </c>
      <c r="L11" s="134"/>
      <c r="M11" s="135"/>
      <c r="N11" s="135"/>
      <c r="O11" s="135"/>
      <c r="P11" s="135"/>
      <c r="Q11" s="135"/>
      <c r="R11" s="130"/>
      <c r="S11" s="136"/>
    </row>
    <row r="12" spans="1:19" ht="21" customHeight="1" x14ac:dyDescent="0.15">
      <c r="A12" s="186">
        <v>1264</v>
      </c>
      <c r="B12" s="129" t="s">
        <v>186</v>
      </c>
      <c r="C12" s="188" t="s">
        <v>372</v>
      </c>
      <c r="D12" s="188" t="s">
        <v>435</v>
      </c>
      <c r="E12" s="131">
        <f t="shared" si="3"/>
        <v>45</v>
      </c>
      <c r="F12" s="63">
        <v>12</v>
      </c>
      <c r="G12" s="113">
        <v>5</v>
      </c>
      <c r="H12" s="132">
        <f>2001</f>
        <v>2001</v>
      </c>
      <c r="I12" s="189" t="s">
        <v>428</v>
      </c>
      <c r="J12" s="53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ウルズ</v>
      </c>
      <c r="K12" s="133">
        <f>IFERROR(VLOOKUP(A12,[1]characters!$A:$R,18),0)</f>
        <v>3</v>
      </c>
      <c r="L12" s="134"/>
      <c r="M12" s="135"/>
      <c r="N12" s="135"/>
      <c r="O12" s="135"/>
      <c r="P12" s="135"/>
      <c r="Q12" s="135"/>
      <c r="R12" s="130"/>
      <c r="S12" s="136"/>
    </row>
    <row r="13" spans="1:19" ht="21" customHeight="1" x14ac:dyDescent="0.15">
      <c r="A13" s="186">
        <v>1265</v>
      </c>
      <c r="B13" s="129" t="s">
        <v>186</v>
      </c>
      <c r="C13" s="188" t="s">
        <v>373</v>
      </c>
      <c r="D13" s="188" t="s">
        <v>436</v>
      </c>
      <c r="E13" s="131">
        <f t="shared" si="3"/>
        <v>60</v>
      </c>
      <c r="F13" s="63">
        <v>11</v>
      </c>
      <c r="G13" s="113">
        <v>5</v>
      </c>
      <c r="H13" s="132">
        <f>2001</f>
        <v>2001</v>
      </c>
      <c r="I13" s="189" t="s">
        <v>437</v>
      </c>
      <c r="J13" s="53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静観する世限者 ウルズ</v>
      </c>
      <c r="K13" s="133">
        <f>IFERROR(VLOOKUP(A13,[1]characters!$A:$R,18),0)</f>
        <v>3</v>
      </c>
      <c r="L13" s="134"/>
      <c r="M13" s="135"/>
      <c r="N13" s="135"/>
      <c r="O13" s="135"/>
      <c r="P13" s="135"/>
      <c r="Q13" s="135"/>
      <c r="R13" s="130"/>
      <c r="S1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4:E1048576">
    <cfRule type="cellIs" dxfId="54" priority="34" operator="greaterThan">
      <formula>41</formula>
    </cfRule>
  </conditionalFormatting>
  <conditionalFormatting sqref="E2">
    <cfRule type="cellIs" dxfId="53" priority="28" operator="greaterThan">
      <formula>41</formula>
    </cfRule>
  </conditionalFormatting>
  <conditionalFormatting sqref="E3">
    <cfRule type="cellIs" dxfId="52" priority="27" operator="greaterThan">
      <formula>41</formula>
    </cfRule>
  </conditionalFormatting>
  <conditionalFormatting sqref="E4">
    <cfRule type="cellIs" dxfId="51" priority="10" operator="greaterThan">
      <formula>41</formula>
    </cfRule>
  </conditionalFormatting>
  <conditionalFormatting sqref="E5">
    <cfRule type="cellIs" dxfId="50" priority="9" operator="greaterThan">
      <formula>41</formula>
    </cfRule>
  </conditionalFormatting>
  <conditionalFormatting sqref="E6">
    <cfRule type="cellIs" dxfId="49" priority="8" operator="greaterThan">
      <formula>41</formula>
    </cfRule>
  </conditionalFormatting>
  <conditionalFormatting sqref="E7">
    <cfRule type="cellIs" dxfId="48" priority="7" operator="greaterThan">
      <formula>41</formula>
    </cfRule>
  </conditionalFormatting>
  <conditionalFormatting sqref="E8">
    <cfRule type="cellIs" dxfId="47" priority="6" operator="greaterThan">
      <formula>41</formula>
    </cfRule>
  </conditionalFormatting>
  <conditionalFormatting sqref="E9">
    <cfRule type="cellIs" dxfId="46" priority="5" operator="greaterThan">
      <formula>41</formula>
    </cfRule>
  </conditionalFormatting>
  <conditionalFormatting sqref="E10">
    <cfRule type="cellIs" dxfId="45" priority="4" operator="greaterThan">
      <formula>41</formula>
    </cfRule>
  </conditionalFormatting>
  <conditionalFormatting sqref="E11">
    <cfRule type="cellIs" dxfId="44" priority="3" operator="greaterThan">
      <formula>41</formula>
    </cfRule>
  </conditionalFormatting>
  <conditionalFormatting sqref="E12">
    <cfRule type="cellIs" dxfId="43" priority="2" operator="greaterThan">
      <formula>41</formula>
    </cfRule>
  </conditionalFormatting>
  <conditionalFormatting sqref="E13">
    <cfRule type="cellIs" dxfId="42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12" sqref="D12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1254</v>
      </c>
      <c r="B2" s="129" t="s">
        <v>187</v>
      </c>
      <c r="C2" s="188" t="s">
        <v>374</v>
      </c>
      <c r="D2" s="188" t="s">
        <v>346</v>
      </c>
      <c r="E2" s="131">
        <f t="shared" ref="E2" si="0">LEN(D2)</f>
        <v>8</v>
      </c>
      <c r="F2" s="190" t="s">
        <v>344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スリュム</v>
      </c>
      <c r="H2" s="132">
        <f>IFERROR(VLOOKUP(A2,[1]characters!$A:$R,18),0)</f>
        <v>1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1255</v>
      </c>
      <c r="B3" s="129" t="s">
        <v>187</v>
      </c>
      <c r="C3" s="188" t="s">
        <v>375</v>
      </c>
      <c r="D3" s="188" t="s">
        <v>347</v>
      </c>
      <c r="E3" s="131">
        <f t="shared" ref="E3:E4" si="1">LEN(D3)</f>
        <v>9</v>
      </c>
      <c r="F3" s="190" t="s">
        <v>345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驕奢の神犯 スリュム</v>
      </c>
      <c r="H3" s="132">
        <f>IFERROR(VLOOKUP(A3,[1]characters!$A:$R,18),0)</f>
        <v>1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1256</v>
      </c>
      <c r="B4" s="129" t="s">
        <v>187</v>
      </c>
      <c r="C4" s="188" t="s">
        <v>376</v>
      </c>
      <c r="D4" s="188" t="s">
        <v>448</v>
      </c>
      <c r="E4" s="131">
        <f t="shared" si="1"/>
        <v>20</v>
      </c>
      <c r="F4" s="190" t="s">
        <v>424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ヘル</v>
      </c>
      <c r="H4" s="132">
        <f>IFERROR(VLOOKUP(A4,[1]characters!$A:$R,18),0)</f>
        <v>3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1257</v>
      </c>
      <c r="B5" s="129" t="s">
        <v>187</v>
      </c>
      <c r="C5" s="188" t="s">
        <v>377</v>
      </c>
      <c r="D5" s="188" t="s">
        <v>449</v>
      </c>
      <c r="E5" s="131">
        <f t="shared" ref="E5:E10" si="2">LEN(D5)</f>
        <v>21</v>
      </c>
      <c r="F5" s="190" t="s">
        <v>425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危能の幼魔神 ヘル</v>
      </c>
      <c r="H5" s="132">
        <f>IFERROR(VLOOKUP(A5,[1]characters!$A:$R,18),0)</f>
        <v>3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1258</v>
      </c>
      <c r="B6" s="129" t="s">
        <v>187</v>
      </c>
      <c r="C6" s="188" t="s">
        <v>378</v>
      </c>
      <c r="D6" s="188" t="s">
        <v>441</v>
      </c>
      <c r="E6" s="131">
        <f t="shared" si="2"/>
        <v>23</v>
      </c>
      <c r="F6" s="190" t="s">
        <v>433</v>
      </c>
      <c r="G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ロキ</v>
      </c>
      <c r="H6" s="132">
        <f>IFERROR(VLOOKUP(A6,[1]characters!$A:$R,18),0)</f>
        <v>3</v>
      </c>
      <c r="I6" s="132"/>
      <c r="J6" s="137"/>
      <c r="K6" s="133"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1259</v>
      </c>
      <c r="B7" s="129" t="s">
        <v>187</v>
      </c>
      <c r="C7" s="188" t="s">
        <v>379</v>
      </c>
      <c r="D7" s="188" t="s">
        <v>442</v>
      </c>
      <c r="E7" s="131">
        <f t="shared" si="2"/>
        <v>24</v>
      </c>
      <c r="F7" s="190" t="s">
        <v>434</v>
      </c>
      <c r="G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崩世を叫ぶ悪戯 ロキ</v>
      </c>
      <c r="H7" s="132">
        <f>IFERROR(VLOOKUP(A7,[1]characters!$A:$R,18),0)</f>
        <v>3</v>
      </c>
      <c r="I7" s="132"/>
      <c r="J7" s="137"/>
      <c r="K7" s="133">
        <v>1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6">
        <v>1260</v>
      </c>
      <c r="B8" s="129" t="s">
        <v>187</v>
      </c>
      <c r="C8" s="188" t="s">
        <v>380</v>
      </c>
      <c r="D8" s="188" t="s">
        <v>358</v>
      </c>
      <c r="E8" s="131">
        <f t="shared" si="2"/>
        <v>8</v>
      </c>
      <c r="F8" s="190" t="s">
        <v>356</v>
      </c>
      <c r="G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トール</v>
      </c>
      <c r="H8" s="132">
        <f>IFERROR(VLOOKUP(A8,[1]characters!$A:$R,18),0)</f>
        <v>3</v>
      </c>
      <c r="I8" s="132"/>
      <c r="J8" s="137"/>
      <c r="K8" s="133">
        <v>1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6">
        <v>1261</v>
      </c>
      <c r="B9" s="129" t="s">
        <v>187</v>
      </c>
      <c r="C9" s="188" t="s">
        <v>381</v>
      </c>
      <c r="D9" s="188" t="s">
        <v>347</v>
      </c>
      <c r="E9" s="131">
        <f t="shared" si="2"/>
        <v>9</v>
      </c>
      <c r="F9" s="190" t="s">
        <v>357</v>
      </c>
      <c r="G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燃雷の鎚撃 トール</v>
      </c>
      <c r="H9" s="132">
        <f>IFERROR(VLOOKUP(A9,[1]characters!$A:$R,18),0)</f>
        <v>3</v>
      </c>
      <c r="I9" s="132"/>
      <c r="J9" s="137"/>
      <c r="K9" s="133">
        <v>1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6">
        <v>1262</v>
      </c>
      <c r="B10" s="129" t="s">
        <v>187</v>
      </c>
      <c r="C10" s="188" t="s">
        <v>382</v>
      </c>
      <c r="D10" s="188" t="s">
        <v>451</v>
      </c>
      <c r="E10" s="131">
        <f t="shared" si="2"/>
        <v>19</v>
      </c>
      <c r="F10" s="190" t="s">
        <v>360</v>
      </c>
      <c r="G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イズン</v>
      </c>
      <c r="H10" s="132">
        <f>IFERROR(VLOOKUP(A10,[1]characters!$A:$R,18),0)</f>
        <v>3</v>
      </c>
      <c r="I10" s="132"/>
      <c r="J10" s="137"/>
      <c r="K10" s="133">
        <v>1</v>
      </c>
      <c r="L10" s="134"/>
      <c r="M10" s="135"/>
      <c r="N10" s="135"/>
      <c r="O10" s="135"/>
      <c r="P10" s="135"/>
      <c r="Q10" s="135"/>
      <c r="R10" s="130"/>
      <c r="S10" s="136"/>
    </row>
    <row r="11" spans="1:19" ht="21" customHeight="1" x14ac:dyDescent="0.15">
      <c r="A11" s="186">
        <v>1263</v>
      </c>
      <c r="B11" s="129" t="s">
        <v>187</v>
      </c>
      <c r="C11" s="188" t="s">
        <v>383</v>
      </c>
      <c r="D11" s="188" t="s">
        <v>452</v>
      </c>
      <c r="E11" s="131">
        <f t="shared" ref="E11:E13" si="3">LEN(D11)</f>
        <v>20</v>
      </c>
      <c r="F11" s="190" t="s">
        <v>361</v>
      </c>
      <c r="G11" s="53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純朴なる檻理人 イズン</v>
      </c>
      <c r="H11" s="132">
        <f>IFERROR(VLOOKUP(A11,[1]characters!$A:$R,18),0)</f>
        <v>3</v>
      </c>
      <c r="I11" s="132"/>
      <c r="J11" s="137"/>
      <c r="K11" s="133">
        <v>1</v>
      </c>
      <c r="L11" s="134"/>
      <c r="M11" s="135"/>
      <c r="N11" s="135"/>
      <c r="O11" s="135"/>
      <c r="P11" s="135"/>
      <c r="Q11" s="135"/>
      <c r="R11" s="130"/>
      <c r="S11" s="136"/>
    </row>
    <row r="12" spans="1:19" ht="21" customHeight="1" x14ac:dyDescent="0.15">
      <c r="A12" s="186">
        <v>1264</v>
      </c>
      <c r="B12" s="129" t="s">
        <v>187</v>
      </c>
      <c r="C12" s="188" t="s">
        <v>450</v>
      </c>
      <c r="D12" s="188" t="s">
        <v>453</v>
      </c>
      <c r="E12" s="131">
        <f t="shared" si="3"/>
        <v>24</v>
      </c>
      <c r="F12" s="190" t="s">
        <v>348</v>
      </c>
      <c r="G12" s="53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ウルズ</v>
      </c>
      <c r="H12" s="132">
        <f>IFERROR(VLOOKUP(A12,[1]characters!$A:$R,18),0)</f>
        <v>3</v>
      </c>
      <c r="I12" s="132"/>
      <c r="J12" s="137"/>
      <c r="K12" s="133">
        <v>1</v>
      </c>
      <c r="L12" s="134"/>
      <c r="M12" s="135"/>
      <c r="N12" s="135"/>
      <c r="O12" s="135"/>
      <c r="P12" s="135"/>
      <c r="Q12" s="135"/>
      <c r="R12" s="130"/>
      <c r="S12" s="136"/>
    </row>
    <row r="13" spans="1:19" ht="21" customHeight="1" x14ac:dyDescent="0.15">
      <c r="A13" s="186">
        <v>1265</v>
      </c>
      <c r="B13" s="129" t="s">
        <v>187</v>
      </c>
      <c r="C13" s="188" t="s">
        <v>384</v>
      </c>
      <c r="D13" s="188" t="s">
        <v>430</v>
      </c>
      <c r="E13" s="131">
        <f t="shared" si="3"/>
        <v>25</v>
      </c>
      <c r="F13" s="190" t="s">
        <v>429</v>
      </c>
      <c r="G13" s="53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静観する世限者 ウルズ</v>
      </c>
      <c r="H13" s="132">
        <f>IFERROR(VLOOKUP(A13,[1]characters!$A:$R,18),0)</f>
        <v>3</v>
      </c>
      <c r="I13" s="132"/>
      <c r="J13" s="137"/>
      <c r="K13" s="133">
        <v>1</v>
      </c>
      <c r="L13" s="134"/>
      <c r="M13" s="135"/>
      <c r="N13" s="135"/>
      <c r="O13" s="135"/>
      <c r="P13" s="135"/>
      <c r="Q13" s="135"/>
      <c r="R13" s="130"/>
      <c r="S13" s="136"/>
    </row>
  </sheetData>
  <sheetProtection selectLockedCells="1" selectUnlockedCells="1"/>
  <autoFilter ref="A1:J1"/>
  <phoneticPr fontId="22"/>
  <conditionalFormatting sqref="E2">
    <cfRule type="cellIs" dxfId="41" priority="28" operator="greaterThan">
      <formula>41</formula>
    </cfRule>
  </conditionalFormatting>
  <conditionalFormatting sqref="E3">
    <cfRule type="cellIs" dxfId="40" priority="27" operator="greaterThan">
      <formula>41</formula>
    </cfRule>
  </conditionalFormatting>
  <conditionalFormatting sqref="E4">
    <cfRule type="cellIs" dxfId="39" priority="10" operator="greaterThan">
      <formula>41</formula>
    </cfRule>
  </conditionalFormatting>
  <conditionalFormatting sqref="E5">
    <cfRule type="cellIs" dxfId="38" priority="9" operator="greaterThan">
      <formula>41</formula>
    </cfRule>
  </conditionalFormatting>
  <conditionalFormatting sqref="E6">
    <cfRule type="cellIs" dxfId="37" priority="8" operator="greaterThan">
      <formula>41</formula>
    </cfRule>
  </conditionalFormatting>
  <conditionalFormatting sqref="E7">
    <cfRule type="cellIs" dxfId="36" priority="7" operator="greaterThan">
      <formula>41</formula>
    </cfRule>
  </conditionalFormatting>
  <conditionalFormatting sqref="E8">
    <cfRule type="cellIs" dxfId="35" priority="6" operator="greaterThan">
      <formula>41</formula>
    </cfRule>
  </conditionalFormatting>
  <conditionalFormatting sqref="E9">
    <cfRule type="cellIs" dxfId="34" priority="5" operator="greaterThan">
      <formula>41</formula>
    </cfRule>
  </conditionalFormatting>
  <conditionalFormatting sqref="E10">
    <cfRule type="cellIs" dxfId="33" priority="4" operator="greaterThan">
      <formula>41</formula>
    </cfRule>
  </conditionalFormatting>
  <conditionalFormatting sqref="E11">
    <cfRule type="cellIs" dxfId="32" priority="3" operator="greaterThan">
      <formula>41</formula>
    </cfRule>
  </conditionalFormatting>
  <conditionalFormatting sqref="E12">
    <cfRule type="cellIs" dxfId="31" priority="2" operator="greaterThan">
      <formula>41</formula>
    </cfRule>
  </conditionalFormatting>
  <conditionalFormatting sqref="E13">
    <cfRule type="cellIs" dxfId="30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55"/>
  <sheetViews>
    <sheetView topLeftCell="A34" zoomScale="110" workbookViewId="0">
      <selection activeCell="A47" sqref="A47:XFD47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>
        <v>1254</v>
      </c>
      <c r="B2" s="138" t="str">
        <f>VLOOKUP(A2,[1]characters!$A:$C,3,FALSE)</f>
        <v>スリュム</v>
      </c>
      <c r="C2" s="105" t="s">
        <v>196</v>
      </c>
      <c r="D2" s="138" t="str">
        <f t="shared" ref="D2" si="0">A2&amp;C2</f>
        <v>1254skill</v>
      </c>
      <c r="E2" s="138" t="str">
        <f>A2&amp;+(COUNTIF(A2:A$100,A2)-1)</f>
        <v>12543</v>
      </c>
      <c r="F2" s="105" t="s">
        <v>198</v>
      </c>
      <c r="G2" s="162" t="s">
        <v>385</v>
      </c>
      <c r="H2" s="162" t="s">
        <v>386</v>
      </c>
    </row>
    <row r="3" spans="1:8" x14ac:dyDescent="0.15">
      <c r="A3" s="105">
        <v>1254</v>
      </c>
      <c r="B3" s="138" t="str">
        <f>VLOOKUP(A3,[1]characters!$A:$C,3,FALSE)</f>
        <v>スリュム</v>
      </c>
      <c r="C3" s="105" t="s">
        <v>199</v>
      </c>
      <c r="D3" s="138" t="str">
        <f>A3&amp;C3</f>
        <v>1254cskill</v>
      </c>
      <c r="E3" s="138" t="str">
        <f>A3&amp;+(COUNTIF(A3:A$100,A3)-1)</f>
        <v>12542</v>
      </c>
      <c r="F3" s="105" t="s">
        <v>187</v>
      </c>
      <c r="G3" s="162" t="s">
        <v>385</v>
      </c>
      <c r="H3" s="162" t="s">
        <v>388</v>
      </c>
    </row>
    <row r="4" spans="1:8" x14ac:dyDescent="0.15">
      <c r="A4" s="105">
        <v>1254</v>
      </c>
      <c r="B4" s="138" t="str">
        <f>VLOOKUP(A4,[1]characters!$A:$C,3,FALSE)</f>
        <v>スリュム</v>
      </c>
      <c r="C4" s="105" t="s">
        <v>199</v>
      </c>
      <c r="D4" s="138" t="str">
        <f>A4&amp;C4</f>
        <v>1254cskill</v>
      </c>
      <c r="E4" s="138" t="str">
        <f>A4&amp;+(COUNTIF(A4:A$100,A4)-1)</f>
        <v>12541</v>
      </c>
      <c r="F4" s="105" t="s">
        <v>187</v>
      </c>
      <c r="G4" s="162" t="s">
        <v>385</v>
      </c>
      <c r="H4" s="162" t="s">
        <v>389</v>
      </c>
    </row>
    <row r="5" spans="1:8" x14ac:dyDescent="0.15">
      <c r="A5" s="105">
        <v>1254</v>
      </c>
      <c r="B5" s="138" t="str">
        <f>VLOOKUP(A5,[1]characters!$A:$C,3,FALSE)</f>
        <v>スリュム</v>
      </c>
      <c r="C5" s="105" t="s">
        <v>199</v>
      </c>
      <c r="D5" s="138" t="str">
        <f>A5&amp;C5</f>
        <v>1254cskill</v>
      </c>
      <c r="E5" s="138" t="str">
        <f>A5&amp;+(COUNTIF(A5:A$100,A5)-1)</f>
        <v>12540</v>
      </c>
      <c r="F5" s="105" t="s">
        <v>198</v>
      </c>
      <c r="G5" s="162" t="s">
        <v>385</v>
      </c>
      <c r="H5" s="162" t="s">
        <v>390</v>
      </c>
    </row>
    <row r="6" spans="1:8" x14ac:dyDescent="0.15">
      <c r="A6" s="105">
        <v>1255</v>
      </c>
      <c r="B6" s="138" t="str">
        <f>VLOOKUP(A6,[1]characters!$A:$C,3,FALSE)</f>
        <v>驕奢の神犯 スリュム</v>
      </c>
      <c r="C6" s="105" t="s">
        <v>196</v>
      </c>
      <c r="D6" s="138" t="str">
        <f t="shared" ref="D6" si="1">A6&amp;C6</f>
        <v>1255skill</v>
      </c>
      <c r="E6" s="138" t="str">
        <f>A6&amp;+(COUNTIF(A6:A$100,A6)-1)</f>
        <v>12554</v>
      </c>
      <c r="F6" s="105" t="s">
        <v>187</v>
      </c>
      <c r="G6" s="162" t="s">
        <v>385</v>
      </c>
      <c r="H6" s="162" t="s">
        <v>387</v>
      </c>
    </row>
    <row r="7" spans="1:8" x14ac:dyDescent="0.15">
      <c r="A7" s="105">
        <v>1255</v>
      </c>
      <c r="B7" s="138" t="str">
        <f>VLOOKUP(A7,[1]characters!$A:$C,3,FALSE)</f>
        <v>驕奢の神犯 スリュム</v>
      </c>
      <c r="C7" s="105" t="s">
        <v>199</v>
      </c>
      <c r="D7" s="138" t="str">
        <f>A7&amp;C7</f>
        <v>1255cskill</v>
      </c>
      <c r="E7" s="138" t="str">
        <f>A7&amp;+(COUNTIF(A7:A$100,A7)-1)</f>
        <v>12553</v>
      </c>
      <c r="F7" s="105" t="s">
        <v>187</v>
      </c>
      <c r="G7" s="162" t="s">
        <v>385</v>
      </c>
      <c r="H7" s="162" t="s">
        <v>388</v>
      </c>
    </row>
    <row r="8" spans="1:8" x14ac:dyDescent="0.15">
      <c r="A8" s="105">
        <v>1255</v>
      </c>
      <c r="B8" s="138" t="str">
        <f>VLOOKUP(A8,[1]characters!$A:$C,3,FALSE)</f>
        <v>驕奢の神犯 スリュム</v>
      </c>
      <c r="C8" s="105" t="s">
        <v>199</v>
      </c>
      <c r="D8" s="138" t="str">
        <f>A8&amp;C8</f>
        <v>1255cskill</v>
      </c>
      <c r="E8" s="138" t="str">
        <f>A8&amp;+(COUNTIF(A8:A$100,A8)-1)</f>
        <v>12552</v>
      </c>
      <c r="F8" s="105" t="s">
        <v>187</v>
      </c>
      <c r="G8" s="162" t="s">
        <v>385</v>
      </c>
      <c r="H8" s="162" t="s">
        <v>389</v>
      </c>
    </row>
    <row r="9" spans="1:8" x14ac:dyDescent="0.15">
      <c r="A9" s="105">
        <v>1255</v>
      </c>
      <c r="B9" s="138" t="str">
        <f>VLOOKUP(A9,[1]characters!$A:$C,3,FALSE)</f>
        <v>驕奢の神犯 スリュム</v>
      </c>
      <c r="C9" s="105" t="s">
        <v>199</v>
      </c>
      <c r="D9" s="138" t="str">
        <f>A9&amp;C9</f>
        <v>1255cskill</v>
      </c>
      <c r="E9" s="138" t="str">
        <f>A9&amp;+(COUNTIF(A9:A$100,A9)-1)</f>
        <v>12551</v>
      </c>
      <c r="F9" s="105" t="s">
        <v>187</v>
      </c>
      <c r="G9" s="162" t="s">
        <v>385</v>
      </c>
      <c r="H9" s="162" t="s">
        <v>390</v>
      </c>
    </row>
    <row r="10" spans="1:8" x14ac:dyDescent="0.15">
      <c r="A10" s="105">
        <v>1255</v>
      </c>
      <c r="B10" s="138" t="str">
        <f>VLOOKUP(A10,[1]characters!$A:$C,3,FALSE)</f>
        <v>驕奢の神犯 スリュム</v>
      </c>
      <c r="C10" s="105" t="s">
        <v>199</v>
      </c>
      <c r="D10" s="138" t="str">
        <f>A10&amp;C10</f>
        <v>1255cskill</v>
      </c>
      <c r="E10" s="138" t="str">
        <f>A10&amp;+(COUNTIF(A10:A$100,A10)-1)</f>
        <v>12550</v>
      </c>
      <c r="F10" s="105" t="s">
        <v>187</v>
      </c>
      <c r="G10" s="162" t="s">
        <v>385</v>
      </c>
      <c r="H10" s="162" t="s">
        <v>391</v>
      </c>
    </row>
    <row r="11" spans="1:8" x14ac:dyDescent="0.15">
      <c r="A11" s="105">
        <v>1256</v>
      </c>
      <c r="B11" s="138" t="str">
        <f>VLOOKUP(A11,[1]characters!$A:$C,3,FALSE)</f>
        <v>ヘル</v>
      </c>
      <c r="C11" s="105" t="s">
        <v>196</v>
      </c>
      <c r="D11" s="138" t="str">
        <f t="shared" ref="D11" si="2">A11&amp;C11</f>
        <v>1256skill</v>
      </c>
      <c r="E11" s="138" t="str">
        <f>A11&amp;+(COUNTIF(A11:A$100,A11)-1)</f>
        <v>12563</v>
      </c>
      <c r="F11" s="105" t="s">
        <v>198</v>
      </c>
      <c r="G11" s="162" t="s">
        <v>197</v>
      </c>
      <c r="H11" s="162" t="s">
        <v>392</v>
      </c>
    </row>
    <row r="12" spans="1:8" x14ac:dyDescent="0.15">
      <c r="A12" s="105">
        <v>1256</v>
      </c>
      <c r="B12" s="138" t="str">
        <f>VLOOKUP(A12,[1]characters!$A:$C,3,FALSE)</f>
        <v>ヘル</v>
      </c>
      <c r="C12" s="105" t="s">
        <v>199</v>
      </c>
      <c r="D12" s="138" t="str">
        <f>A12&amp;C12</f>
        <v>1256cskill</v>
      </c>
      <c r="E12" s="138" t="str">
        <f>A12&amp;+(COUNTIF(A12:A$100,A12)-1)</f>
        <v>12562</v>
      </c>
      <c r="F12" s="105" t="s">
        <v>187</v>
      </c>
      <c r="G12" s="162" t="s">
        <v>197</v>
      </c>
      <c r="H12" s="162" t="s">
        <v>393</v>
      </c>
    </row>
    <row r="13" spans="1:8" x14ac:dyDescent="0.15">
      <c r="A13" s="105">
        <v>1256</v>
      </c>
      <c r="B13" s="138" t="str">
        <f>VLOOKUP(A13,[1]characters!$A:$C,3,FALSE)</f>
        <v>ヘル</v>
      </c>
      <c r="C13" s="105" t="s">
        <v>199</v>
      </c>
      <c r="D13" s="138" t="str">
        <f>A13&amp;C13</f>
        <v>1256cskill</v>
      </c>
      <c r="E13" s="138" t="str">
        <f>A13&amp;+(COUNTIF(A13:A$100,A13)-1)</f>
        <v>12561</v>
      </c>
      <c r="F13" s="105" t="s">
        <v>187</v>
      </c>
      <c r="G13" s="162" t="s">
        <v>385</v>
      </c>
      <c r="H13" s="162" t="s">
        <v>440</v>
      </c>
    </row>
    <row r="14" spans="1:8" x14ac:dyDescent="0.15">
      <c r="A14" s="105">
        <v>1256</v>
      </c>
      <c r="B14" s="138" t="str">
        <f>VLOOKUP(A14,[1]characters!$A:$C,3,FALSE)</f>
        <v>ヘル</v>
      </c>
      <c r="C14" s="105" t="s">
        <v>199</v>
      </c>
      <c r="D14" s="138" t="str">
        <f>A14&amp;C14</f>
        <v>1256cskill</v>
      </c>
      <c r="E14" s="138" t="str">
        <f>A14&amp;+(COUNTIF(A14:A$100,A14)-1)</f>
        <v>12560</v>
      </c>
      <c r="F14" s="105" t="s">
        <v>198</v>
      </c>
      <c r="G14" s="162" t="s">
        <v>197</v>
      </c>
      <c r="H14" s="162" t="s">
        <v>395</v>
      </c>
    </row>
    <row r="15" spans="1:8" x14ac:dyDescent="0.15">
      <c r="A15" s="105">
        <v>1257</v>
      </c>
      <c r="B15" s="138" t="str">
        <f>VLOOKUP(A15,[1]characters!$A:$C,3,FALSE)</f>
        <v>危能の幼魔神 ヘル</v>
      </c>
      <c r="C15" s="105" t="s">
        <v>196</v>
      </c>
      <c r="D15" s="138" t="str">
        <f t="shared" ref="D15" si="3">A15&amp;C15</f>
        <v>1257skill</v>
      </c>
      <c r="E15" s="138" t="str">
        <f>A15&amp;+(COUNTIF(A15:A$100,A15)-1)</f>
        <v>12574</v>
      </c>
      <c r="F15" s="105" t="s">
        <v>187</v>
      </c>
      <c r="G15" s="162" t="s">
        <v>197</v>
      </c>
      <c r="H15" s="162" t="s">
        <v>447</v>
      </c>
    </row>
    <row r="16" spans="1:8" x14ac:dyDescent="0.15">
      <c r="A16" s="105">
        <v>1257</v>
      </c>
      <c r="B16" s="138" t="str">
        <f>VLOOKUP(A16,[1]characters!$A:$C,3,FALSE)</f>
        <v>危能の幼魔神 ヘル</v>
      </c>
      <c r="C16" s="105" t="s">
        <v>199</v>
      </c>
      <c r="D16" s="138" t="str">
        <f>A16&amp;C16</f>
        <v>1257cskill</v>
      </c>
      <c r="E16" s="138" t="str">
        <f>A16&amp;+(COUNTIF(A16:A$100,A16)-1)</f>
        <v>12573</v>
      </c>
      <c r="F16" s="105" t="s">
        <v>187</v>
      </c>
      <c r="G16" s="162" t="s">
        <v>197</v>
      </c>
      <c r="H16" s="162" t="s">
        <v>393</v>
      </c>
    </row>
    <row r="17" spans="1:8" x14ac:dyDescent="0.15">
      <c r="A17" s="105">
        <v>1257</v>
      </c>
      <c r="B17" s="138" t="str">
        <f>VLOOKUP(A17,[1]characters!$A:$C,3,FALSE)</f>
        <v>危能の幼魔神 ヘル</v>
      </c>
      <c r="C17" s="105" t="s">
        <v>199</v>
      </c>
      <c r="D17" s="138" t="str">
        <f>A17&amp;C17</f>
        <v>1257cskill</v>
      </c>
      <c r="E17" s="138" t="str">
        <f>A17&amp;+(COUNTIF(A17:A$100,A17)-1)</f>
        <v>12572</v>
      </c>
      <c r="F17" s="105" t="s">
        <v>187</v>
      </c>
      <c r="G17" s="162" t="s">
        <v>385</v>
      </c>
      <c r="H17" s="162" t="s">
        <v>394</v>
      </c>
    </row>
    <row r="18" spans="1:8" x14ac:dyDescent="0.15">
      <c r="A18" s="105">
        <v>1257</v>
      </c>
      <c r="B18" s="138" t="str">
        <f>VLOOKUP(A18,[1]characters!$A:$C,3,FALSE)</f>
        <v>危能の幼魔神 ヘル</v>
      </c>
      <c r="C18" s="105" t="s">
        <v>199</v>
      </c>
      <c r="D18" s="138" t="str">
        <f>A18&amp;C18</f>
        <v>1257cskill</v>
      </c>
      <c r="E18" s="138" t="str">
        <f>A18&amp;+(COUNTIF(A18:A$100,A18)-1)</f>
        <v>12571</v>
      </c>
      <c r="F18" s="105" t="s">
        <v>187</v>
      </c>
      <c r="G18" s="162" t="s">
        <v>197</v>
      </c>
      <c r="H18" s="162" t="s">
        <v>395</v>
      </c>
    </row>
    <row r="19" spans="1:8" x14ac:dyDescent="0.15">
      <c r="A19" s="105">
        <v>1257</v>
      </c>
      <c r="B19" s="138" t="str">
        <f>VLOOKUP(A19,[1]characters!$A:$C,3,FALSE)</f>
        <v>危能の幼魔神 ヘル</v>
      </c>
      <c r="C19" s="105" t="s">
        <v>199</v>
      </c>
      <c r="D19" s="138" t="str">
        <f>A19&amp;C19</f>
        <v>1257cskill</v>
      </c>
      <c r="E19" s="138" t="str">
        <f>A19&amp;+(COUNTIF(A19:A$100,A19)-1)</f>
        <v>12570</v>
      </c>
      <c r="F19" s="105" t="s">
        <v>187</v>
      </c>
      <c r="G19" s="162" t="s">
        <v>396</v>
      </c>
      <c r="H19" s="162" t="s">
        <v>397</v>
      </c>
    </row>
    <row r="20" spans="1:8" x14ac:dyDescent="0.15">
      <c r="A20" s="105">
        <v>1258</v>
      </c>
      <c r="B20" s="138" t="str">
        <f>VLOOKUP(A20,[1]characters!$A:$C,3,FALSE)</f>
        <v>ロキ</v>
      </c>
      <c r="C20" s="105" t="s">
        <v>196</v>
      </c>
      <c r="D20" s="138" t="str">
        <f t="shared" ref="D20" si="4">A20&amp;C20</f>
        <v>1258skill</v>
      </c>
      <c r="E20" s="138" t="str">
        <f>A20&amp;+(COUNTIF(A20:A$100,A20)-1)</f>
        <v>12583</v>
      </c>
      <c r="F20" s="105" t="s">
        <v>198</v>
      </c>
      <c r="G20" s="162" t="s">
        <v>385</v>
      </c>
      <c r="H20" s="162" t="s">
        <v>398</v>
      </c>
    </row>
    <row r="21" spans="1:8" x14ac:dyDescent="0.15">
      <c r="A21" s="105">
        <v>1258</v>
      </c>
      <c r="B21" s="138" t="str">
        <f>VLOOKUP(A21,[1]characters!$A:$C,3,FALSE)</f>
        <v>ロキ</v>
      </c>
      <c r="C21" s="105" t="s">
        <v>199</v>
      </c>
      <c r="D21" s="138" t="str">
        <f>A21&amp;C21</f>
        <v>1258cskill</v>
      </c>
      <c r="E21" s="138" t="str">
        <f>A21&amp;+(COUNTIF(A21:A$100,A21)-1)</f>
        <v>12582</v>
      </c>
      <c r="F21" s="105" t="s">
        <v>187</v>
      </c>
      <c r="G21" s="162" t="s">
        <v>385</v>
      </c>
      <c r="H21" s="162" t="s">
        <v>400</v>
      </c>
    </row>
    <row r="22" spans="1:8" x14ac:dyDescent="0.15">
      <c r="A22" s="105">
        <v>1258</v>
      </c>
      <c r="B22" s="138" t="str">
        <f>VLOOKUP(A22,[1]characters!$A:$C,3,FALSE)</f>
        <v>ロキ</v>
      </c>
      <c r="C22" s="105" t="s">
        <v>199</v>
      </c>
      <c r="D22" s="138" t="str">
        <f>A22&amp;C22</f>
        <v>1258cskill</v>
      </c>
      <c r="E22" s="138" t="str">
        <f>A22&amp;+(COUNTIF(A22:A$100,A22)-1)</f>
        <v>12581</v>
      </c>
      <c r="F22" s="105" t="s">
        <v>187</v>
      </c>
      <c r="G22" s="162" t="s">
        <v>385</v>
      </c>
      <c r="H22" s="162" t="s">
        <v>401</v>
      </c>
    </row>
    <row r="23" spans="1:8" x14ac:dyDescent="0.15">
      <c r="A23" s="105">
        <v>1258</v>
      </c>
      <c r="B23" s="138" t="str">
        <f>VLOOKUP(A23,[1]characters!$A:$C,3,FALSE)</f>
        <v>ロキ</v>
      </c>
      <c r="C23" s="105" t="s">
        <v>199</v>
      </c>
      <c r="D23" s="138" t="str">
        <f>A23&amp;C23</f>
        <v>1258cskill</v>
      </c>
      <c r="E23" s="138" t="str">
        <f>A23&amp;+(COUNTIF(A23:A$100,A23)-1)</f>
        <v>12580</v>
      </c>
      <c r="F23" s="105" t="s">
        <v>198</v>
      </c>
      <c r="G23" s="162" t="s">
        <v>385</v>
      </c>
      <c r="H23" s="162" t="s">
        <v>402</v>
      </c>
    </row>
    <row r="24" spans="1:8" x14ac:dyDescent="0.15">
      <c r="A24" s="105">
        <v>1259</v>
      </c>
      <c r="B24" s="138" t="str">
        <f>VLOOKUP(A24,[1]characters!$A:$C,3,FALSE)</f>
        <v>崩世を叫ぶ悪戯 ロキ</v>
      </c>
      <c r="C24" s="105" t="s">
        <v>196</v>
      </c>
      <c r="D24" s="138" t="str">
        <f t="shared" ref="D24" si="5">A24&amp;C24</f>
        <v>1259skill</v>
      </c>
      <c r="E24" s="138" t="str">
        <f>A24&amp;+(COUNTIF(A24:A$100,A24)-1)</f>
        <v>12594</v>
      </c>
      <c r="F24" s="105" t="s">
        <v>187</v>
      </c>
      <c r="G24" s="162" t="s">
        <v>385</v>
      </c>
      <c r="H24" s="162" t="s">
        <v>399</v>
      </c>
    </row>
    <row r="25" spans="1:8" x14ac:dyDescent="0.15">
      <c r="A25" s="105">
        <v>1259</v>
      </c>
      <c r="B25" s="138" t="str">
        <f>VLOOKUP(A25,[1]characters!$A:$C,3,FALSE)</f>
        <v>崩世を叫ぶ悪戯 ロキ</v>
      </c>
      <c r="C25" s="105" t="s">
        <v>199</v>
      </c>
      <c r="D25" s="138" t="str">
        <f>A25&amp;C25</f>
        <v>1259cskill</v>
      </c>
      <c r="E25" s="138" t="str">
        <f>A25&amp;+(COUNTIF(A25:A$100,A25)-1)</f>
        <v>12593</v>
      </c>
      <c r="F25" s="105" t="s">
        <v>187</v>
      </c>
      <c r="G25" s="162" t="s">
        <v>385</v>
      </c>
      <c r="H25" s="162" t="s">
        <v>400</v>
      </c>
    </row>
    <row r="26" spans="1:8" x14ac:dyDescent="0.15">
      <c r="A26" s="105">
        <v>1259</v>
      </c>
      <c r="B26" s="138" t="str">
        <f>VLOOKUP(A26,[1]characters!$A:$C,3,FALSE)</f>
        <v>崩世を叫ぶ悪戯 ロキ</v>
      </c>
      <c r="C26" s="105" t="s">
        <v>199</v>
      </c>
      <c r="D26" s="138" t="str">
        <f>A26&amp;C26</f>
        <v>1259cskill</v>
      </c>
      <c r="E26" s="138" t="str">
        <f>A26&amp;+(COUNTIF(A26:A$100,A26)-1)</f>
        <v>12592</v>
      </c>
      <c r="F26" s="105" t="s">
        <v>187</v>
      </c>
      <c r="G26" s="162" t="s">
        <v>385</v>
      </c>
      <c r="H26" s="162" t="s">
        <v>401</v>
      </c>
    </row>
    <row r="27" spans="1:8" x14ac:dyDescent="0.15">
      <c r="A27" s="105">
        <v>1259</v>
      </c>
      <c r="B27" s="138" t="str">
        <f>VLOOKUP(A27,[1]characters!$A:$C,3,FALSE)</f>
        <v>崩世を叫ぶ悪戯 ロキ</v>
      </c>
      <c r="C27" s="105" t="s">
        <v>199</v>
      </c>
      <c r="D27" s="138" t="str">
        <f>A27&amp;C27</f>
        <v>1259cskill</v>
      </c>
      <c r="E27" s="138" t="str">
        <f>A27&amp;+(COUNTIF(A27:A$100,A27)-1)</f>
        <v>12591</v>
      </c>
      <c r="F27" s="105" t="s">
        <v>187</v>
      </c>
      <c r="G27" s="162" t="s">
        <v>385</v>
      </c>
      <c r="H27" s="162" t="s">
        <v>402</v>
      </c>
    </row>
    <row r="28" spans="1:8" x14ac:dyDescent="0.15">
      <c r="A28" s="105">
        <v>1259</v>
      </c>
      <c r="B28" s="138" t="str">
        <f>VLOOKUP(A28,[1]characters!$A:$C,3,FALSE)</f>
        <v>崩世を叫ぶ悪戯 ロキ</v>
      </c>
      <c r="C28" s="105" t="s">
        <v>199</v>
      </c>
      <c r="D28" s="138" t="str">
        <f>A28&amp;C28</f>
        <v>1259cskill</v>
      </c>
      <c r="E28" s="138" t="str">
        <f>A28&amp;+(COUNTIF(A28:A$100,A28)-1)</f>
        <v>12590</v>
      </c>
      <c r="F28" s="105" t="s">
        <v>187</v>
      </c>
      <c r="G28" s="162" t="s">
        <v>385</v>
      </c>
      <c r="H28" s="162" t="s">
        <v>403</v>
      </c>
    </row>
    <row r="29" spans="1:8" x14ac:dyDescent="0.15">
      <c r="A29" s="105">
        <v>1260</v>
      </c>
      <c r="B29" s="138" t="str">
        <f>VLOOKUP(A29,[1]characters!$A:$C,3,FALSE)</f>
        <v>トール</v>
      </c>
      <c r="C29" s="105" t="s">
        <v>196</v>
      </c>
      <c r="D29" s="138" t="str">
        <f t="shared" ref="D29" si="6">A29&amp;C29</f>
        <v>1260skill</v>
      </c>
      <c r="E29" s="138" t="str">
        <f>A29&amp;+(COUNTIF(A29:A$100,A29)-1)</f>
        <v>12603</v>
      </c>
      <c r="F29" s="105" t="s">
        <v>198</v>
      </c>
      <c r="G29" s="162" t="s">
        <v>197</v>
      </c>
      <c r="H29" s="162" t="s">
        <v>404</v>
      </c>
    </row>
    <row r="30" spans="1:8" x14ac:dyDescent="0.15">
      <c r="A30" s="105">
        <v>1260</v>
      </c>
      <c r="B30" s="138" t="str">
        <f>VLOOKUP(A30,[1]characters!$A:$C,3,FALSE)</f>
        <v>トール</v>
      </c>
      <c r="C30" s="105" t="s">
        <v>199</v>
      </c>
      <c r="D30" s="138" t="str">
        <f>A30&amp;C30</f>
        <v>1260cskill</v>
      </c>
      <c r="E30" s="138" t="str">
        <f>A30&amp;+(COUNTIF(A30:A$100,A30)-1)</f>
        <v>12602</v>
      </c>
      <c r="F30" s="105" t="s">
        <v>187</v>
      </c>
      <c r="G30" s="162" t="s">
        <v>396</v>
      </c>
      <c r="H30" s="162" t="s">
        <v>406</v>
      </c>
    </row>
    <row r="31" spans="1:8" x14ac:dyDescent="0.15">
      <c r="A31" s="105">
        <v>1260</v>
      </c>
      <c r="B31" s="138" t="str">
        <f>VLOOKUP(A31,[1]characters!$A:$C,3,FALSE)</f>
        <v>トール</v>
      </c>
      <c r="C31" s="105" t="s">
        <v>199</v>
      </c>
      <c r="D31" s="138" t="str">
        <f>A31&amp;C31</f>
        <v>1260cskill</v>
      </c>
      <c r="E31" s="138" t="str">
        <f>A31&amp;+(COUNTIF(A31:A$100,A31)-1)</f>
        <v>12601</v>
      </c>
      <c r="F31" s="105" t="s">
        <v>187</v>
      </c>
      <c r="G31" s="162" t="s">
        <v>385</v>
      </c>
      <c r="H31" s="162" t="s">
        <v>407</v>
      </c>
    </row>
    <row r="32" spans="1:8" x14ac:dyDescent="0.15">
      <c r="A32" s="105">
        <v>1260</v>
      </c>
      <c r="B32" s="138" t="str">
        <f>VLOOKUP(A32,[1]characters!$A:$C,3,FALSE)</f>
        <v>トール</v>
      </c>
      <c r="C32" s="105" t="s">
        <v>199</v>
      </c>
      <c r="D32" s="138" t="str">
        <f>A32&amp;C32</f>
        <v>1260cskill</v>
      </c>
      <c r="E32" s="138" t="str">
        <f>A32&amp;+(COUNTIF(A32:A$100,A32)-1)</f>
        <v>12600</v>
      </c>
      <c r="F32" s="105" t="s">
        <v>198</v>
      </c>
      <c r="G32" s="162" t="s">
        <v>385</v>
      </c>
      <c r="H32" s="162" t="s">
        <v>408</v>
      </c>
    </row>
    <row r="33" spans="1:8" x14ac:dyDescent="0.15">
      <c r="A33" s="105">
        <v>1261</v>
      </c>
      <c r="B33" s="138" t="str">
        <f>VLOOKUP(A33,[1]characters!$A:$C,3,FALSE)</f>
        <v>燃雷の鎚撃 トール</v>
      </c>
      <c r="C33" s="105" t="s">
        <v>196</v>
      </c>
      <c r="D33" s="138" t="str">
        <f t="shared" ref="D33" si="7">A33&amp;C33</f>
        <v>1261skill</v>
      </c>
      <c r="E33" s="138" t="str">
        <f>A33&amp;+(COUNTIF(A33:A$100,A33)-1)</f>
        <v>12614</v>
      </c>
      <c r="F33" s="105" t="s">
        <v>187</v>
      </c>
      <c r="G33" s="162" t="s">
        <v>385</v>
      </c>
      <c r="H33" s="162" t="s">
        <v>405</v>
      </c>
    </row>
    <row r="34" spans="1:8" x14ac:dyDescent="0.15">
      <c r="A34" s="105">
        <v>1261</v>
      </c>
      <c r="B34" s="138" t="str">
        <f>VLOOKUP(A34,[1]characters!$A:$C,3,FALSE)</f>
        <v>燃雷の鎚撃 トール</v>
      </c>
      <c r="C34" s="105" t="s">
        <v>199</v>
      </c>
      <c r="D34" s="138" t="str">
        <f>A34&amp;C34</f>
        <v>1261cskill</v>
      </c>
      <c r="E34" s="138" t="str">
        <f>A34&amp;+(COUNTIF(A34:A$100,A34)-1)</f>
        <v>12613</v>
      </c>
      <c r="F34" s="105" t="s">
        <v>187</v>
      </c>
      <c r="G34" s="162" t="s">
        <v>396</v>
      </c>
      <c r="H34" s="162" t="s">
        <v>406</v>
      </c>
    </row>
    <row r="35" spans="1:8" x14ac:dyDescent="0.15">
      <c r="A35" s="105">
        <v>1261</v>
      </c>
      <c r="B35" s="138" t="str">
        <f>VLOOKUP(A35,[1]characters!$A:$C,3,FALSE)</f>
        <v>燃雷の鎚撃 トール</v>
      </c>
      <c r="C35" s="105" t="s">
        <v>199</v>
      </c>
      <c r="D35" s="138" t="str">
        <f>A35&amp;C35</f>
        <v>1261cskill</v>
      </c>
      <c r="E35" s="138" t="str">
        <f>A35&amp;+(COUNTIF(A35:A$100,A35)-1)</f>
        <v>12612</v>
      </c>
      <c r="F35" s="105" t="s">
        <v>187</v>
      </c>
      <c r="G35" s="162" t="s">
        <v>385</v>
      </c>
      <c r="H35" s="162" t="s">
        <v>407</v>
      </c>
    </row>
    <row r="36" spans="1:8" x14ac:dyDescent="0.15">
      <c r="A36" s="105">
        <v>1261</v>
      </c>
      <c r="B36" s="138" t="str">
        <f>VLOOKUP(A36,[1]characters!$A:$C,3,FALSE)</f>
        <v>燃雷の鎚撃 トール</v>
      </c>
      <c r="C36" s="105" t="s">
        <v>199</v>
      </c>
      <c r="D36" s="138" t="str">
        <f>A36&amp;C36</f>
        <v>1261cskill</v>
      </c>
      <c r="E36" s="138" t="str">
        <f>A36&amp;+(COUNTIF(A36:A$100,A36)-1)</f>
        <v>12611</v>
      </c>
      <c r="F36" s="105" t="s">
        <v>187</v>
      </c>
      <c r="G36" s="162" t="s">
        <v>385</v>
      </c>
      <c r="H36" s="162" t="s">
        <v>408</v>
      </c>
    </row>
    <row r="37" spans="1:8" x14ac:dyDescent="0.15">
      <c r="A37" s="105">
        <v>1261</v>
      </c>
      <c r="B37" s="138" t="str">
        <f>VLOOKUP(A37,[1]characters!$A:$C,3,FALSE)</f>
        <v>燃雷の鎚撃 トール</v>
      </c>
      <c r="C37" s="105" t="s">
        <v>199</v>
      </c>
      <c r="D37" s="138" t="str">
        <f>A37&amp;C37</f>
        <v>1261cskill</v>
      </c>
      <c r="E37" s="138" t="str">
        <f>A37&amp;+(COUNTIF(A37:A$100,A37)-1)</f>
        <v>12610</v>
      </c>
      <c r="F37" s="105" t="s">
        <v>187</v>
      </c>
      <c r="G37" s="162" t="s">
        <v>385</v>
      </c>
      <c r="H37" s="162" t="s">
        <v>409</v>
      </c>
    </row>
    <row r="38" spans="1:8" x14ac:dyDescent="0.15">
      <c r="A38" s="105">
        <v>1262</v>
      </c>
      <c r="B38" s="138" t="str">
        <f>VLOOKUP(A38,[1]characters!$A:$C,3,FALSE)</f>
        <v>イズン</v>
      </c>
      <c r="C38" s="105" t="s">
        <v>196</v>
      </c>
      <c r="D38" s="138" t="str">
        <f t="shared" ref="D38" si="8">A38&amp;C38</f>
        <v>1262skill</v>
      </c>
      <c r="E38" s="138" t="str">
        <f>A38&amp;+(COUNTIF(A38:A$100,A38)-1)</f>
        <v>12623</v>
      </c>
      <c r="F38" s="105" t="s">
        <v>198</v>
      </c>
      <c r="G38" s="162" t="s">
        <v>197</v>
      </c>
      <c r="H38" s="162" t="s">
        <v>410</v>
      </c>
    </row>
    <row r="39" spans="1:8" x14ac:dyDescent="0.15">
      <c r="A39" s="105">
        <v>1262</v>
      </c>
      <c r="B39" s="138" t="str">
        <f>VLOOKUP(A39,[1]characters!$A:$C,3,FALSE)</f>
        <v>イズン</v>
      </c>
      <c r="C39" s="105" t="s">
        <v>199</v>
      </c>
      <c r="D39" s="138" t="str">
        <f>A39&amp;C39</f>
        <v>1262cskill</v>
      </c>
      <c r="E39" s="138" t="str">
        <f>A39&amp;+(COUNTIF(A39:A$100,A39)-1)</f>
        <v>12622</v>
      </c>
      <c r="F39" s="105" t="s">
        <v>187</v>
      </c>
      <c r="G39" s="162" t="s">
        <v>396</v>
      </c>
      <c r="H39" s="162" t="s">
        <v>412</v>
      </c>
    </row>
    <row r="40" spans="1:8" x14ac:dyDescent="0.15">
      <c r="A40" s="105">
        <v>1262</v>
      </c>
      <c r="B40" s="138" t="str">
        <f>VLOOKUP(A40,[1]characters!$A:$C,3,FALSE)</f>
        <v>イズン</v>
      </c>
      <c r="C40" s="105" t="s">
        <v>199</v>
      </c>
      <c r="D40" s="138" t="str">
        <f>A40&amp;C40</f>
        <v>1262cskill</v>
      </c>
      <c r="E40" s="138" t="str">
        <f>A40&amp;+(COUNTIF(A40:A$100,A40)-1)</f>
        <v>12621</v>
      </c>
      <c r="F40" s="105" t="s">
        <v>187</v>
      </c>
      <c r="G40" s="162" t="s">
        <v>396</v>
      </c>
      <c r="H40" s="162" t="s">
        <v>413</v>
      </c>
    </row>
    <row r="41" spans="1:8" x14ac:dyDescent="0.15">
      <c r="A41" s="105">
        <v>1262</v>
      </c>
      <c r="B41" s="138" t="str">
        <f>VLOOKUP(A41,[1]characters!$A:$C,3,FALSE)</f>
        <v>イズン</v>
      </c>
      <c r="C41" s="105" t="s">
        <v>199</v>
      </c>
      <c r="D41" s="138" t="str">
        <f>A41&amp;C41</f>
        <v>1262cskill</v>
      </c>
      <c r="E41" s="138" t="str">
        <f>A41&amp;+(COUNTIF(A41:A$100,A41)-1)</f>
        <v>12620</v>
      </c>
      <c r="F41" s="105" t="s">
        <v>198</v>
      </c>
      <c r="G41" s="162" t="s">
        <v>197</v>
      </c>
      <c r="H41" s="162" t="s">
        <v>414</v>
      </c>
    </row>
    <row r="42" spans="1:8" x14ac:dyDescent="0.15">
      <c r="A42" s="105">
        <v>1263</v>
      </c>
      <c r="B42" s="138" t="str">
        <f>VLOOKUP(A42,[1]characters!$A:$C,3,FALSE)</f>
        <v>純朴なる檻理人 イズン</v>
      </c>
      <c r="C42" s="105" t="s">
        <v>196</v>
      </c>
      <c r="D42" s="138" t="str">
        <f t="shared" ref="D42" si="9">A42&amp;C42</f>
        <v>1263skill</v>
      </c>
      <c r="E42" s="138" t="str">
        <f>A42&amp;+(COUNTIF(A42:A$100,A42)-1)</f>
        <v>12634</v>
      </c>
      <c r="F42" s="105" t="s">
        <v>187</v>
      </c>
      <c r="G42" s="162" t="s">
        <v>396</v>
      </c>
      <c r="H42" s="162" t="s">
        <v>411</v>
      </c>
    </row>
    <row r="43" spans="1:8" x14ac:dyDescent="0.15">
      <c r="A43" s="105">
        <v>1263</v>
      </c>
      <c r="B43" s="138" t="str">
        <f>VLOOKUP(A43,[1]characters!$A:$C,3,FALSE)</f>
        <v>純朴なる檻理人 イズン</v>
      </c>
      <c r="C43" s="105" t="s">
        <v>199</v>
      </c>
      <c r="D43" s="138" t="str">
        <f>A43&amp;C43</f>
        <v>1263cskill</v>
      </c>
      <c r="E43" s="138" t="str">
        <f>A43&amp;+(COUNTIF(A43:A$100,A43)-1)</f>
        <v>12633</v>
      </c>
      <c r="F43" s="105" t="s">
        <v>187</v>
      </c>
      <c r="G43" s="162" t="s">
        <v>396</v>
      </c>
      <c r="H43" s="162" t="s">
        <v>412</v>
      </c>
    </row>
    <row r="44" spans="1:8" x14ac:dyDescent="0.15">
      <c r="A44" s="105">
        <v>1263</v>
      </c>
      <c r="B44" s="138" t="str">
        <f>VLOOKUP(A44,[1]characters!$A:$C,3,FALSE)</f>
        <v>純朴なる檻理人 イズン</v>
      </c>
      <c r="C44" s="105" t="s">
        <v>199</v>
      </c>
      <c r="D44" s="138" t="str">
        <f>A44&amp;C44</f>
        <v>1263cskill</v>
      </c>
      <c r="E44" s="138" t="str">
        <f>A44&amp;+(COUNTIF(A44:A$100,A44)-1)</f>
        <v>12632</v>
      </c>
      <c r="F44" s="105" t="s">
        <v>187</v>
      </c>
      <c r="G44" s="162" t="s">
        <v>396</v>
      </c>
      <c r="H44" s="162" t="s">
        <v>413</v>
      </c>
    </row>
    <row r="45" spans="1:8" x14ac:dyDescent="0.15">
      <c r="A45" s="105">
        <v>1263</v>
      </c>
      <c r="B45" s="138" t="str">
        <f>VLOOKUP(A45,[1]characters!$A:$C,3,FALSE)</f>
        <v>純朴なる檻理人 イズン</v>
      </c>
      <c r="C45" s="105" t="s">
        <v>199</v>
      </c>
      <c r="D45" s="138" t="str">
        <f>A45&amp;C45</f>
        <v>1263cskill</v>
      </c>
      <c r="E45" s="138" t="str">
        <f>A45&amp;+(COUNTIF(A45:A$100,A45)-1)</f>
        <v>12631</v>
      </c>
      <c r="F45" s="105" t="s">
        <v>187</v>
      </c>
      <c r="G45" s="162" t="s">
        <v>197</v>
      </c>
      <c r="H45" s="162" t="s">
        <v>414</v>
      </c>
    </row>
    <row r="46" spans="1:8" x14ac:dyDescent="0.15">
      <c r="A46" s="105">
        <v>1263</v>
      </c>
      <c r="B46" s="138" t="str">
        <f>VLOOKUP(A46,[1]characters!$A:$C,3,FALSE)</f>
        <v>純朴なる檻理人 イズン</v>
      </c>
      <c r="C46" s="105" t="s">
        <v>199</v>
      </c>
      <c r="D46" s="138" t="str">
        <f>A46&amp;C46</f>
        <v>1263cskill</v>
      </c>
      <c r="E46" s="138" t="str">
        <f>A46&amp;+(COUNTIF(A46:A$100,A46)-1)</f>
        <v>12630</v>
      </c>
      <c r="F46" s="105" t="s">
        <v>187</v>
      </c>
      <c r="G46" s="162" t="s">
        <v>197</v>
      </c>
      <c r="H46" s="162" t="s">
        <v>415</v>
      </c>
    </row>
    <row r="47" spans="1:8" x14ac:dyDescent="0.15">
      <c r="A47" s="105">
        <v>1264</v>
      </c>
      <c r="B47" s="138" t="str">
        <f>VLOOKUP(A47,[1]characters!$A:$C,3,FALSE)</f>
        <v>ウルズ</v>
      </c>
      <c r="C47" s="105" t="s">
        <v>196</v>
      </c>
      <c r="D47" s="138" t="str">
        <f t="shared" ref="D47" si="10">A47&amp;C47</f>
        <v>1264skill</v>
      </c>
      <c r="E47" s="138" t="str">
        <f>A47&amp;+(COUNTIF(A47:A$100,A47)-1)</f>
        <v>12643</v>
      </c>
      <c r="F47" s="105" t="s">
        <v>198</v>
      </c>
      <c r="G47" s="162" t="s">
        <v>197</v>
      </c>
      <c r="H47" s="162" t="s">
        <v>416</v>
      </c>
    </row>
    <row r="48" spans="1:8" x14ac:dyDescent="0.15">
      <c r="A48" s="105">
        <v>1264</v>
      </c>
      <c r="B48" s="138" t="str">
        <f>VLOOKUP(A48,[1]characters!$A:$C,3,FALSE)</f>
        <v>ウルズ</v>
      </c>
      <c r="C48" s="105" t="s">
        <v>199</v>
      </c>
      <c r="D48" s="138" t="str">
        <f>A48&amp;C48</f>
        <v>1264cskill</v>
      </c>
      <c r="E48" s="138" t="str">
        <f>A48&amp;+(COUNTIF(A48:A$100,A48)-1)</f>
        <v>12642</v>
      </c>
      <c r="F48" s="105" t="s">
        <v>187</v>
      </c>
      <c r="G48" s="162" t="s">
        <v>197</v>
      </c>
      <c r="H48" s="162" t="s">
        <v>417</v>
      </c>
    </row>
    <row r="49" spans="1:8" x14ac:dyDescent="0.15">
      <c r="A49" s="105">
        <v>1264</v>
      </c>
      <c r="B49" s="138" t="str">
        <f>VLOOKUP(A49,[1]characters!$A:$C,3,FALSE)</f>
        <v>ウルズ</v>
      </c>
      <c r="C49" s="105" t="s">
        <v>199</v>
      </c>
      <c r="D49" s="138" t="str">
        <f>A49&amp;C49</f>
        <v>1264cskill</v>
      </c>
      <c r="E49" s="138" t="str">
        <f>A49&amp;+(COUNTIF(A49:A$100,A49)-1)</f>
        <v>12641</v>
      </c>
      <c r="F49" s="105" t="s">
        <v>187</v>
      </c>
      <c r="G49" s="162" t="s">
        <v>197</v>
      </c>
      <c r="H49" s="162" t="s">
        <v>418</v>
      </c>
    </row>
    <row r="50" spans="1:8" x14ac:dyDescent="0.15">
      <c r="A50" s="105">
        <v>1264</v>
      </c>
      <c r="B50" s="138" t="str">
        <f>VLOOKUP(A50,[1]characters!$A:$C,3,FALSE)</f>
        <v>ウルズ</v>
      </c>
      <c r="C50" s="105" t="s">
        <v>199</v>
      </c>
      <c r="D50" s="138" t="str">
        <f>A50&amp;C50</f>
        <v>1264cskill</v>
      </c>
      <c r="E50" s="138" t="str">
        <f>A50&amp;+(COUNTIF(A50:A$100,A50)-1)</f>
        <v>12640</v>
      </c>
      <c r="F50" s="105" t="s">
        <v>198</v>
      </c>
      <c r="G50" s="162" t="s">
        <v>396</v>
      </c>
      <c r="H50" s="162" t="s">
        <v>419</v>
      </c>
    </row>
    <row r="51" spans="1:8" x14ac:dyDescent="0.15">
      <c r="A51" s="105">
        <v>1265</v>
      </c>
      <c r="B51" s="138" t="str">
        <f>VLOOKUP(A51,[1]characters!$A:$C,3,FALSE)</f>
        <v>静観する世限者 ウルズ</v>
      </c>
      <c r="C51" s="105" t="s">
        <v>196</v>
      </c>
      <c r="D51" s="138" t="str">
        <f t="shared" ref="D51" si="11">A51&amp;C51</f>
        <v>1265skill</v>
      </c>
      <c r="E51" s="138" t="str">
        <f>A51&amp;+(COUNTIF(A51:A$100,A51)-1)</f>
        <v>12654</v>
      </c>
      <c r="F51" s="105" t="s">
        <v>187</v>
      </c>
      <c r="G51" s="162" t="s">
        <v>197</v>
      </c>
      <c r="H51" s="162" t="s">
        <v>421</v>
      </c>
    </row>
    <row r="52" spans="1:8" x14ac:dyDescent="0.15">
      <c r="A52" s="105">
        <v>1265</v>
      </c>
      <c r="B52" s="138" t="str">
        <f>VLOOKUP(A52,[1]characters!$A:$C,3,FALSE)</f>
        <v>静観する世限者 ウルズ</v>
      </c>
      <c r="C52" s="105" t="s">
        <v>199</v>
      </c>
      <c r="D52" s="138" t="str">
        <f>A52&amp;C52</f>
        <v>1265cskill</v>
      </c>
      <c r="E52" s="138" t="str">
        <f>A52&amp;+(COUNTIF(A52:A$100,A52)-1)</f>
        <v>12653</v>
      </c>
      <c r="F52" s="105" t="s">
        <v>187</v>
      </c>
      <c r="G52" s="162" t="s">
        <v>197</v>
      </c>
      <c r="H52" s="162" t="s">
        <v>417</v>
      </c>
    </row>
    <row r="53" spans="1:8" x14ac:dyDescent="0.15">
      <c r="A53" s="105">
        <v>1265</v>
      </c>
      <c r="B53" s="138" t="str">
        <f>VLOOKUP(A53,[1]characters!$A:$C,3,FALSE)</f>
        <v>静観する世限者 ウルズ</v>
      </c>
      <c r="C53" s="105" t="s">
        <v>199</v>
      </c>
      <c r="D53" s="138" t="str">
        <f>A53&amp;C53</f>
        <v>1265cskill</v>
      </c>
      <c r="E53" s="138" t="str">
        <f>A53&amp;+(COUNTIF(A53:A$100,A53)-1)</f>
        <v>12652</v>
      </c>
      <c r="F53" s="105" t="s">
        <v>187</v>
      </c>
      <c r="G53" s="162" t="s">
        <v>197</v>
      </c>
      <c r="H53" s="162" t="s">
        <v>418</v>
      </c>
    </row>
    <row r="54" spans="1:8" x14ac:dyDescent="0.15">
      <c r="A54" s="105">
        <v>1265</v>
      </c>
      <c r="B54" s="138" t="str">
        <f>VLOOKUP(A54,[1]characters!$A:$C,3,FALSE)</f>
        <v>静観する世限者 ウルズ</v>
      </c>
      <c r="C54" s="105" t="s">
        <v>199</v>
      </c>
      <c r="D54" s="138" t="str">
        <f>A54&amp;C54</f>
        <v>1265cskill</v>
      </c>
      <c r="E54" s="138" t="str">
        <f>A54&amp;+(COUNTIF(A54:A$100,A54)-1)</f>
        <v>12651</v>
      </c>
      <c r="F54" s="105" t="s">
        <v>187</v>
      </c>
      <c r="G54" s="162" t="s">
        <v>396</v>
      </c>
      <c r="H54" s="162" t="s">
        <v>419</v>
      </c>
    </row>
    <row r="55" spans="1:8" x14ac:dyDescent="0.15">
      <c r="A55" s="105">
        <v>1265</v>
      </c>
      <c r="B55" s="138" t="str">
        <f>VLOOKUP(A55,[1]characters!$A:$C,3,FALSE)</f>
        <v>静観する世限者 ウルズ</v>
      </c>
      <c r="C55" s="105" t="s">
        <v>199</v>
      </c>
      <c r="D55" s="138" t="str">
        <f>A55&amp;C55</f>
        <v>1265cskill</v>
      </c>
      <c r="E55" s="138" t="str">
        <f>A55&amp;+(COUNTIF(A55:A$100,A55)-1)</f>
        <v>12650</v>
      </c>
      <c r="F55" s="105" t="s">
        <v>187</v>
      </c>
      <c r="G55" s="162" t="s">
        <v>197</v>
      </c>
      <c r="H55" s="162" t="s">
        <v>420</v>
      </c>
    </row>
  </sheetData>
  <phoneticPr fontId="22"/>
  <dataValidations count="2">
    <dataValidation type="list" allowBlank="1" showInputMessage="1" showErrorMessage="1" sqref="G2:G55">
      <formula1>"maru,giza,kumo"</formula1>
    </dataValidation>
    <dataValidation type="list" allowBlank="1" showInputMessage="1" showErrorMessage="1" sqref="C2:C55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7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8" sqref="Q8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>
        <v>1254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スリュム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demon</v>
      </c>
      <c r="K2" s="5" t="str">
        <f ca="1">VLOOKUP(J2,[1]character_tribe_i18n!$A:$H,3,FALSE)</f>
        <v>デーモン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1255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驕奢の神犯 スリュム</v>
      </c>
      <c r="S2" s="5">
        <f t="shared" ref="S2:S7" ca="1" si="0">IF(ISNA(MATCH(A2,Q:Q,0)),A2,INDIRECT(ADDRESS(MATCH(A2,Q:Q,0),COLUMN())))</f>
        <v>1254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スリュム</v>
      </c>
      <c r="U2" s="10">
        <f ca="1">IF(Q2="NULL","NULL",VLOOKUP(G2,[3]ビット!$A$2:$B$7,2))</f>
        <v>200000</v>
      </c>
    </row>
    <row r="3" spans="1:21" ht="21" customHeight="1" x14ac:dyDescent="0.15">
      <c r="A3" s="191">
        <v>1256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ヘル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demon</v>
      </c>
      <c r="K3" s="5" t="str">
        <f ca="1">VLOOKUP(J3,[1]character_tribe_i18n!$A:$H,3,FALSE)</f>
        <v>デーモン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1257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危能の幼魔神 ヘル</v>
      </c>
      <c r="S3" s="5">
        <f t="shared" ca="1" si="0"/>
        <v>1256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ヘル</v>
      </c>
      <c r="U3" s="10">
        <f ca="1">IF(Q3="NULL","NULL",VLOOKUP(G3,[3]ビット!$A$2:$B$7,2))</f>
        <v>200000</v>
      </c>
    </row>
    <row r="4" spans="1:21" ht="21" customHeight="1" x14ac:dyDescent="0.15">
      <c r="A4" s="191">
        <v>1258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ロキ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DropWizSS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53" t="str">
        <f ca="1">VLOOKUP($A4,OFFSET([1]characters!$A$1,0,0,COUNTA([1]characters!$A:$A),MATCH(J$1,[1]characters!$1:$1,0)-MATCH($A$1,[1]characters!$1:$1,0)+1),MATCH(J$1,[1]characters!$1:$1,0)-MATCH($A$1,[1]characters!$1:$1,0)+1,FALSE)</f>
        <v>demon</v>
      </c>
      <c r="K4" s="5" t="str">
        <f ca="1">VLOOKUP(J4,[1]character_tribe_i18n!$A:$H,3,FALSE)</f>
        <v>デーモン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176" t="str">
        <f>VLOOKUP(Q4,[1]characters!$A:$AC,20)</f>
        <v>normal</v>
      </c>
      <c r="Q4" s="187">
        <v>1259</v>
      </c>
      <c r="R4" s="58" t="str">
        <f ca="1">IF(Q4="NULL","",VLOOKUP($Q4,OFFSET([1]characters!$A$1,0,0,COUNTA([1]characters!$A:$A),MATCH(R$1,[1]characters!$1:$1,0)-MATCH($A$1,[1]characters!$1:$1,0)+1),MATCH(R$1,[1]characters!$1:$1,0)-MATCH($A$1,[1]characters!$1:$1,0)+1,FALSE))</f>
        <v>崩世を叫ぶ悪戯 ロキ</v>
      </c>
      <c r="S4" s="5">
        <f t="shared" ca="1" si="0"/>
        <v>1258</v>
      </c>
      <c r="T4" s="58" t="str">
        <f ca="1">VLOOKUP($S4,OFFSET([1]characters!$A$1,0,0,COUNTA([1]characters!$A:$A),MATCH(T$1,[1]characters!$1:$1,0)-MATCH($A$1,[1]characters!$1:$1,0)+1),MATCH(T$1,[1]characters!$1:$1,0)-MATCH($A$1,[1]characters!$1:$1,0)+1,FALSE)</f>
        <v>ロキ</v>
      </c>
      <c r="U4" s="10">
        <f ca="1">IF(Q4="NULL","NULL",VLOOKUP(G4,[3]ビット!$A$2:$B$7,2))</f>
        <v>200000</v>
      </c>
    </row>
    <row r="5" spans="1:21" ht="21" customHeight="1" x14ac:dyDescent="0.15">
      <c r="A5" s="191">
        <v>1260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トール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53" t="str">
        <f ca="1">VLOOKUP($A5,OFFSET([1]characters!$A$1,0,0,COUNTA([1]characters!$A:$A),MATCH(J$1,[1]characters!$1:$1,0)-MATCH($A$1,[1]characters!$1:$1,0)+1),MATCH(J$1,[1]characters!$1:$1,0)-MATCH($A$1,[1]characters!$1:$1,0)+1,FALSE)</f>
        <v>none</v>
      </c>
      <c r="K5" s="5" t="str">
        <f ca="1">VLOOKUP(J5,[1]character_tribe_i18n!$A:$H,3,FALSE)</f>
        <v>種族なし</v>
      </c>
      <c r="L5" s="10" t="e">
        <f>VLOOKUP(#REF!,[1]character_tribe_i18n!$A:$H,4,FALSE)</f>
        <v>#REF!</v>
      </c>
      <c r="M5" s="10" t="e">
        <f>VLOOKUP(#REF!,[1]character_tribe_i18n!$A:$H,5,FALSE)</f>
        <v>#REF!</v>
      </c>
      <c r="N5" s="10" t="e">
        <f>VLOOKUP(#REF!,[1]character_tribe_i18n!$A:$H,6,FALSE)</f>
        <v>#REF!</v>
      </c>
      <c r="O5" s="10" t="e">
        <f>VLOOKUP(#REF!,[1]character_tribe_i18n!$A:$H,7,FALSE)</f>
        <v>#REF!</v>
      </c>
      <c r="P5" s="176" t="str">
        <f>VLOOKUP(Q5,[1]characters!$A:$AC,20)</f>
        <v>normal</v>
      </c>
      <c r="Q5" s="187">
        <v>1261</v>
      </c>
      <c r="R5" s="58" t="str">
        <f ca="1">IF(Q5="NULL","",VLOOKUP($Q5,OFFSET([1]characters!$A$1,0,0,COUNTA([1]characters!$A:$A),MATCH(R$1,[1]characters!$1:$1,0)-MATCH($A$1,[1]characters!$1:$1,0)+1),MATCH(R$1,[1]characters!$1:$1,0)-MATCH($A$1,[1]characters!$1:$1,0)+1,FALSE))</f>
        <v>燃雷の鎚撃 トール</v>
      </c>
      <c r="S5" s="5">
        <f t="shared" ca="1" si="0"/>
        <v>1260</v>
      </c>
      <c r="T5" s="58" t="str">
        <f ca="1">VLOOKUP($S5,OFFSET([1]characters!$A$1,0,0,COUNTA([1]characters!$A:$A),MATCH(T$1,[1]characters!$1:$1,0)-MATCH($A$1,[1]characters!$1:$1,0)+1),MATCH(T$1,[1]characters!$1:$1,0)-MATCH($A$1,[1]characters!$1:$1,0)+1,FALSE)</f>
        <v>トール</v>
      </c>
      <c r="U5" s="10">
        <f ca="1">IF(Q5="NULL","NULL",VLOOKUP(G5,[3]ビット!$A$2:$B$7,2))</f>
        <v>200000</v>
      </c>
    </row>
    <row r="6" spans="1:21" ht="21" customHeight="1" x14ac:dyDescent="0.15">
      <c r="A6" s="191">
        <v>1262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イズン</v>
      </c>
      <c r="C6" s="53">
        <f ca="1">VLOOKUP($A6,OFFSET([1]characters!$A$1,0,0,COUNTA([1]characters!$A:$A),MATCH(C$1,[1]characters!$1:$1,0)-MATCH($A$1,[1]characters!$1:$1,0)+1),MATCH(C$1,[1]characters!$1:$1,0)-MATCH($A$1,[1]characters!$1:$1,0)+1,FALSE)</f>
        <v>0</v>
      </c>
      <c r="D6" s="53">
        <f ca="1">VLOOKUP($A6,OFFSET([1]characters!$A$1,0,0,COUNTA([1]characters!$A:$A),MATCH(D$1,[1]characters!$1:$1,0)-MATCH($A$1,[1]characters!$1:$1,0)+1),MATCH(D$1,[1]characters!$1:$1,0)-MATCH($A$1,[1]characters!$1:$1,0)+1,FALSE)</f>
        <v>0</v>
      </c>
      <c r="E6" s="53">
        <f ca="1">VLOOKUP($A6,OFFSET([1]characters!$A$1,0,0,COUNTA([1]characters!$A:$A),MATCH(E$1,[1]characters!$1:$1,0)-MATCH($A$1,[1]characters!$1:$1,0)+1),MATCH(E$1,[1]characters!$1:$1,0)-MATCH($A$1,[1]characters!$1:$1,0)+1,FALSE)</f>
        <v>0</v>
      </c>
      <c r="F6" s="53">
        <f ca="1">VLOOKUP($A6,OFFSET([1]characters!$A$1,0,0,COUNTA([1]characters!$A:$A),MATCH(F$1,[1]characters!$1:$1,0)-MATCH($A$1,[1]characters!$1:$1,0)+1),MATCH(F$1,[1]characters!$1:$1,0)-MATCH($A$1,[1]characters!$1:$1,0)+1,FALSE)</f>
        <v>0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PremiumSSw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53" t="str">
        <f ca="1">VLOOKUP($A6,OFFSET([1]characters!$A$1,0,0,COUNTA([1]characters!$A:$A),MATCH(J$1,[1]characters!$1:$1,0)-MATCH($A$1,[1]characters!$1:$1,0)+1),MATCH(J$1,[1]characters!$1:$1,0)-MATCH($A$1,[1]characters!$1:$1,0)+1,FALSE)</f>
        <v>none</v>
      </c>
      <c r="K6" s="5" t="str">
        <f ca="1">VLOOKUP(J6,[1]character_tribe_i18n!$A:$H,3,FALSE)</f>
        <v>種族なし</v>
      </c>
      <c r="L6" s="10" t="e">
        <f>VLOOKUP(#REF!,[1]character_tribe_i18n!$A:$H,4,FALSE)</f>
        <v>#REF!</v>
      </c>
      <c r="M6" s="10" t="e">
        <f>VLOOKUP(#REF!,[1]character_tribe_i18n!$A:$H,5,FALSE)</f>
        <v>#REF!</v>
      </c>
      <c r="N6" s="10" t="e">
        <f>VLOOKUP(#REF!,[1]character_tribe_i18n!$A:$H,6,FALSE)</f>
        <v>#REF!</v>
      </c>
      <c r="O6" s="10" t="e">
        <f>VLOOKUP(#REF!,[1]character_tribe_i18n!$A:$H,7,FALSE)</f>
        <v>#REF!</v>
      </c>
      <c r="P6" s="176" t="str">
        <f>VLOOKUP(Q6,[1]characters!$A:$AC,20)</f>
        <v>normal</v>
      </c>
      <c r="Q6" s="187">
        <v>1263</v>
      </c>
      <c r="R6" s="58" t="str">
        <f ca="1">IF(Q6="NULL","",VLOOKUP($Q6,OFFSET([1]characters!$A$1,0,0,COUNTA([1]characters!$A:$A),MATCH(R$1,[1]characters!$1:$1,0)-MATCH($A$1,[1]characters!$1:$1,0)+1),MATCH(R$1,[1]characters!$1:$1,0)-MATCH($A$1,[1]characters!$1:$1,0)+1,FALSE))</f>
        <v>純朴なる檻理人 イズン</v>
      </c>
      <c r="S6" s="5">
        <f t="shared" ca="1" si="0"/>
        <v>1262</v>
      </c>
      <c r="T6" s="58" t="str">
        <f ca="1">VLOOKUP($S6,OFFSET([1]characters!$A$1,0,0,COUNTA([1]characters!$A:$A),MATCH(T$1,[1]characters!$1:$1,0)-MATCH($A$1,[1]characters!$1:$1,0)+1),MATCH(T$1,[1]characters!$1:$1,0)-MATCH($A$1,[1]characters!$1:$1,0)+1,FALSE)</f>
        <v>イズン</v>
      </c>
      <c r="U6" s="10">
        <f ca="1">IF(Q6="NULL","NULL",VLOOKUP(G6,[3]ビット!$A$2:$B$7,2))</f>
        <v>200000</v>
      </c>
    </row>
    <row r="7" spans="1:21" ht="21" customHeight="1" x14ac:dyDescent="0.15">
      <c r="A7" s="191">
        <v>1264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ウルズ</v>
      </c>
      <c r="C7" s="53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3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3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3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PremiumSS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53" t="str">
        <f ca="1">VLOOKUP($A7,OFFSET([1]characters!$A$1,0,0,COUNTA([1]characters!$A:$A),MATCH(J$1,[1]characters!$1:$1,0)-MATCH($A$1,[1]characters!$1:$1,0)+1),MATCH(J$1,[1]characters!$1:$1,0)-MATCH($A$1,[1]characters!$1:$1,0)+1,FALSE)</f>
        <v>demon</v>
      </c>
      <c r="K7" s="5" t="str">
        <f ca="1">VLOOKUP(J7,[1]character_tribe_i18n!$A:$H,3,FALSE)</f>
        <v>デーモン</v>
      </c>
      <c r="L7" s="10" t="e">
        <f>VLOOKUP(#REF!,[1]character_tribe_i18n!$A:$H,4,FALSE)</f>
        <v>#REF!</v>
      </c>
      <c r="M7" s="10" t="e">
        <f>VLOOKUP(#REF!,[1]character_tribe_i18n!$A:$H,5,FALSE)</f>
        <v>#REF!</v>
      </c>
      <c r="N7" s="10" t="e">
        <f>VLOOKUP(#REF!,[1]character_tribe_i18n!$A:$H,6,FALSE)</f>
        <v>#REF!</v>
      </c>
      <c r="O7" s="10" t="e">
        <f>VLOOKUP(#REF!,[1]character_tribe_i18n!$A:$H,7,FALSE)</f>
        <v>#REF!</v>
      </c>
      <c r="P7" s="176" t="str">
        <f>VLOOKUP(Q7,[1]characters!$A:$AC,20)</f>
        <v>normal</v>
      </c>
      <c r="Q7" s="187">
        <v>1265</v>
      </c>
      <c r="R7" s="58" t="str">
        <f ca="1">IF(Q7="NULL","",VLOOKUP($Q7,OFFSET([1]characters!$A$1,0,0,COUNTA([1]characters!$A:$A),MATCH(R$1,[1]characters!$1:$1,0)-MATCH($A$1,[1]characters!$1:$1,0)+1),MATCH(R$1,[1]characters!$1:$1,0)-MATCH($A$1,[1]characters!$1:$1,0)+1,FALSE))</f>
        <v>静観する世限者 ウルズ</v>
      </c>
      <c r="S7" s="5">
        <f t="shared" ca="1" si="0"/>
        <v>1264</v>
      </c>
      <c r="T7" s="58" t="str">
        <f ca="1">VLOOKUP($S7,OFFSET([1]characters!$A$1,0,0,COUNTA([1]characters!$A:$A),MATCH(T$1,[1]characters!$1:$1,0)-MATCH($A$1,[1]characters!$1:$1,0)+1),MATCH(T$1,[1]characters!$1:$1,0)-MATCH($A$1,[1]characters!$1:$1,0)+1,FALSE)</f>
        <v>ウルズ</v>
      </c>
      <c r="U7" s="10">
        <f ca="1">IF(Q7="NULL","NULL",VLOOKUP(G7,[3]ビット!$A$2:$B$7,2))</f>
        <v>200000</v>
      </c>
    </row>
  </sheetData>
  <autoFilter ref="A1:U2"/>
  <phoneticPr fontId="22"/>
  <conditionalFormatting sqref="W1:W2 W8:W1048576">
    <cfRule type="cellIs" dxfId="29" priority="11" operator="equal">
      <formula>"FALSE"</formula>
    </cfRule>
  </conditionalFormatting>
  <conditionalFormatting sqref="W3">
    <cfRule type="cellIs" dxfId="28" priority="5" operator="equal">
      <formula>"FALSE"</formula>
    </cfRule>
  </conditionalFormatting>
  <conditionalFormatting sqref="W4">
    <cfRule type="cellIs" dxfId="27" priority="4" operator="equal">
      <formula>"FALSE"</formula>
    </cfRule>
  </conditionalFormatting>
  <conditionalFormatting sqref="W5">
    <cfRule type="cellIs" dxfId="26" priority="3" operator="equal">
      <formula>"FALSE"</formula>
    </cfRule>
  </conditionalFormatting>
  <conditionalFormatting sqref="W6">
    <cfRule type="cellIs" dxfId="25" priority="2" operator="equal">
      <formula>"FALSE"</formula>
    </cfRule>
  </conditionalFormatting>
  <conditionalFormatting sqref="W7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29"/>
  <sheetViews>
    <sheetView showGridLines="0" topLeftCell="B1" workbookViewId="0">
      <pane ySplit="1" topLeftCell="A6" activePane="bottomLeft" state="frozen"/>
      <selection pane="bottomLeft" activeCell="B30" sqref="B30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 t="shared" ref="A2:A29" si="0">B2&amp;"_"&amp;I2</f>
        <v>1254_108</v>
      </c>
      <c r="B2" s="195">
        <v>1254</v>
      </c>
      <c r="C2" s="178">
        <f t="shared" ref="C2:C29" si="1">B2</f>
        <v>1254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スリュム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DropWizS</v>
      </c>
      <c r="G2" s="195">
        <v>1255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驕奢の神犯 スリュム</v>
      </c>
      <c r="I2" s="194">
        <v>108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森のマッドハッター</v>
      </c>
      <c r="K2" s="192">
        <v>1</v>
      </c>
      <c r="L2" s="193">
        <v>1</v>
      </c>
      <c r="M2" s="193">
        <v>10</v>
      </c>
      <c r="N2" s="2" t="s">
        <v>291</v>
      </c>
    </row>
    <row r="3" spans="1:14" ht="21" customHeight="1" x14ac:dyDescent="0.15">
      <c r="A3" s="61" t="str">
        <f t="shared" si="0"/>
        <v>1254_1252</v>
      </c>
      <c r="B3" s="195">
        <v>1254</v>
      </c>
      <c r="C3" s="178">
        <f t="shared" si="1"/>
        <v>1254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スリュム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DropWizS</v>
      </c>
      <c r="G3" s="195">
        <v>1255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驕奢の神犯 スリュム</v>
      </c>
      <c r="I3" s="194">
        <v>1252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ギャラルホルン</v>
      </c>
      <c r="K3" s="192">
        <v>1</v>
      </c>
      <c r="L3" s="193">
        <v>2</v>
      </c>
      <c r="M3" s="193">
        <v>100</v>
      </c>
      <c r="N3" s="2" t="s">
        <v>291</v>
      </c>
    </row>
    <row r="4" spans="1:14" ht="21" customHeight="1" x14ac:dyDescent="0.15">
      <c r="A4" s="61" t="str">
        <f t="shared" si="0"/>
        <v>1254_308</v>
      </c>
      <c r="B4" s="195">
        <v>1254</v>
      </c>
      <c r="C4" s="178">
        <f t="shared" si="1"/>
        <v>1254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スリュム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DropWizS</v>
      </c>
      <c r="G4" s="195">
        <v>1255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驕奢の神犯 スリュム</v>
      </c>
      <c r="I4" s="194">
        <v>308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アーケロン</v>
      </c>
      <c r="K4" s="192">
        <v>1</v>
      </c>
      <c r="L4" s="193">
        <v>3</v>
      </c>
      <c r="M4" s="193">
        <v>100</v>
      </c>
      <c r="N4" s="2" t="s">
        <v>291</v>
      </c>
    </row>
    <row r="5" spans="1:14" ht="21" customHeight="1" x14ac:dyDescent="0.15">
      <c r="A5" s="61" t="str">
        <f t="shared" si="0"/>
        <v>1254_837</v>
      </c>
      <c r="B5" s="195">
        <v>1254</v>
      </c>
      <c r="C5" s="178">
        <f t="shared" si="1"/>
        <v>1254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スリュム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DropWizS</v>
      </c>
      <c r="G5" s="195">
        <v>1255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驕奢の神犯 スリュム</v>
      </c>
      <c r="I5" s="194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2">
        <v>1</v>
      </c>
      <c r="L5" s="193">
        <v>1</v>
      </c>
      <c r="M5" s="193">
        <v>1000</v>
      </c>
      <c r="N5" s="2" t="s">
        <v>291</v>
      </c>
    </row>
    <row r="6" spans="1:14" ht="21" customHeight="1" x14ac:dyDescent="0.15">
      <c r="A6" s="61" t="str">
        <f t="shared" si="0"/>
        <v>1256_116</v>
      </c>
      <c r="B6" s="195">
        <v>1256</v>
      </c>
      <c r="C6" s="178">
        <f t="shared" si="1"/>
        <v>1256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ヘル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DropWizS</v>
      </c>
      <c r="G6" s="195">
        <v>1257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危能の幼魔神 ヘル</v>
      </c>
      <c r="I6" s="193">
        <v>116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雷のマッドハッター</v>
      </c>
      <c r="K6" s="192">
        <v>1</v>
      </c>
      <c r="L6" s="193">
        <v>1</v>
      </c>
      <c r="M6" s="193">
        <v>10</v>
      </c>
      <c r="N6" s="2" t="s">
        <v>291</v>
      </c>
    </row>
    <row r="7" spans="1:14" ht="21" customHeight="1" x14ac:dyDescent="0.15">
      <c r="A7" s="61" t="str">
        <f t="shared" si="0"/>
        <v>1256_1252</v>
      </c>
      <c r="B7" s="195">
        <v>1256</v>
      </c>
      <c r="C7" s="178">
        <f t="shared" si="1"/>
        <v>1256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ヘル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DropWizS</v>
      </c>
      <c r="G7" s="195">
        <v>1257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危能の幼魔神 ヘル</v>
      </c>
      <c r="I7" s="193">
        <v>1252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ギャラルホルン</v>
      </c>
      <c r="K7" s="192">
        <v>1</v>
      </c>
      <c r="L7" s="193">
        <v>2</v>
      </c>
      <c r="M7" s="193">
        <v>100</v>
      </c>
      <c r="N7" s="2" t="s">
        <v>291</v>
      </c>
    </row>
    <row r="8" spans="1:14" ht="21" customHeight="1" x14ac:dyDescent="0.15">
      <c r="A8" s="61" t="str">
        <f t="shared" si="0"/>
        <v>1256_418</v>
      </c>
      <c r="B8" s="195">
        <v>1256</v>
      </c>
      <c r="C8" s="178">
        <f t="shared" si="1"/>
        <v>1256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ヘル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DropWizS</v>
      </c>
      <c r="G8" s="195">
        <v>1257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危能の幼魔神 ヘル</v>
      </c>
      <c r="I8" s="193">
        <v>418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ウラシマ</v>
      </c>
      <c r="K8" s="192">
        <v>1</v>
      </c>
      <c r="L8" s="193">
        <v>3</v>
      </c>
      <c r="M8" s="193">
        <v>100</v>
      </c>
      <c r="N8" s="2" t="s">
        <v>291</v>
      </c>
    </row>
    <row r="9" spans="1:14" ht="21" customHeight="1" x14ac:dyDescent="0.15">
      <c r="A9" s="61" t="str">
        <f t="shared" si="0"/>
        <v>1256_837</v>
      </c>
      <c r="B9" s="195">
        <v>1256</v>
      </c>
      <c r="C9" s="178">
        <f t="shared" si="1"/>
        <v>1256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ヘル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DropWizS</v>
      </c>
      <c r="G9" s="195">
        <v>1257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危能の幼魔神 ヘル</v>
      </c>
      <c r="I9" s="193">
        <v>837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リトルハンプティ</v>
      </c>
      <c r="K9" s="192">
        <v>1</v>
      </c>
      <c r="L9" s="193">
        <v>1</v>
      </c>
      <c r="M9" s="193">
        <v>1000</v>
      </c>
      <c r="N9" s="2" t="s">
        <v>291</v>
      </c>
    </row>
    <row r="10" spans="1:14" ht="21" customHeight="1" x14ac:dyDescent="0.15">
      <c r="A10" s="61" t="str">
        <f t="shared" si="0"/>
        <v>1258_1256</v>
      </c>
      <c r="B10" s="195">
        <v>1258</v>
      </c>
      <c r="C10" s="178">
        <f t="shared" si="1"/>
        <v>1258</v>
      </c>
      <c r="D10" s="53" t="str">
        <f ca="1">VLOOKUP($C10,OFFSET([1]characters!$A$1,0,0,COUNTA([1]characters!$A:$A),MATCH(D$1,[1]characters!$1:$1,0)-MATCH($C$1,[1]characters!$1:$1,0)+1),MATCH(D$1,[1]characters!$1:$1,0)-MATCH($C$1,[1]characters!$1:$1,0)+1,FALSE)</f>
        <v>ロキ</v>
      </c>
      <c r="E10" s="53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3" t="str">
        <f ca="1">VLOOKUP($C10,OFFSET([1]characters!$A$1,0,0,COUNTA([1]characters!$A:$A),MATCH(F$1,[1]characters!$1:$1,0)-MATCH($C$1,[1]characters!$1:$1,0)+1),MATCH(F$1,[1]characters!$1:$1,0)-MATCH($C$1,[1]characters!$1:$1,0)+1,FALSE)</f>
        <v>DropWizSS</v>
      </c>
      <c r="G10" s="195">
        <v>1259</v>
      </c>
      <c r="H10" s="53" t="str">
        <f ca="1">VLOOKUP($G10,OFFSET([1]characters!$A$1,0,0,COUNTA([1]characters!$A:$A),MATCH(H$1,[1]characters!$1:$1,0)-MATCH($C$1,[1]characters!$1:$1,0)+1),MATCH(H$1,[1]characters!$1:$1,0)-MATCH($C$1,[1]characters!$1:$1,0)+1,FALSE)</f>
        <v>崩世を叫ぶ悪戯 ロキ</v>
      </c>
      <c r="I10" s="194">
        <v>1256</v>
      </c>
      <c r="J10" s="53" t="str">
        <f ca="1">VLOOKUP($I10,OFFSET([1]characters!$A$1,0,0,COUNTA([1]characters!$A:$A),MATCH(J$1,[1]characters!$1:$1,0)-MATCH($C$1,[1]characters!$1:$1,0)+1),MATCH(J$1,[1]characters!$1:$1,0)-MATCH($C$1,[1]characters!$1:$1,0)+1,FALSE)</f>
        <v>ヘル</v>
      </c>
      <c r="K10" s="192">
        <v>1</v>
      </c>
      <c r="L10" s="193">
        <v>1</v>
      </c>
      <c r="M10" s="193">
        <v>100</v>
      </c>
      <c r="N10" s="2" t="s">
        <v>291</v>
      </c>
    </row>
    <row r="11" spans="1:14" ht="21" customHeight="1" x14ac:dyDescent="0.15">
      <c r="A11" s="61" t="str">
        <f t="shared" si="0"/>
        <v>1258_1204</v>
      </c>
      <c r="B11" s="195">
        <v>1258</v>
      </c>
      <c r="C11" s="178">
        <f t="shared" si="1"/>
        <v>1258</v>
      </c>
      <c r="D11" s="53" t="str">
        <f ca="1">VLOOKUP($C11,OFFSET([1]characters!$A$1,0,0,COUNTA([1]characters!$A:$A),MATCH(D$1,[1]characters!$1:$1,0)-MATCH($C$1,[1]characters!$1:$1,0)+1),MATCH(D$1,[1]characters!$1:$1,0)-MATCH($C$1,[1]characters!$1:$1,0)+1,FALSE)</f>
        <v>ロキ</v>
      </c>
      <c r="E11" s="53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3" t="str">
        <f ca="1">VLOOKUP($C11,OFFSET([1]characters!$A$1,0,0,COUNTA([1]characters!$A:$A),MATCH(F$1,[1]characters!$1:$1,0)-MATCH($C$1,[1]characters!$1:$1,0)+1),MATCH(F$1,[1]characters!$1:$1,0)-MATCH($C$1,[1]characters!$1:$1,0)+1,FALSE)</f>
        <v>DropWizSS</v>
      </c>
      <c r="G11" s="195">
        <v>1259</v>
      </c>
      <c r="H11" s="53" t="str">
        <f ca="1">VLOOKUP($G11,OFFSET([1]characters!$A$1,0,0,COUNTA([1]characters!$A:$A),MATCH(H$1,[1]characters!$1:$1,0)-MATCH($C$1,[1]characters!$1:$1,0)+1),MATCH(H$1,[1]characters!$1:$1,0)-MATCH($C$1,[1]characters!$1:$1,0)+1,FALSE)</f>
        <v>崩世を叫ぶ悪戯 ロキ</v>
      </c>
      <c r="I11" s="194">
        <v>1204</v>
      </c>
      <c r="J11" s="53" t="str">
        <f ca="1">VLOOKUP($I11,OFFSET([1]characters!$A$1,0,0,COUNTA([1]characters!$A:$A),MATCH(J$1,[1]characters!$1:$1,0)-MATCH($C$1,[1]characters!$1:$1,0)+1),MATCH(J$1,[1]characters!$1:$1,0)-MATCH($C$1,[1]characters!$1:$1,0)+1,FALSE)</f>
        <v>デルピュネー</v>
      </c>
      <c r="K11" s="192">
        <v>1</v>
      </c>
      <c r="L11" s="193">
        <v>1</v>
      </c>
      <c r="M11" s="193">
        <v>100</v>
      </c>
      <c r="N11" s="2" t="s">
        <v>291</v>
      </c>
    </row>
    <row r="12" spans="1:14" ht="21" customHeight="1" x14ac:dyDescent="0.15">
      <c r="A12" s="61" t="str">
        <f t="shared" si="0"/>
        <v>1258_1131</v>
      </c>
      <c r="B12" s="195">
        <v>1258</v>
      </c>
      <c r="C12" s="178">
        <f t="shared" si="1"/>
        <v>1258</v>
      </c>
      <c r="D12" s="53" t="str">
        <f ca="1">VLOOKUP($C12,OFFSET([1]characters!$A$1,0,0,COUNTA([1]characters!$A:$A),MATCH(D$1,[1]characters!$1:$1,0)-MATCH($C$1,[1]characters!$1:$1,0)+1),MATCH(D$1,[1]characters!$1:$1,0)-MATCH($C$1,[1]characters!$1:$1,0)+1,FALSE)</f>
        <v>ロキ</v>
      </c>
      <c r="E12" s="53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3" t="str">
        <f ca="1">VLOOKUP($C12,OFFSET([1]characters!$A$1,0,0,COUNTA([1]characters!$A:$A),MATCH(F$1,[1]characters!$1:$1,0)-MATCH($C$1,[1]characters!$1:$1,0)+1),MATCH(F$1,[1]characters!$1:$1,0)-MATCH($C$1,[1]characters!$1:$1,0)+1,FALSE)</f>
        <v>DropWizSS</v>
      </c>
      <c r="G12" s="195">
        <v>1259</v>
      </c>
      <c r="H12" s="53" t="str">
        <f ca="1">VLOOKUP($G12,OFFSET([1]characters!$A$1,0,0,COUNTA([1]characters!$A:$A),MATCH(H$1,[1]characters!$1:$1,0)-MATCH($C$1,[1]characters!$1:$1,0)+1),MATCH(H$1,[1]characters!$1:$1,0)-MATCH($C$1,[1]characters!$1:$1,0)+1,FALSE)</f>
        <v>崩世を叫ぶ悪戯 ロキ</v>
      </c>
      <c r="I12" s="194">
        <v>1131</v>
      </c>
      <c r="J12" s="53" t="str">
        <f ca="1">VLOOKUP($I12,OFFSET([1]characters!$A$1,0,0,COUNTA([1]characters!$A:$A),MATCH(J$1,[1]characters!$1:$1,0)-MATCH($C$1,[1]characters!$1:$1,0)+1),MATCH(J$1,[1]characters!$1:$1,0)-MATCH($C$1,[1]characters!$1:$1,0)+1,FALSE)</f>
        <v>董卓</v>
      </c>
      <c r="K12" s="192">
        <v>1</v>
      </c>
      <c r="L12" s="193">
        <v>1</v>
      </c>
      <c r="M12" s="193">
        <v>100</v>
      </c>
      <c r="N12" s="2" t="s">
        <v>291</v>
      </c>
    </row>
    <row r="13" spans="1:14" ht="21" customHeight="1" x14ac:dyDescent="0.15">
      <c r="A13" s="61" t="str">
        <f t="shared" si="0"/>
        <v>1258_490</v>
      </c>
      <c r="B13" s="195">
        <v>1258</v>
      </c>
      <c r="C13" s="178">
        <f t="shared" si="1"/>
        <v>1258</v>
      </c>
      <c r="D13" s="53" t="str">
        <f ca="1">VLOOKUP($C13,OFFSET([1]characters!$A$1,0,0,COUNTA([1]characters!$A:$A),MATCH(D$1,[1]characters!$1:$1,0)-MATCH($C$1,[1]characters!$1:$1,0)+1),MATCH(D$1,[1]characters!$1:$1,0)-MATCH($C$1,[1]characters!$1:$1,0)+1,FALSE)</f>
        <v>ロキ</v>
      </c>
      <c r="E13" s="53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53" t="str">
        <f ca="1">VLOOKUP($C13,OFFSET([1]characters!$A$1,0,0,COUNTA([1]characters!$A:$A),MATCH(F$1,[1]characters!$1:$1,0)-MATCH($C$1,[1]characters!$1:$1,0)+1),MATCH(F$1,[1]characters!$1:$1,0)-MATCH($C$1,[1]characters!$1:$1,0)+1,FALSE)</f>
        <v>DropWizSS</v>
      </c>
      <c r="G13" s="195">
        <v>1259</v>
      </c>
      <c r="H13" s="53" t="str">
        <f ca="1">VLOOKUP($G13,OFFSET([1]characters!$A$1,0,0,COUNTA([1]characters!$A:$A),MATCH(H$1,[1]characters!$1:$1,0)-MATCH($C$1,[1]characters!$1:$1,0)+1),MATCH(H$1,[1]characters!$1:$1,0)-MATCH($C$1,[1]characters!$1:$1,0)+1,FALSE)</f>
        <v>崩世を叫ぶ悪戯 ロキ</v>
      </c>
      <c r="I13" s="194">
        <v>490</v>
      </c>
      <c r="J13" s="53" t="str">
        <f ca="1">VLOOKUP($I13,OFFSET([1]characters!$A$1,0,0,COUNTA([1]characters!$A:$A),MATCH(J$1,[1]characters!$1:$1,0)-MATCH($C$1,[1]characters!$1:$1,0)+1),MATCH(J$1,[1]characters!$1:$1,0)-MATCH($C$1,[1]characters!$1:$1,0)+1,FALSE)</f>
        <v>グリム</v>
      </c>
      <c r="K13" s="192">
        <v>1</v>
      </c>
      <c r="L13" s="193">
        <v>1</v>
      </c>
      <c r="M13" s="193">
        <v>100</v>
      </c>
      <c r="N13" s="2" t="s">
        <v>291</v>
      </c>
    </row>
    <row r="14" spans="1:14" ht="21" customHeight="1" x14ac:dyDescent="0.15">
      <c r="A14" s="61" t="str">
        <f t="shared" si="0"/>
        <v>1258_837</v>
      </c>
      <c r="B14" s="195">
        <v>1258</v>
      </c>
      <c r="C14" s="178">
        <f t="shared" si="1"/>
        <v>1258</v>
      </c>
      <c r="D14" s="53" t="str">
        <f ca="1">VLOOKUP($C14,OFFSET([1]characters!$A$1,0,0,COUNTA([1]characters!$A:$A),MATCH(D$1,[1]characters!$1:$1,0)-MATCH($C$1,[1]characters!$1:$1,0)+1),MATCH(D$1,[1]characters!$1:$1,0)-MATCH($C$1,[1]characters!$1:$1,0)+1,FALSE)</f>
        <v>ロキ</v>
      </c>
      <c r="E14" s="53">
        <f ca="1">VLOOKUP($C14,OFFSET([1]characters!$A$1,0,0,COUNTA([1]characters!$A:$A),MATCH(E$1,[1]characters!$1:$1,0)-MATCH($C$1,[1]characters!$1:$1,0)+1),MATCH(E$1,[1]characters!$1:$1,0)-MATCH($C$1,[1]characters!$1:$1,0)+1,FALSE)</f>
        <v>5</v>
      </c>
      <c r="F14" s="53" t="str">
        <f ca="1">VLOOKUP($C14,OFFSET([1]characters!$A$1,0,0,COUNTA([1]characters!$A:$A),MATCH(F$1,[1]characters!$1:$1,0)-MATCH($C$1,[1]characters!$1:$1,0)+1),MATCH(F$1,[1]characters!$1:$1,0)-MATCH($C$1,[1]characters!$1:$1,0)+1,FALSE)</f>
        <v>DropWizSS</v>
      </c>
      <c r="G14" s="195">
        <v>1259</v>
      </c>
      <c r="H14" s="53" t="str">
        <f ca="1">VLOOKUP($G14,OFFSET([1]characters!$A$1,0,0,COUNTA([1]characters!$A:$A),MATCH(H$1,[1]characters!$1:$1,0)-MATCH($C$1,[1]characters!$1:$1,0)+1),MATCH(H$1,[1]characters!$1:$1,0)-MATCH($C$1,[1]characters!$1:$1,0)+1,FALSE)</f>
        <v>崩世を叫ぶ悪戯 ロキ</v>
      </c>
      <c r="I14" s="194">
        <v>837</v>
      </c>
      <c r="J14" s="53" t="str">
        <f ca="1">VLOOKUP($I14,OFFSET([1]characters!$A$1,0,0,COUNTA([1]characters!$A:$A),MATCH(J$1,[1]characters!$1:$1,0)-MATCH($C$1,[1]characters!$1:$1,0)+1),MATCH(J$1,[1]characters!$1:$1,0)-MATCH($C$1,[1]characters!$1:$1,0)+1,FALSE)</f>
        <v>リトルハンプティ</v>
      </c>
      <c r="K14" s="192">
        <v>1</v>
      </c>
      <c r="L14" s="193">
        <v>1</v>
      </c>
      <c r="M14" s="193">
        <v>1000</v>
      </c>
      <c r="N14" s="2" t="s">
        <v>291</v>
      </c>
    </row>
    <row r="15" spans="1:14" ht="21" customHeight="1" x14ac:dyDescent="0.15">
      <c r="A15" s="61" t="str">
        <f t="shared" si="0"/>
        <v>1260_103</v>
      </c>
      <c r="B15" s="195">
        <v>1260</v>
      </c>
      <c r="C15" s="178">
        <f t="shared" si="1"/>
        <v>1260</v>
      </c>
      <c r="D15" s="53" t="str">
        <f ca="1">VLOOKUP($C15,OFFSET([1]characters!$A$1,0,0,COUNTA([1]characters!$A:$A),MATCH(D$1,[1]characters!$1:$1,0)-MATCH($C$1,[1]characters!$1:$1,0)+1),MATCH(D$1,[1]characters!$1:$1,0)-MATCH($C$1,[1]characters!$1:$1,0)+1,FALSE)</f>
        <v>トール</v>
      </c>
      <c r="E15" s="53">
        <f ca="1">VLOOKUP($C15,OFFSET([1]characters!$A$1,0,0,COUNTA([1]characters!$A:$A),MATCH(E$1,[1]characters!$1:$1,0)-MATCH($C$1,[1]characters!$1:$1,0)+1),MATCH(E$1,[1]characters!$1:$1,0)-MATCH($C$1,[1]characters!$1:$1,0)+1,FALSE)</f>
        <v>5</v>
      </c>
      <c r="F15" s="53" t="str">
        <f ca="1">VLOOKUP($C15,OFFSET([1]characters!$A$1,0,0,COUNTA([1]characters!$A:$A),MATCH(F$1,[1]characters!$1:$1,0)-MATCH($C$1,[1]characters!$1:$1,0)+1),MATCH(F$1,[1]characters!$1:$1,0)-MATCH($C$1,[1]characters!$1:$1,0)+1,FALSE)</f>
        <v>PremiumSS</v>
      </c>
      <c r="G15" s="195">
        <v>1261</v>
      </c>
      <c r="H15" s="53" t="str">
        <f ca="1">VLOOKUP($G15,OFFSET([1]characters!$A$1,0,0,COUNTA([1]characters!$A:$A),MATCH(H$1,[1]characters!$1:$1,0)-MATCH($C$1,[1]characters!$1:$1,0)+1),MATCH(H$1,[1]characters!$1:$1,0)-MATCH($C$1,[1]characters!$1:$1,0)+1,FALSE)</f>
        <v>燃雷の鎚撃 トール</v>
      </c>
      <c r="I15" s="194">
        <v>103</v>
      </c>
      <c r="J15" s="53" t="str">
        <f ca="1">VLOOKUP($I15,OFFSET([1]characters!$A$1,0,0,COUNTA([1]characters!$A:$A),MATCH(J$1,[1]characters!$1:$1,0)-MATCH($C$1,[1]characters!$1:$1,0)+1),MATCH(J$1,[1]characters!$1:$1,0)-MATCH($C$1,[1]characters!$1:$1,0)+1,FALSE)</f>
        <v>レッドキャタップ</v>
      </c>
      <c r="K15" s="192">
        <v>1</v>
      </c>
      <c r="L15" s="193">
        <v>1</v>
      </c>
      <c r="M15" s="193">
        <v>10</v>
      </c>
      <c r="N15" s="2" t="s">
        <v>291</v>
      </c>
    </row>
    <row r="16" spans="1:14" ht="21" customHeight="1" x14ac:dyDescent="0.15">
      <c r="A16" s="61" t="str">
        <f t="shared" si="0"/>
        <v>1260_104</v>
      </c>
      <c r="B16" s="195">
        <v>1260</v>
      </c>
      <c r="C16" s="178">
        <f t="shared" si="1"/>
        <v>1260</v>
      </c>
      <c r="D16" s="53" t="str">
        <f ca="1">VLOOKUP($C16,OFFSET([1]characters!$A$1,0,0,COUNTA([1]characters!$A:$A),MATCH(D$1,[1]characters!$1:$1,0)-MATCH($C$1,[1]characters!$1:$1,0)+1),MATCH(D$1,[1]characters!$1:$1,0)-MATCH($C$1,[1]characters!$1:$1,0)+1,FALSE)</f>
        <v>トール</v>
      </c>
      <c r="E16" s="53">
        <f ca="1">VLOOKUP($C16,OFFSET([1]characters!$A$1,0,0,COUNTA([1]characters!$A:$A),MATCH(E$1,[1]characters!$1:$1,0)-MATCH($C$1,[1]characters!$1:$1,0)+1),MATCH(E$1,[1]characters!$1:$1,0)-MATCH($C$1,[1]characters!$1:$1,0)+1,FALSE)</f>
        <v>5</v>
      </c>
      <c r="F16" s="53" t="str">
        <f ca="1">VLOOKUP($C16,OFFSET([1]characters!$A$1,0,0,COUNTA([1]characters!$A:$A),MATCH(F$1,[1]characters!$1:$1,0)-MATCH($C$1,[1]characters!$1:$1,0)+1),MATCH(F$1,[1]characters!$1:$1,0)-MATCH($C$1,[1]characters!$1:$1,0)+1,FALSE)</f>
        <v>PremiumSS</v>
      </c>
      <c r="G16" s="195">
        <v>1261</v>
      </c>
      <c r="H16" s="53" t="str">
        <f ca="1">VLOOKUP($G16,OFFSET([1]characters!$A$1,0,0,COUNTA([1]characters!$A:$A),MATCH(H$1,[1]characters!$1:$1,0)-MATCH($C$1,[1]characters!$1:$1,0)+1),MATCH(H$1,[1]characters!$1:$1,0)-MATCH($C$1,[1]characters!$1:$1,0)+1,FALSE)</f>
        <v>燃雷の鎚撃 トール</v>
      </c>
      <c r="I16" s="194">
        <v>104</v>
      </c>
      <c r="J16" s="53" t="str">
        <f ca="1">VLOOKUP($I16,OFFSET([1]characters!$A$1,0,0,COUNTA([1]characters!$A:$A),MATCH(J$1,[1]characters!$1:$1,0)-MATCH($C$1,[1]characters!$1:$1,0)+1),MATCH(J$1,[1]characters!$1:$1,0)-MATCH($C$1,[1]characters!$1:$1,0)+1,FALSE)</f>
        <v>炎のマッドハッター</v>
      </c>
      <c r="K16" s="192">
        <v>1</v>
      </c>
      <c r="L16" s="193">
        <v>1</v>
      </c>
      <c r="M16" s="193">
        <v>10</v>
      </c>
      <c r="N16" s="2" t="s">
        <v>291</v>
      </c>
    </row>
    <row r="17" spans="1:14" ht="21" customHeight="1" x14ac:dyDescent="0.15">
      <c r="A17" s="61" t="str">
        <f t="shared" si="0"/>
        <v>1260_837</v>
      </c>
      <c r="B17" s="195">
        <v>1260</v>
      </c>
      <c r="C17" s="178">
        <f t="shared" si="1"/>
        <v>1260</v>
      </c>
      <c r="D17" s="53" t="str">
        <f ca="1">VLOOKUP($C17,OFFSET([1]characters!$A$1,0,0,COUNTA([1]characters!$A:$A),MATCH(D$1,[1]characters!$1:$1,0)-MATCH($C$1,[1]characters!$1:$1,0)+1),MATCH(D$1,[1]characters!$1:$1,0)-MATCH($C$1,[1]characters!$1:$1,0)+1,FALSE)</f>
        <v>トール</v>
      </c>
      <c r="E17" s="53">
        <f ca="1">VLOOKUP($C17,OFFSET([1]characters!$A$1,0,0,COUNTA([1]characters!$A:$A),MATCH(E$1,[1]characters!$1:$1,0)-MATCH($C$1,[1]characters!$1:$1,0)+1),MATCH(E$1,[1]characters!$1:$1,0)-MATCH($C$1,[1]characters!$1:$1,0)+1,FALSE)</f>
        <v>5</v>
      </c>
      <c r="F17" s="53" t="str">
        <f ca="1">VLOOKUP($C17,OFFSET([1]characters!$A$1,0,0,COUNTA([1]characters!$A:$A),MATCH(F$1,[1]characters!$1:$1,0)-MATCH($C$1,[1]characters!$1:$1,0)+1),MATCH(F$1,[1]characters!$1:$1,0)-MATCH($C$1,[1]characters!$1:$1,0)+1,FALSE)</f>
        <v>PremiumSS</v>
      </c>
      <c r="G17" s="195">
        <v>1261</v>
      </c>
      <c r="H17" s="53" t="str">
        <f ca="1">VLOOKUP($G17,OFFSET([1]characters!$A$1,0,0,COUNTA([1]characters!$A:$A),MATCH(H$1,[1]characters!$1:$1,0)-MATCH($C$1,[1]characters!$1:$1,0)+1),MATCH(H$1,[1]characters!$1:$1,0)-MATCH($C$1,[1]characters!$1:$1,0)+1,FALSE)</f>
        <v>燃雷の鎚撃 トール</v>
      </c>
      <c r="I17" s="194">
        <v>837</v>
      </c>
      <c r="J17" s="53" t="str">
        <f ca="1">VLOOKUP($I17,OFFSET([1]characters!$A$1,0,0,COUNTA([1]characters!$A:$A),MATCH(J$1,[1]characters!$1:$1,0)-MATCH($C$1,[1]characters!$1:$1,0)+1),MATCH(J$1,[1]characters!$1:$1,0)-MATCH($C$1,[1]characters!$1:$1,0)+1,FALSE)</f>
        <v>リトルハンプティ</v>
      </c>
      <c r="K17" s="192">
        <v>1</v>
      </c>
      <c r="L17" s="193">
        <v>1</v>
      </c>
      <c r="M17" s="193">
        <v>1000</v>
      </c>
      <c r="N17" s="2" t="s">
        <v>291</v>
      </c>
    </row>
    <row r="18" spans="1:14" ht="21" customHeight="1" x14ac:dyDescent="0.15">
      <c r="A18" s="61" t="str">
        <f t="shared" si="0"/>
        <v>1260_1252</v>
      </c>
      <c r="B18" s="195">
        <v>1260</v>
      </c>
      <c r="C18" s="178">
        <f t="shared" si="1"/>
        <v>1260</v>
      </c>
      <c r="D18" s="53" t="str">
        <f ca="1">VLOOKUP($C18,OFFSET([1]characters!$A$1,0,0,COUNTA([1]characters!$A:$A),MATCH(D$1,[1]characters!$1:$1,0)-MATCH($C$1,[1]characters!$1:$1,0)+1),MATCH(D$1,[1]characters!$1:$1,0)-MATCH($C$1,[1]characters!$1:$1,0)+1,FALSE)</f>
        <v>トール</v>
      </c>
      <c r="E18" s="53">
        <f ca="1">VLOOKUP($C18,OFFSET([1]characters!$A$1,0,0,COUNTA([1]characters!$A:$A),MATCH(E$1,[1]characters!$1:$1,0)-MATCH($C$1,[1]characters!$1:$1,0)+1),MATCH(E$1,[1]characters!$1:$1,0)-MATCH($C$1,[1]characters!$1:$1,0)+1,FALSE)</f>
        <v>5</v>
      </c>
      <c r="F18" s="53" t="str">
        <f ca="1">VLOOKUP($C18,OFFSET([1]characters!$A$1,0,0,COUNTA([1]characters!$A:$A),MATCH(F$1,[1]characters!$1:$1,0)-MATCH($C$1,[1]characters!$1:$1,0)+1),MATCH(F$1,[1]characters!$1:$1,0)-MATCH($C$1,[1]characters!$1:$1,0)+1,FALSE)</f>
        <v>PremiumSS</v>
      </c>
      <c r="G18" s="195">
        <v>1261</v>
      </c>
      <c r="H18" s="53" t="str">
        <f ca="1">VLOOKUP($G18,OFFSET([1]characters!$A$1,0,0,COUNTA([1]characters!$A:$A),MATCH(H$1,[1]characters!$1:$1,0)-MATCH($C$1,[1]characters!$1:$1,0)+1),MATCH(H$1,[1]characters!$1:$1,0)-MATCH($C$1,[1]characters!$1:$1,0)+1,FALSE)</f>
        <v>燃雷の鎚撃 トール</v>
      </c>
      <c r="I18" s="194">
        <v>1252</v>
      </c>
      <c r="J18" s="53" t="str">
        <f ca="1">VLOOKUP($I18,OFFSET([1]characters!$A$1,0,0,COUNTA([1]characters!$A:$A),MATCH(J$1,[1]characters!$1:$1,0)-MATCH($C$1,[1]characters!$1:$1,0)+1),MATCH(J$1,[1]characters!$1:$1,0)-MATCH($C$1,[1]characters!$1:$1,0)+1,FALSE)</f>
        <v>ギャラルホルン</v>
      </c>
      <c r="K18" s="192">
        <v>1</v>
      </c>
      <c r="L18" s="193">
        <v>1</v>
      </c>
      <c r="M18" s="193">
        <v>100</v>
      </c>
      <c r="N18" s="2" t="s">
        <v>291</v>
      </c>
    </row>
    <row r="19" spans="1:14" ht="21" customHeight="1" x14ac:dyDescent="0.15">
      <c r="A19" s="61" t="str">
        <f t="shared" si="0"/>
        <v>1260_276</v>
      </c>
      <c r="B19" s="195">
        <v>1260</v>
      </c>
      <c r="C19" s="178">
        <f t="shared" si="1"/>
        <v>1260</v>
      </c>
      <c r="D19" s="53" t="str">
        <f ca="1">VLOOKUP($C19,OFFSET([1]characters!$A$1,0,0,COUNTA([1]characters!$A:$A),MATCH(D$1,[1]characters!$1:$1,0)-MATCH($C$1,[1]characters!$1:$1,0)+1),MATCH(D$1,[1]characters!$1:$1,0)-MATCH($C$1,[1]characters!$1:$1,0)+1,FALSE)</f>
        <v>トール</v>
      </c>
      <c r="E19" s="53">
        <f ca="1">VLOOKUP($C19,OFFSET([1]characters!$A$1,0,0,COUNTA([1]characters!$A:$A),MATCH(E$1,[1]characters!$1:$1,0)-MATCH($C$1,[1]characters!$1:$1,0)+1),MATCH(E$1,[1]characters!$1:$1,0)-MATCH($C$1,[1]characters!$1:$1,0)+1,FALSE)</f>
        <v>5</v>
      </c>
      <c r="F19" s="53" t="str">
        <f ca="1">VLOOKUP($C19,OFFSET([1]characters!$A$1,0,0,COUNTA([1]characters!$A:$A),MATCH(F$1,[1]characters!$1:$1,0)-MATCH($C$1,[1]characters!$1:$1,0)+1),MATCH(F$1,[1]characters!$1:$1,0)-MATCH($C$1,[1]characters!$1:$1,0)+1,FALSE)</f>
        <v>PremiumSS</v>
      </c>
      <c r="G19" s="195">
        <v>1261</v>
      </c>
      <c r="H19" s="53" t="str">
        <f ca="1">VLOOKUP($G19,OFFSET([1]characters!$A$1,0,0,COUNTA([1]characters!$A:$A),MATCH(H$1,[1]characters!$1:$1,0)-MATCH($C$1,[1]characters!$1:$1,0)+1),MATCH(H$1,[1]characters!$1:$1,0)-MATCH($C$1,[1]characters!$1:$1,0)+1,FALSE)</f>
        <v>燃雷の鎚撃 トール</v>
      </c>
      <c r="I19" s="194">
        <v>276</v>
      </c>
      <c r="J19" s="53" t="str">
        <f ca="1">VLOOKUP($I19,OFFSET([1]characters!$A$1,0,0,COUNTA([1]characters!$A:$A),MATCH(J$1,[1]characters!$1:$1,0)-MATCH($C$1,[1]characters!$1:$1,0)+1),MATCH(J$1,[1]characters!$1:$1,0)-MATCH($C$1,[1]characters!$1:$1,0)+1,FALSE)</f>
        <v>機拳のイリア</v>
      </c>
      <c r="K19" s="192">
        <v>1</v>
      </c>
      <c r="L19" s="193">
        <v>1</v>
      </c>
      <c r="M19" s="193">
        <v>100</v>
      </c>
      <c r="N19" s="2" t="s">
        <v>291</v>
      </c>
    </row>
    <row r="20" spans="1:14" ht="21" customHeight="1" x14ac:dyDescent="0.15">
      <c r="A20" s="61" t="str">
        <f t="shared" si="0"/>
        <v>1262_107</v>
      </c>
      <c r="B20" s="195">
        <v>1262</v>
      </c>
      <c r="C20" s="178">
        <f t="shared" si="1"/>
        <v>1262</v>
      </c>
      <c r="D20" s="53" t="str">
        <f ca="1">VLOOKUP($C20,OFFSET([1]characters!$A$1,0,0,COUNTA([1]characters!$A:$A),MATCH(D$1,[1]characters!$1:$1,0)-MATCH($C$1,[1]characters!$1:$1,0)+1),MATCH(D$1,[1]characters!$1:$1,0)-MATCH($C$1,[1]characters!$1:$1,0)+1,FALSE)</f>
        <v>イズン</v>
      </c>
      <c r="E20" s="53">
        <f ca="1">VLOOKUP($C20,OFFSET([1]characters!$A$1,0,0,COUNTA([1]characters!$A:$A),MATCH(E$1,[1]characters!$1:$1,0)-MATCH($C$1,[1]characters!$1:$1,0)+1),MATCH(E$1,[1]characters!$1:$1,0)-MATCH($C$1,[1]characters!$1:$1,0)+1,FALSE)</f>
        <v>5</v>
      </c>
      <c r="F20" s="53" t="str">
        <f ca="1">VLOOKUP($C20,OFFSET([1]characters!$A$1,0,0,COUNTA([1]characters!$A:$A),MATCH(F$1,[1]characters!$1:$1,0)-MATCH($C$1,[1]characters!$1:$1,0)+1),MATCH(F$1,[1]characters!$1:$1,0)-MATCH($C$1,[1]characters!$1:$1,0)+1,FALSE)</f>
        <v>PremiumSSw</v>
      </c>
      <c r="G20" s="195">
        <v>1263</v>
      </c>
      <c r="H20" s="53" t="str">
        <f ca="1">VLOOKUP($G20,OFFSET([1]characters!$A$1,0,0,COUNTA([1]characters!$A:$A),MATCH(H$1,[1]characters!$1:$1,0)-MATCH($C$1,[1]characters!$1:$1,0)+1),MATCH(H$1,[1]characters!$1:$1,0)-MATCH($C$1,[1]characters!$1:$1,0)+1,FALSE)</f>
        <v>純朴なる檻理人 イズン</v>
      </c>
      <c r="I20" s="194">
        <v>107</v>
      </c>
      <c r="J20" s="53" t="str">
        <f ca="1">VLOOKUP($I20,OFFSET([1]characters!$A$1,0,0,COUNTA([1]characters!$A:$A),MATCH(J$1,[1]characters!$1:$1,0)-MATCH($C$1,[1]characters!$1:$1,0)+1),MATCH(J$1,[1]characters!$1:$1,0)-MATCH($C$1,[1]characters!$1:$1,0)+1,FALSE)</f>
        <v>グリーンキャタップ</v>
      </c>
      <c r="K20" s="192">
        <v>1</v>
      </c>
      <c r="L20" s="193">
        <v>1</v>
      </c>
      <c r="M20" s="193">
        <v>10</v>
      </c>
      <c r="N20" s="2" t="s">
        <v>291</v>
      </c>
    </row>
    <row r="21" spans="1:14" ht="21" customHeight="1" x14ac:dyDescent="0.15">
      <c r="A21" s="61" t="str">
        <f t="shared" si="0"/>
        <v>1262_108</v>
      </c>
      <c r="B21" s="195">
        <v>1262</v>
      </c>
      <c r="C21" s="178">
        <f t="shared" si="1"/>
        <v>1262</v>
      </c>
      <c r="D21" s="53" t="str">
        <f ca="1">VLOOKUP($C21,OFFSET([1]characters!$A$1,0,0,COUNTA([1]characters!$A:$A),MATCH(D$1,[1]characters!$1:$1,0)-MATCH($C$1,[1]characters!$1:$1,0)+1),MATCH(D$1,[1]characters!$1:$1,0)-MATCH($C$1,[1]characters!$1:$1,0)+1,FALSE)</f>
        <v>イズン</v>
      </c>
      <c r="E21" s="53">
        <f ca="1">VLOOKUP($C21,OFFSET([1]characters!$A$1,0,0,COUNTA([1]characters!$A:$A),MATCH(E$1,[1]characters!$1:$1,0)-MATCH($C$1,[1]characters!$1:$1,0)+1),MATCH(E$1,[1]characters!$1:$1,0)-MATCH($C$1,[1]characters!$1:$1,0)+1,FALSE)</f>
        <v>5</v>
      </c>
      <c r="F21" s="53" t="str">
        <f ca="1">VLOOKUP($C21,OFFSET([1]characters!$A$1,0,0,COUNTA([1]characters!$A:$A),MATCH(F$1,[1]characters!$1:$1,0)-MATCH($C$1,[1]characters!$1:$1,0)+1),MATCH(F$1,[1]characters!$1:$1,0)-MATCH($C$1,[1]characters!$1:$1,0)+1,FALSE)</f>
        <v>PremiumSSw</v>
      </c>
      <c r="G21" s="195">
        <v>1263</v>
      </c>
      <c r="H21" s="53" t="str">
        <f ca="1">VLOOKUP($G21,OFFSET([1]characters!$A$1,0,0,COUNTA([1]characters!$A:$A),MATCH(H$1,[1]characters!$1:$1,0)-MATCH($C$1,[1]characters!$1:$1,0)+1),MATCH(H$1,[1]characters!$1:$1,0)-MATCH($C$1,[1]characters!$1:$1,0)+1,FALSE)</f>
        <v>純朴なる檻理人 イズン</v>
      </c>
      <c r="I21" s="194">
        <v>108</v>
      </c>
      <c r="J21" s="53" t="str">
        <f ca="1">VLOOKUP($I21,OFFSET([1]characters!$A$1,0,0,COUNTA([1]characters!$A:$A),MATCH(J$1,[1]characters!$1:$1,0)-MATCH($C$1,[1]characters!$1:$1,0)+1),MATCH(J$1,[1]characters!$1:$1,0)-MATCH($C$1,[1]characters!$1:$1,0)+1,FALSE)</f>
        <v>森のマッドハッター</v>
      </c>
      <c r="K21" s="192">
        <v>1</v>
      </c>
      <c r="L21" s="193">
        <v>1</v>
      </c>
      <c r="M21" s="193">
        <v>10</v>
      </c>
      <c r="N21" s="2" t="s">
        <v>291</v>
      </c>
    </row>
    <row r="22" spans="1:14" ht="21" customHeight="1" x14ac:dyDescent="0.15">
      <c r="A22" s="61" t="str">
        <f t="shared" si="0"/>
        <v>1262_300</v>
      </c>
      <c r="B22" s="195">
        <v>1262</v>
      </c>
      <c r="C22" s="178">
        <f t="shared" si="1"/>
        <v>1262</v>
      </c>
      <c r="D22" s="53" t="str">
        <f ca="1">VLOOKUP($C22,OFFSET([1]characters!$A$1,0,0,COUNTA([1]characters!$A:$A),MATCH(D$1,[1]characters!$1:$1,0)-MATCH($C$1,[1]characters!$1:$1,0)+1),MATCH(D$1,[1]characters!$1:$1,0)-MATCH($C$1,[1]characters!$1:$1,0)+1,FALSE)</f>
        <v>イズン</v>
      </c>
      <c r="E22" s="53">
        <f ca="1">VLOOKUP($C22,OFFSET([1]characters!$A$1,0,0,COUNTA([1]characters!$A:$A),MATCH(E$1,[1]characters!$1:$1,0)-MATCH($C$1,[1]characters!$1:$1,0)+1),MATCH(E$1,[1]characters!$1:$1,0)-MATCH($C$1,[1]characters!$1:$1,0)+1,FALSE)</f>
        <v>5</v>
      </c>
      <c r="F22" s="53" t="str">
        <f ca="1">VLOOKUP($C22,OFFSET([1]characters!$A$1,0,0,COUNTA([1]characters!$A:$A),MATCH(F$1,[1]characters!$1:$1,0)-MATCH($C$1,[1]characters!$1:$1,0)+1),MATCH(F$1,[1]characters!$1:$1,0)-MATCH($C$1,[1]characters!$1:$1,0)+1,FALSE)</f>
        <v>PremiumSSw</v>
      </c>
      <c r="G22" s="195">
        <v>1263</v>
      </c>
      <c r="H22" s="53" t="str">
        <f ca="1">VLOOKUP($G22,OFFSET([1]characters!$A$1,0,0,COUNTA([1]characters!$A:$A),MATCH(H$1,[1]characters!$1:$1,0)-MATCH($C$1,[1]characters!$1:$1,0)+1),MATCH(H$1,[1]characters!$1:$1,0)-MATCH($C$1,[1]characters!$1:$1,0)+1,FALSE)</f>
        <v>純朴なる檻理人 イズン</v>
      </c>
      <c r="I22" s="194">
        <v>300</v>
      </c>
      <c r="J22" s="53" t="str">
        <f ca="1">VLOOKUP($I22,OFFSET([1]characters!$A$1,0,0,COUNTA([1]characters!$A:$A),MATCH(J$1,[1]characters!$1:$1,0)-MATCH($C$1,[1]characters!$1:$1,0)+1),MATCH(J$1,[1]characters!$1:$1,0)-MATCH($C$1,[1]characters!$1:$1,0)+1,FALSE)</f>
        <v>毒殺のチカ</v>
      </c>
      <c r="K22" s="192">
        <v>1</v>
      </c>
      <c r="L22" s="193">
        <v>1</v>
      </c>
      <c r="M22" s="193">
        <v>100</v>
      </c>
      <c r="N22" s="2" t="s">
        <v>291</v>
      </c>
    </row>
    <row r="23" spans="1:14" ht="21" customHeight="1" x14ac:dyDescent="0.15">
      <c r="A23" s="61" t="str">
        <f t="shared" si="0"/>
        <v>1262_1252</v>
      </c>
      <c r="B23" s="195">
        <v>1262</v>
      </c>
      <c r="C23" s="178">
        <f t="shared" si="1"/>
        <v>1262</v>
      </c>
      <c r="D23" s="53" t="str">
        <f ca="1">VLOOKUP($C23,OFFSET([1]characters!$A$1,0,0,COUNTA([1]characters!$A:$A),MATCH(D$1,[1]characters!$1:$1,0)-MATCH($C$1,[1]characters!$1:$1,0)+1),MATCH(D$1,[1]characters!$1:$1,0)-MATCH($C$1,[1]characters!$1:$1,0)+1,FALSE)</f>
        <v>イズン</v>
      </c>
      <c r="E23" s="53">
        <f ca="1">VLOOKUP($C23,OFFSET([1]characters!$A$1,0,0,COUNTA([1]characters!$A:$A),MATCH(E$1,[1]characters!$1:$1,0)-MATCH($C$1,[1]characters!$1:$1,0)+1),MATCH(E$1,[1]characters!$1:$1,0)-MATCH($C$1,[1]characters!$1:$1,0)+1,FALSE)</f>
        <v>5</v>
      </c>
      <c r="F23" s="53" t="str">
        <f ca="1">VLOOKUP($C23,OFFSET([1]characters!$A$1,0,0,COUNTA([1]characters!$A:$A),MATCH(F$1,[1]characters!$1:$1,0)-MATCH($C$1,[1]characters!$1:$1,0)+1),MATCH(F$1,[1]characters!$1:$1,0)-MATCH($C$1,[1]characters!$1:$1,0)+1,FALSE)</f>
        <v>PremiumSSw</v>
      </c>
      <c r="G23" s="195">
        <v>1263</v>
      </c>
      <c r="H23" s="53" t="str">
        <f ca="1">VLOOKUP($G23,OFFSET([1]characters!$A$1,0,0,COUNTA([1]characters!$A:$A),MATCH(H$1,[1]characters!$1:$1,0)-MATCH($C$1,[1]characters!$1:$1,0)+1),MATCH(H$1,[1]characters!$1:$1,0)-MATCH($C$1,[1]characters!$1:$1,0)+1,FALSE)</f>
        <v>純朴なる檻理人 イズン</v>
      </c>
      <c r="I23" s="194">
        <v>1252</v>
      </c>
      <c r="J23" s="53" t="str">
        <f ca="1">VLOOKUP($I23,OFFSET([1]characters!$A$1,0,0,COUNTA([1]characters!$A:$A),MATCH(J$1,[1]characters!$1:$1,0)-MATCH($C$1,[1]characters!$1:$1,0)+1),MATCH(J$1,[1]characters!$1:$1,0)-MATCH($C$1,[1]characters!$1:$1,0)+1,FALSE)</f>
        <v>ギャラルホルン</v>
      </c>
      <c r="K23" s="192">
        <v>1</v>
      </c>
      <c r="L23" s="193">
        <v>1</v>
      </c>
      <c r="M23" s="193">
        <v>100</v>
      </c>
      <c r="N23" s="2" t="s">
        <v>291</v>
      </c>
    </row>
    <row r="24" spans="1:14" ht="21" customHeight="1" x14ac:dyDescent="0.15">
      <c r="A24" s="61" t="str">
        <f t="shared" si="0"/>
        <v>1262_837</v>
      </c>
      <c r="B24" s="195">
        <v>1262</v>
      </c>
      <c r="C24" s="178">
        <f t="shared" si="1"/>
        <v>1262</v>
      </c>
      <c r="D24" s="53" t="str">
        <f ca="1">VLOOKUP($C24,OFFSET([1]characters!$A$1,0,0,COUNTA([1]characters!$A:$A),MATCH(D$1,[1]characters!$1:$1,0)-MATCH($C$1,[1]characters!$1:$1,0)+1),MATCH(D$1,[1]characters!$1:$1,0)-MATCH($C$1,[1]characters!$1:$1,0)+1,FALSE)</f>
        <v>イズン</v>
      </c>
      <c r="E24" s="53">
        <f ca="1">VLOOKUP($C24,OFFSET([1]characters!$A$1,0,0,COUNTA([1]characters!$A:$A),MATCH(E$1,[1]characters!$1:$1,0)-MATCH($C$1,[1]characters!$1:$1,0)+1),MATCH(E$1,[1]characters!$1:$1,0)-MATCH($C$1,[1]characters!$1:$1,0)+1,FALSE)</f>
        <v>5</v>
      </c>
      <c r="F24" s="53" t="str">
        <f ca="1">VLOOKUP($C24,OFFSET([1]characters!$A$1,0,0,COUNTA([1]characters!$A:$A),MATCH(F$1,[1]characters!$1:$1,0)-MATCH($C$1,[1]characters!$1:$1,0)+1),MATCH(F$1,[1]characters!$1:$1,0)-MATCH($C$1,[1]characters!$1:$1,0)+1,FALSE)</f>
        <v>PremiumSSw</v>
      </c>
      <c r="G24" s="195">
        <v>1263</v>
      </c>
      <c r="H24" s="53" t="str">
        <f ca="1">VLOOKUP($G24,OFFSET([1]characters!$A$1,0,0,COUNTA([1]characters!$A:$A),MATCH(H$1,[1]characters!$1:$1,0)-MATCH($C$1,[1]characters!$1:$1,0)+1),MATCH(H$1,[1]characters!$1:$1,0)-MATCH($C$1,[1]characters!$1:$1,0)+1,FALSE)</f>
        <v>純朴なる檻理人 イズン</v>
      </c>
      <c r="I24" s="194">
        <v>837</v>
      </c>
      <c r="J24" s="53" t="str">
        <f ca="1">VLOOKUP($I24,OFFSET([1]characters!$A$1,0,0,COUNTA([1]characters!$A:$A),MATCH(J$1,[1]characters!$1:$1,0)-MATCH($C$1,[1]characters!$1:$1,0)+1),MATCH(J$1,[1]characters!$1:$1,0)-MATCH($C$1,[1]characters!$1:$1,0)+1,FALSE)</f>
        <v>リトルハンプティ</v>
      </c>
      <c r="K24" s="192">
        <v>1</v>
      </c>
      <c r="L24" s="193">
        <v>1</v>
      </c>
      <c r="M24" s="193">
        <v>1000</v>
      </c>
      <c r="N24" s="2" t="s">
        <v>291</v>
      </c>
    </row>
    <row r="25" spans="1:14" ht="21" customHeight="1" x14ac:dyDescent="0.15">
      <c r="A25" s="61" t="str">
        <f t="shared" si="0"/>
        <v>1264_111</v>
      </c>
      <c r="B25" s="195">
        <v>1264</v>
      </c>
      <c r="C25" s="178">
        <f t="shared" si="1"/>
        <v>1264</v>
      </c>
      <c r="D25" s="53" t="str">
        <f ca="1">VLOOKUP($C25,OFFSET([1]characters!$A$1,0,0,COUNTA([1]characters!$A:$A),MATCH(D$1,[1]characters!$1:$1,0)-MATCH($C$1,[1]characters!$1:$1,0)+1),MATCH(D$1,[1]characters!$1:$1,0)-MATCH($C$1,[1]characters!$1:$1,0)+1,FALSE)</f>
        <v>ウルズ</v>
      </c>
      <c r="E25" s="53">
        <f ca="1">VLOOKUP($C25,OFFSET([1]characters!$A$1,0,0,COUNTA([1]characters!$A:$A),MATCH(E$1,[1]characters!$1:$1,0)-MATCH($C$1,[1]characters!$1:$1,0)+1),MATCH(E$1,[1]characters!$1:$1,0)-MATCH($C$1,[1]characters!$1:$1,0)+1,FALSE)</f>
        <v>5</v>
      </c>
      <c r="F25" s="53" t="str">
        <f ca="1">VLOOKUP($C25,OFFSET([1]characters!$A$1,0,0,COUNTA([1]characters!$A:$A),MATCH(F$1,[1]characters!$1:$1,0)-MATCH($C$1,[1]characters!$1:$1,0)+1),MATCH(F$1,[1]characters!$1:$1,0)-MATCH($C$1,[1]characters!$1:$1,0)+1,FALSE)</f>
        <v>PremiumSS</v>
      </c>
      <c r="G25" s="195">
        <v>1265</v>
      </c>
      <c r="H25" s="53" t="str">
        <f ca="1">VLOOKUP($G25,OFFSET([1]characters!$A$1,0,0,COUNTA([1]characters!$A:$A),MATCH(H$1,[1]characters!$1:$1,0)-MATCH($C$1,[1]characters!$1:$1,0)+1),MATCH(H$1,[1]characters!$1:$1,0)-MATCH($C$1,[1]characters!$1:$1,0)+1,FALSE)</f>
        <v>静観する世限者 ウルズ</v>
      </c>
      <c r="I25" s="194">
        <v>111</v>
      </c>
      <c r="J25" s="53" t="str">
        <f ca="1">VLOOKUP($I25,OFFSET([1]characters!$A$1,0,0,COUNTA([1]characters!$A:$A),MATCH(J$1,[1]characters!$1:$1,0)-MATCH($C$1,[1]characters!$1:$1,0)+1),MATCH(J$1,[1]characters!$1:$1,0)-MATCH($C$1,[1]characters!$1:$1,0)+1,FALSE)</f>
        <v>ブルーキャタップ</v>
      </c>
      <c r="K25" s="192">
        <v>1</v>
      </c>
      <c r="L25" s="193">
        <v>1</v>
      </c>
      <c r="M25" s="193">
        <v>10</v>
      </c>
      <c r="N25" s="2" t="s">
        <v>291</v>
      </c>
    </row>
    <row r="26" spans="1:14" ht="21" customHeight="1" x14ac:dyDescent="0.15">
      <c r="A26" s="61" t="str">
        <f t="shared" si="0"/>
        <v>1264_112</v>
      </c>
      <c r="B26" s="195">
        <v>1264</v>
      </c>
      <c r="C26" s="178">
        <f t="shared" si="1"/>
        <v>1264</v>
      </c>
      <c r="D26" s="53" t="str">
        <f ca="1">VLOOKUP($C26,OFFSET([1]characters!$A$1,0,0,COUNTA([1]characters!$A:$A),MATCH(D$1,[1]characters!$1:$1,0)-MATCH($C$1,[1]characters!$1:$1,0)+1),MATCH(D$1,[1]characters!$1:$1,0)-MATCH($C$1,[1]characters!$1:$1,0)+1,FALSE)</f>
        <v>ウルズ</v>
      </c>
      <c r="E26" s="53">
        <f ca="1">VLOOKUP($C26,OFFSET([1]characters!$A$1,0,0,COUNTA([1]characters!$A:$A),MATCH(E$1,[1]characters!$1:$1,0)-MATCH($C$1,[1]characters!$1:$1,0)+1),MATCH(E$1,[1]characters!$1:$1,0)-MATCH($C$1,[1]characters!$1:$1,0)+1,FALSE)</f>
        <v>5</v>
      </c>
      <c r="F26" s="53" t="str">
        <f ca="1">VLOOKUP($C26,OFFSET([1]characters!$A$1,0,0,COUNTA([1]characters!$A:$A),MATCH(F$1,[1]characters!$1:$1,0)-MATCH($C$1,[1]characters!$1:$1,0)+1),MATCH(F$1,[1]characters!$1:$1,0)-MATCH($C$1,[1]characters!$1:$1,0)+1,FALSE)</f>
        <v>PremiumSS</v>
      </c>
      <c r="G26" s="195">
        <v>1265</v>
      </c>
      <c r="H26" s="53" t="str">
        <f ca="1">VLOOKUP($G26,OFFSET([1]characters!$A$1,0,0,COUNTA([1]characters!$A:$A),MATCH(H$1,[1]characters!$1:$1,0)-MATCH($C$1,[1]characters!$1:$1,0)+1),MATCH(H$1,[1]characters!$1:$1,0)-MATCH($C$1,[1]characters!$1:$1,0)+1,FALSE)</f>
        <v>静観する世限者 ウルズ</v>
      </c>
      <c r="I26" s="194">
        <v>112</v>
      </c>
      <c r="J26" s="53" t="str">
        <f ca="1">VLOOKUP($I26,OFFSET([1]characters!$A$1,0,0,COUNTA([1]characters!$A:$A),MATCH(J$1,[1]characters!$1:$1,0)-MATCH($C$1,[1]characters!$1:$1,0)+1),MATCH(J$1,[1]characters!$1:$1,0)-MATCH($C$1,[1]characters!$1:$1,0)+1,FALSE)</f>
        <v>水のマッドハッター</v>
      </c>
      <c r="K26" s="192">
        <v>1</v>
      </c>
      <c r="L26" s="193">
        <v>1</v>
      </c>
      <c r="M26" s="193">
        <v>10</v>
      </c>
      <c r="N26" s="2" t="s">
        <v>291</v>
      </c>
    </row>
    <row r="27" spans="1:14" ht="21" customHeight="1" x14ac:dyDescent="0.15">
      <c r="A27" s="61" t="str">
        <f t="shared" si="0"/>
        <v>1264_1252</v>
      </c>
      <c r="B27" s="195">
        <v>1264</v>
      </c>
      <c r="C27" s="178">
        <f t="shared" si="1"/>
        <v>1264</v>
      </c>
      <c r="D27" s="53" t="str">
        <f ca="1">VLOOKUP($C27,OFFSET([1]characters!$A$1,0,0,COUNTA([1]characters!$A:$A),MATCH(D$1,[1]characters!$1:$1,0)-MATCH($C$1,[1]characters!$1:$1,0)+1),MATCH(D$1,[1]characters!$1:$1,0)-MATCH($C$1,[1]characters!$1:$1,0)+1,FALSE)</f>
        <v>ウルズ</v>
      </c>
      <c r="E27" s="53">
        <f ca="1">VLOOKUP($C27,OFFSET([1]characters!$A$1,0,0,COUNTA([1]characters!$A:$A),MATCH(E$1,[1]characters!$1:$1,0)-MATCH($C$1,[1]characters!$1:$1,0)+1),MATCH(E$1,[1]characters!$1:$1,0)-MATCH($C$1,[1]characters!$1:$1,0)+1,FALSE)</f>
        <v>5</v>
      </c>
      <c r="F27" s="53" t="str">
        <f ca="1">VLOOKUP($C27,OFFSET([1]characters!$A$1,0,0,COUNTA([1]characters!$A:$A),MATCH(F$1,[1]characters!$1:$1,0)-MATCH($C$1,[1]characters!$1:$1,0)+1),MATCH(F$1,[1]characters!$1:$1,0)-MATCH($C$1,[1]characters!$1:$1,0)+1,FALSE)</f>
        <v>PremiumSS</v>
      </c>
      <c r="G27" s="195">
        <v>1265</v>
      </c>
      <c r="H27" s="53" t="str">
        <f ca="1">VLOOKUP($G27,OFFSET([1]characters!$A$1,0,0,COUNTA([1]characters!$A:$A),MATCH(H$1,[1]characters!$1:$1,0)-MATCH($C$1,[1]characters!$1:$1,0)+1),MATCH(H$1,[1]characters!$1:$1,0)-MATCH($C$1,[1]characters!$1:$1,0)+1,FALSE)</f>
        <v>静観する世限者 ウルズ</v>
      </c>
      <c r="I27" s="194">
        <v>1252</v>
      </c>
      <c r="J27" s="53" t="str">
        <f ca="1">VLOOKUP($I27,OFFSET([1]characters!$A$1,0,0,COUNTA([1]characters!$A:$A),MATCH(J$1,[1]characters!$1:$1,0)-MATCH($C$1,[1]characters!$1:$1,0)+1),MATCH(J$1,[1]characters!$1:$1,0)-MATCH($C$1,[1]characters!$1:$1,0)+1,FALSE)</f>
        <v>ギャラルホルン</v>
      </c>
      <c r="K27" s="192">
        <v>1</v>
      </c>
      <c r="L27" s="193">
        <v>1</v>
      </c>
      <c r="M27" s="193">
        <v>100</v>
      </c>
      <c r="N27" s="2" t="s">
        <v>291</v>
      </c>
    </row>
    <row r="28" spans="1:14" ht="21" customHeight="1" x14ac:dyDescent="0.15">
      <c r="A28" s="61" t="str">
        <f t="shared" si="0"/>
        <v>1264_266</v>
      </c>
      <c r="B28" s="195">
        <v>1264</v>
      </c>
      <c r="C28" s="178">
        <f t="shared" si="1"/>
        <v>1264</v>
      </c>
      <c r="D28" s="53" t="str">
        <f ca="1">VLOOKUP($C28,OFFSET([1]characters!$A$1,0,0,COUNTA([1]characters!$A:$A),MATCH(D$1,[1]characters!$1:$1,0)-MATCH($C$1,[1]characters!$1:$1,0)+1),MATCH(D$1,[1]characters!$1:$1,0)-MATCH($C$1,[1]characters!$1:$1,0)+1,FALSE)</f>
        <v>ウルズ</v>
      </c>
      <c r="E28" s="53">
        <f ca="1">VLOOKUP($C28,OFFSET([1]characters!$A$1,0,0,COUNTA([1]characters!$A:$A),MATCH(E$1,[1]characters!$1:$1,0)-MATCH($C$1,[1]characters!$1:$1,0)+1),MATCH(E$1,[1]characters!$1:$1,0)-MATCH($C$1,[1]characters!$1:$1,0)+1,FALSE)</f>
        <v>5</v>
      </c>
      <c r="F28" s="53" t="str">
        <f ca="1">VLOOKUP($C28,OFFSET([1]characters!$A$1,0,0,COUNTA([1]characters!$A:$A),MATCH(F$1,[1]characters!$1:$1,0)-MATCH($C$1,[1]characters!$1:$1,0)+1),MATCH(F$1,[1]characters!$1:$1,0)-MATCH($C$1,[1]characters!$1:$1,0)+1,FALSE)</f>
        <v>PremiumSS</v>
      </c>
      <c r="G28" s="195">
        <v>1265</v>
      </c>
      <c r="H28" s="53" t="str">
        <f ca="1">VLOOKUP($G28,OFFSET([1]characters!$A$1,0,0,COUNTA([1]characters!$A:$A),MATCH(H$1,[1]characters!$1:$1,0)-MATCH($C$1,[1]characters!$1:$1,0)+1),MATCH(H$1,[1]characters!$1:$1,0)-MATCH($C$1,[1]characters!$1:$1,0)+1,FALSE)</f>
        <v>静観する世限者 ウルズ</v>
      </c>
      <c r="I28" s="194">
        <v>266</v>
      </c>
      <c r="J28" s="53" t="str">
        <f ca="1">VLOOKUP($I28,OFFSET([1]characters!$A$1,0,0,COUNTA([1]characters!$A:$A),MATCH(J$1,[1]characters!$1:$1,0)-MATCH($C$1,[1]characters!$1:$1,0)+1),MATCH(J$1,[1]characters!$1:$1,0)-MATCH($C$1,[1]characters!$1:$1,0)+1,FALSE)</f>
        <v>リリアンブルー</v>
      </c>
      <c r="K28" s="192">
        <v>1</v>
      </c>
      <c r="L28" s="193">
        <v>1</v>
      </c>
      <c r="M28" s="193">
        <v>100</v>
      </c>
      <c r="N28" s="2" t="s">
        <v>291</v>
      </c>
    </row>
    <row r="29" spans="1:14" ht="21" customHeight="1" x14ac:dyDescent="0.15">
      <c r="A29" s="61" t="str">
        <f t="shared" si="0"/>
        <v>1264_837</v>
      </c>
      <c r="B29" s="195">
        <v>1264</v>
      </c>
      <c r="C29" s="178">
        <f t="shared" si="1"/>
        <v>1264</v>
      </c>
      <c r="D29" s="53" t="str">
        <f ca="1">VLOOKUP($C29,OFFSET([1]characters!$A$1,0,0,COUNTA([1]characters!$A:$A),MATCH(D$1,[1]characters!$1:$1,0)-MATCH($C$1,[1]characters!$1:$1,0)+1),MATCH(D$1,[1]characters!$1:$1,0)-MATCH($C$1,[1]characters!$1:$1,0)+1,FALSE)</f>
        <v>ウルズ</v>
      </c>
      <c r="E29" s="53">
        <f ca="1">VLOOKUP($C29,OFFSET([1]characters!$A$1,0,0,COUNTA([1]characters!$A:$A),MATCH(E$1,[1]characters!$1:$1,0)-MATCH($C$1,[1]characters!$1:$1,0)+1),MATCH(E$1,[1]characters!$1:$1,0)-MATCH($C$1,[1]characters!$1:$1,0)+1,FALSE)</f>
        <v>5</v>
      </c>
      <c r="F29" s="53" t="str">
        <f ca="1">VLOOKUP($C29,OFFSET([1]characters!$A$1,0,0,COUNTA([1]characters!$A:$A),MATCH(F$1,[1]characters!$1:$1,0)-MATCH($C$1,[1]characters!$1:$1,0)+1),MATCH(F$1,[1]characters!$1:$1,0)-MATCH($C$1,[1]characters!$1:$1,0)+1,FALSE)</f>
        <v>PremiumSS</v>
      </c>
      <c r="G29" s="195">
        <v>1265</v>
      </c>
      <c r="H29" s="53" t="str">
        <f ca="1">VLOOKUP($G29,OFFSET([1]characters!$A$1,0,0,COUNTA([1]characters!$A:$A),MATCH(H$1,[1]characters!$1:$1,0)-MATCH($C$1,[1]characters!$1:$1,0)+1),MATCH(H$1,[1]characters!$1:$1,0)-MATCH($C$1,[1]characters!$1:$1,0)+1,FALSE)</f>
        <v>静観する世限者 ウルズ</v>
      </c>
      <c r="I29" s="194">
        <v>837</v>
      </c>
      <c r="J29" s="53" t="str">
        <f ca="1">VLOOKUP($I29,OFFSET([1]characters!$A$1,0,0,COUNTA([1]characters!$A:$A),MATCH(J$1,[1]characters!$1:$1,0)-MATCH($C$1,[1]characters!$1:$1,0)+1),MATCH(J$1,[1]characters!$1:$1,0)-MATCH($C$1,[1]characters!$1:$1,0)+1,FALSE)</f>
        <v>リトルハンプティ</v>
      </c>
      <c r="K29" s="192">
        <v>1</v>
      </c>
      <c r="L29" s="193">
        <v>1</v>
      </c>
      <c r="M29" s="193">
        <v>1000</v>
      </c>
      <c r="N29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9"/>
  <sheetViews>
    <sheetView workbookViewId="0">
      <selection activeCell="A4" sqref="A4:XFD4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1255</v>
      </c>
      <c r="B2" s="172" t="str">
        <f>VLOOKUP(A2,[1]characters!$A:$C,3)</f>
        <v>驕奢の神犯 スリュム</v>
      </c>
      <c r="C2" s="196">
        <v>1</v>
      </c>
      <c r="D2" s="196">
        <v>100</v>
      </c>
      <c r="E2" s="173" t="str">
        <f>IF(ISERROR(VLOOKUP(D2,[4]abilities!A:D,3,FALSE))=FALSE,VLOOKUP(D2,[4]abilities!A:D,3),IF(ISERROR(VLOOKUP(D2,abilities!A:D,3,FALSE))=FALSE,VLOOKUP(D2,abilities!A:D,3),"なし"))</f>
        <v>プロテクトブレイク</v>
      </c>
      <c r="F2" s="173" t="str">
        <f>IF(ISERROR(VLOOKUP(D2,[4]abilities!A:D,4,FALSE))=FALSE,VLOOKUP(D2,[4]abilities!A:D,4),IF(ISERROR(VLOOKUP(D2,abilities!A:D,4,FALSE))=FALSE,VLOOKUP(D2,abilities!A:D,4),"なし"))</f>
        <v>自身が先頭の時、プロテクトを無視してパネル破壊できる</v>
      </c>
      <c r="G2" s="174" t="s">
        <v>275</v>
      </c>
      <c r="H2" s="197" t="s">
        <v>349</v>
      </c>
    </row>
    <row r="3" spans="1:8" s="4" customFormat="1" ht="21" customHeight="1" x14ac:dyDescent="0.15">
      <c r="A3" s="169">
        <v>1257</v>
      </c>
      <c r="B3" s="172" t="str">
        <f>VLOOKUP(A3,[1]characters!$A:$C,3)</f>
        <v>危能の幼魔神 ヘル</v>
      </c>
      <c r="C3" s="196">
        <v>1</v>
      </c>
      <c r="D3" s="196">
        <v>109</v>
      </c>
      <c r="E3" s="173" t="str">
        <f>IF(ISERROR(VLOOKUP(D3,[4]abilities!A:D,3,FALSE))=FALSE,VLOOKUP(D3,[4]abilities!A:D,3),IF(ISERROR(VLOOKUP(D3,abilities!A:D,3,FALSE))=FALSE,VLOOKUP(D3,abilities!A:D,3),"なし"))</f>
        <v>ダメージパネルブレイク</v>
      </c>
      <c r="F3" s="173" t="str">
        <f>IF(ISERROR(VLOOKUP(D3,[4]abilities!A:D,4,FALSE))=FALSE,VLOOKUP(D3,[4]abilities!A:D,4),IF(ISERROR(VLOOKUP(D3,abilities!A:D,4,FALSE))=FALSE,VLOOKUP(D3,abilities!A:D,4),"なし"))</f>
        <v>自身が先頭の時、ダメージを受けずにダメージパネルを破壊できる</v>
      </c>
      <c r="G3" s="174" t="s">
        <v>275</v>
      </c>
      <c r="H3" s="197" t="s">
        <v>350</v>
      </c>
    </row>
    <row r="4" spans="1:8" s="4" customFormat="1" ht="21" customHeight="1" x14ac:dyDescent="0.15">
      <c r="A4" s="169">
        <v>1257</v>
      </c>
      <c r="B4" s="172" t="str">
        <f>VLOOKUP(A4,[1]characters!$A:$C,3)</f>
        <v>危能の幼魔神 ヘル</v>
      </c>
      <c r="C4" s="196">
        <v>2</v>
      </c>
      <c r="D4" s="196">
        <v>906</v>
      </c>
      <c r="E4" s="173" t="str">
        <f>IF(ISERROR(VLOOKUP(D4,[4]abilities!A:D,3,FALSE))=FALSE,VLOOKUP(D4,[4]abilities!A:D,3),IF(ISERROR(VLOOKUP(D4,abilities!A:D,3,FALSE))=FALSE,VLOOKUP(D4,abilities!A:D,3),"なし"))</f>
        <v>チェイン14 回復力小UP</v>
      </c>
      <c r="F4" s="173" t="str">
        <f>IF(ISERROR(VLOOKUP(D4,[4]abilities!A:D,4,FALSE))=FALSE,VLOOKUP(D4,[4]abilities!A:D,4),IF(ISERROR(VLOOKUP(D4,abilities!A:D,4,FALSE))=FALSE,VLOOKUP(D4,abilities!A:D,4),"なし"))</f>
        <v>自身が先頭の時、1タップで14個以上パネルを繋げた場合に回復力小UP(1ターンに1度だけ発動)</v>
      </c>
      <c r="G4" s="174" t="s">
        <v>275</v>
      </c>
      <c r="H4" s="197" t="s">
        <v>349</v>
      </c>
    </row>
    <row r="5" spans="1:8" s="4" customFormat="1" ht="21" customHeight="1" x14ac:dyDescent="0.15">
      <c r="A5" s="169">
        <v>1259</v>
      </c>
      <c r="B5" s="172" t="str">
        <f>VLOOKUP(A5,[1]characters!$A:$C,3)</f>
        <v>崩世を叫ぶ悪戯 ロキ</v>
      </c>
      <c r="C5" s="196">
        <v>1</v>
      </c>
      <c r="D5" s="196">
        <v>100</v>
      </c>
      <c r="E5" s="173" t="str">
        <f>IF(ISERROR(VLOOKUP(D5,[4]abilities!A:D,3,FALSE))=FALSE,VLOOKUP(D5,[4]abilities!A:D,3),IF(ISERROR(VLOOKUP(D5,abilities!A:D,3,FALSE))=FALSE,VLOOKUP(D5,abilities!A:D,3),"なし"))</f>
        <v>プロテクトブレイク</v>
      </c>
      <c r="F5" s="173" t="str">
        <f>IF(ISERROR(VLOOKUP(D5,[4]abilities!A:D,4,FALSE))=FALSE,VLOOKUP(D5,[4]abilities!A:D,4),IF(ISERROR(VLOOKUP(D5,abilities!A:D,4,FALSE))=FALSE,VLOOKUP(D5,abilities!A:D,4),"なし"))</f>
        <v>自身が先頭の時、プロテクトを無視してパネル破壊できる</v>
      </c>
      <c r="G5" s="174" t="s">
        <v>275</v>
      </c>
      <c r="H5" s="197" t="s">
        <v>350</v>
      </c>
    </row>
    <row r="6" spans="1:8" s="4" customFormat="1" ht="21" customHeight="1" x14ac:dyDescent="0.15">
      <c r="A6" s="169">
        <v>1259</v>
      </c>
      <c r="B6" s="172" t="str">
        <f>VLOOKUP(A6,[1]characters!$A:$C,3)</f>
        <v>崩世を叫ぶ悪戯 ロキ</v>
      </c>
      <c r="C6" s="196">
        <v>2</v>
      </c>
      <c r="D6" s="196">
        <v>103</v>
      </c>
      <c r="E6" s="173" t="str">
        <f>IF(ISERROR(VLOOKUP(D6,[4]abilities!A:D,3,FALSE))=FALSE,VLOOKUP(D6,[4]abilities!A:D,3),IF(ISERROR(VLOOKUP(D6,abilities!A:D,3,FALSE))=FALSE,VLOOKUP(D6,abilities!A:D,3),"なし"))</f>
        <v>お邪魔ブレイク</v>
      </c>
      <c r="F6" s="173" t="str">
        <f>IF(ISERROR(VLOOKUP(D6,[4]abilities!A:D,4,FALSE))=FALSE,VLOOKUP(D6,[4]abilities!A:D,4),IF(ISERROR(VLOOKUP(D6,abilities!A:D,4,FALSE))=FALSE,VLOOKUP(D6,abilities!A:D,4),"なし"))</f>
        <v>自身が先頭の時、お邪魔パネルを破壊できる</v>
      </c>
      <c r="G6" s="174" t="s">
        <v>275</v>
      </c>
      <c r="H6" s="197" t="s">
        <v>351</v>
      </c>
    </row>
    <row r="7" spans="1:8" s="4" customFormat="1" ht="21" customHeight="1" x14ac:dyDescent="0.15">
      <c r="A7" s="169">
        <v>1261</v>
      </c>
      <c r="B7" s="172" t="str">
        <f>VLOOKUP(A7,[1]characters!$A:$C,3)</f>
        <v>燃雷の鎚撃 トール</v>
      </c>
      <c r="C7" s="196">
        <v>1</v>
      </c>
      <c r="D7" s="196">
        <v>109</v>
      </c>
      <c r="E7" s="173" t="str">
        <f>IF(ISERROR(VLOOKUP(D7,[4]abilities!A:D,3,FALSE))=FALSE,VLOOKUP(D7,[4]abilities!A:D,3),IF(ISERROR(VLOOKUP(D7,abilities!A:D,3,FALSE))=FALSE,VLOOKUP(D7,abilities!A:D,3),"なし"))</f>
        <v>ダメージパネルブレイク</v>
      </c>
      <c r="F7" s="173" t="str">
        <f>IF(ISERROR(VLOOKUP(D7,[4]abilities!A:D,4,FALSE))=FALSE,VLOOKUP(D7,[4]abilities!A:D,4),IF(ISERROR(VLOOKUP(D7,abilities!A:D,4,FALSE))=FALSE,VLOOKUP(D7,abilities!A:D,4),"なし"))</f>
        <v>自身が先頭の時、ダメージを受けずにダメージパネルを破壊できる</v>
      </c>
      <c r="G7" s="174" t="s">
        <v>275</v>
      </c>
      <c r="H7" s="197" t="s">
        <v>350</v>
      </c>
    </row>
    <row r="8" spans="1:8" s="4" customFormat="1" ht="21" customHeight="1" x14ac:dyDescent="0.15">
      <c r="A8" s="169">
        <v>1263</v>
      </c>
      <c r="B8" s="172" t="str">
        <f>VLOOKUP(A8,[1]characters!$A:$C,3)</f>
        <v>純朴なる檻理人 イズン</v>
      </c>
      <c r="C8" s="196">
        <v>1</v>
      </c>
      <c r="D8" s="196">
        <v>109</v>
      </c>
      <c r="E8" s="173" t="str">
        <f>IF(ISERROR(VLOOKUP(D8,[4]abilities!A:D,3,FALSE))=FALSE,VLOOKUP(D8,[4]abilities!A:D,3),IF(ISERROR(VLOOKUP(D8,abilities!A:D,3,FALSE))=FALSE,VLOOKUP(D8,abilities!A:D,3),"なし"))</f>
        <v>ダメージパネルブレイク</v>
      </c>
      <c r="F8" s="173" t="str">
        <f>IF(ISERROR(VLOOKUP(D8,[4]abilities!A:D,4,FALSE))=FALSE,VLOOKUP(D8,[4]abilities!A:D,4),IF(ISERROR(VLOOKUP(D8,abilities!A:D,4,FALSE))=FALSE,VLOOKUP(D8,abilities!A:D,4),"なし"))</f>
        <v>自身が先頭の時、ダメージを受けずにダメージパネルを破壊できる</v>
      </c>
      <c r="G8" s="174" t="s">
        <v>275</v>
      </c>
      <c r="H8" s="197" t="s">
        <v>350</v>
      </c>
    </row>
    <row r="9" spans="1:8" s="4" customFormat="1" ht="21" customHeight="1" x14ac:dyDescent="0.15">
      <c r="A9" s="169">
        <v>1265</v>
      </c>
      <c r="B9" s="172" t="str">
        <f>VLOOKUP(A9,[1]characters!$A:$C,3)</f>
        <v>静観する世限者 ウルズ</v>
      </c>
      <c r="C9" s="196">
        <v>1</v>
      </c>
      <c r="D9" s="196">
        <v>700</v>
      </c>
      <c r="E9" s="173" t="str">
        <f>IF(ISERROR(VLOOKUP(D9,[4]abilities!A:D,3,FALSE))=FALSE,VLOOKUP(D9,[4]abilities!A:D,3),IF(ISERROR(VLOOKUP(D9,abilities!A:D,3,FALSE))=FALSE,VLOOKUP(D9,abilities!A:D,3),"なし"))</f>
        <v>フロア 回復</v>
      </c>
      <c r="F9" s="173" t="str">
        <f>IF(ISERROR(VLOOKUP(D9,[4]abilities!A:D,4,FALSE))=FALSE,VLOOKUP(D9,[4]abilities!A:D,4),IF(ISERROR(VLOOKUP(D9,abilities!A:D,4,FALSE))=FALSE,VLOOKUP(D9,abilities!A:D,4),"なし"))</f>
        <v>全フロアの1ターン目終了時にパーティの合計HPの20％を回復する</v>
      </c>
      <c r="G9" s="174" t="s">
        <v>275</v>
      </c>
      <c r="H9" s="197" t="s">
        <v>350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E21" sqref="E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235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236</v>
      </c>
      <c r="B2" s="142"/>
      <c r="C2" s="143"/>
      <c r="D2" s="144" t="s">
        <v>237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238</v>
      </c>
      <c r="B3" s="145"/>
      <c r="C3" s="146"/>
      <c r="D3" s="147" t="s">
        <v>237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239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242</v>
      </c>
      <c r="B7" s="43" t="s">
        <v>11</v>
      </c>
      <c r="C7" s="43" t="s">
        <v>11</v>
      </c>
      <c r="D7" s="37" t="s">
        <v>237</v>
      </c>
      <c r="E7" s="37" t="s">
        <v>237</v>
      </c>
      <c r="F7" s="37" t="s">
        <v>237</v>
      </c>
      <c r="G7" s="37" t="s">
        <v>237</v>
      </c>
      <c r="H7" s="37" t="s">
        <v>237</v>
      </c>
      <c r="I7" s="37" t="s">
        <v>237</v>
      </c>
    </row>
    <row r="8" spans="1:9" ht="21" customHeight="1" x14ac:dyDescent="0.15">
      <c r="A8" s="71" t="s">
        <v>243</v>
      </c>
      <c r="B8" s="43" t="s">
        <v>11</v>
      </c>
      <c r="C8" s="43" t="s">
        <v>11</v>
      </c>
      <c r="D8" s="37" t="s">
        <v>237</v>
      </c>
      <c r="E8" s="37">
        <v>30</v>
      </c>
      <c r="F8" s="37">
        <v>40</v>
      </c>
      <c r="G8" s="37">
        <f>15+F8</f>
        <v>55</v>
      </c>
      <c r="H8" s="37" t="s">
        <v>237</v>
      </c>
      <c r="I8" s="37" t="s">
        <v>237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244</v>
      </c>
      <c r="B10" s="26" t="s">
        <v>11</v>
      </c>
      <c r="C10" s="26" t="s">
        <v>11</v>
      </c>
      <c r="D10" s="102" t="s">
        <v>237</v>
      </c>
      <c r="E10" s="102">
        <v>25</v>
      </c>
      <c r="F10" s="102">
        <v>35</v>
      </c>
      <c r="G10" s="37">
        <f t="shared" ref="G10:G11" si="1">15+F10</f>
        <v>50</v>
      </c>
      <c r="H10" s="102" t="s">
        <v>237</v>
      </c>
      <c r="I10" s="102" t="s">
        <v>237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245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246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247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248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249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250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251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252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236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238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232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243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211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207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247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248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217</v>
      </c>
      <c r="F19" s="67" t="s">
        <v>217</v>
      </c>
      <c r="G19" s="67" t="s">
        <v>217</v>
      </c>
      <c r="H19" s="67" t="s">
        <v>217</v>
      </c>
      <c r="I19" s="67" t="s">
        <v>217</v>
      </c>
    </row>
    <row r="20" spans="1:9" ht="21" customHeight="1" x14ac:dyDescent="0.15">
      <c r="A20" s="74" t="s">
        <v>251</v>
      </c>
      <c r="B20" s="34">
        <v>10</v>
      </c>
      <c r="C20" s="34">
        <v>20</v>
      </c>
      <c r="D20" s="67" t="s">
        <v>217</v>
      </c>
      <c r="E20" s="67" t="s">
        <v>217</v>
      </c>
      <c r="F20" s="67" t="s">
        <v>217</v>
      </c>
      <c r="G20" s="67" t="s">
        <v>217</v>
      </c>
      <c r="H20" s="67" t="s">
        <v>217</v>
      </c>
      <c r="I20" s="67" t="s">
        <v>217</v>
      </c>
    </row>
    <row r="21" spans="1:9" ht="21" customHeight="1" x14ac:dyDescent="0.15">
      <c r="A21" s="35" t="s">
        <v>252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236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253</v>
      </c>
      <c r="H2" s="143"/>
      <c r="I2" s="143"/>
    </row>
    <row r="3" spans="1:11" s="4" customFormat="1" ht="21" customHeight="1" x14ac:dyDescent="0.15">
      <c r="A3" s="141" t="s">
        <v>238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231</v>
      </c>
      <c r="H3" s="146"/>
      <c r="I3" s="146"/>
    </row>
    <row r="4" spans="1:11" s="4" customFormat="1" ht="21" customHeight="1" x14ac:dyDescent="0.15">
      <c r="A4" s="141" t="s">
        <v>232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231</v>
      </c>
      <c r="H4" s="149"/>
      <c r="I4" s="149"/>
    </row>
    <row r="5" spans="1:11" s="4" customFormat="1" ht="21" customHeight="1" x14ac:dyDescent="0.15">
      <c r="A5" s="160" t="s">
        <v>240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221</v>
      </c>
      <c r="H5" s="156"/>
      <c r="I5" s="156"/>
    </row>
    <row r="6" spans="1:11" s="4" customFormat="1" ht="21" customHeight="1" x14ac:dyDescent="0.15">
      <c r="A6" s="160" t="s">
        <v>241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243</v>
      </c>
      <c r="B8" s="38" t="s">
        <v>109</v>
      </c>
      <c r="C8" s="38" t="s">
        <v>109</v>
      </c>
      <c r="D8" s="38" t="s">
        <v>218</v>
      </c>
      <c r="E8" s="48" t="s">
        <v>115</v>
      </c>
      <c r="F8" s="48" t="s">
        <v>115</v>
      </c>
      <c r="G8" s="48" t="s">
        <v>219</v>
      </c>
      <c r="H8" s="38" t="s">
        <v>218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220</v>
      </c>
      <c r="I10" s="62" t="s">
        <v>220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221</v>
      </c>
      <c r="H11" s="67" t="s">
        <v>220</v>
      </c>
      <c r="I11" s="67" t="s">
        <v>220</v>
      </c>
      <c r="K11" s="25" t="s">
        <v>12</v>
      </c>
    </row>
    <row r="12" spans="1:11" ht="21" customHeight="1" x14ac:dyDescent="0.15">
      <c r="A12" s="72" t="s">
        <v>211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221</v>
      </c>
      <c r="H12" s="67" t="s">
        <v>220</v>
      </c>
      <c r="I12" s="67" t="s">
        <v>220</v>
      </c>
      <c r="K12" s="27" t="s">
        <v>13</v>
      </c>
    </row>
    <row r="13" spans="1:11" ht="21" customHeight="1" x14ac:dyDescent="0.15">
      <c r="A13" s="72" t="s">
        <v>207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247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248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251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252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229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230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232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233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234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208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209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210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211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212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213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214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215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216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319</v>
      </c>
      <c r="B1" t="s">
        <v>320</v>
      </c>
    </row>
    <row r="2" spans="1:2" x14ac:dyDescent="0.15">
      <c r="A2" t="s">
        <v>321</v>
      </c>
      <c r="B2">
        <v>1</v>
      </c>
    </row>
    <row r="3" spans="1:2" x14ac:dyDescent="0.15">
      <c r="A3" t="s">
        <v>322</v>
      </c>
      <c r="B3">
        <v>1</v>
      </c>
    </row>
    <row r="4" spans="1:2" x14ac:dyDescent="0.15">
      <c r="A4" t="s">
        <v>323</v>
      </c>
      <c r="B4">
        <v>1</v>
      </c>
    </row>
    <row r="5" spans="1:2" x14ac:dyDescent="0.15">
      <c r="A5" t="s">
        <v>324</v>
      </c>
      <c r="B5">
        <v>1</v>
      </c>
    </row>
    <row r="6" spans="1:2" x14ac:dyDescent="0.15">
      <c r="A6" t="s">
        <v>325</v>
      </c>
      <c r="B6">
        <v>1</v>
      </c>
    </row>
    <row r="7" spans="1:2" x14ac:dyDescent="0.15">
      <c r="A7" t="s">
        <v>326</v>
      </c>
      <c r="B7">
        <v>1</v>
      </c>
    </row>
    <row r="8" spans="1:2" x14ac:dyDescent="0.15">
      <c r="A8" t="s">
        <v>327</v>
      </c>
      <c r="B8">
        <v>1</v>
      </c>
    </row>
    <row r="9" spans="1:2" x14ac:dyDescent="0.15">
      <c r="A9" t="s">
        <v>328</v>
      </c>
      <c r="B9">
        <v>1</v>
      </c>
    </row>
    <row r="10" spans="1:2" x14ac:dyDescent="0.15">
      <c r="A10" t="s">
        <v>329</v>
      </c>
      <c r="B10">
        <v>1</v>
      </c>
    </row>
    <row r="11" spans="1:2" x14ac:dyDescent="0.15">
      <c r="A11" t="s">
        <v>330</v>
      </c>
      <c r="B11">
        <v>1</v>
      </c>
    </row>
    <row r="12" spans="1:2" x14ac:dyDescent="0.15">
      <c r="A12" t="s">
        <v>331</v>
      </c>
      <c r="B12">
        <v>1</v>
      </c>
    </row>
    <row r="13" spans="1:2" x14ac:dyDescent="0.15">
      <c r="A13" t="s">
        <v>332</v>
      </c>
      <c r="B13">
        <v>0</v>
      </c>
    </row>
    <row r="14" spans="1:2" x14ac:dyDescent="0.15">
      <c r="A14" t="s">
        <v>333</v>
      </c>
      <c r="B14">
        <v>500</v>
      </c>
    </row>
    <row r="15" spans="1:2" x14ac:dyDescent="0.15">
      <c r="A15" t="s">
        <v>334</v>
      </c>
      <c r="B15">
        <v>600</v>
      </c>
    </row>
    <row r="16" spans="1:2" x14ac:dyDescent="0.15">
      <c r="A16" t="s">
        <v>335</v>
      </c>
      <c r="B16">
        <v>700</v>
      </c>
    </row>
    <row r="17" spans="1:2" x14ac:dyDescent="0.15">
      <c r="A17" t="s">
        <v>336</v>
      </c>
      <c r="B17">
        <v>5500</v>
      </c>
    </row>
    <row r="18" spans="1:2" x14ac:dyDescent="0.15">
      <c r="A18" t="s">
        <v>337</v>
      </c>
      <c r="B18">
        <v>6000</v>
      </c>
    </row>
    <row r="19" spans="1:2" x14ac:dyDescent="0.15">
      <c r="A19" t="s">
        <v>338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1">
        <v>591</v>
      </c>
    </row>
    <row r="3" spans="1:4" x14ac:dyDescent="0.15">
      <c r="A3" t="s">
        <v>201</v>
      </c>
      <c r="B3" s="128">
        <v>592</v>
      </c>
    </row>
    <row r="4" spans="1:4" x14ac:dyDescent="0.15">
      <c r="A4" t="s">
        <v>202</v>
      </c>
      <c r="B4" s="128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222</v>
      </c>
    </row>
    <row r="13" spans="1:4" x14ac:dyDescent="0.15">
      <c r="B13" t="s">
        <v>226</v>
      </c>
      <c r="C13" t="s">
        <v>227</v>
      </c>
      <c r="D13" t="s">
        <v>228</v>
      </c>
    </row>
    <row r="14" spans="1:4" x14ac:dyDescent="0.15">
      <c r="A14" t="s">
        <v>224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2017-06-06T09:16:46Z</dcterms:modified>
</cp:coreProperties>
</file>