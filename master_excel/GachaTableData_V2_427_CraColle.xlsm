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5"/>
  </bookViews>
  <sheets>
    <sheet name="確率の考え方" sheetId="110" r:id="rId1"/>
    <sheet name="Sheet1" sheetId="107" r:id="rId2"/>
    <sheet name="output" sheetId="103" r:id="rId3"/>
    <sheet name="input_427010" sheetId="157" r:id="rId4"/>
    <sheet name="tables_427010" sheetId="158" r:id="rId5"/>
    <sheet name="input_427100" sheetId="153" r:id="rId6"/>
    <sheet name="tables_427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tables_427010!$A$1:$V$294</definedName>
    <definedName name="_xlnm._FilterDatabase" localSheetId="6" hidden="1">tables_427100!$A$1:$V$294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153" l="1"/>
  <c r="M6" i="153"/>
  <c r="B30" i="153"/>
  <c r="Q6" i="153"/>
  <c r="Q7" i="153"/>
  <c r="E29" i="153"/>
  <c r="B29" i="153"/>
  <c r="E28" i="153"/>
  <c r="B28" i="153"/>
  <c r="E27" i="153"/>
  <c r="B27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B20" i="157"/>
  <c r="A2" i="157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9" i="158"/>
  <c r="O141" i="158"/>
  <c r="O143" i="158"/>
  <c r="O145" i="158"/>
  <c r="O146" i="158"/>
  <c r="O147" i="158"/>
  <c r="O148" i="158"/>
  <c r="O150" i="158"/>
  <c r="O152" i="158"/>
  <c r="O153" i="158"/>
  <c r="O154" i="158"/>
  <c r="O155" i="158"/>
  <c r="O157" i="158"/>
  <c r="O158" i="158"/>
  <c r="O159" i="158"/>
  <c r="O160" i="158"/>
  <c r="O161" i="158"/>
  <c r="O162" i="158"/>
  <c r="O163" i="158"/>
  <c r="O165" i="158"/>
  <c r="O166" i="158"/>
  <c r="O167" i="158"/>
  <c r="O168" i="158"/>
  <c r="O170" i="158"/>
  <c r="O171" i="158"/>
  <c r="O172" i="158"/>
  <c r="O173" i="158"/>
  <c r="O175" i="158"/>
  <c r="O177" i="158"/>
  <c r="O178" i="158"/>
  <c r="O179" i="158"/>
  <c r="O180" i="158"/>
  <c r="O181" i="158"/>
  <c r="O182" i="158"/>
  <c r="O183" i="158"/>
  <c r="O185" i="158"/>
  <c r="O186" i="158"/>
  <c r="O187" i="158"/>
  <c r="O188" i="158"/>
  <c r="O190" i="158"/>
  <c r="O192" i="158"/>
  <c r="O193" i="158"/>
  <c r="O194" i="158"/>
  <c r="O195" i="158"/>
  <c r="O197" i="158"/>
  <c r="O198" i="158"/>
  <c r="O199" i="158"/>
  <c r="O200" i="158"/>
  <c r="O202" i="158"/>
  <c r="O203" i="158"/>
  <c r="O204" i="158"/>
  <c r="O205" i="158"/>
  <c r="O207" i="158"/>
  <c r="O209" i="158"/>
  <c r="O210" i="158"/>
  <c r="O211" i="158"/>
  <c r="O212" i="158"/>
  <c r="O213" i="158"/>
  <c r="O214" i="158"/>
  <c r="O216" i="158"/>
  <c r="O217" i="158"/>
  <c r="O218" i="158"/>
  <c r="O219" i="158"/>
  <c r="O220" i="158"/>
  <c r="O221" i="158"/>
  <c r="O222" i="158"/>
  <c r="O224" i="158"/>
  <c r="O225" i="158"/>
  <c r="O226" i="158"/>
  <c r="O227" i="158"/>
  <c r="O228" i="158"/>
  <c r="O229" i="158"/>
  <c r="O230" i="158"/>
  <c r="O232" i="158"/>
  <c r="O233" i="158"/>
  <c r="O234" i="158"/>
  <c r="O235" i="158"/>
  <c r="O237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3" i="158"/>
  <c r="O255" i="158"/>
  <c r="O256" i="158"/>
  <c r="O257" i="158"/>
  <c r="O258" i="158"/>
  <c r="O259" i="158"/>
  <c r="O260" i="158"/>
  <c r="O261" i="158"/>
  <c r="O263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B21" i="157"/>
  <c r="B23" i="157"/>
  <c r="R7" i="157"/>
  <c r="Q7" i="157"/>
  <c r="P7" i="157"/>
  <c r="O7" i="157"/>
  <c r="M7" i="157"/>
  <c r="M5" i="153"/>
  <c r="M4" i="153"/>
  <c r="M3" i="153"/>
  <c r="Q3" i="153"/>
  <c r="Q4" i="153"/>
  <c r="Q5" i="153"/>
  <c r="E5" i="153"/>
  <c r="Q6" i="157"/>
  <c r="E20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3" i="157"/>
  <c r="E28" i="157"/>
  <c r="B28" i="157"/>
  <c r="E29" i="157"/>
  <c r="B29" i="157"/>
  <c r="G21" i="157"/>
  <c r="E21" i="157"/>
  <c r="H21" i="157"/>
  <c r="G28" i="157"/>
  <c r="H28" i="157"/>
  <c r="E22" i="157"/>
  <c r="B22" i="157"/>
  <c r="G22" i="157"/>
  <c r="H22" i="157"/>
  <c r="G23" i="157"/>
  <c r="H23" i="157"/>
  <c r="G29" i="157"/>
  <c r="H29" i="157"/>
  <c r="F50" i="157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F6" i="157"/>
  <c r="E6" i="157"/>
  <c r="Q3" i="157"/>
  <c r="Q4" i="157"/>
  <c r="Q5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5" i="157"/>
  <c r="A36" i="157"/>
  <c r="E5" i="157"/>
  <c r="E27" i="157"/>
  <c r="R6" i="157"/>
  <c r="R3" i="157"/>
  <c r="R5" i="157"/>
  <c r="R4" i="157"/>
  <c r="I315" i="154"/>
  <c r="D315" i="154"/>
  <c r="J315" i="154"/>
  <c r="E315" i="154"/>
  <c r="F315" i="154"/>
  <c r="C315" i="154"/>
  <c r="H315" i="154"/>
  <c r="K315" i="154"/>
  <c r="L315" i="154"/>
  <c r="M315" i="154"/>
  <c r="N315" i="154"/>
  <c r="A2" i="153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F5" i="153"/>
  <c r="F6" i="153"/>
  <c r="A36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G29" i="153"/>
  <c r="H29" i="153"/>
  <c r="O315" i="154"/>
  <c r="E6" i="153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R6" i="153"/>
  <c r="O213" i="154"/>
  <c r="R7" i="153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R3" i="153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R5" i="153"/>
  <c r="O302" i="154"/>
  <c r="R4" i="153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6" i="154"/>
  <c r="O317" i="154"/>
  <c r="O318" i="154"/>
  <c r="O319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F315" i="158"/>
  <c r="H315" i="158"/>
  <c r="K315" i="158"/>
  <c r="L315" i="158"/>
  <c r="M315" i="158"/>
  <c r="N315" i="158"/>
  <c r="F316" i="158"/>
  <c r="F317" i="158"/>
  <c r="F318" i="158"/>
  <c r="F319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F310" i="154"/>
  <c r="H310" i="154"/>
  <c r="K310" i="154"/>
  <c r="L310" i="154"/>
  <c r="M310" i="154"/>
  <c r="N310" i="154"/>
  <c r="F311" i="154"/>
  <c r="F312" i="154"/>
  <c r="F313" i="154"/>
  <c r="F314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F310" i="158"/>
  <c r="H310" i="158"/>
  <c r="K310" i="158"/>
  <c r="L310" i="158"/>
  <c r="M310" i="158"/>
  <c r="N310" i="158"/>
  <c r="F311" i="158"/>
  <c r="F312" i="158"/>
  <c r="F313" i="158"/>
  <c r="F314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C4" i="103"/>
  <c r="E4" i="103"/>
  <c r="B30" i="157"/>
  <c r="A300" i="154"/>
  <c r="F300" i="154"/>
  <c r="H300" i="154"/>
  <c r="K300" i="154"/>
  <c r="L300" i="154"/>
  <c r="M300" i="154"/>
  <c r="N300" i="154"/>
  <c r="F301" i="154"/>
  <c r="F302" i="154"/>
  <c r="F303" i="154"/>
  <c r="F304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D21" i="157"/>
  <c r="F21" i="157"/>
  <c r="I21" i="157"/>
  <c r="J21" i="157"/>
  <c r="B44" i="157"/>
  <c r="F42" i="157"/>
  <c r="G42" i="157"/>
  <c r="B27" i="157"/>
  <c r="G27" i="157"/>
  <c r="H27" i="157"/>
  <c r="I27" i="157"/>
  <c r="J27" i="157"/>
  <c r="F27" i="157"/>
  <c r="D27" i="157"/>
  <c r="B32" i="157"/>
  <c r="D32" i="157"/>
  <c r="O138" i="158"/>
  <c r="O140" i="158"/>
  <c r="O142" i="158"/>
  <c r="O144" i="158"/>
  <c r="O149" i="158"/>
  <c r="O151" i="158"/>
  <c r="O156" i="158"/>
  <c r="O164" i="158"/>
  <c r="O169" i="158"/>
  <c r="O174" i="158"/>
  <c r="O176" i="158"/>
  <c r="O184" i="158"/>
  <c r="O189" i="158"/>
  <c r="O191" i="158"/>
  <c r="O196" i="158"/>
  <c r="O201" i="158"/>
  <c r="O206" i="158"/>
  <c r="O208" i="158"/>
  <c r="O215" i="158"/>
  <c r="O223" i="158"/>
  <c r="O231" i="158"/>
  <c r="O236" i="158"/>
  <c r="O238" i="158"/>
  <c r="O252" i="158"/>
  <c r="O254" i="158"/>
  <c r="O262" i="158"/>
  <c r="O264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F45" i="157"/>
  <c r="F46" i="157"/>
  <c r="B42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9" i="157"/>
  <c r="F48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<sst xmlns="http://schemas.openxmlformats.org/spreadsheetml/2006/main" count="513" uniqueCount="254">
  <si>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</si>
  <si>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</si>
  <si>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</si>
  <si>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</si>
  <si>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</si>
  <si>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</si>
  <si>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</si>
  <si>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</si>
  <si>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</si>
  <si>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</si>
  <si>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</si>
  <si>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</si>
  <si>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</si>
  <si>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</si>
  <si>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</si>
  <si>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</si>
  <si>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</si>
  <si>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</si>
  <si>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</si>
  <si>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</si>
  <si>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</si>
  <si>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</si>
  <si>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</si>
  <si>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</si>
  <si>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</si>
  <si>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</si>
  <si>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</si>
  <si>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</si>
  <si>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</si>
  <si>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</si>
  <si>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</si>
  <si>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</si>
  <si>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</si>
  <si>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</si>
  <si>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</si>
  <si>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</si>
  <si>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</si>
  <si>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</si>
  <si>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</si>
  <si>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</si>
  <si>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</si>
  <si>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</si>
  <si>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</si>
  <si>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</si>
  <si>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</si>
  <si>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</si>
  <si>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</si>
  <si>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</si>
  <si>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</si>
  <si>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</si>
  <si>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</si>
  <si>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</si>
  <si>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</si>
  <si>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</si>
  <si>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</si>
  <si>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</si>
  <si>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</si>
  <si>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</si>
  <si>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</si>
  <si>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</si>
  <si>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</si>
  <si>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</si>
  <si>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</si>
  <si>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</si>
  <si>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</si>
  <si>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</si>
  <si>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</si>
  <si>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</si>
  <si>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</si>
  <si>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</si>
  <si>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</si>
  <si>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</si>
  <si>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</si>
  <si>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</si>
  <si>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</si>
  <si>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</si>
  <si>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</si>
  <si>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</si>
  <si>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</si>
  <si>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</si>
  <si>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</si>
  <si>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</si>
  <si>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</si>
  <si>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</si>
  <si>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</si>
  <si>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</si>
  <si>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</si>
  <si>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</si>
  <si>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</si>
  <si>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</si>
  <si>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</si>
  <si>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</si>
  <si>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</si>
  <si>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</si>
  <si>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</si>
  <si>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</si>
  <si>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</si>
  <si>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</si>
  <si>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</si>
  <si>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</si>
  <si>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</si>
  <si>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</si>
  <si>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</si>
  <si>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</si>
  <si>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</si>
  <si>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</si>
  <si>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</si>
  <si>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</si>
  <si>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</si>
  <si>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</si>
  <si>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</si>
  <si>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</si>
  <si>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</si>
  <si>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</si>
  <si>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</si>
  <si>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</si>
  <si>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</si>
  <si>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</si>
  <si>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</si>
  <si>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</si>
  <si>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</si>
  <si>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</si>
  <si>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</si>
  <si>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</si>
  <si>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</si>
  <si>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</si>
  <si>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</si>
  <si>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</si>
  <si>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</si>
  <si>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</si>
  <si>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</si>
  <si>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</si>
  <si>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</si>
  <si>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</si>
  <si>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</si>
  <si>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</si>
  <si>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</si>
  <si>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</si>
  <si>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</si>
  <si>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</si>
  <si>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</si>
  <si>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</si>
  <si>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</si>
  <si>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</si>
  <si>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</si>
  <si>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</si>
  <si>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</si>
  <si>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</si>
  <si>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</si>
  <si>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</si>
  <si>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</si>
  <si>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</si>
  <si>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</si>
  <si>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</si>
  <si>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</si>
  <si>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</si>
  <si>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</si>
  <si>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</si>
  <si>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</si>
  <si>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</si>
  <si>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</si>
  <si>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</si>
  <si>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</si>
  <si>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</si>
  <si>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</si>
  <si>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</si>
  <si>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</si>
  <si>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</si>
  <si>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</si>
  <si>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</si>
  <si>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</si>
  <si>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</si>
  <si>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</si>
  <si>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</si>
  <si>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</si>
  <si>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</si>
  <si>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</si>
  <si>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</si>
  <si>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</si>
  <si>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</si>
  <si>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</si>
  <si>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</si>
  <si>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</si>
  <si>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</si>
  <si>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</si>
  <si>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</si>
  <si>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</si>
  <si>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</si>
  <si>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</si>
  <si>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</si>
  <si>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</si>
  <si>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</si>
  <si>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</si>
  <si>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</si>
  <si>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</si>
  <si>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</si>
  <si>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</si>
  <si>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</si>
  <si>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</si>
  <si>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</si>
  <si>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</si>
  <si>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</si>
  <si>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</si>
  <si>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</si>
  <si>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</si>
  <si>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</si>
  <si>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</si>
  <si>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</si>
  <si>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</si>
  <si>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</si>
  <si>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</si>
  <si>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</si>
  <si>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</si>
  <si>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</si>
  <si>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</si>
  <si>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</si>
  <si>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</si>
  <si>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</si>
  <si>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</si>
  <si>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</si>
  <si>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</si>
  <si>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</si>
  <si>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</si>
  <si>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</si>
  <si>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</si>
  <si>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</si>
  <si>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</si>
  <si>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</si>
  <si>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</si>
  <si>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</si>
  <si>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</si>
  <si>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</si>
  <si>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</si>
  <si>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</si>
  <si>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</si>
  <si>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</si>
  <si>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</si>
  <si>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</si>
  <si>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</si>
  <si>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</si>
  <si>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</si>
  <si>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</si>
  <si>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</si>
  <si>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</si>
  <si>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</si>
  <si>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</si>
  <si>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</si>
  <si>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</si>
  <si>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gacha_select_tables_</t>
    <phoneticPr fontId="21"/>
  </si>
  <si>
    <t>tables_422011</t>
  </si>
  <si>
    <t>tables_427100</t>
  </si>
  <si>
    <t>tables_427010</t>
  </si>
  <si>
    <t>PremiumSSw</t>
    <phoneticPr fontId="21"/>
  </si>
  <si>
    <t>PremiumSSS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</si>
</sst>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2" fillId="4" borderId="1" xfId="2978" applyFont="1" applyFill="1" applyBorder="1"/>
    <xf numFmtId="0" fontId="1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元ラブレター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元ラブレター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1181</v>
          </cell>
          <cell r="B1161" t="str">
            <v>ja</v>
          </cell>
          <cell r="C1161" t="str">
            <v>永存の究極論 ユークリッド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blue</v>
          </cell>
          <cell r="I1161">
            <v>6</v>
          </cell>
          <cell r="J1161" t="str">
            <v>PremiumSSS</v>
          </cell>
          <cell r="K1161" t="str">
            <v>balance</v>
          </cell>
          <cell r="L1161" t="str">
            <v>バランスタイプ</v>
          </cell>
          <cell r="M1161" t="str">
            <v>academia</v>
          </cell>
        </row>
        <row r="1162">
          <cell r="A1162">
            <v>1184</v>
          </cell>
          <cell r="B1162" t="str">
            <v>ja</v>
          </cell>
          <cell r="C1162" t="str">
            <v>電装の烙雷芯 ファラデー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6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1185</v>
          </cell>
          <cell r="B1163" t="str">
            <v>ja</v>
          </cell>
          <cell r="C1163" t="str">
            <v>兆銀河団の星観者 ハーシェル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heal</v>
          </cell>
          <cell r="L1163" t="str">
            <v>回復タイプ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J15" sqref="J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427100</v>
      </c>
      <c r="D2" s="19" t="s">
        <v>45</v>
      </c>
      <c r="E2" s="17" t="str">
        <f t="shared" ref="E2" si="1">B2&amp;C2&amp;D2</f>
        <v>gacha_select_tables_427100.tmp</v>
      </c>
      <c r="F2" s="97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427010</v>
      </c>
      <c r="D3" s="19" t="s">
        <v>45</v>
      </c>
      <c r="E3" s="17" t="str">
        <f t="shared" ref="E3:E10" si="3">B3&amp;C3&amp;D3</f>
        <v>gacha_select_tables_427010.tmp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241</v>
      </c>
      <c r="B4" s="96" t="s">
        <v>248</v>
      </c>
      <c r="C4" s="50" t="str">
        <f>RIGHT(F4,6)</f>
        <v>422011</v>
      </c>
      <c r="D4" s="19" t="s">
        <v>45</v>
      </c>
      <c r="E4" s="17" t="str">
        <f>B4&amp;C4&amp;D4</f>
        <v>gacha_select_tables_422011.tmp</v>
      </c>
      <c r="F4" s="97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L6" sqref="L6:N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848</v>
      </c>
      <c r="M3" s="37" t="str">
        <f>VLOOKUP(L3,[1]characters!$A:$C,3,FALSE)</f>
        <v>メタトロン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VLOOKUP(L3,tables_427010!B:C,2,FALSE)</f>
        <v>PremiumSS5R5only</v>
      </c>
      <c r="R3" s="62">
        <f t="shared" ref="R3:R20" si="1">N3*A$36</f>
        <v>54000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1031</v>
      </c>
      <c r="M4" s="37" t="str">
        <f>VLOOKUP(L4,[1]characters!$A:$C,3,FALSE)</f>
        <v>紫式部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VLOOKUP(L4,tables_427010!B:C,2,FALSE)</f>
        <v>PremiumSS5R5only</v>
      </c>
      <c r="R4" s="62">
        <f t="shared" si="1"/>
        <v>54000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1.8518518518518523E-4</v>
      </c>
      <c r="F5">
        <f>(COUNTIF(tables_427010!C:C,input_427010!A28)+COUNTIF(tables_427010!C:C,input_427010!A29))</f>
        <v>54</v>
      </c>
      <c r="H5" s="84">
        <v>0.04</v>
      </c>
      <c r="I5" s="31">
        <v>0</v>
      </c>
      <c r="L5" s="60">
        <v>1028</v>
      </c>
      <c r="M5" s="37" t="str">
        <f>VLOOKUP(L5,[1]characters!$A:$C,3,FALSE)</f>
        <v>牛若丸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VLOOKUP(L5,tables_427010!B:C,2,FALSE)</f>
        <v>PremiumSS5R5only</v>
      </c>
      <c r="R5" s="62">
        <f t="shared" si="1"/>
        <v>54000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1.0555555555555556E-2</v>
      </c>
      <c r="F6">
        <f>(COUNTIF(tables_427010!C:C,input_427010!A25)+COUNTIF(tables_427010!C:C,input_427010!A18)+COUNTIF(tables_427010!C:C,input_427010!A20)+COUNTIF(tables_427010!C:C,input_427010!A22))</f>
        <v>90</v>
      </c>
      <c r="H6" s="89">
        <v>0</v>
      </c>
      <c r="I6" s="31">
        <v>0</v>
      </c>
      <c r="L6" s="94">
        <v>499</v>
      </c>
      <c r="M6" s="37" t="str">
        <f>VLOOKUP(L6,[1]characters!$A:$C,3,FALSE)</f>
        <v>ラプンツェル</v>
      </c>
      <c r="N6" s="63">
        <v>9.4999999999999998E-3</v>
      </c>
      <c r="O6" s="37">
        <f>VLOOKUP(L6,[1]characters!$A:$I,9,FALSE)</f>
        <v>4</v>
      </c>
      <c r="P6" s="37" t="str">
        <f>VLOOKUP(L6,[1]characters!$A:$J,10,FALSE)</f>
        <v>PremiumSS</v>
      </c>
      <c r="Q6" s="37" t="str">
        <f>VLOOKUP(L6,tables_427010!B:C,2,FALSE)</f>
        <v>PremiumSS4</v>
      </c>
      <c r="R6" s="62">
        <f t="shared" si="1"/>
        <v>51300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94">
        <v>500</v>
      </c>
      <c r="M7" s="37" t="str">
        <f>VLOOKUP(L7,[1]characters!$A:$C,3,FALSE)</f>
        <v>脈動の禁髪 ラプンツェル</v>
      </c>
      <c r="N7" s="63">
        <v>5.0000000000000001E-4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VLOOKUP(L7,tables_427010!B:C,2,FALSE)</f>
        <v>PremiumSS5</v>
      </c>
      <c r="R7" s="62">
        <f t="shared" ref="R7" si="2">N7*A$36</f>
        <v>2700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9.4999999999999998E-3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5.0000000000000001E-4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0.20444444444444446</v>
      </c>
      <c r="C17" s="85">
        <f t="shared" ref="C17:C31" si="3">SUMIF(Q:Q,A17,N:N)</f>
        <v>0</v>
      </c>
      <c r="D17" s="74">
        <f t="shared" ref="D17:D32" si="4">B17-C17</f>
        <v>0.20444444444444446</v>
      </c>
      <c r="E17">
        <f>COUNTIF(tables_427010!C:C,input_427010!A17)-COUNTIF(Q:Q,A17)</f>
        <v>20</v>
      </c>
      <c r="F17" s="43">
        <f>IFERROR(B17/E17,0)</f>
        <v>1.0222222222222223E-2</v>
      </c>
      <c r="G17">
        <f t="shared" ref="G17:G31" si="5">A$36*B17</f>
        <v>1104000</v>
      </c>
      <c r="H17">
        <f t="shared" ref="H17:H31" si="6">IFERROR(ROUND(G17/E17,5),0)</f>
        <v>55200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6.6666666666666541E-3</v>
      </c>
      <c r="C18" s="85">
        <f t="shared" si="3"/>
        <v>0</v>
      </c>
      <c r="D18" s="74">
        <f t="shared" si="4"/>
        <v>6.6666666666666541E-3</v>
      </c>
      <c r="E18">
        <f>COUNTIF(tables_427010!C:C,input_427010!A18)-COUNTIF(Q:Q,A18)</f>
        <v>20</v>
      </c>
      <c r="F18" s="43">
        <f>IFERROR(B18/E18,0)</f>
        <v>3.3333333333333273E-4</v>
      </c>
      <c r="G18">
        <f t="shared" si="5"/>
        <v>35999.999999999935</v>
      </c>
      <c r="H18">
        <f t="shared" si="6"/>
        <v>1800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0.27444444444444444</v>
      </c>
      <c r="C19" s="85">
        <f t="shared" si="3"/>
        <v>0</v>
      </c>
      <c r="D19" s="74">
        <f t="shared" si="4"/>
        <v>0.27444444444444444</v>
      </c>
      <c r="E19">
        <f>COUNTIF(tables_427010!C:C,input_427010!A19)-COUNTIF(Q:Q,A19)</f>
        <v>52</v>
      </c>
      <c r="F19" s="43">
        <f t="shared" ref="F19:F31" si="9">IFERROR(B19/E19,0)</f>
        <v>5.2777777777777779E-3</v>
      </c>
      <c r="G19">
        <f t="shared" si="5"/>
        <v>1482000</v>
      </c>
      <c r="H19">
        <f t="shared" si="6"/>
        <v>28500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E$6*E20*B$6+E34-G49-G48</f>
        <v>0.26395370373151505</v>
      </c>
      <c r="C20" s="85">
        <f t="shared" si="3"/>
        <v>0</v>
      </c>
      <c r="D20" s="74">
        <f t="shared" si="4"/>
        <v>0.26395370373151505</v>
      </c>
      <c r="E20">
        <f>COUNTIF(tables_427010!C:C,input_427010!A20)-COUNTIF(Q:Q,A20)</f>
        <v>52</v>
      </c>
      <c r="F20" s="43">
        <f t="shared" si="9"/>
        <v>5.0760327640675968E-3</v>
      </c>
      <c r="G20">
        <f t="shared" si="5"/>
        <v>1425350.0001501814</v>
      </c>
      <c r="H20">
        <f t="shared" si="6"/>
        <v>27410.576929999999</v>
      </c>
      <c r="I20">
        <f t="shared" si="7"/>
        <v>0.57692999999926542</v>
      </c>
      <c r="J20">
        <f t="shared" si="8"/>
        <v>1.7333125335851374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B7-B23-B26-B28-B29-0.0305</f>
        <v>1.0490740740740738E-2</v>
      </c>
      <c r="C21" s="85">
        <f t="shared" si="3"/>
        <v>0</v>
      </c>
      <c r="D21" s="74">
        <f t="shared" si="4"/>
        <v>1.0490740740740738E-2</v>
      </c>
      <c r="E21">
        <f>COUNTIF(tables_427010!C:C,input_427010!A21)-COUNTIF(Q:Q,A21)</f>
        <v>52</v>
      </c>
      <c r="F21" s="43">
        <f t="shared" si="9"/>
        <v>2.0174501424501419E-4</v>
      </c>
      <c r="G21">
        <f t="shared" si="5"/>
        <v>56649.999999999985</v>
      </c>
      <c r="H21">
        <f t="shared" si="6"/>
        <v>1089.42308</v>
      </c>
      <c r="I21">
        <f t="shared" si="7"/>
        <v>0.42308000000002721</v>
      </c>
      <c r="J21">
        <f t="shared" si="8"/>
        <v>2.3636191736785848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0.1453888888888889</v>
      </c>
      <c r="C22" s="85">
        <f t="shared" si="3"/>
        <v>0</v>
      </c>
      <c r="D22" s="74">
        <f t="shared" si="4"/>
        <v>0.1453888888888889</v>
      </c>
      <c r="E22">
        <f>COUNTIF(tables_427010!C:C,input_427010!A22)-COUNTIF(Q:Q,A22)</f>
        <v>14</v>
      </c>
      <c r="F22" s="43">
        <f t="shared" si="9"/>
        <v>1.0384920634920636E-2</v>
      </c>
      <c r="G22">
        <f t="shared" si="5"/>
        <v>785100.00000000012</v>
      </c>
      <c r="H22">
        <f t="shared" si="6"/>
        <v>56078.571430000004</v>
      </c>
      <c r="I22">
        <f t="shared" si="7"/>
        <v>0.57143000000360189</v>
      </c>
      <c r="J22">
        <f t="shared" si="8"/>
        <v>1.7499956249999067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E23*E6*B7-0.005</f>
        <v>2.3888888888888892E-3</v>
      </c>
      <c r="C23" s="85">
        <f t="shared" si="3"/>
        <v>0</v>
      </c>
      <c r="D23" s="74">
        <f t="shared" si="4"/>
        <v>2.3888888888888892E-3</v>
      </c>
      <c r="E23">
        <f>COUNTIF(tables_427010!C:C,input_427010!A23)-COUNTIF(Q:Q,A23)</f>
        <v>14</v>
      </c>
      <c r="F23" s="43">
        <f t="shared" si="9"/>
        <v>1.7063492063492067E-4</v>
      </c>
      <c r="G23">
        <f t="shared" si="5"/>
        <v>12900.000000000002</v>
      </c>
      <c r="H23">
        <f t="shared" si="6"/>
        <v>921.42857000000004</v>
      </c>
      <c r="I23">
        <f t="shared" si="7"/>
        <v>0.42857000000003609</v>
      </c>
      <c r="J23">
        <f t="shared" si="8"/>
        <v>2.3333411111368405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2.1111111111111112E-2</v>
      </c>
      <c r="C24" s="85">
        <f t="shared" si="3"/>
        <v>0</v>
      </c>
      <c r="D24" s="74">
        <f t="shared" si="4"/>
        <v>2.1111111111111112E-2</v>
      </c>
      <c r="E24">
        <f>COUNTIF(tables_427010!C:C,input_427010!A24)-COUNTIF(Q:Q,A24)</f>
        <v>4</v>
      </c>
      <c r="F24" s="43">
        <f t="shared" si="9"/>
        <v>5.2777777777777779E-3</v>
      </c>
      <c r="G24">
        <f t="shared" si="5"/>
        <v>114000</v>
      </c>
      <c r="H24">
        <f t="shared" si="6"/>
        <v>28500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1.9E-2</v>
      </c>
      <c r="C25" s="85">
        <f t="shared" si="3"/>
        <v>0</v>
      </c>
      <c r="D25" s="74">
        <f t="shared" si="4"/>
        <v>1.9E-2</v>
      </c>
      <c r="E25">
        <f>COUNTIF(tables_427010!C:C,input_427010!A25)-COUNTIF(Q:Q,A25)</f>
        <v>4</v>
      </c>
      <c r="F25" s="43">
        <f t="shared" si="9"/>
        <v>4.7499999999999999E-3</v>
      </c>
      <c r="G25">
        <f t="shared" si="5"/>
        <v>102600</v>
      </c>
      <c r="H25">
        <f t="shared" si="6"/>
        <v>25650</v>
      </c>
      <c r="I25">
        <f t="shared" si="7"/>
        <v>0</v>
      </c>
      <c r="J25">
        <f t="shared" si="8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5">
        <f t="shared" si="3"/>
        <v>0</v>
      </c>
      <c r="D26" s="74">
        <f t="shared" si="4"/>
        <v>2.1111111111111113E-3</v>
      </c>
      <c r="E26">
        <f>COUNTIF(tables_427010!C:C,input_427010!A26)-COUNTIF(Q:Q,A26)</f>
        <v>4</v>
      </c>
      <c r="F26" s="43">
        <f t="shared" si="9"/>
        <v>5.2777777777777784E-4</v>
      </c>
      <c r="G26">
        <f t="shared" si="5"/>
        <v>11400.000000000002</v>
      </c>
      <c r="H26">
        <f t="shared" si="6"/>
        <v>2850</v>
      </c>
      <c r="I26">
        <f t="shared" si="7"/>
        <v>0</v>
      </c>
      <c r="J26">
        <f t="shared" si="8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E$5*E27*(B$5+B$6)+G49+G48</f>
        <v>5.4907407610774233E-3</v>
      </c>
      <c r="C27" s="85">
        <f t="shared" si="3"/>
        <v>9.4999999999999998E-3</v>
      </c>
      <c r="D27" s="74">
        <f t="shared" si="4"/>
        <v>-4.0092592389225764E-3</v>
      </c>
      <c r="E27">
        <f>COUNTIF(tables_427010!C:C,input_427010!A27)-COUNTIF(Q:Q,A27)</f>
        <v>27</v>
      </c>
      <c r="F27" s="43">
        <f>IFERROR(B27/E27,0)</f>
        <v>2.0336076892879344E-4</v>
      </c>
      <c r="G27">
        <f t="shared" si="5"/>
        <v>29650.000109818087</v>
      </c>
      <c r="H27">
        <f t="shared" si="6"/>
        <v>1098.14815</v>
      </c>
      <c r="I27">
        <f t="shared" si="7"/>
        <v>0.1481499999999869</v>
      </c>
      <c r="J27">
        <f t="shared" si="8"/>
        <v>6.7499156260552713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2.5000000000000006E-4</v>
      </c>
      <c r="C28" s="85">
        <f t="shared" si="3"/>
        <v>5.0000000000000001E-4</v>
      </c>
      <c r="D28" s="74">
        <f t="shared" si="4"/>
        <v>-2.4999999999999995E-4</v>
      </c>
      <c r="E28">
        <f>COUNTIF(tables_427010!C:C,input_427010!A28)-COUNTIF(Q:Q,A28)</f>
        <v>27</v>
      </c>
      <c r="F28" s="43">
        <f t="shared" si="9"/>
        <v>9.2592592592592608E-6</v>
      </c>
      <c r="G28">
        <f t="shared" si="5"/>
        <v>1350.0000000000002</v>
      </c>
      <c r="H28">
        <f t="shared" si="6"/>
        <v>50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4.2592592592592604E-3</v>
      </c>
      <c r="C29" s="85">
        <f t="shared" si="3"/>
        <v>0.03</v>
      </c>
      <c r="D29" s="74">
        <f t="shared" si="4"/>
        <v>-2.5740740740740738E-2</v>
      </c>
      <c r="E29">
        <f>COUNTIF(tables_427010!C:C,input_427010!A29)-COUNTIF(Q:Q,A29)</f>
        <v>23</v>
      </c>
      <c r="F29" s="43">
        <f t="shared" si="9"/>
        <v>1.8518518518518523E-4</v>
      </c>
      <c r="G29">
        <f t="shared" si="5"/>
        <v>23000.000000000007</v>
      </c>
      <c r="H29">
        <f t="shared" si="6"/>
        <v>1000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3"/>
        <v>0</v>
      </c>
      <c r="D30" s="74">
        <f t="shared" si="4"/>
        <v>0</v>
      </c>
      <c r="E30">
        <f>COUNTIF(tables_427010!C:C,input_427010!A30)-COUNTIF(Q:Q,A30)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3"/>
        <v>0</v>
      </c>
      <c r="D31" s="74">
        <f t="shared" si="4"/>
        <v>0</v>
      </c>
      <c r="E31">
        <f>COUNTIF(tables_427010!C:C,input_427010!A31)-COUNTIF(Q:Q,A31)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0.96000000004814801</v>
      </c>
      <c r="C32" s="41">
        <f>SUM(C19:C31)</f>
        <v>0.04</v>
      </c>
      <c r="D32" s="42">
        <f t="shared" si="4"/>
        <v>0.92000000004814797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1.7694444492592443E-2</v>
      </c>
    </row>
    <row r="35" spans="1:7" x14ac:dyDescent="0.15">
      <c r="A35" t="s">
        <v>73</v>
      </c>
      <c r="E35">
        <v>3.15E-2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SUMIF(tables_427010!C:C,input_427010!A40,tables_427010!O:O)</f>
        <v>1482000</v>
      </c>
      <c r="C40" s="54">
        <f t="shared" ref="C40:C46" ca="1" si="10">B40/B$47</f>
        <v>0.48606100351687304</v>
      </c>
      <c r="E40">
        <v>3</v>
      </c>
      <c r="F40">
        <f ca="1">SUMIF(tables_427010!J:J,input_427010!E40,tables_427010!O:O)</f>
        <v>2700000</v>
      </c>
      <c r="G40">
        <f ca="1">F40/A36</f>
        <v>0.5</v>
      </c>
    </row>
    <row r="41" spans="1:7" x14ac:dyDescent="0.15">
      <c r="A41" s="33" t="s">
        <v>104</v>
      </c>
      <c r="B41">
        <f ca="1">SUMIF(tables_427010!C:C,input_427010!A41,tables_427010!O:O)</f>
        <v>1425350.0003599992</v>
      </c>
      <c r="C41" s="54">
        <f t="shared" ca="1" si="10"/>
        <v>0.46748114138849972</v>
      </c>
      <c r="E41">
        <v>4</v>
      </c>
      <c r="F41">
        <f ca="1">SUMIF(tables_427010!J:J,input_427010!E41,tables_427010!O:O)</f>
        <v>2430000.00043</v>
      </c>
      <c r="G41">
        <f ca="1">F41/A36</f>
        <v>0.45000000007962965</v>
      </c>
    </row>
    <row r="42" spans="1:7" x14ac:dyDescent="0.15">
      <c r="A42" s="33" t="s">
        <v>106</v>
      </c>
      <c r="B42">
        <f ca="1">SUMIF(tables_427010!C:C,input_427010!A42,tables_427010!O:O)</f>
        <v>80950.000049999944</v>
      </c>
      <c r="C42" s="54">
        <f t="shared" ca="1" si="10"/>
        <v>2.6549688433869026E-2</v>
      </c>
      <c r="E42">
        <v>5</v>
      </c>
      <c r="F42">
        <f ca="1">SUMIF(tables_427010!J:J,input_427010!E42,tables_427010!O:O)</f>
        <v>270000.0001399999</v>
      </c>
      <c r="G42">
        <f ca="1">F42/A36</f>
        <v>5.000000002592591E-2</v>
      </c>
    </row>
    <row r="43" spans="1:7" x14ac:dyDescent="0.15">
      <c r="A43" s="33" t="s">
        <v>109</v>
      </c>
      <c r="B43">
        <f>SUMIF(tables_427010!C:C,input_427010!A43,tables_427010!O:O)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SUMIF(tables_427010!C:C,input_427010!A44,tables_427010!O:O)</f>
        <v>56650.000160000018</v>
      </c>
      <c r="C44" s="54">
        <f t="shared" ca="1" si="10"/>
        <v>1.85798622989208E-2</v>
      </c>
      <c r="E44" t="s">
        <v>54</v>
      </c>
      <c r="F44" s="55"/>
    </row>
    <row r="45" spans="1:7" x14ac:dyDescent="0.15">
      <c r="A45" s="33" t="s">
        <v>107</v>
      </c>
      <c r="B45">
        <f ca="1">SUMIF(tables_427010!C:C,input_427010!A45,tables_427010!O:O)</f>
        <v>4050</v>
      </c>
      <c r="C45" s="54">
        <f t="shared" ca="1" si="10"/>
        <v>1.3283043618376085E-3</v>
      </c>
      <c r="E45" t="s">
        <v>204</v>
      </c>
      <c r="F45" s="55">
        <f ca="1">SUMIF(tables_427010!I:I,input_427010!E45,tables_427010!P:P)</f>
        <v>0.21111111108882727</v>
      </c>
    </row>
    <row r="46" spans="1:7" x14ac:dyDescent="0.15">
      <c r="A46" s="33" t="s">
        <v>108</v>
      </c>
      <c r="B46">
        <f>SUMIF(tables_427010!C:C,input_427010!A46,tables_427010!O:O)</f>
        <v>0</v>
      </c>
      <c r="C46" s="54">
        <f t="shared" ca="1" si="10"/>
        <v>0</v>
      </c>
      <c r="E46" t="s">
        <v>205</v>
      </c>
      <c r="F46" s="55">
        <f ca="1">SUMIF(tables_427010!I:I,input_427010!E46,tables_427010!P:P)</f>
        <v>0.21111111112030875</v>
      </c>
    </row>
    <row r="47" spans="1:7" x14ac:dyDescent="0.15">
      <c r="A47" s="39" t="s">
        <v>59</v>
      </c>
      <c r="B47">
        <f ca="1">SUM(B40:B46)</f>
        <v>3049000.0005699988</v>
      </c>
      <c r="C47" s="55">
        <f ca="1">SUM(C40:C46)</f>
        <v>1.0000000000000002</v>
      </c>
      <c r="E47" t="s">
        <v>206</v>
      </c>
      <c r="F47" s="55">
        <f ca="1">SUMIF(tables_427010!I:I,input_427010!E47,tables_427010!P:P)</f>
        <v>0.52777777778688351</v>
      </c>
    </row>
    <row r="48" spans="1:7" x14ac:dyDescent="0.15">
      <c r="E48" t="s">
        <v>207</v>
      </c>
      <c r="F48" s="55">
        <f ca="1">SUMIF(tables_427010!I:I,input_427010!E48,tables_427010!P:P)</f>
        <v>4.9444444448484552E-2</v>
      </c>
      <c r="G48" s="55">
        <v>1.7592594443157793E-4</v>
      </c>
    </row>
    <row r="49" spans="5:7" x14ac:dyDescent="0.15">
      <c r="E49" t="s">
        <v>252</v>
      </c>
      <c r="F49" s="55">
        <f ca="1">SUMIF(tables_427010!I:I,input_427010!E49,tables_427010!P:P)</f>
        <v>5.5555555549691355E-4</v>
      </c>
      <c r="G49" s="55">
        <v>5.6481481664584488E-4</v>
      </c>
    </row>
    <row r="50" spans="5:7" x14ac:dyDescent="0.15">
      <c r="E50" t="s">
        <v>253</v>
      </c>
      <c r="F50" s="55">
        <f>SUMIF(tables_427010!I:I,input_427010!E50,tables_427010!P:P)</f>
        <v>0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B315" sqref="B315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input_427010!A$2</f>
        <v>427010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IFERROR(VLOOKUP(B2,input_427010!L:R,7,FALSE),VLOOKUP(tables_427010!C2,input_427010!A:H,8,FALSE))</f>
        <v>55200</v>
      </c>
      <c r="P2" s="46">
        <f t="shared" ref="P2:P65" ca="1" si="1">O2/SUM(O:O)</f>
        <v>1.0222222221143209E-2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input_427010!A$2</f>
        <v>427010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IFERROR(VLOOKUP(B3,input_427010!L:R,7,FALSE),VLOOKUP(tables_427010!C3,input_427010!A:H,8,FALSE))</f>
        <v>1800</v>
      </c>
      <c r="P3" s="46">
        <f t="shared" ca="1" si="1"/>
        <v>3.3333333329814814E-4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input_427010!A$2</f>
        <v>427010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IFERROR(VLOOKUP(B4,input_427010!L:R,7,FALSE),VLOOKUP(tables_427010!C4,input_427010!A:H,8,FALSE))</f>
        <v>55200</v>
      </c>
      <c r="P4" s="46">
        <f t="shared" ca="1" si="1"/>
        <v>1.0222222221143209E-2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input_427010!A$2</f>
        <v>427010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IFERROR(VLOOKUP(B5,input_427010!L:R,7,FALSE),VLOOKUP(tables_427010!C5,input_427010!A:H,8,FALSE))</f>
        <v>1800</v>
      </c>
      <c r="P5" s="46">
        <f t="shared" ca="1" si="1"/>
        <v>3.3333333329814814E-4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input_427010!A$2</f>
        <v>427010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IFERROR(VLOOKUP(B6,input_427010!L:R,7,FALSE),VLOOKUP(tables_427010!C6,input_427010!A:H,8,FALSE))</f>
        <v>55200</v>
      </c>
      <c r="P6" s="46">
        <f t="shared" ca="1" si="1"/>
        <v>1.0222222221143209E-2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input_427010!A$2</f>
        <v>427010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IFERROR(VLOOKUP(B7,input_427010!L:R,7,FALSE),VLOOKUP(tables_427010!C7,input_427010!A:H,8,FALSE))</f>
        <v>1800</v>
      </c>
      <c r="P7" s="46">
        <f t="shared" ca="1" si="1"/>
        <v>3.3333333329814814E-4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input_427010!A$2</f>
        <v>427010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IFERROR(VLOOKUP(B8,input_427010!L:R,7,FALSE),VLOOKUP(tables_427010!C8,input_427010!A:H,8,FALSE))</f>
        <v>55200</v>
      </c>
      <c r="P8" s="46">
        <f t="shared" ca="1" si="1"/>
        <v>1.0222222221143209E-2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input_427010!A$2</f>
        <v>427010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IFERROR(VLOOKUP(B9,input_427010!L:R,7,FALSE),VLOOKUP(tables_427010!C9,input_427010!A:H,8,FALSE))</f>
        <v>1800</v>
      </c>
      <c r="P9" s="46">
        <f t="shared" ca="1" si="1"/>
        <v>3.3333333329814814E-4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input_427010!A$2</f>
        <v>427010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IFERROR(VLOOKUP(B10,input_427010!L:R,7,FALSE),VLOOKUP(tables_427010!C10,input_427010!A:H,8,FALSE))</f>
        <v>55200</v>
      </c>
      <c r="P10" s="46">
        <f t="shared" ca="1" si="1"/>
        <v>1.0222222221143209E-2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input_427010!A$2</f>
        <v>427010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IFERROR(VLOOKUP(B11,input_427010!L:R,7,FALSE),VLOOKUP(tables_427010!C11,input_427010!A:H,8,FALSE))</f>
        <v>1800</v>
      </c>
      <c r="P11" s="46">
        <f t="shared" ca="1" si="1"/>
        <v>3.3333333329814814E-4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input_427010!A$2</f>
        <v>427010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IFERROR(VLOOKUP(B12,input_427010!L:R,7,FALSE),VLOOKUP(tables_427010!C12,input_427010!A:H,8,FALSE))</f>
        <v>55200</v>
      </c>
      <c r="P12" s="46">
        <f t="shared" ca="1" si="1"/>
        <v>1.0222222221143209E-2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input_427010!A$2</f>
        <v>427010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IFERROR(VLOOKUP(B13,input_427010!L:R,7,FALSE),VLOOKUP(tables_427010!C13,input_427010!A:H,8,FALSE))</f>
        <v>1800</v>
      </c>
      <c r="P13" s="46">
        <f t="shared" ca="1" si="1"/>
        <v>3.3333333329814814E-4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input_427010!A$2</f>
        <v>427010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IFERROR(VLOOKUP(B14,input_427010!L:R,7,FALSE),VLOOKUP(tables_427010!C14,input_427010!A:H,8,FALSE))</f>
        <v>55200</v>
      </c>
      <c r="P14" s="46">
        <f t="shared" ca="1" si="1"/>
        <v>1.0222222221143209E-2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input_427010!A$2</f>
        <v>427010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IFERROR(VLOOKUP(B15,input_427010!L:R,7,FALSE),VLOOKUP(tables_427010!C15,input_427010!A:H,8,FALSE))</f>
        <v>1800</v>
      </c>
      <c r="P15" s="46">
        <f t="shared" ca="1" si="1"/>
        <v>3.3333333329814814E-4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input_427010!A$2</f>
        <v>427010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IFERROR(VLOOKUP(B16,input_427010!L:R,7,FALSE),VLOOKUP(tables_427010!C16,input_427010!A:H,8,FALSE))</f>
        <v>55200</v>
      </c>
      <c r="P16" s="46">
        <f t="shared" ca="1" si="1"/>
        <v>1.0222222221143209E-2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input_427010!A$2</f>
        <v>427010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IFERROR(VLOOKUP(B17,input_427010!L:R,7,FALSE),VLOOKUP(tables_427010!C17,input_427010!A:H,8,FALSE))</f>
        <v>1800</v>
      </c>
      <c r="P17" s="46">
        <f t="shared" ca="1" si="1"/>
        <v>3.3333333329814814E-4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input_427010!A$2</f>
        <v>427010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IFERROR(VLOOKUP(B18,input_427010!L:R,7,FALSE),VLOOKUP(tables_427010!C18,input_427010!A:H,8,FALSE))</f>
        <v>55200</v>
      </c>
      <c r="P18" s="46">
        <f t="shared" ca="1" si="1"/>
        <v>1.0222222221143209E-2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input_427010!A$2</f>
        <v>427010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IFERROR(VLOOKUP(B19,input_427010!L:R,7,FALSE),VLOOKUP(tables_427010!C19,input_427010!A:H,8,FALSE))</f>
        <v>1800</v>
      </c>
      <c r="P19" s="46">
        <f t="shared" ca="1" si="1"/>
        <v>3.3333333329814814E-4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input_427010!A$2</f>
        <v>427010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IFERROR(VLOOKUP(B20,input_427010!L:R,7,FALSE),VLOOKUP(tables_427010!C20,input_427010!A:H,8,FALSE))</f>
        <v>55200</v>
      </c>
      <c r="P20" s="46">
        <f t="shared" ca="1" si="1"/>
        <v>1.0222222221143209E-2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input_427010!A$2</f>
        <v>427010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IFERROR(VLOOKUP(B21,input_427010!L:R,7,FALSE),VLOOKUP(tables_427010!C21,input_427010!A:H,8,FALSE))</f>
        <v>1800</v>
      </c>
      <c r="P21" s="46">
        <f t="shared" ca="1" si="1"/>
        <v>3.3333333329814814E-4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input_427010!A$2</f>
        <v>427010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IFERROR(VLOOKUP(B22,input_427010!L:R,7,FALSE),VLOOKUP(tables_427010!C22,input_427010!A:H,8,FALSE))</f>
        <v>55200</v>
      </c>
      <c r="P22" s="46">
        <f t="shared" ca="1" si="1"/>
        <v>1.0222222221143209E-2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input_427010!A$2</f>
        <v>427010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IFERROR(VLOOKUP(B23,input_427010!L:R,7,FALSE),VLOOKUP(tables_427010!C23,input_427010!A:H,8,FALSE))</f>
        <v>1800</v>
      </c>
      <c r="P23" s="46">
        <f t="shared" ca="1" si="1"/>
        <v>3.3333333329814814E-4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input_427010!A$2</f>
        <v>427010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IFERROR(VLOOKUP(B24,input_427010!L:R,7,FALSE),VLOOKUP(tables_427010!C24,input_427010!A:H,8,FALSE))</f>
        <v>55200</v>
      </c>
      <c r="P24" s="46">
        <f t="shared" ca="1" si="1"/>
        <v>1.0222222221143209E-2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input_427010!A$2</f>
        <v>427010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IFERROR(VLOOKUP(B25,input_427010!L:R,7,FALSE),VLOOKUP(tables_427010!C25,input_427010!A:H,8,FALSE))</f>
        <v>1800</v>
      </c>
      <c r="P25" s="46">
        <f t="shared" ca="1" si="1"/>
        <v>3.3333333329814814E-4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input_427010!A$2</f>
        <v>427010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IFERROR(VLOOKUP(B26,input_427010!L:R,7,FALSE),VLOOKUP(tables_427010!C26,input_427010!A:H,8,FALSE))</f>
        <v>55200</v>
      </c>
      <c r="P26" s="46">
        <f t="shared" ca="1" si="1"/>
        <v>1.0222222221143209E-2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input_427010!A$2</f>
        <v>427010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IFERROR(VLOOKUP(B27,input_427010!L:R,7,FALSE),VLOOKUP(tables_427010!C27,input_427010!A:H,8,FALSE))</f>
        <v>1800</v>
      </c>
      <c r="P27" s="46">
        <f t="shared" ca="1" si="1"/>
        <v>3.3333333329814814E-4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input_427010!A$2</f>
        <v>427010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IFERROR(VLOOKUP(B28,input_427010!L:R,7,FALSE),VLOOKUP(tables_427010!C28,input_427010!A:H,8,FALSE))</f>
        <v>55200</v>
      </c>
      <c r="P28" s="46">
        <f t="shared" ca="1" si="1"/>
        <v>1.0222222221143209E-2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input_427010!A$2</f>
        <v>427010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IFERROR(VLOOKUP(B29,input_427010!L:R,7,FALSE),VLOOKUP(tables_427010!C29,input_427010!A:H,8,FALSE))</f>
        <v>1800</v>
      </c>
      <c r="P29" s="46">
        <f t="shared" ca="1" si="1"/>
        <v>3.3333333329814814E-4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input_427010!A$2</f>
        <v>427010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IFERROR(VLOOKUP(B30,input_427010!L:R,7,FALSE),VLOOKUP(tables_427010!C30,input_427010!A:H,8,FALSE))</f>
        <v>55200</v>
      </c>
      <c r="P30" s="46">
        <f t="shared" ca="1" si="1"/>
        <v>1.0222222221143209E-2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input_427010!A$2</f>
        <v>427010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IFERROR(VLOOKUP(B31,input_427010!L:R,7,FALSE),VLOOKUP(tables_427010!C31,input_427010!A:H,8,FALSE))</f>
        <v>1800</v>
      </c>
      <c r="P31" s="46">
        <f t="shared" ca="1" si="1"/>
        <v>3.3333333329814814E-4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input_427010!A$2</f>
        <v>427010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IFERROR(VLOOKUP(B32,input_427010!L:R,7,FALSE),VLOOKUP(tables_427010!C32,input_427010!A:H,8,FALSE))</f>
        <v>55200</v>
      </c>
      <c r="P32" s="46">
        <f t="shared" ca="1" si="1"/>
        <v>1.0222222221143209E-2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input_427010!A$2</f>
        <v>427010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IFERROR(VLOOKUP(B33,input_427010!L:R,7,FALSE),VLOOKUP(tables_427010!C33,input_427010!A:H,8,FALSE))</f>
        <v>1800</v>
      </c>
      <c r="P33" s="46">
        <f t="shared" ca="1" si="1"/>
        <v>3.3333333329814814E-4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input_427010!A$2</f>
        <v>427010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IFERROR(VLOOKUP(B34,input_427010!L:R,7,FALSE),VLOOKUP(tables_427010!C34,input_427010!A:H,8,FALSE))</f>
        <v>55200</v>
      </c>
      <c r="P34" s="46">
        <f t="shared" ca="1" si="1"/>
        <v>1.0222222221143209E-2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input_427010!A$2</f>
        <v>427010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IFERROR(VLOOKUP(B35,input_427010!L:R,7,FALSE),VLOOKUP(tables_427010!C35,input_427010!A:H,8,FALSE))</f>
        <v>1800</v>
      </c>
      <c r="P35" s="46">
        <f t="shared" ca="1" si="1"/>
        <v>3.3333333329814814E-4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input_427010!A$2</f>
        <v>427010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IFERROR(VLOOKUP(B36,input_427010!L:R,7,FALSE),VLOOKUP(tables_427010!C36,input_427010!A:H,8,FALSE))</f>
        <v>55200</v>
      </c>
      <c r="P36" s="46">
        <f t="shared" ca="1" si="1"/>
        <v>1.0222222221143209E-2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input_427010!A$2</f>
        <v>427010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IFERROR(VLOOKUP(B37,input_427010!L:R,7,FALSE),VLOOKUP(tables_427010!C37,input_427010!A:H,8,FALSE))</f>
        <v>1800</v>
      </c>
      <c r="P37" s="46">
        <f t="shared" ca="1" si="1"/>
        <v>3.3333333329814814E-4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input_427010!A$2</f>
        <v>427010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IFERROR(VLOOKUP(B38,input_427010!L:R,7,FALSE),VLOOKUP(tables_427010!C38,input_427010!A:H,8,FALSE))</f>
        <v>55200</v>
      </c>
      <c r="P38" s="46">
        <f t="shared" ca="1" si="1"/>
        <v>1.0222222221143209E-2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input_427010!A$2</f>
        <v>427010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IFERROR(VLOOKUP(B39,input_427010!L:R,7,FALSE),VLOOKUP(tables_427010!C39,input_427010!A:H,8,FALSE))</f>
        <v>1800</v>
      </c>
      <c r="P39" s="46">
        <f t="shared" ca="1" si="1"/>
        <v>3.3333333329814814E-4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input_427010!A$2</f>
        <v>427010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IFERROR(VLOOKUP(B40,input_427010!L:R,7,FALSE),VLOOKUP(tables_427010!C40,input_427010!A:H,8,FALSE))</f>
        <v>55200</v>
      </c>
      <c r="P40" s="46">
        <f t="shared" ca="1" si="1"/>
        <v>1.0222222221143209E-2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input_427010!A$2</f>
        <v>427010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IFERROR(VLOOKUP(B41,input_427010!L:R,7,FALSE),VLOOKUP(tables_427010!C41,input_427010!A:H,8,FALSE))</f>
        <v>1800</v>
      </c>
      <c r="P41" s="46">
        <f t="shared" ca="1" si="1"/>
        <v>3.3333333329814814E-4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input_427010!A$2</f>
        <v>427010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IFERROR(VLOOKUP(B42,input_427010!L:R,7,FALSE),VLOOKUP(tables_427010!C42,input_427010!A:H,8,FALSE))</f>
        <v>28500</v>
      </c>
      <c r="P42" s="46">
        <f t="shared" ca="1" si="1"/>
        <v>5.2777777772206793E-3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input_427010!A$2</f>
        <v>427010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IFERROR(VLOOKUP(B43,input_427010!L:R,7,FALSE),VLOOKUP(tables_427010!C43,input_427010!A:H,8,FALSE))</f>
        <v>25650</v>
      </c>
      <c r="P43" s="46">
        <f t="shared" ca="1" si="1"/>
        <v>4.749999999498611E-3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input_427010!A$2</f>
        <v>427010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IFERROR(VLOOKUP(B44,input_427010!L:R,7,FALSE),VLOOKUP(tables_427010!C44,input_427010!A:H,8,FALSE))</f>
        <v>2850</v>
      </c>
      <c r="P44" s="46">
        <f t="shared" ca="1" si="1"/>
        <v>5.2777777772206784E-4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input_427010!A$2</f>
        <v>427010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IFERROR(VLOOKUP(B45,input_427010!L:R,7,FALSE),VLOOKUP(tables_427010!C45,input_427010!A:H,8,FALSE))</f>
        <v>28500</v>
      </c>
      <c r="P45" s="46">
        <f t="shared" ca="1" si="1"/>
        <v>5.2777777772206793E-3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input_427010!A$2</f>
        <v>427010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IFERROR(VLOOKUP(B46,input_427010!L:R,7,FALSE),VLOOKUP(tables_427010!C46,input_427010!A:H,8,FALSE))</f>
        <v>25650</v>
      </c>
      <c r="P46" s="46">
        <f t="shared" ca="1" si="1"/>
        <v>4.749999999498611E-3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input_427010!A$2</f>
        <v>427010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IFERROR(VLOOKUP(B47,input_427010!L:R,7,FALSE),VLOOKUP(tables_427010!C47,input_427010!A:H,8,FALSE))</f>
        <v>2850</v>
      </c>
      <c r="P47" s="46">
        <f t="shared" ca="1" si="1"/>
        <v>5.2777777772206784E-4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input_427010!A$2</f>
        <v>427010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IFERROR(VLOOKUP(B48,input_427010!L:R,7,FALSE),VLOOKUP(tables_427010!C48,input_427010!A:H,8,FALSE))</f>
        <v>28500</v>
      </c>
      <c r="P48" s="46">
        <f t="shared" ca="1" si="1"/>
        <v>5.2777777772206793E-3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input_427010!A$2</f>
        <v>427010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IFERROR(VLOOKUP(B49,input_427010!L:R,7,FALSE),VLOOKUP(tables_427010!C49,input_427010!A:H,8,FALSE))</f>
        <v>25650</v>
      </c>
      <c r="P49" s="46">
        <f t="shared" ca="1" si="1"/>
        <v>4.749999999498611E-3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input_427010!A$2</f>
        <v>427010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IFERROR(VLOOKUP(B50,input_427010!L:R,7,FALSE),VLOOKUP(tables_427010!C50,input_427010!A:H,8,FALSE))</f>
        <v>2850</v>
      </c>
      <c r="P50" s="46">
        <f t="shared" ca="1" si="1"/>
        <v>5.2777777772206784E-4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input_427010!A$2</f>
        <v>427010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IFERROR(VLOOKUP(B51,input_427010!L:R,7,FALSE),VLOOKUP(tables_427010!C51,input_427010!A:H,8,FALSE))</f>
        <v>28500</v>
      </c>
      <c r="P51" s="46">
        <f t="shared" ca="1" si="1"/>
        <v>5.2777777772206793E-3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input_427010!A$2</f>
        <v>427010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IFERROR(VLOOKUP(B52,input_427010!L:R,7,FALSE),VLOOKUP(tables_427010!C52,input_427010!A:H,8,FALSE))</f>
        <v>27410.576929999999</v>
      </c>
      <c r="P52" s="46">
        <f t="shared" ca="1" si="1"/>
        <v>5.076032764279011E-3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input_427010!A$2</f>
        <v>427010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IFERROR(VLOOKUP(B53,input_427010!L:R,7,FALSE),VLOOKUP(tables_427010!C53,input_427010!A:H,8,FALSE))</f>
        <v>1089.42308</v>
      </c>
      <c r="P53" s="46">
        <f t="shared" ca="1" si="1"/>
        <v>2.0174501479351952E-4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input_427010!A$2</f>
        <v>427010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IFERROR(VLOOKUP(B54,input_427010!L:R,7,FALSE),VLOOKUP(tables_427010!C54,input_427010!A:H,8,FALSE))</f>
        <v>28500</v>
      </c>
      <c r="P54" s="46">
        <f t="shared" ca="1" si="1"/>
        <v>5.2777777772206793E-3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input_427010!A$2</f>
        <v>427010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IFERROR(VLOOKUP(B55,input_427010!L:R,7,FALSE),VLOOKUP(tables_427010!C55,input_427010!A:H,8,FALSE))</f>
        <v>27410.576929999999</v>
      </c>
      <c r="P55" s="46">
        <f t="shared" ca="1" si="1"/>
        <v>5.076032764279011E-3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input_427010!A$2</f>
        <v>427010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IFERROR(VLOOKUP(B56,input_427010!L:R,7,FALSE),VLOOKUP(tables_427010!C56,input_427010!A:H,8,FALSE))</f>
        <v>1089.42308</v>
      </c>
      <c r="P56" s="46">
        <f t="shared" ca="1" si="1"/>
        <v>2.0174501479351952E-4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input_427010!A$2</f>
        <v>427010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IFERROR(VLOOKUP(B57,input_427010!L:R,7,FALSE),VLOOKUP(tables_427010!C57,input_427010!A:H,8,FALSE))</f>
        <v>28500</v>
      </c>
      <c r="P57" s="46">
        <f t="shared" ca="1" si="1"/>
        <v>5.2777777772206793E-3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input_427010!A$2</f>
        <v>427010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IFERROR(VLOOKUP(B58,input_427010!L:R,7,FALSE),VLOOKUP(tables_427010!C58,input_427010!A:H,8,FALSE))</f>
        <v>27410.576929999999</v>
      </c>
      <c r="P58" s="46">
        <f t="shared" ca="1" si="1"/>
        <v>5.076032764279011E-3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input_427010!A$2</f>
        <v>427010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IFERROR(VLOOKUP(B59,input_427010!L:R,7,FALSE),VLOOKUP(tables_427010!C59,input_427010!A:H,8,FALSE))</f>
        <v>1089.42308</v>
      </c>
      <c r="P59" s="46">
        <f t="shared" ca="1" si="1"/>
        <v>2.0174501479351952E-4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input_427010!A$2</f>
        <v>427010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IFERROR(VLOOKUP(B60,input_427010!L:R,7,FALSE),VLOOKUP(tables_427010!C60,input_427010!A:H,8,FALSE))</f>
        <v>28500</v>
      </c>
      <c r="P60" s="46">
        <f t="shared" ca="1" si="1"/>
        <v>5.2777777772206793E-3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input_427010!A$2</f>
        <v>427010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IFERROR(VLOOKUP(B61,input_427010!L:R,7,FALSE),VLOOKUP(tables_427010!C61,input_427010!A:H,8,FALSE))</f>
        <v>27410.576929999999</v>
      </c>
      <c r="P61" s="46">
        <f t="shared" ca="1" si="1"/>
        <v>5.076032764279011E-3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input_427010!A$2</f>
        <v>427010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IFERROR(VLOOKUP(B62,input_427010!L:R,7,FALSE),VLOOKUP(tables_427010!C62,input_427010!A:H,8,FALSE))</f>
        <v>1089.42308</v>
      </c>
      <c r="P62" s="46">
        <f t="shared" ca="1" si="1"/>
        <v>2.0174501479351952E-4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input_427010!A$2</f>
        <v>427010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IFERROR(VLOOKUP(B63,input_427010!L:R,7,FALSE),VLOOKUP(tables_427010!C63,input_427010!A:H,8,FALSE))</f>
        <v>28500</v>
      </c>
      <c r="P63" s="46">
        <f t="shared" ca="1" si="1"/>
        <v>5.2777777772206793E-3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input_427010!A$2</f>
        <v>427010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IFERROR(VLOOKUP(B64,input_427010!L:R,7,FALSE),VLOOKUP(tables_427010!C64,input_427010!A:H,8,FALSE))</f>
        <v>27410.576929999999</v>
      </c>
      <c r="P64" s="46">
        <f t="shared" ca="1" si="1"/>
        <v>5.076032764279011E-3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input_427010!A$2</f>
        <v>427010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IFERROR(VLOOKUP(B65,input_427010!L:R,7,FALSE),VLOOKUP(tables_427010!C65,input_427010!A:H,8,FALSE))</f>
        <v>1089.42308</v>
      </c>
      <c r="P65" s="46">
        <f t="shared" ca="1" si="1"/>
        <v>2.0174501479351952E-4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input_427010!A$2</f>
        <v>427010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IFERROR(VLOOKUP(B66,input_427010!L:R,7,FALSE),VLOOKUP(tables_427010!C66,input_427010!A:H,8,FALSE))</f>
        <v>28500</v>
      </c>
      <c r="P66" s="46">
        <f t="shared" ref="P66:P129" ca="1" si="4">O66/SUM(O:O)</f>
        <v>5.2777777772206793E-3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input_427010!A$2</f>
        <v>427010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IFERROR(VLOOKUP(B67,input_427010!L:R,7,FALSE),VLOOKUP(tables_427010!C67,input_427010!A:H,8,FALSE))</f>
        <v>27410.576929999999</v>
      </c>
      <c r="P67" s="46">
        <f t="shared" ca="1" si="4"/>
        <v>5.076032764279011E-3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input_427010!A$2</f>
        <v>427010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IFERROR(VLOOKUP(B68,input_427010!L:R,7,FALSE),VLOOKUP(tables_427010!C68,input_427010!A:H,8,FALSE))</f>
        <v>1089.42308</v>
      </c>
      <c r="P68" s="46">
        <f t="shared" ca="1" si="4"/>
        <v>2.0174501479351952E-4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input_427010!A$2</f>
        <v>427010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IFERROR(VLOOKUP(B69,input_427010!L:R,7,FALSE),VLOOKUP(tables_427010!C69,input_427010!A:H,8,FALSE))</f>
        <v>28500</v>
      </c>
      <c r="P69" s="46">
        <f t="shared" ca="1" si="4"/>
        <v>5.2777777772206793E-3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input_427010!A$2</f>
        <v>427010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IFERROR(VLOOKUP(B70,input_427010!L:R,7,FALSE),VLOOKUP(tables_427010!C70,input_427010!A:H,8,FALSE))</f>
        <v>27410.576929999999</v>
      </c>
      <c r="P70" s="46">
        <f t="shared" ca="1" si="4"/>
        <v>5.076032764279011E-3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input_427010!A$2</f>
        <v>427010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IFERROR(VLOOKUP(B71,input_427010!L:R,7,FALSE),VLOOKUP(tables_427010!C71,input_427010!A:H,8,FALSE))</f>
        <v>1089.42308</v>
      </c>
      <c r="P71" s="46">
        <f t="shared" ca="1" si="4"/>
        <v>2.0174501479351952E-4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input_427010!A$2</f>
        <v>427010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IFERROR(VLOOKUP(B72,input_427010!L:R,7,FALSE),VLOOKUP(tables_427010!C72,input_427010!A:H,8,FALSE))</f>
        <v>28500</v>
      </c>
      <c r="P72" s="46">
        <f t="shared" ca="1" si="4"/>
        <v>5.2777777772206793E-3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input_427010!A$2</f>
        <v>427010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IFERROR(VLOOKUP(B73,input_427010!L:R,7,FALSE),VLOOKUP(tables_427010!C73,input_427010!A:H,8,FALSE))</f>
        <v>27410.576929999999</v>
      </c>
      <c r="P73" s="46">
        <f t="shared" ca="1" si="4"/>
        <v>5.076032764279011E-3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input_427010!A$2</f>
        <v>427010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IFERROR(VLOOKUP(B74,input_427010!L:R,7,FALSE),VLOOKUP(tables_427010!C74,input_427010!A:H,8,FALSE))</f>
        <v>1089.42308</v>
      </c>
      <c r="P74" s="46">
        <f t="shared" ca="1" si="4"/>
        <v>2.0174501479351952E-4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input_427010!A$2</f>
        <v>427010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IFERROR(VLOOKUP(B75,input_427010!L:R,7,FALSE),VLOOKUP(tables_427010!C75,input_427010!A:H,8,FALSE))</f>
        <v>28500</v>
      </c>
      <c r="P75" s="46">
        <f t="shared" ca="1" si="4"/>
        <v>5.2777777772206793E-3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input_427010!A$2</f>
        <v>427010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IFERROR(VLOOKUP(B76,input_427010!L:R,7,FALSE),VLOOKUP(tables_427010!C76,input_427010!A:H,8,FALSE))</f>
        <v>27410.576929999999</v>
      </c>
      <c r="P76" s="46">
        <f t="shared" ca="1" si="4"/>
        <v>5.076032764279011E-3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input_427010!A$2</f>
        <v>427010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IFERROR(VLOOKUP(B77,input_427010!L:R,7,FALSE),VLOOKUP(tables_427010!C77,input_427010!A:H,8,FALSE))</f>
        <v>1089.42308</v>
      </c>
      <c r="P77" s="46">
        <f t="shared" ca="1" si="4"/>
        <v>2.0174501479351952E-4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input_427010!A$2</f>
        <v>427010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IFERROR(VLOOKUP(B78,input_427010!L:R,7,FALSE),VLOOKUP(tables_427010!C78,input_427010!A:H,8,FALSE))</f>
        <v>28500</v>
      </c>
      <c r="P78" s="46">
        <f t="shared" ca="1" si="4"/>
        <v>5.2777777772206793E-3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input_427010!A$2</f>
        <v>427010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IFERROR(VLOOKUP(B79,input_427010!L:R,7,FALSE),VLOOKUP(tables_427010!C79,input_427010!A:H,8,FALSE))</f>
        <v>27410.576929999999</v>
      </c>
      <c r="P79" s="46">
        <f t="shared" ca="1" si="4"/>
        <v>5.076032764279011E-3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input_427010!A$2</f>
        <v>427010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IFERROR(VLOOKUP(B80,input_427010!L:R,7,FALSE),VLOOKUP(tables_427010!C80,input_427010!A:H,8,FALSE))</f>
        <v>1089.42308</v>
      </c>
      <c r="P80" s="46">
        <f t="shared" ca="1" si="4"/>
        <v>2.0174501479351952E-4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input_427010!A$2</f>
        <v>427010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IFERROR(VLOOKUP(B81,input_427010!L:R,7,FALSE),VLOOKUP(tables_427010!C81,input_427010!A:H,8,FALSE))</f>
        <v>28500</v>
      </c>
      <c r="P81" s="46">
        <f t="shared" ca="1" si="4"/>
        <v>5.2777777772206793E-3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input_427010!A$2</f>
        <v>427010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IFERROR(VLOOKUP(B82,input_427010!L:R,7,FALSE),VLOOKUP(tables_427010!C82,input_427010!A:H,8,FALSE))</f>
        <v>27410.576929999999</v>
      </c>
      <c r="P82" s="46">
        <f t="shared" ca="1" si="4"/>
        <v>5.076032764279011E-3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input_427010!A$2</f>
        <v>427010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IFERROR(VLOOKUP(B83,input_427010!L:R,7,FALSE),VLOOKUP(tables_427010!C83,input_427010!A:H,8,FALSE))</f>
        <v>1089.42308</v>
      </c>
      <c r="P83" s="46">
        <f t="shared" ca="1" si="4"/>
        <v>2.0174501479351952E-4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input_427010!A$2</f>
        <v>427010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IFERROR(VLOOKUP(B84,input_427010!L:R,7,FALSE),VLOOKUP(tables_427010!C84,input_427010!A:H,8,FALSE))</f>
        <v>28500</v>
      </c>
      <c r="P84" s="46">
        <f t="shared" ca="1" si="4"/>
        <v>5.2777777772206793E-3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input_427010!A$2</f>
        <v>427010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IFERROR(VLOOKUP(B85,input_427010!L:R,7,FALSE),VLOOKUP(tables_427010!C85,input_427010!A:H,8,FALSE))</f>
        <v>27410.576929999999</v>
      </c>
      <c r="P85" s="46">
        <f t="shared" ca="1" si="4"/>
        <v>5.076032764279011E-3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input_427010!A$2</f>
        <v>427010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IFERROR(VLOOKUP(B86,input_427010!L:R,7,FALSE),VLOOKUP(tables_427010!C86,input_427010!A:H,8,FALSE))</f>
        <v>1089.42308</v>
      </c>
      <c r="P86" s="46">
        <f t="shared" ca="1" si="4"/>
        <v>2.0174501479351952E-4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input_427010!A$2</f>
        <v>427010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IFERROR(VLOOKUP(B87,input_427010!L:R,7,FALSE),VLOOKUP(tables_427010!C87,input_427010!A:H,8,FALSE))</f>
        <v>28500</v>
      </c>
      <c r="P87" s="46">
        <f t="shared" ca="1" si="4"/>
        <v>5.2777777772206793E-3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input_427010!A$2</f>
        <v>427010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IFERROR(VLOOKUP(B88,input_427010!L:R,7,FALSE),VLOOKUP(tables_427010!C88,input_427010!A:H,8,FALSE))</f>
        <v>27410.576929999999</v>
      </c>
      <c r="P88" s="46">
        <f t="shared" ca="1" si="4"/>
        <v>5.076032764279011E-3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input_427010!A$2</f>
        <v>427010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IFERROR(VLOOKUP(B89,input_427010!L:R,7,FALSE),VLOOKUP(tables_427010!C89,input_427010!A:H,8,FALSE))</f>
        <v>1089.42308</v>
      </c>
      <c r="P89" s="46">
        <f t="shared" ca="1" si="4"/>
        <v>2.0174501479351952E-4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input_427010!A$2</f>
        <v>427010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IFERROR(VLOOKUP(B90,input_427010!L:R,7,FALSE),VLOOKUP(tables_427010!C90,input_427010!A:H,8,FALSE))</f>
        <v>28500</v>
      </c>
      <c r="P90" s="46">
        <f t="shared" ca="1" si="4"/>
        <v>5.2777777772206793E-3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input_427010!A$2</f>
        <v>427010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IFERROR(VLOOKUP(B91,input_427010!L:R,7,FALSE),VLOOKUP(tables_427010!C91,input_427010!A:H,8,FALSE))</f>
        <v>27410.576929999999</v>
      </c>
      <c r="P91" s="46">
        <f t="shared" ca="1" si="4"/>
        <v>5.076032764279011E-3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input_427010!A$2</f>
        <v>427010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IFERROR(VLOOKUP(B92,input_427010!L:R,7,FALSE),VLOOKUP(tables_427010!C92,input_427010!A:H,8,FALSE))</f>
        <v>1089.42308</v>
      </c>
      <c r="P92" s="46">
        <f t="shared" ca="1" si="4"/>
        <v>2.0174501479351952E-4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input_427010!A$2</f>
        <v>427010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IFERROR(VLOOKUP(B93,input_427010!L:R,7,FALSE),VLOOKUP(tables_427010!C93,input_427010!A:H,8,FALSE))</f>
        <v>28500</v>
      </c>
      <c r="P93" s="46">
        <f t="shared" ca="1" si="4"/>
        <v>5.2777777772206793E-3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input_427010!A$2</f>
        <v>427010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IFERROR(VLOOKUP(B94,input_427010!L:R,7,FALSE),VLOOKUP(tables_427010!C94,input_427010!A:H,8,FALSE))</f>
        <v>27410.576929999999</v>
      </c>
      <c r="P94" s="46">
        <f t="shared" ca="1" si="4"/>
        <v>5.076032764279011E-3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input_427010!A$2</f>
        <v>427010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IFERROR(VLOOKUP(B95,input_427010!L:R,7,FALSE),VLOOKUP(tables_427010!C95,input_427010!A:H,8,FALSE))</f>
        <v>1089.42308</v>
      </c>
      <c r="P95" s="46">
        <f t="shared" ca="1" si="4"/>
        <v>2.0174501479351952E-4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input_427010!A$2</f>
        <v>427010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IFERROR(VLOOKUP(B96,input_427010!L:R,7,FALSE),VLOOKUP(tables_427010!C96,input_427010!A:H,8,FALSE))</f>
        <v>28500</v>
      </c>
      <c r="P96" s="46">
        <f t="shared" ca="1" si="4"/>
        <v>5.2777777772206793E-3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input_427010!A$2</f>
        <v>427010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IFERROR(VLOOKUP(B97,input_427010!L:R,7,FALSE),VLOOKUP(tables_427010!C97,input_427010!A:H,8,FALSE))</f>
        <v>27410.576929999999</v>
      </c>
      <c r="P97" s="46">
        <f t="shared" ca="1" si="4"/>
        <v>5.076032764279011E-3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input_427010!A$2</f>
        <v>427010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IFERROR(VLOOKUP(B98,input_427010!L:R,7,FALSE),VLOOKUP(tables_427010!C98,input_427010!A:H,8,FALSE))</f>
        <v>1089.42308</v>
      </c>
      <c r="P98" s="46">
        <f t="shared" ca="1" si="4"/>
        <v>2.0174501479351952E-4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input_427010!A$2</f>
        <v>427010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IFERROR(VLOOKUP(B99,input_427010!L:R,7,FALSE),VLOOKUP(tables_427010!C99,input_427010!A:H,8,FALSE))</f>
        <v>28500</v>
      </c>
      <c r="P99" s="46">
        <f t="shared" ca="1" si="4"/>
        <v>5.2777777772206793E-3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input_427010!A$2</f>
        <v>427010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IFERROR(VLOOKUP(B100,input_427010!L:R,7,FALSE),VLOOKUP(tables_427010!C100,input_427010!A:H,8,FALSE))</f>
        <v>27410.576929999999</v>
      </c>
      <c r="P100" s="46">
        <f t="shared" ca="1" si="4"/>
        <v>5.076032764279011E-3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input_427010!A$2</f>
        <v>427010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IFERROR(VLOOKUP(B101,input_427010!L:R,7,FALSE),VLOOKUP(tables_427010!C101,input_427010!A:H,8,FALSE))</f>
        <v>1089.42308</v>
      </c>
      <c r="P101" s="46">
        <f t="shared" ca="1" si="4"/>
        <v>2.0174501479351952E-4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input_427010!A$2</f>
        <v>427010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IFERROR(VLOOKUP(B102,input_427010!L:R,7,FALSE),VLOOKUP(tables_427010!C102,input_427010!A:H,8,FALSE))</f>
        <v>28500</v>
      </c>
      <c r="P102" s="46">
        <f t="shared" ca="1" si="4"/>
        <v>5.2777777772206793E-3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input_427010!A$2</f>
        <v>427010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IFERROR(VLOOKUP(B103,input_427010!L:R,7,FALSE),VLOOKUP(tables_427010!C103,input_427010!A:H,8,FALSE))</f>
        <v>27410.576929999999</v>
      </c>
      <c r="P103" s="46">
        <f t="shared" ca="1" si="4"/>
        <v>5.076032764279011E-3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input_427010!A$2</f>
        <v>427010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IFERROR(VLOOKUP(B104,input_427010!L:R,7,FALSE),VLOOKUP(tables_427010!C104,input_427010!A:H,8,FALSE))</f>
        <v>1089.42308</v>
      </c>
      <c r="P104" s="46">
        <f t="shared" ca="1" si="4"/>
        <v>2.0174501479351952E-4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input_427010!A$2</f>
        <v>427010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IFERROR(VLOOKUP(B105,input_427010!L:R,7,FALSE),VLOOKUP(tables_427010!C105,input_427010!A:H,8,FALSE))</f>
        <v>28500</v>
      </c>
      <c r="P105" s="46">
        <f t="shared" ca="1" si="4"/>
        <v>5.2777777772206793E-3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input_427010!A$2</f>
        <v>427010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IFERROR(VLOOKUP(B106,input_427010!L:R,7,FALSE),VLOOKUP(tables_427010!C106,input_427010!A:H,8,FALSE))</f>
        <v>27410.576929999999</v>
      </c>
      <c r="P106" s="46">
        <f t="shared" ca="1" si="4"/>
        <v>5.076032764279011E-3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input_427010!A$2</f>
        <v>427010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IFERROR(VLOOKUP(B107,input_427010!L:R,7,FALSE),VLOOKUP(tables_427010!C107,input_427010!A:H,8,FALSE))</f>
        <v>1089.42308</v>
      </c>
      <c r="P107" s="46">
        <f t="shared" ca="1" si="4"/>
        <v>2.0174501479351952E-4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input_427010!A$2</f>
        <v>427010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IFERROR(VLOOKUP(B108,input_427010!L:R,7,FALSE),VLOOKUP(tables_427010!C108,input_427010!A:H,8,FALSE))</f>
        <v>28500</v>
      </c>
      <c r="P108" s="46">
        <f t="shared" ca="1" si="4"/>
        <v>5.2777777772206793E-3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input_427010!A$2</f>
        <v>427010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IFERROR(VLOOKUP(B109,input_427010!L:R,7,FALSE),VLOOKUP(tables_427010!C109,input_427010!A:H,8,FALSE))</f>
        <v>27410.576929999999</v>
      </c>
      <c r="P109" s="46">
        <f t="shared" ca="1" si="4"/>
        <v>5.076032764279011E-3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input_427010!A$2</f>
        <v>427010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IFERROR(VLOOKUP(B110,input_427010!L:R,7,FALSE),VLOOKUP(tables_427010!C110,input_427010!A:H,8,FALSE))</f>
        <v>1089.42308</v>
      </c>
      <c r="P110" s="46">
        <f t="shared" ca="1" si="4"/>
        <v>2.0174501479351952E-4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input_427010!A$2</f>
        <v>427010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IFERROR(VLOOKUP(B111,input_427010!L:R,7,FALSE),VLOOKUP(tables_427010!C111,input_427010!A:H,8,FALSE))</f>
        <v>28500</v>
      </c>
      <c r="P111" s="46">
        <f t="shared" ca="1" si="4"/>
        <v>5.2777777772206793E-3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input_427010!A$2</f>
        <v>427010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IFERROR(VLOOKUP(B112,input_427010!L:R,7,FALSE),VLOOKUP(tables_427010!C112,input_427010!A:H,8,FALSE))</f>
        <v>25650</v>
      </c>
      <c r="P112" s="46">
        <f t="shared" ca="1" si="4"/>
        <v>4.749999999498611E-3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input_427010!A$2</f>
        <v>427010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IFERROR(VLOOKUP(B113,input_427010!L:R,7,FALSE),VLOOKUP(tables_427010!C113,input_427010!A:H,8,FALSE))</f>
        <v>2850</v>
      </c>
      <c r="P113" s="46">
        <f t="shared" ca="1" si="4"/>
        <v>5.2777777772206784E-4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input_427010!A$2</f>
        <v>427010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IFERROR(VLOOKUP(B114,input_427010!L:R,7,FALSE),VLOOKUP(tables_427010!C114,input_427010!A:H,8,FALSE))</f>
        <v>28500</v>
      </c>
      <c r="P114" s="46">
        <f t="shared" ca="1" si="4"/>
        <v>5.2777777772206793E-3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input_427010!A$2</f>
        <v>427010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IFERROR(VLOOKUP(B115,input_427010!L:R,7,FALSE),VLOOKUP(tables_427010!C115,input_427010!A:H,8,FALSE))</f>
        <v>27410.576929999999</v>
      </c>
      <c r="P115" s="46">
        <f t="shared" ca="1" si="4"/>
        <v>5.076032764279011E-3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input_427010!A$2</f>
        <v>427010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IFERROR(VLOOKUP(B116,input_427010!L:R,7,FALSE),VLOOKUP(tables_427010!C116,input_427010!A:H,8,FALSE))</f>
        <v>1089.42308</v>
      </c>
      <c r="P116" s="46">
        <f t="shared" ca="1" si="4"/>
        <v>2.0174501479351952E-4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input_427010!A$2</f>
        <v>427010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IFERROR(VLOOKUP(B117,input_427010!L:R,7,FALSE),VLOOKUP(tables_427010!C117,input_427010!A:H,8,FALSE))</f>
        <v>28500</v>
      </c>
      <c r="P117" s="46">
        <f t="shared" ca="1" si="4"/>
        <v>5.2777777772206793E-3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input_427010!A$2</f>
        <v>427010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IFERROR(VLOOKUP(B118,input_427010!L:R,7,FALSE),VLOOKUP(tables_427010!C118,input_427010!A:H,8,FALSE))</f>
        <v>27410.576929999999</v>
      </c>
      <c r="P118" s="46">
        <f t="shared" ca="1" si="4"/>
        <v>5.076032764279011E-3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input_427010!A$2</f>
        <v>427010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IFERROR(VLOOKUP(B119,input_427010!L:R,7,FALSE),VLOOKUP(tables_427010!C119,input_427010!A:H,8,FALSE))</f>
        <v>1089.42308</v>
      </c>
      <c r="P119" s="46">
        <f t="shared" ca="1" si="4"/>
        <v>2.0174501479351952E-4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input_427010!A$2</f>
        <v>427010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IFERROR(VLOOKUP(B120,input_427010!L:R,7,FALSE),VLOOKUP(tables_427010!C120,input_427010!A:H,8,FALSE))</f>
        <v>28500</v>
      </c>
      <c r="P120" s="46">
        <f t="shared" ca="1" si="4"/>
        <v>5.2777777772206793E-3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input_427010!A$2</f>
        <v>427010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IFERROR(VLOOKUP(B121,input_427010!L:R,7,FALSE),VLOOKUP(tables_427010!C121,input_427010!A:H,8,FALSE))</f>
        <v>27410.576929999999</v>
      </c>
      <c r="P121" s="46">
        <f t="shared" ca="1" si="4"/>
        <v>5.076032764279011E-3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input_427010!A$2</f>
        <v>427010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IFERROR(VLOOKUP(B122,input_427010!L:R,7,FALSE),VLOOKUP(tables_427010!C122,input_427010!A:H,8,FALSE))</f>
        <v>1089.42308</v>
      </c>
      <c r="P122" s="46">
        <f t="shared" ca="1" si="4"/>
        <v>2.0174501479351952E-4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input_427010!A$2</f>
        <v>427010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IFERROR(VLOOKUP(B123,input_427010!L:R,7,FALSE),VLOOKUP(tables_427010!C123,input_427010!A:H,8,FALSE))</f>
        <v>28500</v>
      </c>
      <c r="P123" s="46">
        <f t="shared" ca="1" si="4"/>
        <v>5.2777777772206793E-3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input_427010!A$2</f>
        <v>427010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IFERROR(VLOOKUP(B124,input_427010!L:R,7,FALSE),VLOOKUP(tables_427010!C124,input_427010!A:H,8,FALSE))</f>
        <v>27410.576929999999</v>
      </c>
      <c r="P124" s="46">
        <f t="shared" ca="1" si="4"/>
        <v>5.076032764279011E-3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input_427010!A$2</f>
        <v>427010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IFERROR(VLOOKUP(B125,input_427010!L:R,7,FALSE),VLOOKUP(tables_427010!C125,input_427010!A:H,8,FALSE))</f>
        <v>1089.42308</v>
      </c>
      <c r="P125" s="46">
        <f t="shared" ca="1" si="4"/>
        <v>2.0174501479351952E-4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input_427010!A$2</f>
        <v>427010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IFERROR(VLOOKUP(B126,input_427010!L:R,7,FALSE),VLOOKUP(tables_427010!C126,input_427010!A:H,8,FALSE))</f>
        <v>28500</v>
      </c>
      <c r="P126" s="46">
        <f t="shared" ca="1" si="4"/>
        <v>5.2777777772206793E-3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input_427010!A$2</f>
        <v>427010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IFERROR(VLOOKUP(B127,input_427010!L:R,7,FALSE),VLOOKUP(tables_427010!C127,input_427010!A:H,8,FALSE))</f>
        <v>27410.576929999999</v>
      </c>
      <c r="P127" s="46">
        <f t="shared" ca="1" si="4"/>
        <v>5.076032764279011E-3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input_427010!A$2</f>
        <v>427010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IFERROR(VLOOKUP(B128,input_427010!L:R,7,FALSE),VLOOKUP(tables_427010!C128,input_427010!A:H,8,FALSE))</f>
        <v>1089.42308</v>
      </c>
      <c r="P128" s="46">
        <f t="shared" ca="1" si="4"/>
        <v>2.0174501479351952E-4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input_427010!A$2</f>
        <v>427010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IFERROR(VLOOKUP(B129,input_427010!L:R,7,FALSE),VLOOKUP(tables_427010!C129,input_427010!A:H,8,FALSE))</f>
        <v>28500</v>
      </c>
      <c r="P129" s="46">
        <f t="shared" ca="1" si="4"/>
        <v>5.2777777772206793E-3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input_427010!A$2</f>
        <v>427010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IFERROR(VLOOKUP(B130,input_427010!L:R,7,FALSE),VLOOKUP(tables_427010!C130,input_427010!A:H,8,FALSE))</f>
        <v>27410.576929999999</v>
      </c>
      <c r="P130" s="46">
        <f t="shared" ref="P130:P193" ca="1" si="7">O130/SUM(O:O)</f>
        <v>5.076032764279011E-3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input_427010!A$2</f>
        <v>427010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IFERROR(VLOOKUP(B131,input_427010!L:R,7,FALSE),VLOOKUP(tables_427010!C131,input_427010!A:H,8,FALSE))</f>
        <v>1089.42308</v>
      </c>
      <c r="P131" s="46">
        <f t="shared" ca="1" si="7"/>
        <v>2.0174501479351952E-4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input_427010!A$2</f>
        <v>427010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IFERROR(VLOOKUP(B132,input_427010!L:R,7,FALSE),VLOOKUP(tables_427010!C132,input_427010!A:H,8,FALSE))</f>
        <v>28500</v>
      </c>
      <c r="P132" s="46">
        <f t="shared" ca="1" si="7"/>
        <v>5.2777777772206793E-3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input_427010!A$2</f>
        <v>427010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IFERROR(VLOOKUP(B133,input_427010!L:R,7,FALSE),VLOOKUP(tables_427010!C133,input_427010!A:H,8,FALSE))</f>
        <v>27410.576929999999</v>
      </c>
      <c r="P133" s="46">
        <f t="shared" ca="1" si="7"/>
        <v>5.076032764279011E-3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input_427010!A$2</f>
        <v>427010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IFERROR(VLOOKUP(B134,input_427010!L:R,7,FALSE),VLOOKUP(tables_427010!C134,input_427010!A:H,8,FALSE))</f>
        <v>1089.42308</v>
      </c>
      <c r="P134" s="46">
        <f t="shared" ca="1" si="7"/>
        <v>2.0174501479351952E-4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input_427010!A$2</f>
        <v>427010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IFERROR(VLOOKUP(B135,input_427010!L:R,7,FALSE),VLOOKUP(tables_427010!C135,input_427010!A:H,8,FALSE))</f>
        <v>28500</v>
      </c>
      <c r="P135" s="46">
        <f t="shared" ca="1" si="7"/>
        <v>5.2777777772206793E-3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input_427010!A$2</f>
        <v>427010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IFERROR(VLOOKUP(B136,input_427010!L:R,7,FALSE),VLOOKUP(tables_427010!C136,input_427010!A:H,8,FALSE))</f>
        <v>27410.576929999999</v>
      </c>
      <c r="P136" s="46">
        <f t="shared" ca="1" si="7"/>
        <v>5.076032764279011E-3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input_427010!A$2</f>
        <v>427010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IFERROR(VLOOKUP(B137,input_427010!L:R,7,FALSE),VLOOKUP(tables_427010!C137,input_427010!A:H,8,FALSE))</f>
        <v>1089.42308</v>
      </c>
      <c r="P137" s="46">
        <f t="shared" ca="1" si="7"/>
        <v>2.0174501479351952E-4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input_427010!A$2</f>
        <v>427010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IFERROR(VLOOKUP(B138,input_427010!L:R,7,FALSE),VLOOKUP(tables_427010!C138,input_427010!A:H,8,FALSE))</f>
        <v>1098.14815</v>
      </c>
      <c r="P138" s="46">
        <f t="shared" ca="1" si="7"/>
        <v>2.0336076849705265E-4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input_427010!A$2</f>
        <v>427010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IFERROR(VLOOKUP(B139,input_427010!L:R,7,FALSE),VLOOKUP(tables_427010!C139,input_427010!A:H,8,FALSE))</f>
        <v>50</v>
      </c>
      <c r="P139" s="46">
        <f t="shared" ca="1" si="7"/>
        <v>9.2592592582818932E-6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input_427010!A$2</f>
        <v>427010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IFERROR(VLOOKUP(B140,input_427010!L:R,7,FALSE),VLOOKUP(tables_427010!C140,input_427010!A:H,8,FALSE))</f>
        <v>1098.14815</v>
      </c>
      <c r="P140" s="46">
        <f t="shared" ca="1" si="7"/>
        <v>2.0336076849705265E-4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input_427010!A$2</f>
        <v>427010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IFERROR(VLOOKUP(B141,input_427010!L:R,7,FALSE),VLOOKUP(tables_427010!C141,input_427010!A:H,8,FALSE))</f>
        <v>50</v>
      </c>
      <c r="P141" s="46">
        <f t="shared" ca="1" si="7"/>
        <v>9.2592592582818932E-6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input_427010!A$2</f>
        <v>427010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IFERROR(VLOOKUP(B142,input_427010!L:R,7,FALSE),VLOOKUP(tables_427010!C142,input_427010!A:H,8,FALSE))</f>
        <v>1098.14815</v>
      </c>
      <c r="P142" s="46">
        <f t="shared" ca="1" si="7"/>
        <v>2.0336076849705265E-4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input_427010!A$2</f>
        <v>427010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IFERROR(VLOOKUP(B143,input_427010!L:R,7,FALSE),VLOOKUP(tables_427010!C143,input_427010!A:H,8,FALSE))</f>
        <v>50</v>
      </c>
      <c r="P143" s="46">
        <f t="shared" ca="1" si="7"/>
        <v>9.2592592582818932E-6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input_427010!A$2</f>
        <v>427010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IFERROR(VLOOKUP(B144,input_427010!L:R,7,FALSE),VLOOKUP(tables_427010!C144,input_427010!A:H,8,FALSE))</f>
        <v>1098.14815</v>
      </c>
      <c r="P144" s="46">
        <f t="shared" ca="1" si="7"/>
        <v>2.0336076849705265E-4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input_427010!A$2</f>
        <v>427010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IFERROR(VLOOKUP(B145,input_427010!L:R,7,FALSE),VLOOKUP(tables_427010!C145,input_427010!A:H,8,FALSE))</f>
        <v>50</v>
      </c>
      <c r="P145" s="46">
        <f t="shared" ca="1" si="7"/>
        <v>9.2592592582818932E-6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input_427010!A$2</f>
        <v>427010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IFERROR(VLOOKUP(B146,input_427010!L:R,7,FALSE),VLOOKUP(tables_427010!C146,input_427010!A:H,8,FALSE))</f>
        <v>28500</v>
      </c>
      <c r="P146" s="46">
        <f t="shared" ca="1" si="7"/>
        <v>5.2777777772206793E-3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input_427010!A$2</f>
        <v>427010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IFERROR(VLOOKUP(B147,input_427010!L:R,7,FALSE),VLOOKUP(tables_427010!C147,input_427010!A:H,8,FALSE))</f>
        <v>27410.576929999999</v>
      </c>
      <c r="P147" s="46">
        <f t="shared" ca="1" si="7"/>
        <v>5.076032764279011E-3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input_427010!A$2</f>
        <v>427010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IFERROR(VLOOKUP(B148,input_427010!L:R,7,FALSE),VLOOKUP(tables_427010!C148,input_427010!A:H,8,FALSE))</f>
        <v>1089.42308</v>
      </c>
      <c r="P148" s="46">
        <f t="shared" ca="1" si="7"/>
        <v>2.0174501479351952E-4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input_427010!A$2</f>
        <v>427010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IFERROR(VLOOKUP(B149,input_427010!L:R,7,FALSE),VLOOKUP(tables_427010!C149,input_427010!A:H,8,FALSE))</f>
        <v>1098.14815</v>
      </c>
      <c r="P149" s="46">
        <f t="shared" ca="1" si="7"/>
        <v>2.0336076849705265E-4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input_427010!A$2</f>
        <v>427010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IFERROR(VLOOKUP(B150,input_427010!L:R,7,FALSE),VLOOKUP(tables_427010!C150,input_427010!A:H,8,FALSE))</f>
        <v>50</v>
      </c>
      <c r="P150" s="46">
        <f t="shared" ca="1" si="7"/>
        <v>9.2592592582818932E-6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input_427010!A$2</f>
        <v>427010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IFERROR(VLOOKUP(B151,input_427010!L:R,7,FALSE),VLOOKUP(tables_427010!C151,input_427010!A:H,8,FALSE))</f>
        <v>1098.14815</v>
      </c>
      <c r="P151" s="46">
        <f t="shared" ca="1" si="7"/>
        <v>2.0336076849705265E-4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input_427010!A$2</f>
        <v>427010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IFERROR(VLOOKUP(B152,input_427010!L:R,7,FALSE),VLOOKUP(tables_427010!C152,input_427010!A:H,8,FALSE))</f>
        <v>50</v>
      </c>
      <c r="P152" s="46">
        <f t="shared" ca="1" si="7"/>
        <v>9.2592592582818932E-6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input_427010!A$2</f>
        <v>427010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IFERROR(VLOOKUP(B153,input_427010!L:R,7,FALSE),VLOOKUP(tables_427010!C153,input_427010!A:H,8,FALSE))</f>
        <v>28500</v>
      </c>
      <c r="P153" s="46">
        <f t="shared" ca="1" si="7"/>
        <v>5.2777777772206793E-3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input_427010!A$2</f>
        <v>427010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IFERROR(VLOOKUP(B154,input_427010!L:R,7,FALSE),VLOOKUP(tables_427010!C154,input_427010!A:H,8,FALSE))</f>
        <v>27410.576929999999</v>
      </c>
      <c r="P154" s="46">
        <f t="shared" ca="1" si="7"/>
        <v>5.076032764279011E-3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input_427010!A$2</f>
        <v>427010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IFERROR(VLOOKUP(B155,input_427010!L:R,7,FALSE),VLOOKUP(tables_427010!C155,input_427010!A:H,8,FALSE))</f>
        <v>1089.42308</v>
      </c>
      <c r="P155" s="46">
        <f t="shared" ca="1" si="7"/>
        <v>2.0174501479351952E-4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input_427010!A$2</f>
        <v>427010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IFERROR(VLOOKUP(B156,input_427010!L:R,7,FALSE),VLOOKUP(tables_427010!C156,input_427010!A:H,8,FALSE))</f>
        <v>1098.14815</v>
      </c>
      <c r="P156" s="46">
        <f t="shared" ca="1" si="7"/>
        <v>2.0336076849705265E-4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input_427010!A$2</f>
        <v>427010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IFERROR(VLOOKUP(B157,input_427010!L:R,7,FALSE),VLOOKUP(tables_427010!C157,input_427010!A:H,8,FALSE))</f>
        <v>50</v>
      </c>
      <c r="P157" s="46">
        <f t="shared" ca="1" si="7"/>
        <v>9.2592592582818932E-6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input_427010!A$2</f>
        <v>427010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IFERROR(VLOOKUP(B158,input_427010!L:R,7,FALSE),VLOOKUP(tables_427010!C158,input_427010!A:H,8,FALSE))</f>
        <v>28500</v>
      </c>
      <c r="P158" s="46">
        <f t="shared" ca="1" si="7"/>
        <v>5.2777777772206793E-3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input_427010!A$2</f>
        <v>427010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IFERROR(VLOOKUP(B159,input_427010!L:R,7,FALSE),VLOOKUP(tables_427010!C159,input_427010!A:H,8,FALSE))</f>
        <v>27410.576929999999</v>
      </c>
      <c r="P159" s="46">
        <f t="shared" ca="1" si="7"/>
        <v>5.076032764279011E-3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input_427010!A$2</f>
        <v>427010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IFERROR(VLOOKUP(B160,input_427010!L:R,7,FALSE),VLOOKUP(tables_427010!C160,input_427010!A:H,8,FALSE))</f>
        <v>1089.42308</v>
      </c>
      <c r="P160" s="46">
        <f t="shared" ca="1" si="7"/>
        <v>2.0174501479351952E-4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input_427010!A$2</f>
        <v>427010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IFERROR(VLOOKUP(B161,input_427010!L:R,7,FALSE),VLOOKUP(tables_427010!C161,input_427010!A:H,8,FALSE))</f>
        <v>28500</v>
      </c>
      <c r="P161" s="46">
        <f t="shared" ca="1" si="7"/>
        <v>5.2777777772206793E-3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input_427010!A$2</f>
        <v>427010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IFERROR(VLOOKUP(B162,input_427010!L:R,7,FALSE),VLOOKUP(tables_427010!C162,input_427010!A:H,8,FALSE))</f>
        <v>27410.576929999999</v>
      </c>
      <c r="P162" s="46">
        <f t="shared" ca="1" si="7"/>
        <v>5.076032764279011E-3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input_427010!A$2</f>
        <v>427010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IFERROR(VLOOKUP(B163,input_427010!L:R,7,FALSE),VLOOKUP(tables_427010!C163,input_427010!A:H,8,FALSE))</f>
        <v>1089.42308</v>
      </c>
      <c r="P163" s="46">
        <f t="shared" ca="1" si="7"/>
        <v>2.0174501479351952E-4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input_427010!A$2</f>
        <v>427010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IFERROR(VLOOKUP(B164,input_427010!L:R,7,FALSE),VLOOKUP(tables_427010!C164,input_427010!A:H,8,FALSE))</f>
        <v>1098.14815</v>
      </c>
      <c r="P164" s="46">
        <f t="shared" ca="1" si="7"/>
        <v>2.0336076849705265E-4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input_427010!A$2</f>
        <v>427010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IFERROR(VLOOKUP(B165,input_427010!L:R,7,FALSE),VLOOKUP(tables_427010!C165,input_427010!A:H,8,FALSE))</f>
        <v>50</v>
      </c>
      <c r="P165" s="46">
        <f t="shared" ca="1" si="7"/>
        <v>9.2592592582818932E-6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input_427010!A$2</f>
        <v>427010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IFERROR(VLOOKUP(B166,input_427010!L:R,7,FALSE),VLOOKUP(tables_427010!C166,input_427010!A:H,8,FALSE))</f>
        <v>28500</v>
      </c>
      <c r="P166" s="46">
        <f t="shared" ca="1" si="7"/>
        <v>5.2777777772206793E-3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input_427010!A$2</f>
        <v>427010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IFERROR(VLOOKUP(B167,input_427010!L:R,7,FALSE),VLOOKUP(tables_427010!C167,input_427010!A:H,8,FALSE))</f>
        <v>27410.576929999999</v>
      </c>
      <c r="P167" s="46">
        <f t="shared" ca="1" si="7"/>
        <v>5.076032764279011E-3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input_427010!A$2</f>
        <v>427010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IFERROR(VLOOKUP(B168,input_427010!L:R,7,FALSE),VLOOKUP(tables_427010!C168,input_427010!A:H,8,FALSE))</f>
        <v>1089.42308</v>
      </c>
      <c r="P168" s="46">
        <f t="shared" ca="1" si="7"/>
        <v>2.0174501479351952E-4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input_427010!A$2</f>
        <v>427010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IFERROR(VLOOKUP(B169,input_427010!L:R,7,FALSE),VLOOKUP(tables_427010!C169,input_427010!A:H,8,FALSE))</f>
        <v>1098.14815</v>
      </c>
      <c r="P169" s="46">
        <f t="shared" ca="1" si="7"/>
        <v>2.0336076849705265E-4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input_427010!A$2</f>
        <v>427010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IFERROR(VLOOKUP(B170,input_427010!L:R,7,FALSE),VLOOKUP(tables_427010!C170,input_427010!A:H,8,FALSE))</f>
        <v>50</v>
      </c>
      <c r="P170" s="46">
        <f t="shared" ca="1" si="7"/>
        <v>9.2592592582818932E-6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input_427010!A$2</f>
        <v>427010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IFERROR(VLOOKUP(B171,input_427010!L:R,7,FALSE),VLOOKUP(tables_427010!C171,input_427010!A:H,8,FALSE))</f>
        <v>28500</v>
      </c>
      <c r="P171" s="46">
        <f t="shared" ca="1" si="7"/>
        <v>5.2777777772206793E-3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input_427010!A$2</f>
        <v>427010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IFERROR(VLOOKUP(B172,input_427010!L:R,7,FALSE),VLOOKUP(tables_427010!C172,input_427010!A:H,8,FALSE))</f>
        <v>27410.576929999999</v>
      </c>
      <c r="P172" s="46">
        <f t="shared" ca="1" si="7"/>
        <v>5.076032764279011E-3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input_427010!A$2</f>
        <v>427010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IFERROR(VLOOKUP(B173,input_427010!L:R,7,FALSE),VLOOKUP(tables_427010!C173,input_427010!A:H,8,FALSE))</f>
        <v>1089.42308</v>
      </c>
      <c r="P173" s="46">
        <f t="shared" ca="1" si="7"/>
        <v>2.0174501479351952E-4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input_427010!A$2</f>
        <v>427010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IFERROR(VLOOKUP(B174,input_427010!L:R,7,FALSE),VLOOKUP(tables_427010!C174,input_427010!A:H,8,FALSE))</f>
        <v>1098.14815</v>
      </c>
      <c r="P174" s="46">
        <f t="shared" ca="1" si="7"/>
        <v>2.0336076849705265E-4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input_427010!A$2</f>
        <v>427010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IFERROR(VLOOKUP(B175,input_427010!L:R,7,FALSE),VLOOKUP(tables_427010!C175,input_427010!A:H,8,FALSE))</f>
        <v>50</v>
      </c>
      <c r="P175" s="46">
        <f t="shared" ca="1" si="7"/>
        <v>9.2592592582818932E-6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input_427010!A$2</f>
        <v>427010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IFERROR(VLOOKUP(B176,input_427010!L:R,7,FALSE),VLOOKUP(tables_427010!C176,input_427010!A:H,8,FALSE))</f>
        <v>1098.14815</v>
      </c>
      <c r="P176" s="46">
        <f t="shared" ca="1" si="7"/>
        <v>2.0336076849705265E-4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input_427010!A$2</f>
        <v>427010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IFERROR(VLOOKUP(B177,input_427010!L:R,7,FALSE),VLOOKUP(tables_427010!C177,input_427010!A:H,8,FALSE))</f>
        <v>50</v>
      </c>
      <c r="P177" s="46">
        <f t="shared" ca="1" si="7"/>
        <v>9.2592592582818932E-6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input_427010!A$2</f>
        <v>427010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IFERROR(VLOOKUP(B178,input_427010!L:R,7,FALSE),VLOOKUP(tables_427010!C178,input_427010!A:H,8,FALSE))</f>
        <v>28500</v>
      </c>
      <c r="P178" s="46">
        <f t="shared" ca="1" si="7"/>
        <v>5.2777777772206793E-3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input_427010!A$2</f>
        <v>427010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IFERROR(VLOOKUP(B179,input_427010!L:R,7,FALSE),VLOOKUP(tables_427010!C179,input_427010!A:H,8,FALSE))</f>
        <v>27410.576929999999</v>
      </c>
      <c r="P179" s="46">
        <f t="shared" ca="1" si="7"/>
        <v>5.076032764279011E-3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input_427010!A$2</f>
        <v>427010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IFERROR(VLOOKUP(B180,input_427010!L:R,7,FALSE),VLOOKUP(tables_427010!C180,input_427010!A:H,8,FALSE))</f>
        <v>1089.42308</v>
      </c>
      <c r="P180" s="46">
        <f t="shared" ca="1" si="7"/>
        <v>2.0174501479351952E-4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input_427010!A$2</f>
        <v>427010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IFERROR(VLOOKUP(B181,input_427010!L:R,7,FALSE),VLOOKUP(tables_427010!C181,input_427010!A:H,8,FALSE))</f>
        <v>28500</v>
      </c>
      <c r="P181" s="46">
        <f t="shared" ca="1" si="7"/>
        <v>5.2777777772206793E-3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input_427010!A$2</f>
        <v>427010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IFERROR(VLOOKUP(B182,input_427010!L:R,7,FALSE),VLOOKUP(tables_427010!C182,input_427010!A:H,8,FALSE))</f>
        <v>27410.576929999999</v>
      </c>
      <c r="P182" s="46">
        <f t="shared" ca="1" si="7"/>
        <v>5.076032764279011E-3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input_427010!A$2</f>
        <v>427010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IFERROR(VLOOKUP(B183,input_427010!L:R,7,FALSE),VLOOKUP(tables_427010!C183,input_427010!A:H,8,FALSE))</f>
        <v>1089.42308</v>
      </c>
      <c r="P183" s="46">
        <f t="shared" ca="1" si="7"/>
        <v>2.0174501479351952E-4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input_427010!A$2</f>
        <v>427010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IFERROR(VLOOKUP(B184,input_427010!L:R,7,FALSE),VLOOKUP(tables_427010!C184,input_427010!A:H,8,FALSE))</f>
        <v>1098.14815</v>
      </c>
      <c r="P184" s="46">
        <f t="shared" ca="1" si="7"/>
        <v>2.0336076849705265E-4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input_427010!A$2</f>
        <v>427010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IFERROR(VLOOKUP(B185,input_427010!L:R,7,FALSE),VLOOKUP(tables_427010!C185,input_427010!A:H,8,FALSE))</f>
        <v>50</v>
      </c>
      <c r="P185" s="46">
        <f t="shared" ca="1" si="7"/>
        <v>9.2592592582818932E-6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input_427010!A$2</f>
        <v>427010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IFERROR(VLOOKUP(B186,input_427010!L:R,7,FALSE),VLOOKUP(tables_427010!C186,input_427010!A:H,8,FALSE))</f>
        <v>28500</v>
      </c>
      <c r="P186" s="46">
        <f t="shared" ca="1" si="7"/>
        <v>5.2777777772206793E-3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input_427010!A$2</f>
        <v>427010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IFERROR(VLOOKUP(B187,input_427010!L:R,7,FALSE),VLOOKUP(tables_427010!C187,input_427010!A:H,8,FALSE))</f>
        <v>27410.576929999999</v>
      </c>
      <c r="P187" s="46">
        <f t="shared" ca="1" si="7"/>
        <v>5.076032764279011E-3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input_427010!A$2</f>
        <v>427010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IFERROR(VLOOKUP(B188,input_427010!L:R,7,FALSE),VLOOKUP(tables_427010!C188,input_427010!A:H,8,FALSE))</f>
        <v>1089.42308</v>
      </c>
      <c r="P188" s="46">
        <f t="shared" ca="1" si="7"/>
        <v>2.0174501479351952E-4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input_427010!A$2</f>
        <v>427010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IFERROR(VLOOKUP(B189,input_427010!L:R,7,FALSE),VLOOKUP(tables_427010!C189,input_427010!A:H,8,FALSE))</f>
        <v>1098.14815</v>
      </c>
      <c r="P189" s="46">
        <f t="shared" ca="1" si="7"/>
        <v>2.0336076849705265E-4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input_427010!A$2</f>
        <v>427010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IFERROR(VLOOKUP(B190,input_427010!L:R,7,FALSE),VLOOKUP(tables_427010!C190,input_427010!A:H,8,FALSE))</f>
        <v>50</v>
      </c>
      <c r="P190" s="46">
        <f t="shared" ca="1" si="7"/>
        <v>9.2592592582818932E-6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input_427010!A$2</f>
        <v>427010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IFERROR(VLOOKUP(B191,input_427010!L:R,7,FALSE),VLOOKUP(tables_427010!C191,input_427010!A:H,8,FALSE))</f>
        <v>1098.14815</v>
      </c>
      <c r="P191" s="46">
        <f t="shared" ca="1" si="7"/>
        <v>2.0336076849705265E-4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input_427010!A$2</f>
        <v>427010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IFERROR(VLOOKUP(B192,input_427010!L:R,7,FALSE),VLOOKUP(tables_427010!C192,input_427010!A:H,8,FALSE))</f>
        <v>50</v>
      </c>
      <c r="P192" s="46">
        <f t="shared" ca="1" si="7"/>
        <v>9.2592592582818932E-6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input_427010!A$2</f>
        <v>427010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IFERROR(VLOOKUP(B193,input_427010!L:R,7,FALSE),VLOOKUP(tables_427010!C193,input_427010!A:H,8,FALSE))</f>
        <v>28500</v>
      </c>
      <c r="P193" s="46">
        <f t="shared" ca="1" si="7"/>
        <v>5.2777777772206793E-3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input_427010!A$2</f>
        <v>427010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IFERROR(VLOOKUP(B194,input_427010!L:R,7,FALSE),VLOOKUP(tables_427010!C194,input_427010!A:H,8,FALSE))</f>
        <v>27410.576929999999</v>
      </c>
      <c r="P194" s="46">
        <f t="shared" ref="P194:P257" ca="1" si="10">O194/SUM(O:O)</f>
        <v>5.076032764279011E-3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input_427010!A$2</f>
        <v>427010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IFERROR(VLOOKUP(B195,input_427010!L:R,7,FALSE),VLOOKUP(tables_427010!C195,input_427010!A:H,8,FALSE))</f>
        <v>1089.42308</v>
      </c>
      <c r="P195" s="46">
        <f t="shared" ca="1" si="10"/>
        <v>2.0174501479351952E-4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input_427010!A$2</f>
        <v>427010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IFERROR(VLOOKUP(B196,input_427010!L:R,7,FALSE),VLOOKUP(tables_427010!C196,input_427010!A:H,8,FALSE))</f>
        <v>1098.14815</v>
      </c>
      <c r="P196" s="46">
        <f t="shared" ca="1" si="10"/>
        <v>2.0336076849705265E-4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input_427010!A$2</f>
        <v>427010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IFERROR(VLOOKUP(B197,input_427010!L:R,7,FALSE),VLOOKUP(tables_427010!C197,input_427010!A:H,8,FALSE))</f>
        <v>50</v>
      </c>
      <c r="P197" s="46">
        <f t="shared" ca="1" si="10"/>
        <v>9.2592592582818932E-6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input_427010!A$2</f>
        <v>427010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IFERROR(VLOOKUP(B198,input_427010!L:R,7,FALSE),VLOOKUP(tables_427010!C198,input_427010!A:H,8,FALSE))</f>
        <v>28500</v>
      </c>
      <c r="P198" s="46">
        <f t="shared" ca="1" si="10"/>
        <v>5.2777777772206793E-3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input_427010!A$2</f>
        <v>427010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IFERROR(VLOOKUP(B199,input_427010!L:R,7,FALSE),VLOOKUP(tables_427010!C199,input_427010!A:H,8,FALSE))</f>
        <v>27410.576929999999</v>
      </c>
      <c r="P199" s="46">
        <f t="shared" ca="1" si="10"/>
        <v>5.076032764279011E-3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input_427010!A$2</f>
        <v>427010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IFERROR(VLOOKUP(B200,input_427010!L:R,7,FALSE),VLOOKUP(tables_427010!C200,input_427010!A:H,8,FALSE))</f>
        <v>1089.42308</v>
      </c>
      <c r="P200" s="46">
        <f t="shared" ca="1" si="10"/>
        <v>2.0174501479351952E-4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input_427010!A$2</f>
        <v>427010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IFERROR(VLOOKUP(B201,input_427010!L:R,7,FALSE),VLOOKUP(tables_427010!C201,input_427010!A:H,8,FALSE))</f>
        <v>1098.14815</v>
      </c>
      <c r="P201" s="46">
        <f t="shared" ca="1" si="10"/>
        <v>2.0336076849705265E-4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input_427010!A$2</f>
        <v>427010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IFERROR(VLOOKUP(B202,input_427010!L:R,7,FALSE),VLOOKUP(tables_427010!C202,input_427010!A:H,8,FALSE))</f>
        <v>50</v>
      </c>
      <c r="P202" s="46">
        <f t="shared" ca="1" si="10"/>
        <v>9.2592592582818932E-6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input_427010!A$2</f>
        <v>427010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IFERROR(VLOOKUP(B203,input_427010!L:R,7,FALSE),VLOOKUP(tables_427010!C203,input_427010!A:H,8,FALSE))</f>
        <v>28500</v>
      </c>
      <c r="P203" s="46">
        <f t="shared" ca="1" si="10"/>
        <v>5.2777777772206793E-3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input_427010!A$2</f>
        <v>427010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IFERROR(VLOOKUP(B204,input_427010!L:R,7,FALSE),VLOOKUP(tables_427010!C204,input_427010!A:H,8,FALSE))</f>
        <v>27410.576929999999</v>
      </c>
      <c r="P204" s="46">
        <f t="shared" ca="1" si="10"/>
        <v>5.076032764279011E-3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input_427010!A$2</f>
        <v>427010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IFERROR(VLOOKUP(B205,input_427010!L:R,7,FALSE),VLOOKUP(tables_427010!C205,input_427010!A:H,8,FALSE))</f>
        <v>1089.42308</v>
      </c>
      <c r="P205" s="46">
        <f t="shared" ca="1" si="10"/>
        <v>2.0174501479351952E-4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input_427010!A$2</f>
        <v>427010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IFERROR(VLOOKUP(B206,input_427010!L:R,7,FALSE),VLOOKUP(tables_427010!C206,input_427010!A:H,8,FALSE))</f>
        <v>1098.14815</v>
      </c>
      <c r="P206" s="46">
        <f t="shared" ca="1" si="10"/>
        <v>2.0336076849705265E-4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input_427010!A$2</f>
        <v>427010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IFERROR(VLOOKUP(B207,input_427010!L:R,7,FALSE),VLOOKUP(tables_427010!C207,input_427010!A:H,8,FALSE))</f>
        <v>50</v>
      </c>
      <c r="P207" s="46">
        <f t="shared" ca="1" si="10"/>
        <v>9.2592592582818932E-6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input_427010!A$2</f>
        <v>427010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IFERROR(VLOOKUP(B208,input_427010!L:R,7,FALSE),VLOOKUP(tables_427010!C208,input_427010!A:H,8,FALSE))</f>
        <v>1098.14815</v>
      </c>
      <c r="P208" s="46">
        <f t="shared" ca="1" si="10"/>
        <v>2.0336076849705265E-4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input_427010!A$2</f>
        <v>427010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IFERROR(VLOOKUP(B209,input_427010!L:R,7,FALSE),VLOOKUP(tables_427010!C209,input_427010!A:H,8,FALSE))</f>
        <v>50</v>
      </c>
      <c r="P209" s="46">
        <f t="shared" ca="1" si="10"/>
        <v>9.2592592582818932E-6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input_427010!A$2</f>
        <v>427010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IFERROR(VLOOKUP(B210,input_427010!L:R,7,FALSE),VLOOKUP(tables_427010!C210,input_427010!A:H,8,FALSE))</f>
        <v>28500</v>
      </c>
      <c r="P210" s="46">
        <f t="shared" ca="1" si="10"/>
        <v>5.2777777772206793E-3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input_427010!A$2</f>
        <v>427010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IFERROR(VLOOKUP(B211,input_427010!L:R,7,FALSE),VLOOKUP(tables_427010!C211,input_427010!A:H,8,FALSE))</f>
        <v>27410.576929999999</v>
      </c>
      <c r="P211" s="46">
        <f t="shared" ca="1" si="10"/>
        <v>5.076032764279011E-3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input_427010!A$2</f>
        <v>427010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IFERROR(VLOOKUP(B212,input_427010!L:R,7,FALSE),VLOOKUP(tables_427010!C212,input_427010!A:H,8,FALSE))</f>
        <v>1089.42308</v>
      </c>
      <c r="P212" s="46">
        <f t="shared" ca="1" si="10"/>
        <v>2.0174501479351952E-4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input_427010!A$2</f>
        <v>427010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IFERROR(VLOOKUP(B213,input_427010!L:R,7,FALSE),VLOOKUP(tables_427010!C213,input_427010!A:H,8,FALSE))</f>
        <v>51300</v>
      </c>
      <c r="P213" s="46">
        <f t="shared" ca="1" si="10"/>
        <v>9.499999998997222E-3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input_427010!A$2</f>
        <v>427010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IFERROR(VLOOKUP(B214,input_427010!L:R,7,FALSE),VLOOKUP(tables_427010!C214,input_427010!A:H,8,FALSE))</f>
        <v>2700</v>
      </c>
      <c r="P214" s="46">
        <f t="shared" ca="1" si="10"/>
        <v>4.9999999994722224E-4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input_427010!A$2</f>
        <v>427010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IFERROR(VLOOKUP(B215,input_427010!L:R,7,FALSE),VLOOKUP(tables_427010!C215,input_427010!A:H,8,FALSE))</f>
        <v>1098.14815</v>
      </c>
      <c r="P215" s="46">
        <f t="shared" ca="1" si="10"/>
        <v>2.0336076849705265E-4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input_427010!A$2</f>
        <v>427010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IFERROR(VLOOKUP(B216,input_427010!L:R,7,FALSE),VLOOKUP(tables_427010!C216,input_427010!A:H,8,FALSE))</f>
        <v>50</v>
      </c>
      <c r="P216" s="46">
        <f t="shared" ca="1" si="10"/>
        <v>9.2592592582818932E-6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input_427010!A$2</f>
        <v>427010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IFERROR(VLOOKUP(B217,input_427010!L:R,7,FALSE),VLOOKUP(tables_427010!C217,input_427010!A:H,8,FALSE))</f>
        <v>28500</v>
      </c>
      <c r="P217" s="46">
        <f t="shared" ca="1" si="10"/>
        <v>5.2777777772206793E-3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input_427010!A$2</f>
        <v>427010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IFERROR(VLOOKUP(B218,input_427010!L:R,7,FALSE),VLOOKUP(tables_427010!C218,input_427010!A:H,8,FALSE))</f>
        <v>27410.576929999999</v>
      </c>
      <c r="P218" s="46">
        <f t="shared" ca="1" si="10"/>
        <v>5.076032764279011E-3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input_427010!A$2</f>
        <v>427010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IFERROR(VLOOKUP(B219,input_427010!L:R,7,FALSE),VLOOKUP(tables_427010!C219,input_427010!A:H,8,FALSE))</f>
        <v>1089.42308</v>
      </c>
      <c r="P219" s="46">
        <f t="shared" ca="1" si="10"/>
        <v>2.0174501479351952E-4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input_427010!A$2</f>
        <v>427010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IFERROR(VLOOKUP(B220,input_427010!L:R,7,FALSE),VLOOKUP(tables_427010!C220,input_427010!A:H,8,FALSE))</f>
        <v>28500</v>
      </c>
      <c r="P220" s="46">
        <f t="shared" ca="1" si="10"/>
        <v>5.2777777772206793E-3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input_427010!A$2</f>
        <v>427010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IFERROR(VLOOKUP(B221,input_427010!L:R,7,FALSE),VLOOKUP(tables_427010!C221,input_427010!A:H,8,FALSE))</f>
        <v>27410.576929999999</v>
      </c>
      <c r="P221" s="46">
        <f t="shared" ca="1" si="10"/>
        <v>5.076032764279011E-3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input_427010!A$2</f>
        <v>427010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IFERROR(VLOOKUP(B222,input_427010!L:R,7,FALSE),VLOOKUP(tables_427010!C222,input_427010!A:H,8,FALSE))</f>
        <v>1089.42308</v>
      </c>
      <c r="P222" s="46">
        <f t="shared" ca="1" si="10"/>
        <v>2.0174501479351952E-4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input_427010!A$2</f>
        <v>427010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IFERROR(VLOOKUP(B223,input_427010!L:R,7,FALSE),VLOOKUP(tables_427010!C223,input_427010!A:H,8,FALSE))</f>
        <v>1098.14815</v>
      </c>
      <c r="P223" s="46">
        <f t="shared" ca="1" si="10"/>
        <v>2.0336076849705265E-4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input_427010!A$2</f>
        <v>427010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IFERROR(VLOOKUP(B224,input_427010!L:R,7,FALSE),VLOOKUP(tables_427010!C224,input_427010!A:H,8,FALSE))</f>
        <v>50</v>
      </c>
      <c r="P224" s="46">
        <f t="shared" ca="1" si="10"/>
        <v>9.2592592582818932E-6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input_427010!A$2</f>
        <v>427010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IFERROR(VLOOKUP(B225,input_427010!L:R,7,FALSE),VLOOKUP(tables_427010!C225,input_427010!A:H,8,FALSE))</f>
        <v>28500</v>
      </c>
      <c r="P225" s="46">
        <f t="shared" ca="1" si="10"/>
        <v>5.2777777772206793E-3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input_427010!A$2</f>
        <v>427010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IFERROR(VLOOKUP(B226,input_427010!L:R,7,FALSE),VLOOKUP(tables_427010!C226,input_427010!A:H,8,FALSE))</f>
        <v>27410.576929999999</v>
      </c>
      <c r="P226" s="46">
        <f t="shared" ca="1" si="10"/>
        <v>5.076032764279011E-3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input_427010!A$2</f>
        <v>427010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IFERROR(VLOOKUP(B227,input_427010!L:R,7,FALSE),VLOOKUP(tables_427010!C227,input_427010!A:H,8,FALSE))</f>
        <v>1089.42308</v>
      </c>
      <c r="P227" s="46">
        <f t="shared" ca="1" si="10"/>
        <v>2.0174501479351952E-4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input_427010!A$2</f>
        <v>427010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IFERROR(VLOOKUP(B228,input_427010!L:R,7,FALSE),VLOOKUP(tables_427010!C228,input_427010!A:H,8,FALSE))</f>
        <v>28500</v>
      </c>
      <c r="P228" s="46">
        <f t="shared" ca="1" si="10"/>
        <v>5.2777777772206793E-3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input_427010!A$2</f>
        <v>427010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IFERROR(VLOOKUP(B229,input_427010!L:R,7,FALSE),VLOOKUP(tables_427010!C229,input_427010!A:H,8,FALSE))</f>
        <v>27410.576929999999</v>
      </c>
      <c r="P229" s="46">
        <f t="shared" ca="1" si="10"/>
        <v>5.076032764279011E-3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input_427010!A$2</f>
        <v>427010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IFERROR(VLOOKUP(B230,input_427010!L:R,7,FALSE),VLOOKUP(tables_427010!C230,input_427010!A:H,8,FALSE))</f>
        <v>1089.42308</v>
      </c>
      <c r="P230" s="46">
        <f t="shared" ca="1" si="10"/>
        <v>2.0174501479351952E-4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input_427010!A$2</f>
        <v>427010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IFERROR(VLOOKUP(B231,input_427010!L:R,7,FALSE),VLOOKUP(tables_427010!C231,input_427010!A:H,8,FALSE))</f>
        <v>1098.14815</v>
      </c>
      <c r="P231" s="46">
        <f t="shared" ca="1" si="10"/>
        <v>2.0336076849705265E-4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input_427010!A$2</f>
        <v>427010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IFERROR(VLOOKUP(B232,input_427010!L:R,7,FALSE),VLOOKUP(tables_427010!C232,input_427010!A:H,8,FALSE))</f>
        <v>50</v>
      </c>
      <c r="P232" s="46">
        <f t="shared" ca="1" si="10"/>
        <v>9.2592592582818932E-6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input_427010!A$2</f>
        <v>427010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IFERROR(VLOOKUP(B233,input_427010!L:R,7,FALSE),VLOOKUP(tables_427010!C233,input_427010!A:H,8,FALSE))</f>
        <v>28500</v>
      </c>
      <c r="P233" s="46">
        <f t="shared" ca="1" si="10"/>
        <v>5.2777777772206793E-3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input_427010!A$2</f>
        <v>427010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IFERROR(VLOOKUP(B234,input_427010!L:R,7,FALSE),VLOOKUP(tables_427010!C234,input_427010!A:H,8,FALSE))</f>
        <v>27410.576929999999</v>
      </c>
      <c r="P234" s="46">
        <f t="shared" ca="1" si="10"/>
        <v>5.076032764279011E-3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input_427010!A$2</f>
        <v>427010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IFERROR(VLOOKUP(B235,input_427010!L:R,7,FALSE),VLOOKUP(tables_427010!C235,input_427010!A:H,8,FALSE))</f>
        <v>1089.42308</v>
      </c>
      <c r="P235" s="46">
        <f t="shared" ca="1" si="10"/>
        <v>2.0174501479351952E-4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input_427010!A$2</f>
        <v>427010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IFERROR(VLOOKUP(B236,input_427010!L:R,7,FALSE),VLOOKUP(tables_427010!C236,input_427010!A:H,8,FALSE))</f>
        <v>1098.14815</v>
      </c>
      <c r="P236" s="46">
        <f t="shared" ca="1" si="10"/>
        <v>2.0336076849705265E-4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input_427010!A$2</f>
        <v>427010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IFERROR(VLOOKUP(B237,input_427010!L:R,7,FALSE),VLOOKUP(tables_427010!C237,input_427010!A:H,8,FALSE))</f>
        <v>50</v>
      </c>
      <c r="P237" s="46">
        <f t="shared" ca="1" si="10"/>
        <v>9.2592592582818932E-6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input_427010!A$2</f>
        <v>427010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IFERROR(VLOOKUP(B238,input_427010!L:R,7,FALSE),VLOOKUP(tables_427010!C238,input_427010!A:H,8,FALSE))</f>
        <v>1098.14815</v>
      </c>
      <c r="P238" s="46">
        <f t="shared" ca="1" si="10"/>
        <v>2.0336076849705265E-4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input_427010!A$2</f>
        <v>427010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IFERROR(VLOOKUP(B239,input_427010!L:R,7,FALSE),VLOOKUP(tables_427010!C239,input_427010!A:H,8,FALSE))</f>
        <v>50</v>
      </c>
      <c r="P239" s="46">
        <f t="shared" ca="1" si="10"/>
        <v>9.2592592582818932E-6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input_427010!A$2</f>
        <v>427010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IFERROR(VLOOKUP(B240,input_427010!L:R,7,FALSE),VLOOKUP(tables_427010!C240,input_427010!A:H,8,FALSE))</f>
        <v>28500</v>
      </c>
      <c r="P240" s="46">
        <f t="shared" ca="1" si="10"/>
        <v>5.2777777772206793E-3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input_427010!A$2</f>
        <v>427010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IFERROR(VLOOKUP(B241,input_427010!L:R,7,FALSE),VLOOKUP(tables_427010!C241,input_427010!A:H,8,FALSE))</f>
        <v>27410.576929999999</v>
      </c>
      <c r="P241" s="46">
        <f t="shared" ca="1" si="10"/>
        <v>5.076032764279011E-3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input_427010!A$2</f>
        <v>427010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IFERROR(VLOOKUP(B242,input_427010!L:R,7,FALSE),VLOOKUP(tables_427010!C242,input_427010!A:H,8,FALSE))</f>
        <v>1089.42308</v>
      </c>
      <c r="P242" s="46">
        <f t="shared" ca="1" si="10"/>
        <v>2.0174501479351952E-4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input_427010!A$2</f>
        <v>427010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IFERROR(VLOOKUP(B243,input_427010!L:R,7,FALSE),VLOOKUP(tables_427010!C243,input_427010!A:H,8,FALSE))</f>
        <v>28500</v>
      </c>
      <c r="P243" s="46">
        <f t="shared" ca="1" si="10"/>
        <v>5.2777777772206793E-3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input_427010!A$2</f>
        <v>427010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IFERROR(VLOOKUP(B244,input_427010!L:R,7,FALSE),VLOOKUP(tables_427010!C244,input_427010!A:H,8,FALSE))</f>
        <v>27410.576929999999</v>
      </c>
      <c r="P244" s="46">
        <f t="shared" ca="1" si="10"/>
        <v>5.076032764279011E-3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input_427010!A$2</f>
        <v>427010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IFERROR(VLOOKUP(B245,input_427010!L:R,7,FALSE),VLOOKUP(tables_427010!C245,input_427010!A:H,8,FALSE))</f>
        <v>1089.42308</v>
      </c>
      <c r="P245" s="46">
        <f t="shared" ca="1" si="10"/>
        <v>2.0174501479351952E-4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input_427010!A$2</f>
        <v>427010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IFERROR(VLOOKUP(B246,input_427010!L:R,7,FALSE),VLOOKUP(tables_427010!C246,input_427010!A:H,8,FALSE))</f>
        <v>28500</v>
      </c>
      <c r="P246" s="46">
        <f t="shared" ca="1" si="10"/>
        <v>5.2777777772206793E-3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input_427010!A$2</f>
        <v>427010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IFERROR(VLOOKUP(B247,input_427010!L:R,7,FALSE),VLOOKUP(tables_427010!C247,input_427010!A:H,8,FALSE))</f>
        <v>27410.576929999999</v>
      </c>
      <c r="P247" s="46">
        <f t="shared" ca="1" si="10"/>
        <v>5.076032764279011E-3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input_427010!A$2</f>
        <v>427010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IFERROR(VLOOKUP(B248,input_427010!L:R,7,FALSE),VLOOKUP(tables_427010!C248,input_427010!A:H,8,FALSE))</f>
        <v>1089.42308</v>
      </c>
      <c r="P248" s="46">
        <f t="shared" ca="1" si="10"/>
        <v>2.0174501479351952E-4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input_427010!A$2</f>
        <v>427010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IFERROR(VLOOKUP(B249,input_427010!L:R,7,FALSE),VLOOKUP(tables_427010!C249,input_427010!A:H,8,FALSE))</f>
        <v>28500</v>
      </c>
      <c r="P249" s="46">
        <f t="shared" ca="1" si="10"/>
        <v>5.2777777772206793E-3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input_427010!A$2</f>
        <v>427010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IFERROR(VLOOKUP(B250,input_427010!L:R,7,FALSE),VLOOKUP(tables_427010!C250,input_427010!A:H,8,FALSE))</f>
        <v>27410.576929999999</v>
      </c>
      <c r="P250" s="46">
        <f t="shared" ca="1" si="10"/>
        <v>5.076032764279011E-3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input_427010!A$2</f>
        <v>427010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IFERROR(VLOOKUP(B251,input_427010!L:R,7,FALSE),VLOOKUP(tables_427010!C251,input_427010!A:H,8,FALSE))</f>
        <v>1089.42308</v>
      </c>
      <c r="P251" s="46">
        <f t="shared" ca="1" si="10"/>
        <v>2.0174501479351952E-4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input_427010!A$2</f>
        <v>427010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IFERROR(VLOOKUP(B252,input_427010!L:R,7,FALSE),VLOOKUP(tables_427010!C252,input_427010!A:H,8,FALSE))</f>
        <v>1098.14815</v>
      </c>
      <c r="P252" s="46">
        <f t="shared" ca="1" si="10"/>
        <v>2.0336076849705265E-4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input_427010!A$2</f>
        <v>427010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IFERROR(VLOOKUP(B253,input_427010!L:R,7,FALSE),VLOOKUP(tables_427010!C253,input_427010!A:H,8,FALSE))</f>
        <v>50</v>
      </c>
      <c r="P253" s="46">
        <f t="shared" ca="1" si="10"/>
        <v>9.2592592582818932E-6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input_427010!A$2</f>
        <v>427010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IFERROR(VLOOKUP(B254,input_427010!L:R,7,FALSE),VLOOKUP(tables_427010!C254,input_427010!A:H,8,FALSE))</f>
        <v>1098.14815</v>
      </c>
      <c r="P254" s="46">
        <f t="shared" ca="1" si="10"/>
        <v>2.0336076849705265E-4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input_427010!A$2</f>
        <v>427010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IFERROR(VLOOKUP(B255,input_427010!L:R,7,FALSE),VLOOKUP(tables_427010!C255,input_427010!A:H,8,FALSE))</f>
        <v>50</v>
      </c>
      <c r="P255" s="46">
        <f t="shared" ca="1" si="10"/>
        <v>9.2592592582818932E-6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input_427010!A$2</f>
        <v>427010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IFERROR(VLOOKUP(B256,input_427010!L:R,7,FALSE),VLOOKUP(tables_427010!C256,input_427010!A:H,8,FALSE))</f>
        <v>56078.571430000004</v>
      </c>
      <c r="P256" s="46">
        <f t="shared" ca="1" si="10"/>
        <v>1.0384920634088999E-2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input_427010!A$2</f>
        <v>427010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IFERROR(VLOOKUP(B257,input_427010!L:R,7,FALSE),VLOOKUP(tables_427010!C257,input_427010!A:H,8,FALSE))</f>
        <v>921.42857000000004</v>
      </c>
      <c r="P257" s="46">
        <f t="shared" ca="1" si="10"/>
        <v>1.7063492035235891E-4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input_427010!A$2</f>
        <v>427010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IFERROR(VLOOKUP(B258,input_427010!L:R,7,FALSE),VLOOKUP(tables_427010!C258,input_427010!A:H,8,FALSE))</f>
        <v>56078.571430000004</v>
      </c>
      <c r="P258" s="46">
        <f t="shared" ref="P258:P294" ca="1" si="13">O258/SUM(O:O)</f>
        <v>1.0384920634088999E-2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input_427010!A$2</f>
        <v>427010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IFERROR(VLOOKUP(B259,input_427010!L:R,7,FALSE),VLOOKUP(tables_427010!C259,input_427010!A:H,8,FALSE))</f>
        <v>921.42857000000004</v>
      </c>
      <c r="P259" s="46">
        <f t="shared" ca="1" si="13"/>
        <v>1.7063492035235891E-4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input_427010!A$2</f>
        <v>427010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IFERROR(VLOOKUP(B260,input_427010!L:R,7,FALSE),VLOOKUP(tables_427010!C260,input_427010!A:H,8,FALSE))</f>
        <v>1000</v>
      </c>
      <c r="P260" s="46">
        <f t="shared" ca="1" si="13"/>
        <v>1.8518518516563785E-4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input_427010!A$2</f>
        <v>427010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IFERROR(VLOOKUP(B261,input_427010!L:R,7,FALSE),VLOOKUP(tables_427010!C261,input_427010!A:H,8,FALSE))</f>
        <v>1000</v>
      </c>
      <c r="P261" s="46">
        <f t="shared" ca="1" si="13"/>
        <v>1.8518518516563785E-4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input_427010!A$2</f>
        <v>427010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IFERROR(VLOOKUP(B262,input_427010!L:R,7,FALSE),VLOOKUP(tables_427010!C262,input_427010!A:H,8,FALSE))</f>
        <v>1098.14815</v>
      </c>
      <c r="P262" s="46">
        <f t="shared" ca="1" si="13"/>
        <v>2.0336076849705265E-4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input_427010!A$2</f>
        <v>427010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IFERROR(VLOOKUP(B263,input_427010!L:R,7,FALSE),VLOOKUP(tables_427010!C263,input_427010!A:H,8,FALSE))</f>
        <v>50</v>
      </c>
      <c r="P263" s="46">
        <f t="shared" ca="1" si="13"/>
        <v>9.2592592582818932E-6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input_427010!A$2</f>
        <v>427010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IFERROR(VLOOKUP(B264,input_427010!L:R,7,FALSE),VLOOKUP(tables_427010!C264,input_427010!A:H,8,FALSE))</f>
        <v>1098.14815</v>
      </c>
      <c r="P264" s="46">
        <f t="shared" ca="1" si="13"/>
        <v>2.0336076849705265E-4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input_427010!A$2</f>
        <v>427010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IFERROR(VLOOKUP(B265,input_427010!L:R,7,FALSE),VLOOKUP(tables_427010!C265,input_427010!A:H,8,FALSE))</f>
        <v>50</v>
      </c>
      <c r="P265" s="46">
        <f t="shared" ca="1" si="13"/>
        <v>9.2592592582818932E-6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input_427010!A$2</f>
        <v>427010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IFERROR(VLOOKUP(B266,input_427010!L:R,7,FALSE),VLOOKUP(tables_427010!C266,input_427010!A:H,8,FALSE))</f>
        <v>28500</v>
      </c>
      <c r="P266" s="46">
        <f t="shared" ca="1" si="13"/>
        <v>5.2777777772206793E-3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input_427010!A$2</f>
        <v>427010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IFERROR(VLOOKUP(B267,input_427010!L:R,7,FALSE),VLOOKUP(tables_427010!C267,input_427010!A:H,8,FALSE))</f>
        <v>27410.576929999999</v>
      </c>
      <c r="P267" s="46">
        <f t="shared" ca="1" si="13"/>
        <v>5.076032764279011E-3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input_427010!A$2</f>
        <v>427010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IFERROR(VLOOKUP(B268,input_427010!L:R,7,FALSE),VLOOKUP(tables_427010!C268,input_427010!A:H,8,FALSE))</f>
        <v>1089.42308</v>
      </c>
      <c r="P268" s="46">
        <f t="shared" ca="1" si="13"/>
        <v>2.0174501479351952E-4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input_427010!A$2</f>
        <v>427010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IFERROR(VLOOKUP(B269,input_427010!L:R,7,FALSE),VLOOKUP(tables_427010!C269,input_427010!A:H,8,FALSE))</f>
        <v>28500</v>
      </c>
      <c r="P269" s="46">
        <f t="shared" ca="1" si="13"/>
        <v>5.2777777772206793E-3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input_427010!A$2</f>
        <v>427010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IFERROR(VLOOKUP(B270,input_427010!L:R,7,FALSE),VLOOKUP(tables_427010!C270,input_427010!A:H,8,FALSE))</f>
        <v>27410.576929999999</v>
      </c>
      <c r="P270" s="46">
        <f t="shared" ca="1" si="13"/>
        <v>5.076032764279011E-3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input_427010!A$2</f>
        <v>427010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IFERROR(VLOOKUP(B271,input_427010!L:R,7,FALSE),VLOOKUP(tables_427010!C271,input_427010!A:H,8,FALSE))</f>
        <v>1089.42308</v>
      </c>
      <c r="P271" s="46">
        <f t="shared" ca="1" si="13"/>
        <v>2.0174501479351952E-4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input_427010!A$2</f>
        <v>427010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IFERROR(VLOOKUP(B272,input_427010!L:R,7,FALSE),VLOOKUP(tables_427010!C272,input_427010!A:H,8,FALSE))</f>
        <v>54000</v>
      </c>
      <c r="P272" s="46">
        <f t="shared" ca="1" si="13"/>
        <v>9.9999999989444435E-3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input_427010!A$2</f>
        <v>427010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IFERROR(VLOOKUP(B273,input_427010!L:R,7,FALSE),VLOOKUP(tables_427010!C273,input_427010!A:H,8,FALSE))</f>
        <v>1000</v>
      </c>
      <c r="P273" s="46">
        <f t="shared" ca="1" si="13"/>
        <v>1.8518518516563785E-4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input_427010!A$2</f>
        <v>427010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IFERROR(VLOOKUP(B274,input_427010!L:R,7,FALSE),VLOOKUP(tables_427010!C274,input_427010!A:H,8,FALSE))</f>
        <v>56078.571430000004</v>
      </c>
      <c r="P274" s="46">
        <f t="shared" ca="1" si="13"/>
        <v>1.0384920634088999E-2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input_427010!A$2</f>
        <v>427010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IFERROR(VLOOKUP(B275,input_427010!L:R,7,FALSE),VLOOKUP(tables_427010!C275,input_427010!A:H,8,FALSE))</f>
        <v>921.42857000000004</v>
      </c>
      <c r="P275" s="46">
        <f t="shared" ca="1" si="13"/>
        <v>1.7063492035235891E-4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input_427010!A$2</f>
        <v>427010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IFERROR(VLOOKUP(B276,input_427010!L:R,7,FALSE),VLOOKUP(tables_427010!C276,input_427010!A:H,8,FALSE))</f>
        <v>56078.571430000004</v>
      </c>
      <c r="P276" s="46">
        <f t="shared" ca="1" si="13"/>
        <v>1.0384920634088999E-2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input_427010!A$2</f>
        <v>427010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IFERROR(VLOOKUP(B277,input_427010!L:R,7,FALSE),VLOOKUP(tables_427010!C277,input_427010!A:H,8,FALSE))</f>
        <v>921.42857000000004</v>
      </c>
      <c r="P277" s="46">
        <f t="shared" ca="1" si="13"/>
        <v>1.7063492035235891E-4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input_427010!A$2</f>
        <v>427010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IFERROR(VLOOKUP(B278,input_427010!L:R,7,FALSE),VLOOKUP(tables_427010!C278,input_427010!A:H,8,FALSE))</f>
        <v>56078.571430000004</v>
      </c>
      <c r="P278" s="46">
        <f t="shared" ca="1" si="13"/>
        <v>1.0384920634088999E-2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input_427010!A$2</f>
        <v>427010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IFERROR(VLOOKUP(B279,input_427010!L:R,7,FALSE),VLOOKUP(tables_427010!C279,input_427010!A:H,8,FALSE))</f>
        <v>921.42857000000004</v>
      </c>
      <c r="P279" s="46">
        <f t="shared" ca="1" si="13"/>
        <v>1.7063492035235891E-4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input_427010!A$2</f>
        <v>427010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IFERROR(VLOOKUP(B280,input_427010!L:R,7,FALSE),VLOOKUP(tables_427010!C280,input_427010!A:H,8,FALSE))</f>
        <v>56078.571430000004</v>
      </c>
      <c r="P280" s="46">
        <f t="shared" ca="1" si="13"/>
        <v>1.0384920634088999E-2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input_427010!A$2</f>
        <v>427010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IFERROR(VLOOKUP(B281,input_427010!L:R,7,FALSE),VLOOKUP(tables_427010!C281,input_427010!A:H,8,FALSE))</f>
        <v>921.42857000000004</v>
      </c>
      <c r="P281" s="46">
        <f t="shared" ca="1" si="13"/>
        <v>1.7063492035235891E-4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input_427010!A$2</f>
        <v>427010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IFERROR(VLOOKUP(B282,input_427010!L:R,7,FALSE),VLOOKUP(tables_427010!C282,input_427010!A:H,8,FALSE))</f>
        <v>1000</v>
      </c>
      <c r="P282" s="46">
        <f t="shared" ca="1" si="13"/>
        <v>1.8518518516563785E-4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input_427010!A$2</f>
        <v>427010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IFERROR(VLOOKUP(B283,input_427010!L:R,7,FALSE),VLOOKUP(tables_427010!C283,input_427010!A:H,8,FALSE))</f>
        <v>1000</v>
      </c>
      <c r="P283" s="46">
        <f t="shared" ca="1" si="13"/>
        <v>1.8518518516563785E-4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input_427010!A$2</f>
        <v>427010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IFERROR(VLOOKUP(B284,input_427010!L:R,7,FALSE),VLOOKUP(tables_427010!C284,input_427010!A:H,8,FALSE))</f>
        <v>1000</v>
      </c>
      <c r="P284" s="46">
        <f t="shared" ca="1" si="13"/>
        <v>1.8518518516563785E-4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input_427010!A$2</f>
        <v>427010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IFERROR(VLOOKUP(B285,input_427010!L:R,7,FALSE),VLOOKUP(tables_427010!C285,input_427010!A:H,8,FALSE))</f>
        <v>1000</v>
      </c>
      <c r="P285" s="46">
        <f t="shared" ca="1" si="13"/>
        <v>1.8518518516563785E-4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input_427010!A$2</f>
        <v>427010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IFERROR(VLOOKUP(B286,input_427010!L:R,7,FALSE),VLOOKUP(tables_427010!C286,input_427010!A:H,8,FALSE))</f>
        <v>56078.571430000004</v>
      </c>
      <c r="P286" s="46">
        <f t="shared" ca="1" si="13"/>
        <v>1.0384920634088999E-2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input_427010!A$2</f>
        <v>427010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IFERROR(VLOOKUP(B287,input_427010!L:R,7,FALSE),VLOOKUP(tables_427010!C287,input_427010!A:H,8,FALSE))</f>
        <v>921.42857000000004</v>
      </c>
      <c r="P287" s="46">
        <f t="shared" ca="1" si="13"/>
        <v>1.7063492035235891E-4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input_427010!A$2</f>
        <v>427010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IFERROR(VLOOKUP(B288,input_427010!L:R,7,FALSE),VLOOKUP(tables_427010!C288,input_427010!A:H,8,FALSE))</f>
        <v>56078.571430000004</v>
      </c>
      <c r="P288" s="46">
        <f t="shared" ca="1" si="13"/>
        <v>1.0384920634088999E-2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input_427010!A$2</f>
        <v>427010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IFERROR(VLOOKUP(B289,input_427010!L:R,7,FALSE),VLOOKUP(tables_427010!C289,input_427010!A:H,8,FALSE))</f>
        <v>921.42857000000004</v>
      </c>
      <c r="P289" s="46">
        <f t="shared" ca="1" si="13"/>
        <v>1.7063492035235891E-4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input_427010!A$2</f>
        <v>427010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IFERROR(VLOOKUP(B290,input_427010!L:R,7,FALSE),VLOOKUP(tables_427010!C290,input_427010!A:H,8,FALSE))</f>
        <v>1000</v>
      </c>
      <c r="P290" s="46">
        <f t="shared" ca="1" si="13"/>
        <v>1.8518518516563785E-4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input_427010!A$2</f>
        <v>427010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IFERROR(VLOOKUP(B291,input_427010!L:R,7,FALSE),VLOOKUP(tables_427010!C291,input_427010!A:H,8,FALSE))</f>
        <v>56078.571430000004</v>
      </c>
      <c r="P291" s="46">
        <f t="shared" ca="1" si="13"/>
        <v>1.0384920634088999E-2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input_427010!A$2</f>
        <v>427010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IFERROR(VLOOKUP(B292,input_427010!L:R,7,FALSE),VLOOKUP(tables_427010!C292,input_427010!A:H,8,FALSE))</f>
        <v>921.42857000000004</v>
      </c>
      <c r="P292" s="46">
        <f t="shared" ca="1" si="13"/>
        <v>1.7063492035235891E-4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input_427010!A$2</f>
        <v>427010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IFERROR(VLOOKUP(B293,input_427010!L:R,7,FALSE),VLOOKUP(tables_427010!C293,input_427010!A:H,8,FALSE))</f>
        <v>1000</v>
      </c>
      <c r="P293" s="46">
        <f t="shared" ca="1" si="13"/>
        <v>1.8518518516563785E-4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input_427010!A$2</f>
        <v>427010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IFERROR(VLOOKUP(B294,input_427010!L:R,7,FALSE),VLOOKUP(tables_427010!C294,input_427010!A:H,8,FALSE))</f>
        <v>1000</v>
      </c>
      <c r="P294" s="46">
        <f t="shared" ca="1" si="13"/>
        <v>1.8518518516563785E-4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input_427010!A$2</f>
        <v>427010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IFERROR(VLOOKUP(B295,input_427010!L:R,7,FALSE),VLOOKUP(tables_427010!C295,input_427010!A:H,8,FALSE))</f>
        <v>1000</v>
      </c>
      <c r="P295" s="46">
        <f t="shared" ref="P295:P299" ca="1" si="18">O295/SUM(O:O)</f>
        <v>1.8518518516563785E-4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input_427010!A$2</f>
        <v>427010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IFERROR(VLOOKUP(B296,input_427010!L:R,7,FALSE),VLOOKUP(tables_427010!C296,input_427010!A:H,8,FALSE))</f>
        <v>1000</v>
      </c>
      <c r="P296" s="46">
        <f t="shared" ca="1" si="18"/>
        <v>1.8518518516563785E-4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input_427010!A$2</f>
        <v>427010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IFERROR(VLOOKUP(B297,input_427010!L:R,7,FALSE),VLOOKUP(tables_427010!C297,input_427010!A:H,8,FALSE))</f>
        <v>56078.571430000004</v>
      </c>
      <c r="P297" s="46">
        <f t="shared" ca="1" si="18"/>
        <v>1.0384920634088999E-2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input_427010!A$2</f>
        <v>427010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IFERROR(VLOOKUP(B298,input_427010!L:R,7,FALSE),VLOOKUP(tables_427010!C298,input_427010!A:H,8,FALSE))</f>
        <v>921.42857000000004</v>
      </c>
      <c r="P298" s="46">
        <f t="shared" ca="1" si="18"/>
        <v>1.7063492035235891E-4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input_427010!A$2</f>
        <v>427010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IFERROR(VLOOKUP(B299,input_427010!L:R,7,FALSE),VLOOKUP(tables_427010!C299,input_427010!A:H,8,FALSE))</f>
        <v>1000</v>
      </c>
      <c r="P299" s="46">
        <f t="shared" ca="1" si="18"/>
        <v>1.8518518516563785E-4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input_427010!A$2</f>
        <v>427010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IFERROR(VLOOKUP(B300,input_427010!L:R,7,FALSE),VLOOKUP(tables_427010!C300,input_427010!A:H,8,FALSE))</f>
        <v>56078.571430000004</v>
      </c>
      <c r="P300" s="46">
        <f t="shared" ref="P300:P304" ca="1" si="20">O300/SUM(O:O)</f>
        <v>1.0384920634088999E-2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input_427010!A$2</f>
        <v>427010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IFERROR(VLOOKUP(B301,input_427010!L:R,7,FALSE),VLOOKUP(tables_427010!C301,input_427010!A:H,8,FALSE))</f>
        <v>921.42857000000004</v>
      </c>
      <c r="P301" s="46">
        <f t="shared" ca="1" si="20"/>
        <v>1.7063492035235891E-4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input_427010!A$2</f>
        <v>427010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>IFERROR(VLOOKUP(B302,input_427010!L:R,7,FALSE),VLOOKUP(tables_427010!C302,input_427010!A:H,8,FALSE))</f>
        <v>54000</v>
      </c>
      <c r="P302" s="46">
        <f t="shared" ca="1" si="20"/>
        <v>9.9999999989444435E-3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input_427010!A$2</f>
        <v>427010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IFERROR(VLOOKUP(B303,input_427010!L:R,7,FALSE),VLOOKUP(tables_427010!C303,input_427010!A:H,8,FALSE))</f>
        <v>54000</v>
      </c>
      <c r="P303" s="46">
        <f t="shared" ca="1" si="20"/>
        <v>9.9999999989444435E-3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input_427010!A$2</f>
        <v>427010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IFERROR(VLOOKUP(B304,input_427010!L:R,7,FALSE),VLOOKUP(tables_427010!C304,input_427010!A:H,8,FALSE))</f>
        <v>1000</v>
      </c>
      <c r="P304" s="46">
        <f t="shared" ca="1" si="20"/>
        <v>1.8518518516563785E-4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input_427010!A$2</f>
        <v>427010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IFERROR(VLOOKUP(B305,input_427010!L:R,7,FALSE),VLOOKUP(tables_427010!C305,input_427010!A:H,8,FALSE))</f>
        <v>56078.571430000004</v>
      </c>
      <c r="P305" s="46">
        <f t="shared" ref="P305:P309" ca="1" si="22">O305/SUM(O:O)</f>
        <v>1.0384920634088999E-2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input_427010!A$2</f>
        <v>427010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IFERROR(VLOOKUP(B306,input_427010!L:R,7,FALSE),VLOOKUP(tables_427010!C306,input_427010!A:H,8,FALSE))</f>
        <v>921.42857000000004</v>
      </c>
      <c r="P306" s="46">
        <f t="shared" ca="1" si="22"/>
        <v>1.7063492035235891E-4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input_427010!A$2</f>
        <v>427010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IFERROR(VLOOKUP(B307,input_427010!L:R,7,FALSE),VLOOKUP(tables_427010!C307,input_427010!A:H,8,FALSE))</f>
        <v>1000</v>
      </c>
      <c r="P307" s="46">
        <f t="shared" ca="1" si="22"/>
        <v>1.8518518516563785E-4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input_427010!A$2</f>
        <v>427010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IFERROR(VLOOKUP(B308,input_427010!L:R,7,FALSE),VLOOKUP(tables_427010!C308,input_427010!A:H,8,FALSE))</f>
        <v>1000</v>
      </c>
      <c r="P308" s="46">
        <f t="shared" ca="1" si="22"/>
        <v>1.8518518516563785E-4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input_427010!A$2</f>
        <v>427010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IFERROR(VLOOKUP(B309,input_427010!L:R,7,FALSE),VLOOKUP(tables_427010!C309,input_427010!A:H,8,FALSE))</f>
        <v>1000</v>
      </c>
      <c r="P309" s="46">
        <f t="shared" ca="1" si="22"/>
        <v>1.8518518516563785E-4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input_427010!A$2</f>
        <v>427010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IFERROR(VLOOKUP(B310,input_427010!L:R,7,FALSE),VLOOKUP(tables_427010!C310,input_427010!A:H,8,FALSE))</f>
        <v>56078.571430000004</v>
      </c>
      <c r="P310" s="46">
        <f t="shared" ref="P310:P314" ca="1" si="25">O310/SUM(O:O)</f>
        <v>1.0384920634088999E-2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input_427010!A$2</f>
        <v>427010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IFERROR(VLOOKUP(B311,input_427010!L:R,7,FALSE),VLOOKUP(tables_427010!C311,input_427010!A:H,8,FALSE))</f>
        <v>921.42857000000004</v>
      </c>
      <c r="P311" s="46">
        <f t="shared" ca="1" si="25"/>
        <v>1.7063492035235891E-4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input_427010!A$2</f>
        <v>427010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IFERROR(VLOOKUP(B312,input_427010!L:R,7,FALSE),VLOOKUP(tables_427010!C312,input_427010!A:H,8,FALSE))</f>
        <v>1000</v>
      </c>
      <c r="P312" s="46">
        <f t="shared" ca="1" si="25"/>
        <v>1.8518518516563785E-4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input_427010!A$2</f>
        <v>427010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IFERROR(VLOOKUP(B313,input_427010!L:R,7,FALSE),VLOOKUP(tables_427010!C313,input_427010!A:H,8,FALSE))</f>
        <v>1000</v>
      </c>
      <c r="P313" s="46">
        <f t="shared" ca="1" si="25"/>
        <v>1.8518518516563785E-4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input_427010!A$2</f>
        <v>427010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IFERROR(VLOOKUP(B314,input_427010!L:R,7,FALSE),VLOOKUP(tables_427010!C314,input_427010!A:H,8,FALSE))</f>
        <v>1000</v>
      </c>
      <c r="P314" s="46">
        <f t="shared" ca="1" si="25"/>
        <v>1.8518518516563785E-4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input_427010!A$2</f>
        <v>427010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IFERROR(VLOOKUP(B315,input_427010!L:R,7,FALSE),VLOOKUP(tables_427010!C315,input_427010!A:H,8,FALSE))</f>
        <v>1000</v>
      </c>
      <c r="P315" s="46">
        <f t="shared" ref="P315:P319" ca="1" si="28">O315/SUM(O:O)</f>
        <v>1.8518518516563785E-4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input_427010!A$2</f>
        <v>427010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IFERROR(VLOOKUP(B316,input_427010!L:R,7,FALSE),VLOOKUP(tables_427010!C316,input_427010!A:H,8,FALSE))</f>
        <v>1000</v>
      </c>
      <c r="P316" s="46">
        <f t="shared" ca="1" si="28"/>
        <v>1.8518518516563785E-4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input_427010!A$2</f>
        <v>427010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IFERROR(VLOOKUP(B317,input_427010!L:R,7,FALSE),VLOOKUP(tables_427010!C317,input_427010!A:H,8,FALSE))</f>
        <v>1000</v>
      </c>
      <c r="P317" s="46">
        <f t="shared" ca="1" si="28"/>
        <v>1.8518518516563785E-4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input_427010!A$2</f>
        <v>427010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IFERROR(VLOOKUP(B318,input_427010!L:R,7,FALSE),VLOOKUP(tables_427010!C318,input_427010!A:H,8,FALSE))</f>
        <v>56078.571430000004</v>
      </c>
      <c r="P318" s="46">
        <f t="shared" ca="1" si="28"/>
        <v>1.0384920634088999E-2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input_427010!A$2</f>
        <v>427010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IFERROR(VLOOKUP(B319,input_427010!L:R,7,FALSE),VLOOKUP(tables_427010!C319,input_427010!A:H,8,FALSE))</f>
        <v>921.42857000000004</v>
      </c>
      <c r="P319" s="46">
        <f t="shared" ca="1" si="28"/>
        <v>1.7063492035235891E-4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Q3" sqref="Q3"/>
    </sheetView>
  </sheetViews>
  <sheetFormatPr baseColWidth="12" defaultRowHeight="14" x14ac:dyDescent="0.15"/>
  <cols>
    <col min="1" max="2" width="24.199218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848</v>
      </c>
      <c r="M3" s="37" t="str">
        <f>VLOOKUP(L3,[1]characters!$A:$C,3,FALSE)</f>
        <v>メタトロン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VLOOKUP(L3,tables_427100!B:C,2,FALSE)</f>
        <v>PremiumSS5R5only</v>
      </c>
      <c r="R3" s="62">
        <f t="shared" ref="R3:R20" si="1">N3*A$36</f>
        <v>54000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1031</v>
      </c>
      <c r="M4" s="37" t="str">
        <f>VLOOKUP(L4,[1]characters!$A:$C,3,FALSE)</f>
        <v>紫式部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VLOOKUP(L4,tables_427100!B:C,2,FALSE)</f>
        <v>PremiumSS5R5only</v>
      </c>
      <c r="R4" s="62">
        <f t="shared" si="1"/>
        <v>54000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1.8518518518518523E-4</v>
      </c>
      <c r="F5">
        <f>(COUNTIF(tables_427100!C:C,input_427100!A28)+COUNTIF(tables_427100!C:C,input_427100!A29))</f>
        <v>54</v>
      </c>
      <c r="H5" s="84">
        <v>0.04</v>
      </c>
      <c r="I5" s="31">
        <v>0</v>
      </c>
      <c r="L5" s="60">
        <v>1028</v>
      </c>
      <c r="M5" s="37" t="str">
        <f>VLOOKUP(L5,[1]characters!$A:$C,3,FALSE)</f>
        <v>牛若丸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VLOOKUP(L5,tables_427100!B:C,2,FALSE)</f>
        <v>PremiumSS5R5only</v>
      </c>
      <c r="R5" s="62">
        <f t="shared" si="1"/>
        <v>54000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1.0555555555555556E-2</v>
      </c>
      <c r="F6">
        <f>(COUNTIF(tables_427100!C:C,input_427100!A25)+COUNTIF(tables_427100!C:C,input_427100!A18)+COUNTIF(tables_427100!C:C,input_427100!A20)+COUNTIF(tables_427100!C:C,input_427100!A22))</f>
        <v>90</v>
      </c>
      <c r="H6" s="89">
        <v>0</v>
      </c>
      <c r="I6" s="31">
        <v>0</v>
      </c>
      <c r="L6" s="94">
        <v>499</v>
      </c>
      <c r="M6" s="37" t="str">
        <f>VLOOKUP(L6,[1]characters!$A:$C,3,FALSE)</f>
        <v>ラプンツェル</v>
      </c>
      <c r="N6" s="63">
        <v>9.4999999999999998E-3</v>
      </c>
      <c r="O6" s="37">
        <f>VLOOKUP(L6,[1]characters!$A:$I,9,FALSE)</f>
        <v>4</v>
      </c>
      <c r="P6" s="37" t="str">
        <f>VLOOKUP(L6,[1]characters!$A:$J,10,FALSE)</f>
        <v>PremiumSS</v>
      </c>
      <c r="Q6" s="37" t="str">
        <f>VLOOKUP(L6,tables_427100!B:C,2,FALSE)</f>
        <v>PremiumSS4</v>
      </c>
      <c r="R6" s="62">
        <f t="shared" si="1"/>
        <v>51300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94">
        <v>500</v>
      </c>
      <c r="M7" s="37" t="str">
        <f>VLOOKUP(L7,[1]characters!$A:$C,3,FALSE)</f>
        <v>脈動の禁髪 ラプンツェル</v>
      </c>
      <c r="N7" s="63">
        <v>5.0000000000000001E-4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VLOOKUP(L7,tables_427100!B:C,2,FALSE)</f>
        <v>PremiumSS5</v>
      </c>
      <c r="R7" s="62">
        <f t="shared" si="1"/>
        <v>2700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9.4999999999999998E-3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5.0000000000000001E-4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COUNTIF(tables_427100!C:C,input_427100!A17)-COUNTIF(Q:Q,A17)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0.21111111111111111</v>
      </c>
      <c r="C18" s="85">
        <f t="shared" si="2"/>
        <v>0</v>
      </c>
      <c r="D18" s="74">
        <f t="shared" si="3"/>
        <v>0.21111111111111111</v>
      </c>
      <c r="E18">
        <f>COUNTIF(tables_427100!C:C,input_427100!A18)-COUNTIF(Q:Q,A18)</f>
        <v>20</v>
      </c>
      <c r="F18" s="43">
        <f>IFERROR(B18/E18,0)</f>
        <v>1.0555555555555556E-2</v>
      </c>
      <c r="G18">
        <f t="shared" si="4"/>
        <v>1140000</v>
      </c>
      <c r="H18">
        <f t="shared" si="5"/>
        <v>57000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COUNTIF(tables_427100!C:C,input_427100!A19)-COUNTIF(Q:Q,A19)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E$6*E20*B$6+E34-G49-G48</f>
        <v>0.53839814817595932</v>
      </c>
      <c r="C20" s="85">
        <f t="shared" si="2"/>
        <v>0</v>
      </c>
      <c r="D20" s="74">
        <f t="shared" si="3"/>
        <v>0.53839814817595932</v>
      </c>
      <c r="E20">
        <f>COUNTIF(tables_427100!C:C,input_427100!A20)-COUNTIF(Q:Q,A20)</f>
        <v>52</v>
      </c>
      <c r="F20" s="43">
        <f t="shared" si="8"/>
        <v>1.0353810541845372E-2</v>
      </c>
      <c r="G20">
        <f t="shared" si="4"/>
        <v>2907350.0001501804</v>
      </c>
      <c r="H20">
        <f t="shared" si="5"/>
        <v>55910.576930000003</v>
      </c>
      <c r="I20">
        <f t="shared" si="6"/>
        <v>0.5769300000029034</v>
      </c>
      <c r="J20">
        <f t="shared" si="7"/>
        <v>1.7333125335742074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B7-B23-B26-B28-B29-0.0305</f>
        <v>1.0490740740740738E-2</v>
      </c>
      <c r="C21" s="85">
        <f t="shared" si="2"/>
        <v>0</v>
      </c>
      <c r="D21" s="74">
        <f t="shared" si="3"/>
        <v>1.0490740740740738E-2</v>
      </c>
      <c r="E21">
        <f>COUNTIF(tables_427100!C:C,input_427100!A21)-COUNTIF(Q:Q,A21)</f>
        <v>52</v>
      </c>
      <c r="F21" s="43">
        <f t="shared" si="8"/>
        <v>2.0174501424501419E-4</v>
      </c>
      <c r="G21">
        <f t="shared" si="4"/>
        <v>56649.999999999985</v>
      </c>
      <c r="H21">
        <f t="shared" si="5"/>
        <v>1089.42308</v>
      </c>
      <c r="I21">
        <f t="shared" si="6"/>
        <v>0.42308000000002721</v>
      </c>
      <c r="J21">
        <f t="shared" si="7"/>
        <v>2.3636191736785848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0.1453888888888889</v>
      </c>
      <c r="C22" s="85">
        <f t="shared" si="2"/>
        <v>0</v>
      </c>
      <c r="D22" s="74">
        <f t="shared" si="3"/>
        <v>0.1453888888888889</v>
      </c>
      <c r="E22">
        <f>COUNTIF(tables_427100!C:C,input_427100!A22)-COUNTIF(Q:Q,A22)</f>
        <v>14</v>
      </c>
      <c r="F22" s="43">
        <f t="shared" si="8"/>
        <v>1.0384920634920636E-2</v>
      </c>
      <c r="G22">
        <f t="shared" si="4"/>
        <v>785100.00000000012</v>
      </c>
      <c r="H22">
        <f t="shared" si="5"/>
        <v>56078.571430000004</v>
      </c>
      <c r="I22">
        <f t="shared" si="6"/>
        <v>0.57143000000360189</v>
      </c>
      <c r="J22">
        <f t="shared" si="7"/>
        <v>1.7499956249999067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E23*E6*B7-0.005</f>
        <v>2.3888888888888892E-3</v>
      </c>
      <c r="C23" s="85">
        <f t="shared" si="2"/>
        <v>0</v>
      </c>
      <c r="D23" s="74">
        <f t="shared" si="3"/>
        <v>2.3888888888888892E-3</v>
      </c>
      <c r="E23">
        <f>COUNTIF(tables_427100!C:C,input_427100!A23)-COUNTIF(Q:Q,A23)</f>
        <v>14</v>
      </c>
      <c r="F23" s="43">
        <f t="shared" si="8"/>
        <v>1.7063492063492067E-4</v>
      </c>
      <c r="G23">
        <f t="shared" si="4"/>
        <v>12900.000000000002</v>
      </c>
      <c r="H23">
        <f t="shared" si="5"/>
        <v>921.42857000000004</v>
      </c>
      <c r="I23">
        <f t="shared" si="6"/>
        <v>0.42857000000003609</v>
      </c>
      <c r="J23">
        <f t="shared" si="7"/>
        <v>2.3333411111368405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COUNTIF(tables_427100!C:C,input_427100!A24)-COUNTIF(Q:Q,A24)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4.0111111111111111E-2</v>
      </c>
      <c r="C25" s="85">
        <f t="shared" si="2"/>
        <v>0</v>
      </c>
      <c r="D25" s="74">
        <f t="shared" si="3"/>
        <v>4.0111111111111111E-2</v>
      </c>
      <c r="E25">
        <f>COUNTIF(tables_427100!C:C,input_427100!A25)-COUNTIF(Q:Q,A25)</f>
        <v>4</v>
      </c>
      <c r="F25" s="43">
        <f t="shared" si="8"/>
        <v>1.0027777777777778E-2</v>
      </c>
      <c r="G25">
        <f t="shared" si="4"/>
        <v>216600</v>
      </c>
      <c r="H25">
        <f t="shared" si="5"/>
        <v>54150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5">
        <f t="shared" si="2"/>
        <v>0</v>
      </c>
      <c r="D26" s="74">
        <f t="shared" si="3"/>
        <v>2.1111111111111113E-3</v>
      </c>
      <c r="E26">
        <f>COUNTIF(tables_427100!C:C,input_427100!A26)-COUNTIF(Q:Q,A26)</f>
        <v>4</v>
      </c>
      <c r="F26" s="43">
        <f t="shared" si="8"/>
        <v>5.2777777777777784E-4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E$5*E27*(B$5+B$6)+G49+G48</f>
        <v>5.4907407610774233E-3</v>
      </c>
      <c r="C27" s="85">
        <f t="shared" si="2"/>
        <v>9.4999999999999998E-3</v>
      </c>
      <c r="D27" s="74">
        <f t="shared" si="3"/>
        <v>-4.0092592389225764E-3</v>
      </c>
      <c r="E27">
        <f>COUNTIF(tables_427100!C:C,input_427100!A27)-COUNTIF(Q:Q,A27)</f>
        <v>27</v>
      </c>
      <c r="F27" s="43">
        <f>IFERROR(B27/E27,0)</f>
        <v>2.0336076892879344E-4</v>
      </c>
      <c r="G27">
        <f t="shared" si="4"/>
        <v>29650.000109818087</v>
      </c>
      <c r="H27">
        <f t="shared" si="5"/>
        <v>1098.14815</v>
      </c>
      <c r="I27">
        <f t="shared" si="6"/>
        <v>0.1481499999999869</v>
      </c>
      <c r="J27">
        <f t="shared" si="7"/>
        <v>6.7499156260552713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2.5000000000000006E-4</v>
      </c>
      <c r="C28" s="85">
        <f t="shared" si="2"/>
        <v>5.0000000000000001E-4</v>
      </c>
      <c r="D28" s="74">
        <f t="shared" si="3"/>
        <v>-2.4999999999999995E-4</v>
      </c>
      <c r="E28">
        <f>COUNTIF(tables_427100!C:C,input_427100!A28)-COUNTIF(Q:Q,A28)</f>
        <v>27</v>
      </c>
      <c r="F28" s="43">
        <f t="shared" si="8"/>
        <v>9.2592592592592608E-6</v>
      </c>
      <c r="G28">
        <f t="shared" si="4"/>
        <v>1350.0000000000002</v>
      </c>
      <c r="H28">
        <f t="shared" si="5"/>
        <v>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4.2592592592592604E-3</v>
      </c>
      <c r="C29" s="85">
        <f t="shared" si="2"/>
        <v>0.03</v>
      </c>
      <c r="D29" s="74">
        <f t="shared" si="3"/>
        <v>-2.5740740740740738E-2</v>
      </c>
      <c r="E29">
        <f>COUNTIF(tables_427100!C:C,input_427100!A29)-COUNTIF(Q:Q,A29)</f>
        <v>23</v>
      </c>
      <c r="F29" s="43">
        <f t="shared" si="8"/>
        <v>1.8518518518518523E-4</v>
      </c>
      <c r="G29">
        <f t="shared" si="4"/>
        <v>23000.000000000007</v>
      </c>
      <c r="H29">
        <f t="shared" si="5"/>
        <v>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COUNTIF(tables_427100!C:C,input_427100!A30)-COUNTIF(Q:Q,A30)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COUNTIF(tables_427100!C:C,input_427100!A31)-COUNTIF(Q:Q,A31)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0.96000000004814789</v>
      </c>
      <c r="C32" s="41">
        <f>SUM(C19:C31)</f>
        <v>0.04</v>
      </c>
      <c r="D32" s="42">
        <f t="shared" si="3"/>
        <v>0.92000000004814786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1.7694444492592443E-2</v>
      </c>
    </row>
    <row r="35" spans="1:7" x14ac:dyDescent="0.15">
      <c r="A35" t="s">
        <v>73</v>
      </c>
      <c r="E35">
        <v>3.15E-2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SUMIF(tables_427100!C:C,input_427100!A40,tables_427100!O:O)</f>
        <v>0</v>
      </c>
      <c r="C40" s="54">
        <f t="shared" ref="C40:C46" ca="1" si="9">B40/B$47</f>
        <v>0</v>
      </c>
      <c r="E40">
        <v>3</v>
      </c>
      <c r="F40">
        <f ca="1">SUMIF(tables_427100!J:J,input_427100!E40,tables_427100!O:O)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SUMIF(tables_427100!C:C,input_427100!A41,tables_427100!O:O)</f>
        <v>2907350.0003599995</v>
      </c>
      <c r="C41" s="54">
        <f t="shared" ca="1" si="9"/>
        <v>0.9535421449053727</v>
      </c>
      <c r="E41">
        <v>4</v>
      </c>
      <c r="F41">
        <f ca="1">SUMIF(tables_427100!J:J,input_427100!E41,tables_427100!O:O)</f>
        <v>5130000.0004299879</v>
      </c>
      <c r="G41">
        <f ca="1">F41/A36</f>
        <v>0.95000000007962737</v>
      </c>
    </row>
    <row r="42" spans="1:7" x14ac:dyDescent="0.15">
      <c r="A42" s="33" t="s">
        <v>106</v>
      </c>
      <c r="B42">
        <f ca="1">SUMIF(tables_427100!C:C,input_427100!A42,tables_427100!O:O)</f>
        <v>80950.000049999944</v>
      </c>
      <c r="C42" s="54">
        <f t="shared" ca="1" si="9"/>
        <v>2.6549688433869019E-2</v>
      </c>
      <c r="E42">
        <v>5</v>
      </c>
      <c r="F42">
        <f ca="1">SUMIF(tables_427100!J:J,input_427100!E42,tables_427100!O:O)</f>
        <v>270000.0001399999</v>
      </c>
      <c r="G42">
        <f ca="1">F42/A36</f>
        <v>5.000000002592591E-2</v>
      </c>
    </row>
    <row r="43" spans="1:7" x14ac:dyDescent="0.15">
      <c r="A43" s="33" t="s">
        <v>109</v>
      </c>
      <c r="B43">
        <f>SUMIF(tables_427100!C:C,input_427100!A43,tables_427100!O:O)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SUMIF(tables_427100!C:C,input_427100!A44,tables_427100!O:O)</f>
        <v>56650.000160000018</v>
      </c>
      <c r="C44" s="54">
        <f t="shared" ca="1" si="9"/>
        <v>1.8579862298920797E-2</v>
      </c>
      <c r="E44" t="s">
        <v>54</v>
      </c>
      <c r="F44" s="55"/>
    </row>
    <row r="45" spans="1:7" x14ac:dyDescent="0.15">
      <c r="A45" s="33" t="s">
        <v>107</v>
      </c>
      <c r="B45">
        <f ca="1">SUMIF(tables_427100!C:C,input_427100!A45,tables_427100!O:O)</f>
        <v>4050</v>
      </c>
      <c r="C45" s="54">
        <f t="shared" ca="1" si="9"/>
        <v>1.3283043618376083E-3</v>
      </c>
      <c r="E45" t="s">
        <v>204</v>
      </c>
      <c r="F45" s="55">
        <f ca="1">SUMIF(tables_427100!I:I,input_427100!E45,tables_427100!P:P)</f>
        <v>0.2111111110888271</v>
      </c>
    </row>
    <row r="46" spans="1:7" x14ac:dyDescent="0.15">
      <c r="A46" s="33" t="s">
        <v>108</v>
      </c>
      <c r="B46">
        <f>SUMIF(tables_427100!C:C,input_427100!A46,tables_427100!O:O)</f>
        <v>0</v>
      </c>
      <c r="C46" s="54">
        <f t="shared" ca="1" si="9"/>
        <v>0</v>
      </c>
      <c r="E46" t="s">
        <v>205</v>
      </c>
      <c r="F46" s="55">
        <f ca="1">SUMIF(tables_427100!I:I,input_427100!E46,tables_427100!P:P)</f>
        <v>0.21111111112030873</v>
      </c>
    </row>
    <row r="47" spans="1:7" x14ac:dyDescent="0.15">
      <c r="A47" s="39" t="s">
        <v>59</v>
      </c>
      <c r="B47">
        <f ca="1">SUM(B40:B46)</f>
        <v>3049000.0005699992</v>
      </c>
      <c r="C47" s="55">
        <f ca="1">SUM(C40:C46)</f>
        <v>1.0000000000000002</v>
      </c>
      <c r="E47" t="s">
        <v>206</v>
      </c>
      <c r="F47" s="55">
        <f ca="1">SUMIF(tables_427100!I:I,input_427100!E47,tables_427100!P:P)</f>
        <v>0.52777777778688351</v>
      </c>
    </row>
    <row r="48" spans="1:7" x14ac:dyDescent="0.15">
      <c r="E48" t="s">
        <v>207</v>
      </c>
      <c r="F48" s="55">
        <f ca="1">SUMIF(tables_427100!I:I,input_427100!E48,tables_427100!P:P)</f>
        <v>4.9444444448484552E-2</v>
      </c>
      <c r="G48" s="55">
        <v>1.7592594443157793E-4</v>
      </c>
    </row>
    <row r="49" spans="7:7" x14ac:dyDescent="0.15">
      <c r="G49" s="55">
        <v>5.6481481664584488E-4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181" activePane="bottomLeft" state="frozen"/>
      <selection activeCell="D34" sqref="D34"/>
      <selection pane="bottomLeft" activeCell="A213" sqref="A213:XFD2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input_427100!A$2</f>
        <v>427100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IFERROR(VLOOKUP(B2,input_427100!L:R,7,FALSE),VLOOKUP(tables_427100!C2,input_427100!A:H,8,FALSE))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input_427100!A$2</f>
        <v>427100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IFERROR(VLOOKUP(B3,input_427100!L:R,7,FALSE),VLOOKUP(tables_427100!C3,input_427100!A:H,8,FALSE))</f>
        <v>57000</v>
      </c>
      <c r="P3" s="46">
        <f t="shared" ca="1" si="1"/>
        <v>1.0555555554441359E-2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input_427100!A$2</f>
        <v>427100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IFERROR(VLOOKUP(B4,input_427100!L:R,7,FALSE),VLOOKUP(tables_427100!C4,input_427100!A:H,8,FALSE))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input_427100!A$2</f>
        <v>427100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IFERROR(VLOOKUP(B5,input_427100!L:R,7,FALSE),VLOOKUP(tables_427100!C5,input_427100!A:H,8,FALSE))</f>
        <v>57000</v>
      </c>
      <c r="P5" s="46">
        <f t="shared" ca="1" si="1"/>
        <v>1.0555555554441359E-2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input_427100!A$2</f>
        <v>427100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IFERROR(VLOOKUP(B6,input_427100!L:R,7,FALSE),VLOOKUP(tables_427100!C6,input_427100!A:H,8,FALSE))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input_427100!A$2</f>
        <v>427100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IFERROR(VLOOKUP(B7,input_427100!L:R,7,FALSE),VLOOKUP(tables_427100!C7,input_427100!A:H,8,FALSE))</f>
        <v>57000</v>
      </c>
      <c r="P7" s="46">
        <f t="shared" ca="1" si="1"/>
        <v>1.0555555554441359E-2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input_427100!A$2</f>
        <v>427100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IFERROR(VLOOKUP(B8,input_427100!L:R,7,FALSE),VLOOKUP(tables_427100!C8,input_427100!A:H,8,FALSE))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input_427100!A$2</f>
        <v>427100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IFERROR(VLOOKUP(B9,input_427100!L:R,7,FALSE),VLOOKUP(tables_427100!C9,input_427100!A:H,8,FALSE))</f>
        <v>57000</v>
      </c>
      <c r="P9" s="46">
        <f t="shared" ca="1" si="1"/>
        <v>1.0555555554441359E-2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input_427100!A$2</f>
        <v>427100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IFERROR(VLOOKUP(B10,input_427100!L:R,7,FALSE),VLOOKUP(tables_427100!C10,input_427100!A:H,8,FALSE))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input_427100!A$2</f>
        <v>427100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IFERROR(VLOOKUP(B11,input_427100!L:R,7,FALSE),VLOOKUP(tables_427100!C11,input_427100!A:H,8,FALSE))</f>
        <v>57000</v>
      </c>
      <c r="P11" s="46">
        <f t="shared" ca="1" si="1"/>
        <v>1.0555555554441359E-2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input_427100!A$2</f>
        <v>427100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IFERROR(VLOOKUP(B12,input_427100!L:R,7,FALSE),VLOOKUP(tables_427100!C12,input_427100!A:H,8,FALSE))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input_427100!A$2</f>
        <v>427100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IFERROR(VLOOKUP(B13,input_427100!L:R,7,FALSE),VLOOKUP(tables_427100!C13,input_427100!A:H,8,FALSE))</f>
        <v>57000</v>
      </c>
      <c r="P13" s="46">
        <f t="shared" ca="1" si="1"/>
        <v>1.0555555554441359E-2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input_427100!A$2</f>
        <v>427100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IFERROR(VLOOKUP(B14,input_427100!L:R,7,FALSE),VLOOKUP(tables_427100!C14,input_427100!A:H,8,FALSE))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input_427100!A$2</f>
        <v>427100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IFERROR(VLOOKUP(B15,input_427100!L:R,7,FALSE),VLOOKUP(tables_427100!C15,input_427100!A:H,8,FALSE))</f>
        <v>57000</v>
      </c>
      <c r="P15" s="46">
        <f t="shared" ca="1" si="1"/>
        <v>1.0555555554441359E-2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input_427100!A$2</f>
        <v>427100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IFERROR(VLOOKUP(B16,input_427100!L:R,7,FALSE),VLOOKUP(tables_427100!C16,input_427100!A:H,8,FALSE))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input_427100!A$2</f>
        <v>427100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IFERROR(VLOOKUP(B17,input_427100!L:R,7,FALSE),VLOOKUP(tables_427100!C17,input_427100!A:H,8,FALSE))</f>
        <v>57000</v>
      </c>
      <c r="P17" s="46">
        <f t="shared" ca="1" si="1"/>
        <v>1.0555555554441359E-2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input_427100!A$2</f>
        <v>427100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IFERROR(VLOOKUP(B18,input_427100!L:R,7,FALSE),VLOOKUP(tables_427100!C18,input_427100!A:H,8,FALSE))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input_427100!A$2</f>
        <v>427100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IFERROR(VLOOKUP(B19,input_427100!L:R,7,FALSE),VLOOKUP(tables_427100!C19,input_427100!A:H,8,FALSE))</f>
        <v>57000</v>
      </c>
      <c r="P19" s="46">
        <f t="shared" ca="1" si="1"/>
        <v>1.0555555554441359E-2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input_427100!A$2</f>
        <v>427100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IFERROR(VLOOKUP(B20,input_427100!L:R,7,FALSE),VLOOKUP(tables_427100!C20,input_427100!A:H,8,FALSE))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input_427100!A$2</f>
        <v>427100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IFERROR(VLOOKUP(B21,input_427100!L:R,7,FALSE),VLOOKUP(tables_427100!C21,input_427100!A:H,8,FALSE))</f>
        <v>57000</v>
      </c>
      <c r="P21" s="46">
        <f t="shared" ca="1" si="1"/>
        <v>1.0555555554441359E-2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input_427100!A$2</f>
        <v>427100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IFERROR(VLOOKUP(B22,input_427100!L:R,7,FALSE),VLOOKUP(tables_427100!C22,input_427100!A:H,8,FALSE))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input_427100!A$2</f>
        <v>427100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IFERROR(VLOOKUP(B23,input_427100!L:R,7,FALSE),VLOOKUP(tables_427100!C23,input_427100!A:H,8,FALSE))</f>
        <v>57000</v>
      </c>
      <c r="P23" s="46">
        <f t="shared" ca="1" si="1"/>
        <v>1.0555555554441359E-2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input_427100!A$2</f>
        <v>427100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IFERROR(VLOOKUP(B24,input_427100!L:R,7,FALSE),VLOOKUP(tables_427100!C24,input_427100!A:H,8,FALSE))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input_427100!A$2</f>
        <v>427100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IFERROR(VLOOKUP(B25,input_427100!L:R,7,FALSE),VLOOKUP(tables_427100!C25,input_427100!A:H,8,FALSE))</f>
        <v>57000</v>
      </c>
      <c r="P25" s="46">
        <f t="shared" ca="1" si="1"/>
        <v>1.0555555554441359E-2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input_427100!A$2</f>
        <v>427100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IFERROR(VLOOKUP(B26,input_427100!L:R,7,FALSE),VLOOKUP(tables_427100!C26,input_427100!A:H,8,FALSE))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input_427100!A$2</f>
        <v>427100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IFERROR(VLOOKUP(B27,input_427100!L:R,7,FALSE),VLOOKUP(tables_427100!C27,input_427100!A:H,8,FALSE))</f>
        <v>57000</v>
      </c>
      <c r="P27" s="46">
        <f t="shared" ca="1" si="1"/>
        <v>1.0555555554441359E-2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input_427100!A$2</f>
        <v>427100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IFERROR(VLOOKUP(B28,input_427100!L:R,7,FALSE),VLOOKUP(tables_427100!C28,input_427100!A:H,8,FALSE))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input_427100!A$2</f>
        <v>427100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IFERROR(VLOOKUP(B29,input_427100!L:R,7,FALSE),VLOOKUP(tables_427100!C29,input_427100!A:H,8,FALSE))</f>
        <v>57000</v>
      </c>
      <c r="P29" s="46">
        <f t="shared" ca="1" si="1"/>
        <v>1.0555555554441359E-2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input_427100!A$2</f>
        <v>427100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IFERROR(VLOOKUP(B30,input_427100!L:R,7,FALSE),VLOOKUP(tables_427100!C30,input_427100!A:H,8,FALSE))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input_427100!A$2</f>
        <v>427100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IFERROR(VLOOKUP(B31,input_427100!L:R,7,FALSE),VLOOKUP(tables_427100!C31,input_427100!A:H,8,FALSE))</f>
        <v>57000</v>
      </c>
      <c r="P31" s="46">
        <f t="shared" ca="1" si="1"/>
        <v>1.0555555554441359E-2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input_427100!A$2</f>
        <v>427100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IFERROR(VLOOKUP(B32,input_427100!L:R,7,FALSE),VLOOKUP(tables_427100!C32,input_427100!A:H,8,FALSE))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input_427100!A$2</f>
        <v>427100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IFERROR(VLOOKUP(B33,input_427100!L:R,7,FALSE),VLOOKUP(tables_427100!C33,input_427100!A:H,8,FALSE))</f>
        <v>57000</v>
      </c>
      <c r="P33" s="46">
        <f t="shared" ca="1" si="1"/>
        <v>1.0555555554441359E-2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input_427100!A$2</f>
        <v>427100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IFERROR(VLOOKUP(B34,input_427100!L:R,7,FALSE),VLOOKUP(tables_427100!C34,input_427100!A:H,8,FALSE))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input_427100!A$2</f>
        <v>427100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IFERROR(VLOOKUP(B35,input_427100!L:R,7,FALSE),VLOOKUP(tables_427100!C35,input_427100!A:H,8,FALSE))</f>
        <v>57000</v>
      </c>
      <c r="P35" s="46">
        <f t="shared" ca="1" si="1"/>
        <v>1.0555555554441359E-2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input_427100!A$2</f>
        <v>427100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IFERROR(VLOOKUP(B36,input_427100!L:R,7,FALSE),VLOOKUP(tables_427100!C36,input_427100!A:H,8,FALSE))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input_427100!A$2</f>
        <v>427100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IFERROR(VLOOKUP(B37,input_427100!L:R,7,FALSE),VLOOKUP(tables_427100!C37,input_427100!A:H,8,FALSE))</f>
        <v>57000</v>
      </c>
      <c r="P37" s="46">
        <f t="shared" ca="1" si="1"/>
        <v>1.0555555554441359E-2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input_427100!A$2</f>
        <v>427100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IFERROR(VLOOKUP(B38,input_427100!L:R,7,FALSE),VLOOKUP(tables_427100!C38,input_427100!A:H,8,FALSE))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input_427100!A$2</f>
        <v>427100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IFERROR(VLOOKUP(B39,input_427100!L:R,7,FALSE),VLOOKUP(tables_427100!C39,input_427100!A:H,8,FALSE))</f>
        <v>57000</v>
      </c>
      <c r="P39" s="46">
        <f t="shared" ca="1" si="1"/>
        <v>1.0555555554441359E-2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input_427100!A$2</f>
        <v>427100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IFERROR(VLOOKUP(B40,input_427100!L:R,7,FALSE),VLOOKUP(tables_427100!C40,input_427100!A:H,8,FALSE))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input_427100!A$2</f>
        <v>427100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IFERROR(VLOOKUP(B41,input_427100!L:R,7,FALSE),VLOOKUP(tables_427100!C41,input_427100!A:H,8,FALSE))</f>
        <v>57000</v>
      </c>
      <c r="P41" s="46">
        <f t="shared" ca="1" si="1"/>
        <v>1.0555555554441359E-2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input_427100!A$2</f>
        <v>427100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IFERROR(VLOOKUP(B42,input_427100!L:R,7,FALSE),VLOOKUP(tables_427100!C42,input_427100!A:H,8,FALSE))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input_427100!A$2</f>
        <v>427100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IFERROR(VLOOKUP(B43,input_427100!L:R,7,FALSE),VLOOKUP(tables_427100!C43,input_427100!A:H,8,FALSE))</f>
        <v>54150</v>
      </c>
      <c r="P43" s="46">
        <f t="shared" ca="1" si="1"/>
        <v>1.0027777776719289E-2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input_427100!A$2</f>
        <v>427100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IFERROR(VLOOKUP(B44,input_427100!L:R,7,FALSE),VLOOKUP(tables_427100!C44,input_427100!A:H,8,FALSE))</f>
        <v>2850</v>
      </c>
      <c r="P44" s="46">
        <f t="shared" ca="1" si="1"/>
        <v>5.2777777772206784E-4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input_427100!A$2</f>
        <v>427100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IFERROR(VLOOKUP(B45,input_427100!L:R,7,FALSE),VLOOKUP(tables_427100!C45,input_427100!A:H,8,FALSE))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input_427100!A$2</f>
        <v>427100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IFERROR(VLOOKUP(B46,input_427100!L:R,7,FALSE),VLOOKUP(tables_427100!C46,input_427100!A:H,8,FALSE))</f>
        <v>54150</v>
      </c>
      <c r="P46" s="46">
        <f t="shared" ca="1" si="1"/>
        <v>1.0027777776719289E-2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input_427100!A$2</f>
        <v>427100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IFERROR(VLOOKUP(B47,input_427100!L:R,7,FALSE),VLOOKUP(tables_427100!C47,input_427100!A:H,8,FALSE))</f>
        <v>2850</v>
      </c>
      <c r="P47" s="46">
        <f t="shared" ca="1" si="1"/>
        <v>5.2777777772206784E-4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input_427100!A$2</f>
        <v>427100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IFERROR(VLOOKUP(B48,input_427100!L:R,7,FALSE),VLOOKUP(tables_427100!C48,input_427100!A:H,8,FALSE))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input_427100!A$2</f>
        <v>427100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IFERROR(VLOOKUP(B49,input_427100!L:R,7,FALSE),VLOOKUP(tables_427100!C49,input_427100!A:H,8,FALSE))</f>
        <v>54150</v>
      </c>
      <c r="P49" s="46">
        <f t="shared" ca="1" si="1"/>
        <v>1.0027777776719289E-2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input_427100!A$2</f>
        <v>427100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IFERROR(VLOOKUP(B50,input_427100!L:R,7,FALSE),VLOOKUP(tables_427100!C50,input_427100!A:H,8,FALSE))</f>
        <v>2850</v>
      </c>
      <c r="P50" s="46">
        <f t="shared" ca="1" si="1"/>
        <v>5.2777777772206784E-4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input_427100!A$2</f>
        <v>427100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IFERROR(VLOOKUP(B51,input_427100!L:R,7,FALSE),VLOOKUP(tables_427100!C51,input_427100!A:H,8,FALSE))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input_427100!A$2</f>
        <v>427100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IFERROR(VLOOKUP(B52,input_427100!L:R,7,FALSE),VLOOKUP(tables_427100!C52,input_427100!A:H,8,FALSE))</f>
        <v>55910.576930000003</v>
      </c>
      <c r="P52" s="46">
        <f t="shared" ca="1" si="1"/>
        <v>1.035381054149969E-2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input_427100!A$2</f>
        <v>427100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IFERROR(VLOOKUP(B53,input_427100!L:R,7,FALSE),VLOOKUP(tables_427100!C53,input_427100!A:H,8,FALSE))</f>
        <v>1089.42308</v>
      </c>
      <c r="P53" s="46">
        <f t="shared" ca="1" si="1"/>
        <v>2.0174501479351952E-4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input_427100!A$2</f>
        <v>427100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IFERROR(VLOOKUP(B54,input_427100!L:R,7,FALSE),VLOOKUP(tables_427100!C54,input_427100!A:H,8,FALSE))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input_427100!A$2</f>
        <v>427100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IFERROR(VLOOKUP(B55,input_427100!L:R,7,FALSE),VLOOKUP(tables_427100!C55,input_427100!A:H,8,FALSE))</f>
        <v>55910.576930000003</v>
      </c>
      <c r="P55" s="46">
        <f t="shared" ca="1" si="1"/>
        <v>1.035381054149969E-2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input_427100!A$2</f>
        <v>427100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IFERROR(VLOOKUP(B56,input_427100!L:R,7,FALSE),VLOOKUP(tables_427100!C56,input_427100!A:H,8,FALSE))</f>
        <v>1089.42308</v>
      </c>
      <c r="P56" s="46">
        <f t="shared" ca="1" si="1"/>
        <v>2.0174501479351952E-4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input_427100!A$2</f>
        <v>427100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IFERROR(VLOOKUP(B57,input_427100!L:R,7,FALSE),VLOOKUP(tables_427100!C57,input_427100!A:H,8,FALSE))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input_427100!A$2</f>
        <v>427100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IFERROR(VLOOKUP(B58,input_427100!L:R,7,FALSE),VLOOKUP(tables_427100!C58,input_427100!A:H,8,FALSE))</f>
        <v>55910.576930000003</v>
      </c>
      <c r="P58" s="46">
        <f t="shared" ca="1" si="1"/>
        <v>1.035381054149969E-2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input_427100!A$2</f>
        <v>427100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IFERROR(VLOOKUP(B59,input_427100!L:R,7,FALSE),VLOOKUP(tables_427100!C59,input_427100!A:H,8,FALSE))</f>
        <v>1089.42308</v>
      </c>
      <c r="P59" s="46">
        <f t="shared" ca="1" si="1"/>
        <v>2.0174501479351952E-4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input_427100!A$2</f>
        <v>427100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IFERROR(VLOOKUP(B60,input_427100!L:R,7,FALSE),VLOOKUP(tables_427100!C60,input_427100!A:H,8,FALSE))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input_427100!A$2</f>
        <v>427100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IFERROR(VLOOKUP(B61,input_427100!L:R,7,FALSE),VLOOKUP(tables_427100!C61,input_427100!A:H,8,FALSE))</f>
        <v>55910.576930000003</v>
      </c>
      <c r="P61" s="46">
        <f t="shared" ca="1" si="1"/>
        <v>1.035381054149969E-2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input_427100!A$2</f>
        <v>427100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IFERROR(VLOOKUP(B62,input_427100!L:R,7,FALSE),VLOOKUP(tables_427100!C62,input_427100!A:H,8,FALSE))</f>
        <v>1089.42308</v>
      </c>
      <c r="P62" s="46">
        <f t="shared" ca="1" si="1"/>
        <v>2.0174501479351952E-4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input_427100!A$2</f>
        <v>427100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IFERROR(VLOOKUP(B63,input_427100!L:R,7,FALSE),VLOOKUP(tables_427100!C63,input_427100!A:H,8,FALSE))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input_427100!A$2</f>
        <v>427100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IFERROR(VLOOKUP(B64,input_427100!L:R,7,FALSE),VLOOKUP(tables_427100!C64,input_427100!A:H,8,FALSE))</f>
        <v>55910.576930000003</v>
      </c>
      <c r="P64" s="46">
        <f t="shared" ca="1" si="1"/>
        <v>1.035381054149969E-2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input_427100!A$2</f>
        <v>427100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IFERROR(VLOOKUP(B65,input_427100!L:R,7,FALSE),VLOOKUP(tables_427100!C65,input_427100!A:H,8,FALSE))</f>
        <v>1089.42308</v>
      </c>
      <c r="P65" s="46">
        <f t="shared" ca="1" si="1"/>
        <v>2.0174501479351952E-4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input_427100!A$2</f>
        <v>427100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IFERROR(VLOOKUP(B66,input_427100!L:R,7,FALSE),VLOOKUP(tables_427100!C66,input_427100!A:H,8,FALSE))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input_427100!A$2</f>
        <v>427100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IFERROR(VLOOKUP(B67,input_427100!L:R,7,FALSE),VLOOKUP(tables_427100!C67,input_427100!A:H,8,FALSE))</f>
        <v>55910.576930000003</v>
      </c>
      <c r="P67" s="46">
        <f t="shared" ca="1" si="4"/>
        <v>1.035381054149969E-2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input_427100!A$2</f>
        <v>427100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IFERROR(VLOOKUP(B68,input_427100!L:R,7,FALSE),VLOOKUP(tables_427100!C68,input_427100!A:H,8,FALSE))</f>
        <v>1089.42308</v>
      </c>
      <c r="P68" s="46">
        <f t="shared" ca="1" si="4"/>
        <v>2.0174501479351952E-4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input_427100!A$2</f>
        <v>427100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IFERROR(VLOOKUP(B69,input_427100!L:R,7,FALSE),VLOOKUP(tables_427100!C69,input_427100!A:H,8,FALSE))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input_427100!A$2</f>
        <v>427100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IFERROR(VLOOKUP(B70,input_427100!L:R,7,FALSE),VLOOKUP(tables_427100!C70,input_427100!A:H,8,FALSE))</f>
        <v>55910.576930000003</v>
      </c>
      <c r="P70" s="46">
        <f t="shared" ca="1" si="4"/>
        <v>1.035381054149969E-2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input_427100!A$2</f>
        <v>427100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IFERROR(VLOOKUP(B71,input_427100!L:R,7,FALSE),VLOOKUP(tables_427100!C71,input_427100!A:H,8,FALSE))</f>
        <v>1089.42308</v>
      </c>
      <c r="P71" s="46">
        <f t="shared" ca="1" si="4"/>
        <v>2.0174501479351952E-4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input_427100!A$2</f>
        <v>427100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IFERROR(VLOOKUP(B72,input_427100!L:R,7,FALSE),VLOOKUP(tables_427100!C72,input_427100!A:H,8,FALSE))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input_427100!A$2</f>
        <v>427100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IFERROR(VLOOKUP(B73,input_427100!L:R,7,FALSE),VLOOKUP(tables_427100!C73,input_427100!A:H,8,FALSE))</f>
        <v>55910.576930000003</v>
      </c>
      <c r="P73" s="46">
        <f t="shared" ca="1" si="4"/>
        <v>1.035381054149969E-2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input_427100!A$2</f>
        <v>427100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IFERROR(VLOOKUP(B74,input_427100!L:R,7,FALSE),VLOOKUP(tables_427100!C74,input_427100!A:H,8,FALSE))</f>
        <v>1089.42308</v>
      </c>
      <c r="P74" s="46">
        <f t="shared" ca="1" si="4"/>
        <v>2.0174501479351952E-4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input_427100!A$2</f>
        <v>427100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IFERROR(VLOOKUP(B75,input_427100!L:R,7,FALSE),VLOOKUP(tables_427100!C75,input_427100!A:H,8,FALSE))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input_427100!A$2</f>
        <v>427100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IFERROR(VLOOKUP(B76,input_427100!L:R,7,FALSE),VLOOKUP(tables_427100!C76,input_427100!A:H,8,FALSE))</f>
        <v>55910.576930000003</v>
      </c>
      <c r="P76" s="46">
        <f t="shared" ca="1" si="4"/>
        <v>1.035381054149969E-2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input_427100!A$2</f>
        <v>427100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IFERROR(VLOOKUP(B77,input_427100!L:R,7,FALSE),VLOOKUP(tables_427100!C77,input_427100!A:H,8,FALSE))</f>
        <v>1089.42308</v>
      </c>
      <c r="P77" s="46">
        <f t="shared" ca="1" si="4"/>
        <v>2.0174501479351952E-4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input_427100!A$2</f>
        <v>427100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IFERROR(VLOOKUP(B78,input_427100!L:R,7,FALSE),VLOOKUP(tables_427100!C78,input_427100!A:H,8,FALSE))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input_427100!A$2</f>
        <v>427100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IFERROR(VLOOKUP(B79,input_427100!L:R,7,FALSE),VLOOKUP(tables_427100!C79,input_427100!A:H,8,FALSE))</f>
        <v>55910.576930000003</v>
      </c>
      <c r="P79" s="46">
        <f t="shared" ca="1" si="4"/>
        <v>1.035381054149969E-2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input_427100!A$2</f>
        <v>427100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IFERROR(VLOOKUP(B80,input_427100!L:R,7,FALSE),VLOOKUP(tables_427100!C80,input_427100!A:H,8,FALSE))</f>
        <v>1089.42308</v>
      </c>
      <c r="P80" s="46">
        <f t="shared" ca="1" si="4"/>
        <v>2.0174501479351952E-4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input_427100!A$2</f>
        <v>427100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IFERROR(VLOOKUP(B81,input_427100!L:R,7,FALSE),VLOOKUP(tables_427100!C81,input_427100!A:H,8,FALSE))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input_427100!A$2</f>
        <v>427100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IFERROR(VLOOKUP(B82,input_427100!L:R,7,FALSE),VLOOKUP(tables_427100!C82,input_427100!A:H,8,FALSE))</f>
        <v>55910.576930000003</v>
      </c>
      <c r="P82" s="46">
        <f t="shared" ca="1" si="4"/>
        <v>1.035381054149969E-2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input_427100!A$2</f>
        <v>427100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IFERROR(VLOOKUP(B83,input_427100!L:R,7,FALSE),VLOOKUP(tables_427100!C83,input_427100!A:H,8,FALSE))</f>
        <v>1089.42308</v>
      </c>
      <c r="P83" s="46">
        <f t="shared" ca="1" si="4"/>
        <v>2.0174501479351952E-4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input_427100!A$2</f>
        <v>427100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IFERROR(VLOOKUP(B84,input_427100!L:R,7,FALSE),VLOOKUP(tables_427100!C84,input_427100!A:H,8,FALSE))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input_427100!A$2</f>
        <v>427100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IFERROR(VLOOKUP(B85,input_427100!L:R,7,FALSE),VLOOKUP(tables_427100!C85,input_427100!A:H,8,FALSE))</f>
        <v>55910.576930000003</v>
      </c>
      <c r="P85" s="46">
        <f t="shared" ca="1" si="4"/>
        <v>1.035381054149969E-2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input_427100!A$2</f>
        <v>427100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IFERROR(VLOOKUP(B86,input_427100!L:R,7,FALSE),VLOOKUP(tables_427100!C86,input_427100!A:H,8,FALSE))</f>
        <v>1089.42308</v>
      </c>
      <c r="P86" s="46">
        <f t="shared" ca="1" si="4"/>
        <v>2.0174501479351952E-4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input_427100!A$2</f>
        <v>427100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IFERROR(VLOOKUP(B87,input_427100!L:R,7,FALSE),VLOOKUP(tables_427100!C87,input_427100!A:H,8,FALSE))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input_427100!A$2</f>
        <v>427100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IFERROR(VLOOKUP(B88,input_427100!L:R,7,FALSE),VLOOKUP(tables_427100!C88,input_427100!A:H,8,FALSE))</f>
        <v>55910.576930000003</v>
      </c>
      <c r="P88" s="46">
        <f t="shared" ca="1" si="4"/>
        <v>1.035381054149969E-2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input_427100!A$2</f>
        <v>427100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IFERROR(VLOOKUP(B89,input_427100!L:R,7,FALSE),VLOOKUP(tables_427100!C89,input_427100!A:H,8,FALSE))</f>
        <v>1089.42308</v>
      </c>
      <c r="P89" s="46">
        <f t="shared" ca="1" si="4"/>
        <v>2.0174501479351952E-4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input_427100!A$2</f>
        <v>427100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IFERROR(VLOOKUP(B90,input_427100!L:R,7,FALSE),VLOOKUP(tables_427100!C90,input_427100!A:H,8,FALSE))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input_427100!A$2</f>
        <v>427100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IFERROR(VLOOKUP(B91,input_427100!L:R,7,FALSE),VLOOKUP(tables_427100!C91,input_427100!A:H,8,FALSE))</f>
        <v>55910.576930000003</v>
      </c>
      <c r="P91" s="46">
        <f t="shared" ca="1" si="4"/>
        <v>1.035381054149969E-2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input_427100!A$2</f>
        <v>427100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IFERROR(VLOOKUP(B92,input_427100!L:R,7,FALSE),VLOOKUP(tables_427100!C92,input_427100!A:H,8,FALSE))</f>
        <v>1089.42308</v>
      </c>
      <c r="P92" s="46">
        <f t="shared" ca="1" si="4"/>
        <v>2.0174501479351952E-4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input_427100!A$2</f>
        <v>427100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IFERROR(VLOOKUP(B93,input_427100!L:R,7,FALSE),VLOOKUP(tables_427100!C93,input_427100!A:H,8,FALSE))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input_427100!A$2</f>
        <v>427100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IFERROR(VLOOKUP(B94,input_427100!L:R,7,FALSE),VLOOKUP(tables_427100!C94,input_427100!A:H,8,FALSE))</f>
        <v>55910.576930000003</v>
      </c>
      <c r="P94" s="46">
        <f t="shared" ca="1" si="4"/>
        <v>1.035381054149969E-2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input_427100!A$2</f>
        <v>427100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IFERROR(VLOOKUP(B95,input_427100!L:R,7,FALSE),VLOOKUP(tables_427100!C95,input_427100!A:H,8,FALSE))</f>
        <v>1089.42308</v>
      </c>
      <c r="P95" s="46">
        <f t="shared" ca="1" si="4"/>
        <v>2.0174501479351952E-4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input_427100!A$2</f>
        <v>427100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IFERROR(VLOOKUP(B96,input_427100!L:R,7,FALSE),VLOOKUP(tables_427100!C96,input_427100!A:H,8,FALSE))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input_427100!A$2</f>
        <v>427100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IFERROR(VLOOKUP(B97,input_427100!L:R,7,FALSE),VLOOKUP(tables_427100!C97,input_427100!A:H,8,FALSE))</f>
        <v>55910.576930000003</v>
      </c>
      <c r="P97" s="46">
        <f t="shared" ca="1" si="4"/>
        <v>1.035381054149969E-2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input_427100!A$2</f>
        <v>427100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IFERROR(VLOOKUP(B98,input_427100!L:R,7,FALSE),VLOOKUP(tables_427100!C98,input_427100!A:H,8,FALSE))</f>
        <v>1089.42308</v>
      </c>
      <c r="P98" s="46">
        <f t="shared" ca="1" si="4"/>
        <v>2.0174501479351952E-4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input_427100!A$2</f>
        <v>427100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IFERROR(VLOOKUP(B99,input_427100!L:R,7,FALSE),VLOOKUP(tables_427100!C99,input_427100!A:H,8,FALSE))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input_427100!A$2</f>
        <v>427100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IFERROR(VLOOKUP(B100,input_427100!L:R,7,FALSE),VLOOKUP(tables_427100!C100,input_427100!A:H,8,FALSE))</f>
        <v>55910.576930000003</v>
      </c>
      <c r="P100" s="46">
        <f t="shared" ca="1" si="4"/>
        <v>1.035381054149969E-2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input_427100!A$2</f>
        <v>427100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IFERROR(VLOOKUP(B101,input_427100!L:R,7,FALSE),VLOOKUP(tables_427100!C101,input_427100!A:H,8,FALSE))</f>
        <v>1089.42308</v>
      </c>
      <c r="P101" s="46">
        <f t="shared" ca="1" si="4"/>
        <v>2.0174501479351952E-4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input_427100!A$2</f>
        <v>427100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IFERROR(VLOOKUP(B102,input_427100!L:R,7,FALSE),VLOOKUP(tables_427100!C102,input_427100!A:H,8,FALSE))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input_427100!A$2</f>
        <v>427100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IFERROR(VLOOKUP(B103,input_427100!L:R,7,FALSE),VLOOKUP(tables_427100!C103,input_427100!A:H,8,FALSE))</f>
        <v>55910.576930000003</v>
      </c>
      <c r="P103" s="46">
        <f t="shared" ca="1" si="4"/>
        <v>1.035381054149969E-2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input_427100!A$2</f>
        <v>427100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IFERROR(VLOOKUP(B104,input_427100!L:R,7,FALSE),VLOOKUP(tables_427100!C104,input_427100!A:H,8,FALSE))</f>
        <v>1089.42308</v>
      </c>
      <c r="P104" s="46">
        <f t="shared" ca="1" si="4"/>
        <v>2.0174501479351952E-4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input_427100!A$2</f>
        <v>427100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IFERROR(VLOOKUP(B105,input_427100!L:R,7,FALSE),VLOOKUP(tables_427100!C105,input_427100!A:H,8,FALSE))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input_427100!A$2</f>
        <v>427100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IFERROR(VLOOKUP(B106,input_427100!L:R,7,FALSE),VLOOKUP(tables_427100!C106,input_427100!A:H,8,FALSE))</f>
        <v>55910.576930000003</v>
      </c>
      <c r="P106" s="46">
        <f t="shared" ca="1" si="4"/>
        <v>1.035381054149969E-2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input_427100!A$2</f>
        <v>427100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IFERROR(VLOOKUP(B107,input_427100!L:R,7,FALSE),VLOOKUP(tables_427100!C107,input_427100!A:H,8,FALSE))</f>
        <v>1089.42308</v>
      </c>
      <c r="P107" s="46">
        <f t="shared" ca="1" si="4"/>
        <v>2.0174501479351952E-4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input_427100!A$2</f>
        <v>427100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IFERROR(VLOOKUP(B108,input_427100!L:R,7,FALSE),VLOOKUP(tables_427100!C108,input_427100!A:H,8,FALSE))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input_427100!A$2</f>
        <v>427100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IFERROR(VLOOKUP(B109,input_427100!L:R,7,FALSE),VLOOKUP(tables_427100!C109,input_427100!A:H,8,FALSE))</f>
        <v>55910.576930000003</v>
      </c>
      <c r="P109" s="46">
        <f t="shared" ca="1" si="4"/>
        <v>1.035381054149969E-2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input_427100!A$2</f>
        <v>427100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IFERROR(VLOOKUP(B110,input_427100!L:R,7,FALSE),VLOOKUP(tables_427100!C110,input_427100!A:H,8,FALSE))</f>
        <v>1089.42308</v>
      </c>
      <c r="P110" s="46">
        <f t="shared" ca="1" si="4"/>
        <v>2.0174501479351952E-4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input_427100!A$2</f>
        <v>427100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IFERROR(VLOOKUP(B111,input_427100!L:R,7,FALSE),VLOOKUP(tables_427100!C111,input_427100!A:H,8,FALSE))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input_427100!A$2</f>
        <v>427100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IFERROR(VLOOKUP(B112,input_427100!L:R,7,FALSE),VLOOKUP(tables_427100!C112,input_427100!A:H,8,FALSE))</f>
        <v>54150</v>
      </c>
      <c r="P112" s="46">
        <f t="shared" ca="1" si="4"/>
        <v>1.0027777776719289E-2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input_427100!A$2</f>
        <v>427100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IFERROR(VLOOKUP(B113,input_427100!L:R,7,FALSE),VLOOKUP(tables_427100!C113,input_427100!A:H,8,FALSE))</f>
        <v>2850</v>
      </c>
      <c r="P113" s="46">
        <f t="shared" ca="1" si="4"/>
        <v>5.2777777772206784E-4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input_427100!A$2</f>
        <v>427100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IFERROR(VLOOKUP(B114,input_427100!L:R,7,FALSE),VLOOKUP(tables_427100!C114,input_427100!A:H,8,FALSE))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input_427100!A$2</f>
        <v>427100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IFERROR(VLOOKUP(B115,input_427100!L:R,7,FALSE),VLOOKUP(tables_427100!C115,input_427100!A:H,8,FALSE))</f>
        <v>55910.576930000003</v>
      </c>
      <c r="P115" s="46">
        <f t="shared" ca="1" si="4"/>
        <v>1.035381054149969E-2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input_427100!A$2</f>
        <v>427100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IFERROR(VLOOKUP(B116,input_427100!L:R,7,FALSE),VLOOKUP(tables_427100!C116,input_427100!A:H,8,FALSE))</f>
        <v>1089.42308</v>
      </c>
      <c r="P116" s="46">
        <f t="shared" ca="1" si="4"/>
        <v>2.0174501479351952E-4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input_427100!A$2</f>
        <v>427100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IFERROR(VLOOKUP(B117,input_427100!L:R,7,FALSE),VLOOKUP(tables_427100!C117,input_427100!A:H,8,FALSE))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input_427100!A$2</f>
        <v>427100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IFERROR(VLOOKUP(B118,input_427100!L:R,7,FALSE),VLOOKUP(tables_427100!C118,input_427100!A:H,8,FALSE))</f>
        <v>55910.576930000003</v>
      </c>
      <c r="P118" s="46">
        <f t="shared" ca="1" si="4"/>
        <v>1.035381054149969E-2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input_427100!A$2</f>
        <v>427100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IFERROR(VLOOKUP(B119,input_427100!L:R,7,FALSE),VLOOKUP(tables_427100!C119,input_427100!A:H,8,FALSE))</f>
        <v>1089.42308</v>
      </c>
      <c r="P119" s="46">
        <f t="shared" ca="1" si="4"/>
        <v>2.0174501479351952E-4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input_427100!A$2</f>
        <v>427100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IFERROR(VLOOKUP(B120,input_427100!L:R,7,FALSE),VLOOKUP(tables_427100!C120,input_427100!A:H,8,FALSE))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input_427100!A$2</f>
        <v>427100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IFERROR(VLOOKUP(B121,input_427100!L:R,7,FALSE),VLOOKUP(tables_427100!C121,input_427100!A:H,8,FALSE))</f>
        <v>55910.576930000003</v>
      </c>
      <c r="P121" s="46">
        <f t="shared" ca="1" si="4"/>
        <v>1.035381054149969E-2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input_427100!A$2</f>
        <v>427100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IFERROR(VLOOKUP(B122,input_427100!L:R,7,FALSE),VLOOKUP(tables_427100!C122,input_427100!A:H,8,FALSE))</f>
        <v>1089.42308</v>
      </c>
      <c r="P122" s="46">
        <f t="shared" ca="1" si="4"/>
        <v>2.0174501479351952E-4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input_427100!A$2</f>
        <v>427100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IFERROR(VLOOKUP(B123,input_427100!L:R,7,FALSE),VLOOKUP(tables_427100!C123,input_427100!A:H,8,FALSE))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input_427100!A$2</f>
        <v>427100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IFERROR(VLOOKUP(B124,input_427100!L:R,7,FALSE),VLOOKUP(tables_427100!C124,input_427100!A:H,8,FALSE))</f>
        <v>55910.576930000003</v>
      </c>
      <c r="P124" s="46">
        <f t="shared" ca="1" si="4"/>
        <v>1.035381054149969E-2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input_427100!A$2</f>
        <v>427100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IFERROR(VLOOKUP(B125,input_427100!L:R,7,FALSE),VLOOKUP(tables_427100!C125,input_427100!A:H,8,FALSE))</f>
        <v>1089.42308</v>
      </c>
      <c r="P125" s="46">
        <f t="shared" ca="1" si="4"/>
        <v>2.0174501479351952E-4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input_427100!A$2</f>
        <v>427100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IFERROR(VLOOKUP(B126,input_427100!L:R,7,FALSE),VLOOKUP(tables_427100!C126,input_427100!A:H,8,FALSE))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input_427100!A$2</f>
        <v>427100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IFERROR(VLOOKUP(B127,input_427100!L:R,7,FALSE),VLOOKUP(tables_427100!C127,input_427100!A:H,8,FALSE))</f>
        <v>55910.576930000003</v>
      </c>
      <c r="P127" s="46">
        <f t="shared" ca="1" si="4"/>
        <v>1.035381054149969E-2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input_427100!A$2</f>
        <v>427100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IFERROR(VLOOKUP(B128,input_427100!L:R,7,FALSE),VLOOKUP(tables_427100!C128,input_427100!A:H,8,FALSE))</f>
        <v>1089.42308</v>
      </c>
      <c r="P128" s="46">
        <f t="shared" ca="1" si="4"/>
        <v>2.0174501479351952E-4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input_427100!A$2</f>
        <v>427100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IFERROR(VLOOKUP(B129,input_427100!L:R,7,FALSE),VLOOKUP(tables_427100!C129,input_427100!A:H,8,FALSE))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input_427100!A$2</f>
        <v>427100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IFERROR(VLOOKUP(B130,input_427100!L:R,7,FALSE),VLOOKUP(tables_427100!C130,input_427100!A:H,8,FALSE))</f>
        <v>55910.576930000003</v>
      </c>
      <c r="P130" s="46">
        <f t="shared" ref="P130:P193" ca="1" si="7">O130/SUM(O:O)</f>
        <v>1.035381054149969E-2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input_427100!A$2</f>
        <v>427100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IFERROR(VLOOKUP(B131,input_427100!L:R,7,FALSE),VLOOKUP(tables_427100!C131,input_427100!A:H,8,FALSE))</f>
        <v>1089.42308</v>
      </c>
      <c r="P131" s="46">
        <f t="shared" ca="1" si="7"/>
        <v>2.0174501479351952E-4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input_427100!A$2</f>
        <v>427100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IFERROR(VLOOKUP(B132,input_427100!L:R,7,FALSE),VLOOKUP(tables_427100!C132,input_427100!A:H,8,FALSE))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input_427100!A$2</f>
        <v>427100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IFERROR(VLOOKUP(B133,input_427100!L:R,7,FALSE),VLOOKUP(tables_427100!C133,input_427100!A:H,8,FALSE))</f>
        <v>55910.576930000003</v>
      </c>
      <c r="P133" s="46">
        <f t="shared" ca="1" si="7"/>
        <v>1.035381054149969E-2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input_427100!A$2</f>
        <v>427100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IFERROR(VLOOKUP(B134,input_427100!L:R,7,FALSE),VLOOKUP(tables_427100!C134,input_427100!A:H,8,FALSE))</f>
        <v>1089.42308</v>
      </c>
      <c r="P134" s="46">
        <f t="shared" ca="1" si="7"/>
        <v>2.0174501479351952E-4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input_427100!A$2</f>
        <v>427100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IFERROR(VLOOKUP(B135,input_427100!L:R,7,FALSE),VLOOKUP(tables_427100!C135,input_427100!A:H,8,FALSE))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input_427100!A$2</f>
        <v>427100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IFERROR(VLOOKUP(B136,input_427100!L:R,7,FALSE),VLOOKUP(tables_427100!C136,input_427100!A:H,8,FALSE))</f>
        <v>55910.576930000003</v>
      </c>
      <c r="P136" s="46">
        <f t="shared" ca="1" si="7"/>
        <v>1.035381054149969E-2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input_427100!A$2</f>
        <v>427100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IFERROR(VLOOKUP(B137,input_427100!L:R,7,FALSE),VLOOKUP(tables_427100!C137,input_427100!A:H,8,FALSE))</f>
        <v>1089.42308</v>
      </c>
      <c r="P137" s="46">
        <f t="shared" ca="1" si="7"/>
        <v>2.0174501479351952E-4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input_427100!A$2</f>
        <v>427100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IFERROR(VLOOKUP(B138,input_427100!L:R,7,FALSE),VLOOKUP(tables_427100!C138,input_427100!A:H,8,FALSE))</f>
        <v>1098.14815</v>
      </c>
      <c r="P138" s="46">
        <f t="shared" ca="1" si="7"/>
        <v>2.0336076849705265E-4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input_427100!A$2</f>
        <v>427100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IFERROR(VLOOKUP(B139,input_427100!L:R,7,FALSE),VLOOKUP(tables_427100!C139,input_427100!A:H,8,FALSE))</f>
        <v>50</v>
      </c>
      <c r="P139" s="46">
        <f t="shared" ca="1" si="7"/>
        <v>9.2592592582818932E-6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input_427100!A$2</f>
        <v>427100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IFERROR(VLOOKUP(B140,input_427100!L:R,7,FALSE),VLOOKUP(tables_427100!C140,input_427100!A:H,8,FALSE))</f>
        <v>1098.14815</v>
      </c>
      <c r="P140" s="46">
        <f t="shared" ca="1" si="7"/>
        <v>2.0336076849705265E-4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input_427100!A$2</f>
        <v>427100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IFERROR(VLOOKUP(B141,input_427100!L:R,7,FALSE),VLOOKUP(tables_427100!C141,input_427100!A:H,8,FALSE))</f>
        <v>50</v>
      </c>
      <c r="P141" s="46">
        <f t="shared" ca="1" si="7"/>
        <v>9.2592592582818932E-6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input_427100!A$2</f>
        <v>427100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IFERROR(VLOOKUP(B142,input_427100!L:R,7,FALSE),VLOOKUP(tables_427100!C142,input_427100!A:H,8,FALSE))</f>
        <v>1098.14815</v>
      </c>
      <c r="P142" s="46">
        <f t="shared" ca="1" si="7"/>
        <v>2.0336076849705265E-4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input_427100!A$2</f>
        <v>427100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IFERROR(VLOOKUP(B143,input_427100!L:R,7,FALSE),VLOOKUP(tables_427100!C143,input_427100!A:H,8,FALSE))</f>
        <v>50</v>
      </c>
      <c r="P143" s="46">
        <f t="shared" ca="1" si="7"/>
        <v>9.2592592582818932E-6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input_427100!A$2</f>
        <v>427100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IFERROR(VLOOKUP(B144,input_427100!L:R,7,FALSE),VLOOKUP(tables_427100!C144,input_427100!A:H,8,FALSE))</f>
        <v>1098.14815</v>
      </c>
      <c r="P144" s="46">
        <f t="shared" ca="1" si="7"/>
        <v>2.0336076849705265E-4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input_427100!A$2</f>
        <v>427100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IFERROR(VLOOKUP(B145,input_427100!L:R,7,FALSE),VLOOKUP(tables_427100!C145,input_427100!A:H,8,FALSE))</f>
        <v>50</v>
      </c>
      <c r="P145" s="46">
        <f t="shared" ca="1" si="7"/>
        <v>9.2592592582818932E-6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input_427100!A$2</f>
        <v>427100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IFERROR(VLOOKUP(B146,input_427100!L:R,7,FALSE),VLOOKUP(tables_427100!C146,input_427100!A:H,8,FALSE))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input_427100!A$2</f>
        <v>427100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IFERROR(VLOOKUP(B147,input_427100!L:R,7,FALSE),VLOOKUP(tables_427100!C147,input_427100!A:H,8,FALSE))</f>
        <v>55910.576930000003</v>
      </c>
      <c r="P147" s="46">
        <f t="shared" ca="1" si="7"/>
        <v>1.035381054149969E-2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input_427100!A$2</f>
        <v>427100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IFERROR(VLOOKUP(B148,input_427100!L:R,7,FALSE),VLOOKUP(tables_427100!C148,input_427100!A:H,8,FALSE))</f>
        <v>1089.42308</v>
      </c>
      <c r="P148" s="46">
        <f t="shared" ca="1" si="7"/>
        <v>2.0174501479351952E-4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input_427100!A$2</f>
        <v>427100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IFERROR(VLOOKUP(B149,input_427100!L:R,7,FALSE),VLOOKUP(tables_427100!C149,input_427100!A:H,8,FALSE))</f>
        <v>1098.14815</v>
      </c>
      <c r="P149" s="46">
        <f t="shared" ca="1" si="7"/>
        <v>2.0336076849705265E-4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input_427100!A$2</f>
        <v>427100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IFERROR(VLOOKUP(B150,input_427100!L:R,7,FALSE),VLOOKUP(tables_427100!C150,input_427100!A:H,8,FALSE))</f>
        <v>50</v>
      </c>
      <c r="P150" s="46">
        <f t="shared" ca="1" si="7"/>
        <v>9.2592592582818932E-6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input_427100!A$2</f>
        <v>427100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IFERROR(VLOOKUP(B151,input_427100!L:R,7,FALSE),VLOOKUP(tables_427100!C151,input_427100!A:H,8,FALSE))</f>
        <v>1098.14815</v>
      </c>
      <c r="P151" s="46">
        <f t="shared" ca="1" si="7"/>
        <v>2.0336076849705265E-4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input_427100!A$2</f>
        <v>427100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IFERROR(VLOOKUP(B152,input_427100!L:R,7,FALSE),VLOOKUP(tables_427100!C152,input_427100!A:H,8,FALSE))</f>
        <v>50</v>
      </c>
      <c r="P152" s="46">
        <f t="shared" ca="1" si="7"/>
        <v>9.2592592582818932E-6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input_427100!A$2</f>
        <v>427100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IFERROR(VLOOKUP(B153,input_427100!L:R,7,FALSE),VLOOKUP(tables_427100!C153,input_427100!A:H,8,FALSE))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input_427100!A$2</f>
        <v>427100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IFERROR(VLOOKUP(B154,input_427100!L:R,7,FALSE),VLOOKUP(tables_427100!C154,input_427100!A:H,8,FALSE))</f>
        <v>55910.576930000003</v>
      </c>
      <c r="P154" s="46">
        <f t="shared" ca="1" si="7"/>
        <v>1.035381054149969E-2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input_427100!A$2</f>
        <v>427100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IFERROR(VLOOKUP(B155,input_427100!L:R,7,FALSE),VLOOKUP(tables_427100!C155,input_427100!A:H,8,FALSE))</f>
        <v>1089.42308</v>
      </c>
      <c r="P155" s="46">
        <f t="shared" ca="1" si="7"/>
        <v>2.0174501479351952E-4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input_427100!A$2</f>
        <v>427100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IFERROR(VLOOKUP(B156,input_427100!L:R,7,FALSE),VLOOKUP(tables_427100!C156,input_427100!A:H,8,FALSE))</f>
        <v>1098.14815</v>
      </c>
      <c r="P156" s="46">
        <f t="shared" ca="1" si="7"/>
        <v>2.0336076849705265E-4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input_427100!A$2</f>
        <v>427100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IFERROR(VLOOKUP(B157,input_427100!L:R,7,FALSE),VLOOKUP(tables_427100!C157,input_427100!A:H,8,FALSE))</f>
        <v>50</v>
      </c>
      <c r="P157" s="46">
        <f t="shared" ca="1" si="7"/>
        <v>9.2592592582818932E-6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input_427100!A$2</f>
        <v>427100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IFERROR(VLOOKUP(B158,input_427100!L:R,7,FALSE),VLOOKUP(tables_427100!C158,input_427100!A:H,8,FALSE))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input_427100!A$2</f>
        <v>427100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IFERROR(VLOOKUP(B159,input_427100!L:R,7,FALSE),VLOOKUP(tables_427100!C159,input_427100!A:H,8,FALSE))</f>
        <v>55910.576930000003</v>
      </c>
      <c r="P159" s="46">
        <f t="shared" ca="1" si="7"/>
        <v>1.035381054149969E-2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input_427100!A$2</f>
        <v>427100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IFERROR(VLOOKUP(B160,input_427100!L:R,7,FALSE),VLOOKUP(tables_427100!C160,input_427100!A:H,8,FALSE))</f>
        <v>1089.42308</v>
      </c>
      <c r="P160" s="46">
        <f t="shared" ca="1" si="7"/>
        <v>2.0174501479351952E-4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input_427100!A$2</f>
        <v>427100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IFERROR(VLOOKUP(B161,input_427100!L:R,7,FALSE),VLOOKUP(tables_427100!C161,input_427100!A:H,8,FALSE))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input_427100!A$2</f>
        <v>427100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IFERROR(VLOOKUP(B162,input_427100!L:R,7,FALSE),VLOOKUP(tables_427100!C162,input_427100!A:H,8,FALSE))</f>
        <v>55910.576930000003</v>
      </c>
      <c r="P162" s="46">
        <f t="shared" ca="1" si="7"/>
        <v>1.035381054149969E-2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input_427100!A$2</f>
        <v>427100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IFERROR(VLOOKUP(B163,input_427100!L:R,7,FALSE),VLOOKUP(tables_427100!C163,input_427100!A:H,8,FALSE))</f>
        <v>1089.42308</v>
      </c>
      <c r="P163" s="46">
        <f t="shared" ca="1" si="7"/>
        <v>2.0174501479351952E-4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input_427100!A$2</f>
        <v>427100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IFERROR(VLOOKUP(B164,input_427100!L:R,7,FALSE),VLOOKUP(tables_427100!C164,input_427100!A:H,8,FALSE))</f>
        <v>1098.14815</v>
      </c>
      <c r="P164" s="46">
        <f t="shared" ca="1" si="7"/>
        <v>2.0336076849705265E-4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input_427100!A$2</f>
        <v>427100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IFERROR(VLOOKUP(B165,input_427100!L:R,7,FALSE),VLOOKUP(tables_427100!C165,input_427100!A:H,8,FALSE))</f>
        <v>50</v>
      </c>
      <c r="P165" s="46">
        <f t="shared" ca="1" si="7"/>
        <v>9.2592592582818932E-6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input_427100!A$2</f>
        <v>427100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IFERROR(VLOOKUP(B166,input_427100!L:R,7,FALSE),VLOOKUP(tables_427100!C166,input_427100!A:H,8,FALSE))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input_427100!A$2</f>
        <v>427100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IFERROR(VLOOKUP(B167,input_427100!L:R,7,FALSE),VLOOKUP(tables_427100!C167,input_427100!A:H,8,FALSE))</f>
        <v>55910.576930000003</v>
      </c>
      <c r="P167" s="46">
        <f t="shared" ca="1" si="7"/>
        <v>1.035381054149969E-2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input_427100!A$2</f>
        <v>427100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IFERROR(VLOOKUP(B168,input_427100!L:R,7,FALSE),VLOOKUP(tables_427100!C168,input_427100!A:H,8,FALSE))</f>
        <v>1089.42308</v>
      </c>
      <c r="P168" s="46">
        <f t="shared" ca="1" si="7"/>
        <v>2.0174501479351952E-4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input_427100!A$2</f>
        <v>427100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IFERROR(VLOOKUP(B169,input_427100!L:R,7,FALSE),VLOOKUP(tables_427100!C169,input_427100!A:H,8,FALSE))</f>
        <v>1098.14815</v>
      </c>
      <c r="P169" s="46">
        <f t="shared" ca="1" si="7"/>
        <v>2.0336076849705265E-4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input_427100!A$2</f>
        <v>427100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IFERROR(VLOOKUP(B170,input_427100!L:R,7,FALSE),VLOOKUP(tables_427100!C170,input_427100!A:H,8,FALSE))</f>
        <v>50</v>
      </c>
      <c r="P170" s="46">
        <f t="shared" ca="1" si="7"/>
        <v>9.2592592582818932E-6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input_427100!A$2</f>
        <v>427100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IFERROR(VLOOKUP(B171,input_427100!L:R,7,FALSE),VLOOKUP(tables_427100!C171,input_427100!A:H,8,FALSE))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input_427100!A$2</f>
        <v>427100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IFERROR(VLOOKUP(B172,input_427100!L:R,7,FALSE),VLOOKUP(tables_427100!C172,input_427100!A:H,8,FALSE))</f>
        <v>55910.576930000003</v>
      </c>
      <c r="P172" s="46">
        <f t="shared" ca="1" si="7"/>
        <v>1.035381054149969E-2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input_427100!A$2</f>
        <v>427100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IFERROR(VLOOKUP(B173,input_427100!L:R,7,FALSE),VLOOKUP(tables_427100!C173,input_427100!A:H,8,FALSE))</f>
        <v>1089.42308</v>
      </c>
      <c r="P173" s="46">
        <f t="shared" ca="1" si="7"/>
        <v>2.0174501479351952E-4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input_427100!A$2</f>
        <v>427100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IFERROR(VLOOKUP(B174,input_427100!L:R,7,FALSE),VLOOKUP(tables_427100!C174,input_427100!A:H,8,FALSE))</f>
        <v>1098.14815</v>
      </c>
      <c r="P174" s="46">
        <f t="shared" ca="1" si="7"/>
        <v>2.0336076849705265E-4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input_427100!A$2</f>
        <v>427100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IFERROR(VLOOKUP(B175,input_427100!L:R,7,FALSE),VLOOKUP(tables_427100!C175,input_427100!A:H,8,FALSE))</f>
        <v>50</v>
      </c>
      <c r="P175" s="46">
        <f t="shared" ca="1" si="7"/>
        <v>9.2592592582818932E-6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input_427100!A$2</f>
        <v>427100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IFERROR(VLOOKUP(B176,input_427100!L:R,7,FALSE),VLOOKUP(tables_427100!C176,input_427100!A:H,8,FALSE))</f>
        <v>1098.14815</v>
      </c>
      <c r="P176" s="46">
        <f t="shared" ca="1" si="7"/>
        <v>2.0336076849705265E-4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input_427100!A$2</f>
        <v>427100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IFERROR(VLOOKUP(B177,input_427100!L:R,7,FALSE),VLOOKUP(tables_427100!C177,input_427100!A:H,8,FALSE))</f>
        <v>50</v>
      </c>
      <c r="P177" s="46">
        <f t="shared" ca="1" si="7"/>
        <v>9.2592592582818932E-6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input_427100!A$2</f>
        <v>427100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IFERROR(VLOOKUP(B178,input_427100!L:R,7,FALSE),VLOOKUP(tables_427100!C178,input_427100!A:H,8,FALSE))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input_427100!A$2</f>
        <v>427100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IFERROR(VLOOKUP(B179,input_427100!L:R,7,FALSE),VLOOKUP(tables_427100!C179,input_427100!A:H,8,FALSE))</f>
        <v>55910.576930000003</v>
      </c>
      <c r="P179" s="46">
        <f t="shared" ca="1" si="7"/>
        <v>1.035381054149969E-2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input_427100!A$2</f>
        <v>427100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IFERROR(VLOOKUP(B180,input_427100!L:R,7,FALSE),VLOOKUP(tables_427100!C180,input_427100!A:H,8,FALSE))</f>
        <v>1089.42308</v>
      </c>
      <c r="P180" s="46">
        <f t="shared" ca="1" si="7"/>
        <v>2.0174501479351952E-4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input_427100!A$2</f>
        <v>427100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IFERROR(VLOOKUP(B181,input_427100!L:R,7,FALSE),VLOOKUP(tables_427100!C181,input_427100!A:H,8,FALSE))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input_427100!A$2</f>
        <v>427100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IFERROR(VLOOKUP(B182,input_427100!L:R,7,FALSE),VLOOKUP(tables_427100!C182,input_427100!A:H,8,FALSE))</f>
        <v>55910.576930000003</v>
      </c>
      <c r="P182" s="46">
        <f t="shared" ca="1" si="7"/>
        <v>1.035381054149969E-2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input_427100!A$2</f>
        <v>427100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IFERROR(VLOOKUP(B183,input_427100!L:R,7,FALSE),VLOOKUP(tables_427100!C183,input_427100!A:H,8,FALSE))</f>
        <v>1089.42308</v>
      </c>
      <c r="P183" s="46">
        <f t="shared" ca="1" si="7"/>
        <v>2.0174501479351952E-4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input_427100!A$2</f>
        <v>427100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IFERROR(VLOOKUP(B184,input_427100!L:R,7,FALSE),VLOOKUP(tables_427100!C184,input_427100!A:H,8,FALSE))</f>
        <v>1098.14815</v>
      </c>
      <c r="P184" s="46">
        <f t="shared" ca="1" si="7"/>
        <v>2.0336076849705265E-4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input_427100!A$2</f>
        <v>427100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IFERROR(VLOOKUP(B185,input_427100!L:R,7,FALSE),VLOOKUP(tables_427100!C185,input_427100!A:H,8,FALSE))</f>
        <v>50</v>
      </c>
      <c r="P185" s="46">
        <f t="shared" ca="1" si="7"/>
        <v>9.2592592582818932E-6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input_427100!A$2</f>
        <v>427100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IFERROR(VLOOKUP(B186,input_427100!L:R,7,FALSE),VLOOKUP(tables_427100!C186,input_427100!A:H,8,FALSE))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input_427100!A$2</f>
        <v>427100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IFERROR(VLOOKUP(B187,input_427100!L:R,7,FALSE),VLOOKUP(tables_427100!C187,input_427100!A:H,8,FALSE))</f>
        <v>55910.576930000003</v>
      </c>
      <c r="P187" s="46">
        <f t="shared" ca="1" si="7"/>
        <v>1.035381054149969E-2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input_427100!A$2</f>
        <v>427100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IFERROR(VLOOKUP(B188,input_427100!L:R,7,FALSE),VLOOKUP(tables_427100!C188,input_427100!A:H,8,FALSE))</f>
        <v>1089.42308</v>
      </c>
      <c r="P188" s="46">
        <f t="shared" ca="1" si="7"/>
        <v>2.0174501479351952E-4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input_427100!A$2</f>
        <v>427100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IFERROR(VLOOKUP(B189,input_427100!L:R,7,FALSE),VLOOKUP(tables_427100!C189,input_427100!A:H,8,FALSE))</f>
        <v>1098.14815</v>
      </c>
      <c r="P189" s="46">
        <f t="shared" ca="1" si="7"/>
        <v>2.0336076849705265E-4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input_427100!A$2</f>
        <v>427100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IFERROR(VLOOKUP(B190,input_427100!L:R,7,FALSE),VLOOKUP(tables_427100!C190,input_427100!A:H,8,FALSE))</f>
        <v>50</v>
      </c>
      <c r="P190" s="46">
        <f t="shared" ca="1" si="7"/>
        <v>9.2592592582818932E-6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input_427100!A$2</f>
        <v>427100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IFERROR(VLOOKUP(B191,input_427100!L:R,7,FALSE),VLOOKUP(tables_427100!C191,input_427100!A:H,8,FALSE))</f>
        <v>1098.14815</v>
      </c>
      <c r="P191" s="46">
        <f t="shared" ca="1" si="7"/>
        <v>2.0336076849705265E-4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input_427100!A$2</f>
        <v>427100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IFERROR(VLOOKUP(B192,input_427100!L:R,7,FALSE),VLOOKUP(tables_427100!C192,input_427100!A:H,8,FALSE))</f>
        <v>50</v>
      </c>
      <c r="P192" s="46">
        <f t="shared" ca="1" si="7"/>
        <v>9.2592592582818932E-6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input_427100!A$2</f>
        <v>427100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IFERROR(VLOOKUP(B193,input_427100!L:R,7,FALSE),VLOOKUP(tables_427100!C193,input_427100!A:H,8,FALSE))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input_427100!A$2</f>
        <v>427100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IFERROR(VLOOKUP(B194,input_427100!L:R,7,FALSE),VLOOKUP(tables_427100!C194,input_427100!A:H,8,FALSE))</f>
        <v>55910.576930000003</v>
      </c>
      <c r="P194" s="46">
        <f t="shared" ref="P194:P257" ca="1" si="10">O194/SUM(O:O)</f>
        <v>1.035381054149969E-2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input_427100!A$2</f>
        <v>427100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IFERROR(VLOOKUP(B195,input_427100!L:R,7,FALSE),VLOOKUP(tables_427100!C195,input_427100!A:H,8,FALSE))</f>
        <v>1089.42308</v>
      </c>
      <c r="P195" s="46">
        <f t="shared" ca="1" si="10"/>
        <v>2.0174501479351952E-4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input_427100!A$2</f>
        <v>427100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IFERROR(VLOOKUP(B196,input_427100!L:R,7,FALSE),VLOOKUP(tables_427100!C196,input_427100!A:H,8,FALSE))</f>
        <v>1098.14815</v>
      </c>
      <c r="P196" s="46">
        <f t="shared" ca="1" si="10"/>
        <v>2.0336076849705265E-4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input_427100!A$2</f>
        <v>427100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IFERROR(VLOOKUP(B197,input_427100!L:R,7,FALSE),VLOOKUP(tables_427100!C197,input_427100!A:H,8,FALSE))</f>
        <v>50</v>
      </c>
      <c r="P197" s="46">
        <f t="shared" ca="1" si="10"/>
        <v>9.2592592582818932E-6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input_427100!A$2</f>
        <v>427100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IFERROR(VLOOKUP(B198,input_427100!L:R,7,FALSE),VLOOKUP(tables_427100!C198,input_427100!A:H,8,FALSE))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input_427100!A$2</f>
        <v>427100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IFERROR(VLOOKUP(B199,input_427100!L:R,7,FALSE),VLOOKUP(tables_427100!C199,input_427100!A:H,8,FALSE))</f>
        <v>55910.576930000003</v>
      </c>
      <c r="P199" s="46">
        <f t="shared" ca="1" si="10"/>
        <v>1.035381054149969E-2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input_427100!A$2</f>
        <v>427100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IFERROR(VLOOKUP(B200,input_427100!L:R,7,FALSE),VLOOKUP(tables_427100!C200,input_427100!A:H,8,FALSE))</f>
        <v>1089.42308</v>
      </c>
      <c r="P200" s="46">
        <f t="shared" ca="1" si="10"/>
        <v>2.0174501479351952E-4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input_427100!A$2</f>
        <v>427100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IFERROR(VLOOKUP(B201,input_427100!L:R,7,FALSE),VLOOKUP(tables_427100!C201,input_427100!A:H,8,FALSE))</f>
        <v>1098.14815</v>
      </c>
      <c r="P201" s="46">
        <f t="shared" ca="1" si="10"/>
        <v>2.0336076849705265E-4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input_427100!A$2</f>
        <v>427100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IFERROR(VLOOKUP(B202,input_427100!L:R,7,FALSE),VLOOKUP(tables_427100!C202,input_427100!A:H,8,FALSE))</f>
        <v>50</v>
      </c>
      <c r="P202" s="46">
        <f t="shared" ca="1" si="10"/>
        <v>9.2592592582818932E-6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input_427100!A$2</f>
        <v>427100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IFERROR(VLOOKUP(B203,input_427100!L:R,7,FALSE),VLOOKUP(tables_427100!C203,input_427100!A:H,8,FALSE))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input_427100!A$2</f>
        <v>427100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IFERROR(VLOOKUP(B204,input_427100!L:R,7,FALSE),VLOOKUP(tables_427100!C204,input_427100!A:H,8,FALSE))</f>
        <v>55910.576930000003</v>
      </c>
      <c r="P204" s="46">
        <f t="shared" ca="1" si="10"/>
        <v>1.035381054149969E-2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input_427100!A$2</f>
        <v>427100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IFERROR(VLOOKUP(B205,input_427100!L:R,7,FALSE),VLOOKUP(tables_427100!C205,input_427100!A:H,8,FALSE))</f>
        <v>1089.42308</v>
      </c>
      <c r="P205" s="46">
        <f t="shared" ca="1" si="10"/>
        <v>2.0174501479351952E-4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input_427100!A$2</f>
        <v>427100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IFERROR(VLOOKUP(B206,input_427100!L:R,7,FALSE),VLOOKUP(tables_427100!C206,input_427100!A:H,8,FALSE))</f>
        <v>1098.14815</v>
      </c>
      <c r="P206" s="46">
        <f t="shared" ca="1" si="10"/>
        <v>2.0336076849705265E-4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input_427100!A$2</f>
        <v>427100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IFERROR(VLOOKUP(B207,input_427100!L:R,7,FALSE),VLOOKUP(tables_427100!C207,input_427100!A:H,8,FALSE))</f>
        <v>50</v>
      </c>
      <c r="P207" s="46">
        <f t="shared" ca="1" si="10"/>
        <v>9.2592592582818932E-6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input_427100!A$2</f>
        <v>427100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IFERROR(VLOOKUP(B208,input_427100!L:R,7,FALSE),VLOOKUP(tables_427100!C208,input_427100!A:H,8,FALSE))</f>
        <v>1098.14815</v>
      </c>
      <c r="P208" s="46">
        <f t="shared" ca="1" si="10"/>
        <v>2.0336076849705265E-4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input_427100!A$2</f>
        <v>427100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IFERROR(VLOOKUP(B209,input_427100!L:R,7,FALSE),VLOOKUP(tables_427100!C209,input_427100!A:H,8,FALSE))</f>
        <v>50</v>
      </c>
      <c r="P209" s="46">
        <f t="shared" ca="1" si="10"/>
        <v>9.2592592582818932E-6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input_427100!A$2</f>
        <v>427100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IFERROR(VLOOKUP(B210,input_427100!L:R,7,FALSE),VLOOKUP(tables_427100!C210,input_427100!A:H,8,FALSE))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input_427100!A$2</f>
        <v>427100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IFERROR(VLOOKUP(B211,input_427100!L:R,7,FALSE),VLOOKUP(tables_427100!C211,input_427100!A:H,8,FALSE))</f>
        <v>55910.576930000003</v>
      </c>
      <c r="P211" s="46">
        <f t="shared" ca="1" si="10"/>
        <v>1.035381054149969E-2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input_427100!A$2</f>
        <v>427100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IFERROR(VLOOKUP(B212,input_427100!L:R,7,FALSE),VLOOKUP(tables_427100!C212,input_427100!A:H,8,FALSE))</f>
        <v>1089.42308</v>
      </c>
      <c r="P212" s="46">
        <f t="shared" ca="1" si="10"/>
        <v>2.0174501479351952E-4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input_427100!A$2</f>
        <v>427100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IFERROR(VLOOKUP(B213,input_427100!L:R,7,FALSE),VLOOKUP(tables_427100!C213,input_427100!A:H,8,FALSE))</f>
        <v>51300</v>
      </c>
      <c r="P213" s="46">
        <f t="shared" ca="1" si="10"/>
        <v>9.499999998997222E-3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input_427100!A$2</f>
        <v>427100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IFERROR(VLOOKUP(B214,input_427100!L:R,7,FALSE),VLOOKUP(tables_427100!C214,input_427100!A:H,8,FALSE))</f>
        <v>2700</v>
      </c>
      <c r="P214" s="46">
        <f t="shared" ca="1" si="10"/>
        <v>4.9999999994722224E-4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input_427100!A$2</f>
        <v>427100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IFERROR(VLOOKUP(B215,input_427100!L:R,7,FALSE),VLOOKUP(tables_427100!C215,input_427100!A:H,8,FALSE))</f>
        <v>1098.14815</v>
      </c>
      <c r="P215" s="46">
        <f t="shared" ca="1" si="10"/>
        <v>2.0336076849705265E-4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input_427100!A$2</f>
        <v>427100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IFERROR(VLOOKUP(B216,input_427100!L:R,7,FALSE),VLOOKUP(tables_427100!C216,input_427100!A:H,8,FALSE))</f>
        <v>50</v>
      </c>
      <c r="P216" s="46">
        <f t="shared" ca="1" si="10"/>
        <v>9.2592592582818932E-6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input_427100!A$2</f>
        <v>427100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IFERROR(VLOOKUP(B217,input_427100!L:R,7,FALSE),VLOOKUP(tables_427100!C217,input_427100!A:H,8,FALSE))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input_427100!A$2</f>
        <v>427100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IFERROR(VLOOKUP(B218,input_427100!L:R,7,FALSE),VLOOKUP(tables_427100!C218,input_427100!A:H,8,FALSE))</f>
        <v>55910.576930000003</v>
      </c>
      <c r="P218" s="46">
        <f t="shared" ca="1" si="10"/>
        <v>1.035381054149969E-2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input_427100!A$2</f>
        <v>427100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IFERROR(VLOOKUP(B219,input_427100!L:R,7,FALSE),VLOOKUP(tables_427100!C219,input_427100!A:H,8,FALSE))</f>
        <v>1089.42308</v>
      </c>
      <c r="P219" s="46">
        <f t="shared" ca="1" si="10"/>
        <v>2.0174501479351952E-4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input_427100!A$2</f>
        <v>427100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IFERROR(VLOOKUP(B220,input_427100!L:R,7,FALSE),VLOOKUP(tables_427100!C220,input_427100!A:H,8,FALSE))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input_427100!A$2</f>
        <v>427100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IFERROR(VLOOKUP(B221,input_427100!L:R,7,FALSE),VLOOKUP(tables_427100!C221,input_427100!A:H,8,FALSE))</f>
        <v>55910.576930000003</v>
      </c>
      <c r="P221" s="46">
        <f t="shared" ca="1" si="10"/>
        <v>1.035381054149969E-2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input_427100!A$2</f>
        <v>427100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IFERROR(VLOOKUP(B222,input_427100!L:R,7,FALSE),VLOOKUP(tables_427100!C222,input_427100!A:H,8,FALSE))</f>
        <v>1089.42308</v>
      </c>
      <c r="P222" s="46">
        <f t="shared" ca="1" si="10"/>
        <v>2.0174501479351952E-4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input_427100!A$2</f>
        <v>427100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IFERROR(VLOOKUP(B223,input_427100!L:R,7,FALSE),VLOOKUP(tables_427100!C223,input_427100!A:H,8,FALSE))</f>
        <v>1098.14815</v>
      </c>
      <c r="P223" s="46">
        <f t="shared" ca="1" si="10"/>
        <v>2.0336076849705265E-4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input_427100!A$2</f>
        <v>427100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IFERROR(VLOOKUP(B224,input_427100!L:R,7,FALSE),VLOOKUP(tables_427100!C224,input_427100!A:H,8,FALSE))</f>
        <v>50</v>
      </c>
      <c r="P224" s="46">
        <f t="shared" ca="1" si="10"/>
        <v>9.2592592582818932E-6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input_427100!A$2</f>
        <v>427100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IFERROR(VLOOKUP(B225,input_427100!L:R,7,FALSE),VLOOKUP(tables_427100!C225,input_427100!A:H,8,FALSE))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input_427100!A$2</f>
        <v>427100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IFERROR(VLOOKUP(B226,input_427100!L:R,7,FALSE),VLOOKUP(tables_427100!C226,input_427100!A:H,8,FALSE))</f>
        <v>55910.576930000003</v>
      </c>
      <c r="P226" s="46">
        <f t="shared" ca="1" si="10"/>
        <v>1.035381054149969E-2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input_427100!A$2</f>
        <v>427100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IFERROR(VLOOKUP(B227,input_427100!L:R,7,FALSE),VLOOKUP(tables_427100!C227,input_427100!A:H,8,FALSE))</f>
        <v>1089.42308</v>
      </c>
      <c r="P227" s="46">
        <f t="shared" ca="1" si="10"/>
        <v>2.0174501479351952E-4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input_427100!A$2</f>
        <v>427100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IFERROR(VLOOKUP(B228,input_427100!L:R,7,FALSE),VLOOKUP(tables_427100!C228,input_427100!A:H,8,FALSE))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input_427100!A$2</f>
        <v>427100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IFERROR(VLOOKUP(B229,input_427100!L:R,7,FALSE),VLOOKUP(tables_427100!C229,input_427100!A:H,8,FALSE))</f>
        <v>55910.576930000003</v>
      </c>
      <c r="P229" s="46">
        <f t="shared" ca="1" si="10"/>
        <v>1.035381054149969E-2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input_427100!A$2</f>
        <v>427100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IFERROR(VLOOKUP(B230,input_427100!L:R,7,FALSE),VLOOKUP(tables_427100!C230,input_427100!A:H,8,FALSE))</f>
        <v>1089.42308</v>
      </c>
      <c r="P230" s="46">
        <f t="shared" ca="1" si="10"/>
        <v>2.0174501479351952E-4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input_427100!A$2</f>
        <v>427100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IFERROR(VLOOKUP(B231,input_427100!L:R,7,FALSE),VLOOKUP(tables_427100!C231,input_427100!A:H,8,FALSE))</f>
        <v>1098.14815</v>
      </c>
      <c r="P231" s="46">
        <f t="shared" ca="1" si="10"/>
        <v>2.0336076849705265E-4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input_427100!A$2</f>
        <v>427100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IFERROR(VLOOKUP(B232,input_427100!L:R,7,FALSE),VLOOKUP(tables_427100!C232,input_427100!A:H,8,FALSE))</f>
        <v>50</v>
      </c>
      <c r="P232" s="46">
        <f t="shared" ca="1" si="10"/>
        <v>9.2592592582818932E-6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input_427100!A$2</f>
        <v>427100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IFERROR(VLOOKUP(B233,input_427100!L:R,7,FALSE),VLOOKUP(tables_427100!C233,input_427100!A:H,8,FALSE))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input_427100!A$2</f>
        <v>427100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IFERROR(VLOOKUP(B234,input_427100!L:R,7,FALSE),VLOOKUP(tables_427100!C234,input_427100!A:H,8,FALSE))</f>
        <v>55910.576930000003</v>
      </c>
      <c r="P234" s="46">
        <f t="shared" ca="1" si="10"/>
        <v>1.035381054149969E-2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input_427100!A$2</f>
        <v>427100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IFERROR(VLOOKUP(B235,input_427100!L:R,7,FALSE),VLOOKUP(tables_427100!C235,input_427100!A:H,8,FALSE))</f>
        <v>1089.42308</v>
      </c>
      <c r="P235" s="46">
        <f t="shared" ca="1" si="10"/>
        <v>2.0174501479351952E-4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input_427100!A$2</f>
        <v>427100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IFERROR(VLOOKUP(B236,input_427100!L:R,7,FALSE),VLOOKUP(tables_427100!C236,input_427100!A:H,8,FALSE))</f>
        <v>1098.14815</v>
      </c>
      <c r="P236" s="46">
        <f t="shared" ca="1" si="10"/>
        <v>2.0336076849705265E-4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input_427100!A$2</f>
        <v>427100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IFERROR(VLOOKUP(B237,input_427100!L:R,7,FALSE),VLOOKUP(tables_427100!C237,input_427100!A:H,8,FALSE))</f>
        <v>50</v>
      </c>
      <c r="P237" s="46">
        <f t="shared" ca="1" si="10"/>
        <v>9.2592592582818932E-6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input_427100!A$2</f>
        <v>427100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IFERROR(VLOOKUP(B238,input_427100!L:R,7,FALSE),VLOOKUP(tables_427100!C238,input_427100!A:H,8,FALSE))</f>
        <v>1098.14815</v>
      </c>
      <c r="P238" s="46">
        <f t="shared" ca="1" si="10"/>
        <v>2.0336076849705265E-4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input_427100!A$2</f>
        <v>427100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IFERROR(VLOOKUP(B239,input_427100!L:R,7,FALSE),VLOOKUP(tables_427100!C239,input_427100!A:H,8,FALSE))</f>
        <v>50</v>
      </c>
      <c r="P239" s="46">
        <f t="shared" ca="1" si="10"/>
        <v>9.2592592582818932E-6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input_427100!A$2</f>
        <v>427100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IFERROR(VLOOKUP(B240,input_427100!L:R,7,FALSE),VLOOKUP(tables_427100!C240,input_427100!A:H,8,FALSE))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input_427100!A$2</f>
        <v>427100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IFERROR(VLOOKUP(B241,input_427100!L:R,7,FALSE),VLOOKUP(tables_427100!C241,input_427100!A:H,8,FALSE))</f>
        <v>55910.576930000003</v>
      </c>
      <c r="P241" s="46">
        <f t="shared" ca="1" si="10"/>
        <v>1.035381054149969E-2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input_427100!A$2</f>
        <v>427100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IFERROR(VLOOKUP(B242,input_427100!L:R,7,FALSE),VLOOKUP(tables_427100!C242,input_427100!A:H,8,FALSE))</f>
        <v>1089.42308</v>
      </c>
      <c r="P242" s="46">
        <f t="shared" ca="1" si="10"/>
        <v>2.0174501479351952E-4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input_427100!A$2</f>
        <v>427100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IFERROR(VLOOKUP(B243,input_427100!L:R,7,FALSE),VLOOKUP(tables_427100!C243,input_427100!A:H,8,FALSE))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input_427100!A$2</f>
        <v>427100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IFERROR(VLOOKUP(B244,input_427100!L:R,7,FALSE),VLOOKUP(tables_427100!C244,input_427100!A:H,8,FALSE))</f>
        <v>55910.576930000003</v>
      </c>
      <c r="P244" s="46">
        <f t="shared" ca="1" si="10"/>
        <v>1.035381054149969E-2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input_427100!A$2</f>
        <v>427100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IFERROR(VLOOKUP(B245,input_427100!L:R,7,FALSE),VLOOKUP(tables_427100!C245,input_427100!A:H,8,FALSE))</f>
        <v>1089.42308</v>
      </c>
      <c r="P245" s="46">
        <f t="shared" ca="1" si="10"/>
        <v>2.0174501479351952E-4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input_427100!A$2</f>
        <v>427100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IFERROR(VLOOKUP(B246,input_427100!L:R,7,FALSE),VLOOKUP(tables_427100!C246,input_427100!A:H,8,FALSE))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input_427100!A$2</f>
        <v>427100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IFERROR(VLOOKUP(B247,input_427100!L:R,7,FALSE),VLOOKUP(tables_427100!C247,input_427100!A:H,8,FALSE))</f>
        <v>55910.576930000003</v>
      </c>
      <c r="P247" s="46">
        <f t="shared" ca="1" si="10"/>
        <v>1.035381054149969E-2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input_427100!A$2</f>
        <v>427100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IFERROR(VLOOKUP(B248,input_427100!L:R,7,FALSE),VLOOKUP(tables_427100!C248,input_427100!A:H,8,FALSE))</f>
        <v>1089.42308</v>
      </c>
      <c r="P248" s="46">
        <f t="shared" ca="1" si="10"/>
        <v>2.0174501479351952E-4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input_427100!A$2</f>
        <v>427100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IFERROR(VLOOKUP(B249,input_427100!L:R,7,FALSE),VLOOKUP(tables_427100!C249,input_427100!A:H,8,FALSE))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input_427100!A$2</f>
        <v>427100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IFERROR(VLOOKUP(B250,input_427100!L:R,7,FALSE),VLOOKUP(tables_427100!C250,input_427100!A:H,8,FALSE))</f>
        <v>55910.576930000003</v>
      </c>
      <c r="P250" s="46">
        <f t="shared" ca="1" si="10"/>
        <v>1.035381054149969E-2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input_427100!A$2</f>
        <v>427100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IFERROR(VLOOKUP(B251,input_427100!L:R,7,FALSE),VLOOKUP(tables_427100!C251,input_427100!A:H,8,FALSE))</f>
        <v>1089.42308</v>
      </c>
      <c r="P251" s="46">
        <f t="shared" ca="1" si="10"/>
        <v>2.0174501479351952E-4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input_427100!A$2</f>
        <v>427100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IFERROR(VLOOKUP(B252,input_427100!L:R,7,FALSE),VLOOKUP(tables_427100!C252,input_427100!A:H,8,FALSE))</f>
        <v>1098.14815</v>
      </c>
      <c r="P252" s="46">
        <f t="shared" ca="1" si="10"/>
        <v>2.0336076849705265E-4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input_427100!A$2</f>
        <v>427100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IFERROR(VLOOKUP(B253,input_427100!L:R,7,FALSE),VLOOKUP(tables_427100!C253,input_427100!A:H,8,FALSE))</f>
        <v>50</v>
      </c>
      <c r="P253" s="46">
        <f t="shared" ca="1" si="10"/>
        <v>9.2592592582818932E-6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input_427100!A$2</f>
        <v>427100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IFERROR(VLOOKUP(B254,input_427100!L:R,7,FALSE),VLOOKUP(tables_427100!C254,input_427100!A:H,8,FALSE))</f>
        <v>1098.14815</v>
      </c>
      <c r="P254" s="46">
        <f t="shared" ca="1" si="10"/>
        <v>2.0336076849705265E-4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input_427100!A$2</f>
        <v>427100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IFERROR(VLOOKUP(B255,input_427100!L:R,7,FALSE),VLOOKUP(tables_427100!C255,input_427100!A:H,8,FALSE))</f>
        <v>50</v>
      </c>
      <c r="P255" s="46">
        <f t="shared" ca="1" si="10"/>
        <v>9.2592592582818932E-6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input_427100!A$2</f>
        <v>427100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IFERROR(VLOOKUP(B256,input_427100!L:R,7,FALSE),VLOOKUP(tables_427100!C256,input_427100!A:H,8,FALSE))</f>
        <v>56078.571430000004</v>
      </c>
      <c r="P256" s="46">
        <f t="shared" ca="1" si="10"/>
        <v>1.0384920634088999E-2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input_427100!A$2</f>
        <v>427100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IFERROR(VLOOKUP(B257,input_427100!L:R,7,FALSE),VLOOKUP(tables_427100!C257,input_427100!A:H,8,FALSE))</f>
        <v>921.42857000000004</v>
      </c>
      <c r="P257" s="46">
        <f t="shared" ca="1" si="10"/>
        <v>1.7063492035235891E-4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input_427100!A$2</f>
        <v>427100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IFERROR(VLOOKUP(B258,input_427100!L:R,7,FALSE),VLOOKUP(tables_427100!C258,input_427100!A:H,8,FALSE))</f>
        <v>56078.571430000004</v>
      </c>
      <c r="P258" s="46">
        <f t="shared" ref="P258:P294" ca="1" si="13">O258/SUM(O:O)</f>
        <v>1.0384920634088999E-2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input_427100!A$2</f>
        <v>427100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IFERROR(VLOOKUP(B259,input_427100!L:R,7,FALSE),VLOOKUP(tables_427100!C259,input_427100!A:H,8,FALSE))</f>
        <v>921.42857000000004</v>
      </c>
      <c r="P259" s="46">
        <f t="shared" ca="1" si="13"/>
        <v>1.7063492035235891E-4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input_427100!A$2</f>
        <v>427100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IFERROR(VLOOKUP(B260,input_427100!L:R,7,FALSE),VLOOKUP(tables_427100!C260,input_427100!A:H,8,FALSE))</f>
        <v>1000</v>
      </c>
      <c r="P260" s="46">
        <f t="shared" ca="1" si="13"/>
        <v>1.8518518516563785E-4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input_427100!A$2</f>
        <v>427100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IFERROR(VLOOKUP(B261,input_427100!L:R,7,FALSE),VLOOKUP(tables_427100!C261,input_427100!A:H,8,FALSE))</f>
        <v>1000</v>
      </c>
      <c r="P261" s="46">
        <f t="shared" ca="1" si="13"/>
        <v>1.8518518516563785E-4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input_427100!A$2</f>
        <v>427100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IFERROR(VLOOKUP(B262,input_427100!L:R,7,FALSE),VLOOKUP(tables_427100!C262,input_427100!A:H,8,FALSE))</f>
        <v>1098.14815</v>
      </c>
      <c r="P262" s="46">
        <f t="shared" ca="1" si="13"/>
        <v>2.0336076849705265E-4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input_427100!A$2</f>
        <v>427100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IFERROR(VLOOKUP(B263,input_427100!L:R,7,FALSE),VLOOKUP(tables_427100!C263,input_427100!A:H,8,FALSE))</f>
        <v>50</v>
      </c>
      <c r="P263" s="46">
        <f t="shared" ca="1" si="13"/>
        <v>9.2592592582818932E-6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input_427100!A$2</f>
        <v>427100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IFERROR(VLOOKUP(B264,input_427100!L:R,7,FALSE),VLOOKUP(tables_427100!C264,input_427100!A:H,8,FALSE))</f>
        <v>1098.14815</v>
      </c>
      <c r="P264" s="46">
        <f t="shared" ca="1" si="13"/>
        <v>2.0336076849705265E-4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input_427100!A$2</f>
        <v>427100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IFERROR(VLOOKUP(B265,input_427100!L:R,7,FALSE),VLOOKUP(tables_427100!C265,input_427100!A:H,8,FALSE))</f>
        <v>50</v>
      </c>
      <c r="P265" s="46">
        <f t="shared" ca="1" si="13"/>
        <v>9.2592592582818932E-6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input_427100!A$2</f>
        <v>427100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IFERROR(VLOOKUP(B266,input_427100!L:R,7,FALSE),VLOOKUP(tables_427100!C266,input_427100!A:H,8,FALSE))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input_427100!A$2</f>
        <v>427100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IFERROR(VLOOKUP(B267,input_427100!L:R,7,FALSE),VLOOKUP(tables_427100!C267,input_427100!A:H,8,FALSE))</f>
        <v>55910.576930000003</v>
      </c>
      <c r="P267" s="46">
        <f t="shared" ca="1" si="13"/>
        <v>1.035381054149969E-2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input_427100!A$2</f>
        <v>427100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IFERROR(VLOOKUP(B268,input_427100!L:R,7,FALSE),VLOOKUP(tables_427100!C268,input_427100!A:H,8,FALSE))</f>
        <v>1089.42308</v>
      </c>
      <c r="P268" s="46">
        <f t="shared" ca="1" si="13"/>
        <v>2.0174501479351952E-4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input_427100!A$2</f>
        <v>427100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IFERROR(VLOOKUP(B269,input_427100!L:R,7,FALSE),VLOOKUP(tables_427100!C269,input_427100!A:H,8,FALSE))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input_427100!A$2</f>
        <v>427100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IFERROR(VLOOKUP(B270,input_427100!L:R,7,FALSE),VLOOKUP(tables_427100!C270,input_427100!A:H,8,FALSE))</f>
        <v>55910.576930000003</v>
      </c>
      <c r="P270" s="46">
        <f t="shared" ca="1" si="13"/>
        <v>1.035381054149969E-2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input_427100!A$2</f>
        <v>427100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IFERROR(VLOOKUP(B271,input_427100!L:R,7,FALSE),VLOOKUP(tables_427100!C271,input_427100!A:H,8,FALSE))</f>
        <v>1089.42308</v>
      </c>
      <c r="P271" s="46">
        <f t="shared" ca="1" si="13"/>
        <v>2.0174501479351952E-4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input_427100!A$2</f>
        <v>427100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IFERROR(VLOOKUP(B272,input_427100!L:R,7,FALSE),VLOOKUP(tables_427100!C272,input_427100!A:H,8,FALSE))</f>
        <v>54000</v>
      </c>
      <c r="P272" s="46">
        <f t="shared" ca="1" si="13"/>
        <v>9.9999999989444435E-3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input_427100!A$2</f>
        <v>427100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IFERROR(VLOOKUP(B273,input_427100!L:R,7,FALSE),VLOOKUP(tables_427100!C273,input_427100!A:H,8,FALSE))</f>
        <v>1000</v>
      </c>
      <c r="P273" s="46">
        <f t="shared" ca="1" si="13"/>
        <v>1.8518518516563785E-4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input_427100!A$2</f>
        <v>427100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IFERROR(VLOOKUP(B274,input_427100!L:R,7,FALSE),VLOOKUP(tables_427100!C274,input_427100!A:H,8,FALSE))</f>
        <v>56078.571430000004</v>
      </c>
      <c r="P274" s="46">
        <f t="shared" ca="1" si="13"/>
        <v>1.0384920634088999E-2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input_427100!A$2</f>
        <v>427100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IFERROR(VLOOKUP(B275,input_427100!L:R,7,FALSE),VLOOKUP(tables_427100!C275,input_427100!A:H,8,FALSE))</f>
        <v>921.42857000000004</v>
      </c>
      <c r="P275" s="46">
        <f t="shared" ca="1" si="13"/>
        <v>1.7063492035235891E-4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input_427100!A$2</f>
        <v>427100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IFERROR(VLOOKUP(B276,input_427100!L:R,7,FALSE),VLOOKUP(tables_427100!C276,input_427100!A:H,8,FALSE))</f>
        <v>56078.571430000004</v>
      </c>
      <c r="P276" s="46">
        <f t="shared" ca="1" si="13"/>
        <v>1.0384920634088999E-2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input_427100!A$2</f>
        <v>427100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IFERROR(VLOOKUP(B277,input_427100!L:R,7,FALSE),VLOOKUP(tables_427100!C277,input_427100!A:H,8,FALSE))</f>
        <v>921.42857000000004</v>
      </c>
      <c r="P277" s="46">
        <f t="shared" ca="1" si="13"/>
        <v>1.7063492035235891E-4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input_427100!A$2</f>
        <v>427100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IFERROR(VLOOKUP(B278,input_427100!L:R,7,FALSE),VLOOKUP(tables_427100!C278,input_427100!A:H,8,FALSE))</f>
        <v>56078.571430000004</v>
      </c>
      <c r="P278" s="46">
        <f t="shared" ca="1" si="13"/>
        <v>1.0384920634088999E-2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input_427100!A$2</f>
        <v>427100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IFERROR(VLOOKUP(B279,input_427100!L:R,7,FALSE),VLOOKUP(tables_427100!C279,input_427100!A:H,8,FALSE))</f>
        <v>921.42857000000004</v>
      </c>
      <c r="P279" s="46">
        <f t="shared" ca="1" si="13"/>
        <v>1.7063492035235891E-4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input_427100!A$2</f>
        <v>427100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IFERROR(VLOOKUP(B280,input_427100!L:R,7,FALSE),VLOOKUP(tables_427100!C280,input_427100!A:H,8,FALSE))</f>
        <v>56078.571430000004</v>
      </c>
      <c r="P280" s="46">
        <f t="shared" ca="1" si="13"/>
        <v>1.0384920634088999E-2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input_427100!A$2</f>
        <v>427100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IFERROR(VLOOKUP(B281,input_427100!L:R,7,FALSE),VLOOKUP(tables_427100!C281,input_427100!A:H,8,FALSE))</f>
        <v>921.42857000000004</v>
      </c>
      <c r="P281" s="46">
        <f t="shared" ca="1" si="13"/>
        <v>1.7063492035235891E-4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input_427100!A$2</f>
        <v>427100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IFERROR(VLOOKUP(B282,input_427100!L:R,7,FALSE),VLOOKUP(tables_427100!C282,input_427100!A:H,8,FALSE))</f>
        <v>1000</v>
      </c>
      <c r="P282" s="46">
        <f t="shared" ca="1" si="13"/>
        <v>1.8518518516563785E-4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input_427100!A$2</f>
        <v>427100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IFERROR(VLOOKUP(B283,input_427100!L:R,7,FALSE),VLOOKUP(tables_427100!C283,input_427100!A:H,8,FALSE))</f>
        <v>1000</v>
      </c>
      <c r="P283" s="46">
        <f t="shared" ca="1" si="13"/>
        <v>1.8518518516563785E-4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input_427100!A$2</f>
        <v>427100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IFERROR(VLOOKUP(B284,input_427100!L:R,7,FALSE),VLOOKUP(tables_427100!C284,input_427100!A:H,8,FALSE))</f>
        <v>1000</v>
      </c>
      <c r="P284" s="46">
        <f t="shared" ca="1" si="13"/>
        <v>1.8518518516563785E-4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input_427100!A$2</f>
        <v>427100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IFERROR(VLOOKUP(B285,input_427100!L:R,7,FALSE),VLOOKUP(tables_427100!C285,input_427100!A:H,8,FALSE))</f>
        <v>1000</v>
      </c>
      <c r="P285" s="46">
        <f t="shared" ca="1" si="13"/>
        <v>1.8518518516563785E-4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input_427100!A$2</f>
        <v>427100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IFERROR(VLOOKUP(B286,input_427100!L:R,7,FALSE),VLOOKUP(tables_427100!C286,input_427100!A:H,8,FALSE))</f>
        <v>56078.571430000004</v>
      </c>
      <c r="P286" s="46">
        <f t="shared" ca="1" si="13"/>
        <v>1.0384920634088999E-2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input_427100!A$2</f>
        <v>427100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IFERROR(VLOOKUP(B287,input_427100!L:R,7,FALSE),VLOOKUP(tables_427100!C287,input_427100!A:H,8,FALSE))</f>
        <v>921.42857000000004</v>
      </c>
      <c r="P287" s="46">
        <f t="shared" ca="1" si="13"/>
        <v>1.7063492035235891E-4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input_427100!A$2</f>
        <v>427100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IFERROR(VLOOKUP(B288,input_427100!L:R,7,FALSE),VLOOKUP(tables_427100!C288,input_427100!A:H,8,FALSE))</f>
        <v>56078.571430000004</v>
      </c>
      <c r="P288" s="46">
        <f t="shared" ca="1" si="13"/>
        <v>1.0384920634088999E-2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input_427100!A$2</f>
        <v>427100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IFERROR(VLOOKUP(B289,input_427100!L:R,7,FALSE),VLOOKUP(tables_427100!C289,input_427100!A:H,8,FALSE))</f>
        <v>921.42857000000004</v>
      </c>
      <c r="P289" s="46">
        <f t="shared" ca="1" si="13"/>
        <v>1.7063492035235891E-4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input_427100!A$2</f>
        <v>427100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IFERROR(VLOOKUP(B290,input_427100!L:R,7,FALSE),VLOOKUP(tables_427100!C290,input_427100!A:H,8,FALSE))</f>
        <v>1000</v>
      </c>
      <c r="P290" s="46">
        <f t="shared" ca="1" si="13"/>
        <v>1.8518518516563785E-4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input_427100!A$2</f>
        <v>427100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IFERROR(VLOOKUP(B291,input_427100!L:R,7,FALSE),VLOOKUP(tables_427100!C291,input_427100!A:H,8,FALSE))</f>
        <v>56078.571430000004</v>
      </c>
      <c r="P291" s="46">
        <f t="shared" ca="1" si="13"/>
        <v>1.0384920634088999E-2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input_427100!A$2</f>
        <v>427100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IFERROR(VLOOKUP(B292,input_427100!L:R,7,FALSE),VLOOKUP(tables_427100!C292,input_427100!A:H,8,FALSE))</f>
        <v>921.42857000000004</v>
      </c>
      <c r="P292" s="46">
        <f t="shared" ca="1" si="13"/>
        <v>1.7063492035235891E-4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input_427100!A$2</f>
        <v>427100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IFERROR(VLOOKUP(B293,input_427100!L:R,7,FALSE),VLOOKUP(tables_427100!C293,input_427100!A:H,8,FALSE))</f>
        <v>1000</v>
      </c>
      <c r="P293" s="46">
        <f t="shared" ca="1" si="13"/>
        <v>1.8518518516563785E-4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input_427100!A$2</f>
        <v>427100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IFERROR(VLOOKUP(B294,input_427100!L:R,7,FALSE),VLOOKUP(tables_427100!C294,input_427100!A:H,8,FALSE))</f>
        <v>1000</v>
      </c>
      <c r="P294" s="46">
        <f t="shared" ca="1" si="13"/>
        <v>1.8518518516563785E-4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input_427100!A$2</f>
        <v>427100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IFERROR(VLOOKUP(B295,input_427100!L:R,7,FALSE),VLOOKUP(tables_427100!C295,input_427100!A:H,8,FALSE))</f>
        <v>1000</v>
      </c>
      <c r="P295" s="46">
        <f t="shared" ref="P295:P299" ca="1" si="20">O295/SUM(O:O)</f>
        <v>1.8518518516563785E-4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input_427100!A$2</f>
        <v>427100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IFERROR(VLOOKUP(B296,input_427100!L:R,7,FALSE),VLOOKUP(tables_427100!C296,input_427100!A:H,8,FALSE))</f>
        <v>1000</v>
      </c>
      <c r="P296" s="46">
        <f t="shared" ca="1" si="20"/>
        <v>1.8518518516563785E-4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input_427100!A$2</f>
        <v>427100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IFERROR(VLOOKUP(B297,input_427100!L:R,7,FALSE),VLOOKUP(tables_427100!C297,input_427100!A:H,8,FALSE))</f>
        <v>56078.571430000004</v>
      </c>
      <c r="P297" s="46">
        <f t="shared" ca="1" si="20"/>
        <v>1.0384920634088999E-2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input_427100!A$2</f>
        <v>427100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IFERROR(VLOOKUP(B298,input_427100!L:R,7,FALSE),VLOOKUP(tables_427100!C298,input_427100!A:H,8,FALSE))</f>
        <v>921.42857000000004</v>
      </c>
      <c r="P298" s="46">
        <f t="shared" ca="1" si="20"/>
        <v>1.7063492035235891E-4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input_427100!A$2</f>
        <v>427100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IFERROR(VLOOKUP(B299,input_427100!L:R,7,FALSE),VLOOKUP(tables_427100!C299,input_427100!A:H,8,FALSE))</f>
        <v>1000</v>
      </c>
      <c r="P299" s="46">
        <f t="shared" ca="1" si="20"/>
        <v>1.8518518516563785E-4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input_427100!A$2</f>
        <v>427100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IFERROR(VLOOKUP(B300,input_427100!L:R,7,FALSE),VLOOKUP(tables_427100!C300,input_427100!A:H,8,FALSE))</f>
        <v>56078.571430000004</v>
      </c>
      <c r="P300" s="46">
        <f t="shared" ref="P300:P304" ca="1" si="22">O300/SUM(O:O)</f>
        <v>1.0384920634088999E-2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input_427100!A$2</f>
        <v>427100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IFERROR(VLOOKUP(B301,input_427100!L:R,7,FALSE),VLOOKUP(tables_427100!C301,input_427100!A:H,8,FALSE))</f>
        <v>921.42857000000004</v>
      </c>
      <c r="P301" s="46">
        <f t="shared" ca="1" si="22"/>
        <v>1.7063492035235891E-4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input_427100!A$2</f>
        <v>427100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>IFERROR(VLOOKUP(B302,input_427100!L:R,7,FALSE),VLOOKUP(tables_427100!C302,input_427100!A:H,8,FALSE))</f>
        <v>54000</v>
      </c>
      <c r="P302" s="46">
        <f t="shared" ca="1" si="22"/>
        <v>9.9999999989444435E-3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input_427100!A$2</f>
        <v>427100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IFERROR(VLOOKUP(B303,input_427100!L:R,7,FALSE),VLOOKUP(tables_427100!C303,input_427100!A:H,8,FALSE))</f>
        <v>54000</v>
      </c>
      <c r="P303" s="46">
        <f t="shared" ca="1" si="22"/>
        <v>9.9999999989444435E-3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input_427100!A$2</f>
        <v>427100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IFERROR(VLOOKUP(B304,input_427100!L:R,7,FALSE),VLOOKUP(tables_427100!C304,input_427100!A:H,8,FALSE))</f>
        <v>1000</v>
      </c>
      <c r="P304" s="46">
        <f t="shared" ca="1" si="22"/>
        <v>1.8518518516563785E-4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input_427100!A$2</f>
        <v>427100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IFERROR(VLOOKUP(B305,input_427100!L:R,7,FALSE),VLOOKUP(tables_427100!C305,input_427100!A:H,8,FALSE))</f>
        <v>56078.571430000004</v>
      </c>
      <c r="P305" s="46">
        <f t="shared" ref="P305:P308" ca="1" si="24">O305/SUM(O:O)</f>
        <v>1.0384920634088999E-2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input_427100!A$2</f>
        <v>427100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IFERROR(VLOOKUP(B306,input_427100!L:R,7,FALSE),VLOOKUP(tables_427100!C306,input_427100!A:H,8,FALSE))</f>
        <v>921.42857000000004</v>
      </c>
      <c r="P306" s="46">
        <f t="shared" ca="1" si="24"/>
        <v>1.7063492035235891E-4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input_427100!A$2</f>
        <v>427100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IFERROR(VLOOKUP(B307,input_427100!L:R,7,FALSE),VLOOKUP(tables_427100!C307,input_427100!A:H,8,FALSE))</f>
        <v>1000</v>
      </c>
      <c r="P307" s="46">
        <f t="shared" ca="1" si="24"/>
        <v>1.8518518516563785E-4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input_427100!A$2</f>
        <v>427100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IFERROR(VLOOKUP(B308,input_427100!L:R,7,FALSE),VLOOKUP(tables_427100!C308,input_427100!A:H,8,FALSE))</f>
        <v>1000</v>
      </c>
      <c r="P308" s="46">
        <f t="shared" ca="1" si="24"/>
        <v>1.8518518516563785E-4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input_427100!A$2</f>
        <v>427100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IFERROR(VLOOKUP(B309,input_427100!L:R,7,FALSE),VLOOKUP(tables_427100!C309,input_427100!A:H,8,FALSE))</f>
        <v>1000</v>
      </c>
      <c r="P309" s="46">
        <f t="shared" ref="P309" ca="1" si="26">O309/SUM(O:O)</f>
        <v>1.8518518516563785E-4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input_427100!A$2</f>
        <v>427100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IFERROR(VLOOKUP(B310,input_427100!L:R,7,FALSE),VLOOKUP(tables_427100!C310,input_427100!A:H,8,FALSE))</f>
        <v>56078.571430000004</v>
      </c>
      <c r="P310" s="46">
        <f t="shared" ref="P310:P314" ca="1" si="29">O310/SUM(O:O)</f>
        <v>1.0384920634088999E-2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input_427100!A$2</f>
        <v>427100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IFERROR(VLOOKUP(B311,input_427100!L:R,7,FALSE),VLOOKUP(tables_427100!C311,input_427100!A:H,8,FALSE))</f>
        <v>921.42857000000004</v>
      </c>
      <c r="P311" s="46">
        <f t="shared" ca="1" si="29"/>
        <v>1.7063492035235891E-4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input_427100!A$2</f>
        <v>427100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IFERROR(VLOOKUP(B312,input_427100!L:R,7,FALSE),VLOOKUP(tables_427100!C312,input_427100!A:H,8,FALSE))</f>
        <v>1000</v>
      </c>
      <c r="P312" s="46">
        <f t="shared" ca="1" si="29"/>
        <v>1.8518518516563785E-4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input_427100!A$2</f>
        <v>427100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IFERROR(VLOOKUP(B313,input_427100!L:R,7,FALSE),VLOOKUP(tables_427100!C313,input_427100!A:H,8,FALSE))</f>
        <v>1000</v>
      </c>
      <c r="P313" s="46">
        <f t="shared" ca="1" si="29"/>
        <v>1.8518518516563785E-4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input_427100!A$2</f>
        <v>427100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IFERROR(VLOOKUP(B314,input_427100!L:R,7,FALSE),VLOOKUP(tables_427100!C314,input_427100!A:H,8,FALSE))</f>
        <v>1000</v>
      </c>
      <c r="P314" s="46">
        <f t="shared" ca="1" si="29"/>
        <v>1.8518518516563785E-4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input_427100!A$2</f>
        <v>427100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IFERROR(VLOOKUP(B315,input_427100!L:R,7,FALSE),VLOOKUP(tables_427100!C315,input_427100!A:H,8,FALSE))</f>
        <v>1000</v>
      </c>
      <c r="P315" s="46">
        <f t="shared" ref="P315:P319" ca="1" si="32">O315/SUM(O:O)</f>
        <v>1.8518518516563785E-4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input_427100!A$2</f>
        <v>427100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IFERROR(VLOOKUP(B316,input_427100!L:R,7,FALSE),VLOOKUP(tables_427100!C316,input_427100!A:H,8,FALSE))</f>
        <v>1000</v>
      </c>
      <c r="P316" s="46">
        <f t="shared" ca="1" si="32"/>
        <v>1.8518518516563785E-4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input_427100!A$2</f>
        <v>427100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IFERROR(VLOOKUP(B317,input_427100!L:R,7,FALSE),VLOOKUP(tables_427100!C317,input_427100!A:H,8,FALSE))</f>
        <v>1000</v>
      </c>
      <c r="P317" s="46">
        <f t="shared" ca="1" si="32"/>
        <v>1.8518518516563785E-4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input_427100!A$2</f>
        <v>427100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IFERROR(VLOOKUP(B318,input_427100!L:R,7,FALSE),VLOOKUP(tables_427100!C318,input_427100!A:H,8,FALSE))</f>
        <v>56078.571430000004</v>
      </c>
      <c r="P318" s="46">
        <f t="shared" ca="1" si="32"/>
        <v>1.0384920634088999E-2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input_427100!A$2</f>
        <v>427100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IFERROR(VLOOKUP(B319,input_427100!L:R,7,FALSE),VLOOKUP(tables_427100!C319,input_427100!A:H,8,FALSE))</f>
        <v>921.42857000000004</v>
      </c>
      <c r="P319" s="46">
        <f t="shared" ca="1" si="32"/>
        <v>1.7063492035235891E-4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input_427010</vt:lpstr>
      <vt:lpstr>tables_427010</vt:lpstr>
      <vt:lpstr>input_427100</vt:lpstr>
      <vt:lpstr>tables_427100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2016-10-06T03:10:27Z</dcterms:modified>
</cp:coreProperties>
</file>