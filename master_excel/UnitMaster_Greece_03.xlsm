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チェックシート" sheetId="55" r:id="rId16"/>
  </sheets>
  <externalReferences>
    <externalReference r:id="rId17"/>
    <externalReference r:id="rId18"/>
    <externalReference r:id="rId19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54" l="1"/>
  <c r="E4" i="54"/>
  <c r="E5" i="54"/>
  <c r="E6" i="54"/>
  <c r="E7" i="54"/>
  <c r="E8" i="54"/>
  <c r="E9" i="54"/>
  <c r="E10" i="54"/>
  <c r="E2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H2" i="23"/>
  <c r="G2" i="23"/>
  <c r="BC2" i="23"/>
  <c r="BD2" i="23"/>
  <c r="Q2" i="23"/>
  <c r="S2" i="23"/>
  <c r="W2" i="23"/>
  <c r="AA2" i="23"/>
  <c r="I2" i="23"/>
  <c r="J2" i="23"/>
  <c r="BK2" i="23"/>
  <c r="H3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<sst xmlns="http://schemas.openxmlformats.org/spreadsheetml/2006/main" count="863" uniqueCount="341">
  <si>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</si>
  <si>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</si>
  <si>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</si>
  <si>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</si>
  <si>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</si>
  <si>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</si>
  <si>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</si>
  <si>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</si>
  <si>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</si>
  <si>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</si>
  <si>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</si>
  <si>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</si>
  <si>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</si>
  <si>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</si>
  <si>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</si>
  <si>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</si>
  <si>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</si>
  <si>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</si>
  <si>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</si>
  <si>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</si>
  <si>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</si>
  <si>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</si>
  <si>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</si>
  <si>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</si>
  <si>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</si>
  <si>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</si>
  <si>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</si>
  <si>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</si>
  <si>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</si>
  <si>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</si>
  <si>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</si>
  <si>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</si>
  <si>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</si>
  <si>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</si>
  <si>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</si>
  <si>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</si>
  <si>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</si>
  <si>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</si>
  <si>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</si>
  <si>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</si>
  <si>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</si>
  <si>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</si>
  <si>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</si>
  <si>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</si>
  <si>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</si>
  <si>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</si>
  <si>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</si>
  <si>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</si>
  <si>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</si>
  <si>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</si>
  <si>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</si>
  <si>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</si>
  <si>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</si>
  <si>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</si>
  <si>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</si>
  <si>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</si>
  <si>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</si>
  <si>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</si>
  <si>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</si>
  <si>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</si>
  <si>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</si>
  <si>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</si>
  <si>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</si>
  <si>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</si>
  <si>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</si>
  <si>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</si>
  <si>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</si>
  <si>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</si>
  <si>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</si>
  <si>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</si>
  <si>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</si>
  <si>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</si>
  <si>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</si>
  <si>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</si>
  <si>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</si>
  <si>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</si>
  <si>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</si>
  <si>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</si>
  <si>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</si>
  <si>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</si>
  <si>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</si>
  <si>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</si>
  <si>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</si>
  <si>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</si>
  <si>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</si>
  <si>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</si>
  <si>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</si>
  <si>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</si>
  <si>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</si>
  <si>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</si>
  <si>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</si>
  <si>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</si>
  <si>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</si>
  <si>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</si>
  <si>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</si>
  <si>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</si>
  <si>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</si>
  <si>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</si>
  <si>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</si>
  <si>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</si>
  <si>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</si>
  <si>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</si>
  <si>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</si>
  <si>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</si>
  <si>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</si>
  <si>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</si>
  <si>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</si>
  <si>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</si>
  <si>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</si>
  <si>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</si>
  <si>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</si>
  <si>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</si>
  <si>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</si>
  <si>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</si>
  <si>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</si>
  <si>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</si>
  <si>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</si>
  <si>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</si>
  <si>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</si>
  <si>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</si>
  <si>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</si>
  <si>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</si>
  <si>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</si>
  <si>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</si>
  <si>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</si>
  <si>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</si>
  <si>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</si>
  <si>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</si>
  <si>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</si>
  <si>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</si>
  <si>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</si>
  <si>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</si>
  <si>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</si>
  <si>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</si>
  <si>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</si>
  <si>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</si>
  <si>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</si>
  <si>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</si>
  <si>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</si>
  <si>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</si>
  <si>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</si>
  <si>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</si>
  <si>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</si>
  <si>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</si>
  <si>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</si>
  <si>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</si>
  <si>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</si>
  <si>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</si>
  <si>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</si>
  <si>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</si>
  <si>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</si>
  <si>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</si>
  <si>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</si>
  <si>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</si>
  <si>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</si>
  <si>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</si>
  <si>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</si>
  <si>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</si>
  <si>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</si>
  <si>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</si>
  <si>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</si>
  <si>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</si>
  <si>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</si>
  <si>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</si>
  <si>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</si>
  <si>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</si>
  <si>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</si>
  <si>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</si>
  <si>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</si>
  <si>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</si>
  <si>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</si>
  <si>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</si>
  <si>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</si>
  <si>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</si>
  <si>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</si>
  <si>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</si>
  <si>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</si>
  <si>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</si>
  <si>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</si>
  <si>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</si>
  <si>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</si>
  <si>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</si>
  <si>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</si>
  <si>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</si>
  <si>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</si>
  <si>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</si>
  <si>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</si>
  <si>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</si>
  <si>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</si>
  <si>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</si>
  <si>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</si>
  <si>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</si>
  <si>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</si>
  <si>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</si>
  <si>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</si>
  <si>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</si>
  <si>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</si>
  <si>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</si>
  <si>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</si>
  <si>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</si>
  <si>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</si>
  <si>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</si>
  <si>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</si>
  <si>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</si>
  <si>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</si>
  <si>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</si>
  <si>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</si>
  <si>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</si>
  <si>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</si>
  <si>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</si>
  <si>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</si>
  <si>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</si>
  <si>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</si>
  <si>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</si>
  <si>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</si>
  <si>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</si>
  <si>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</si>
  <si>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</si>
  <si>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</si>
  <si>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</si>
  <si>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</si>
  <si>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</si>
  <si>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</si>
  <si>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</si>
  <si>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</si>
  <si>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</si>
  <si>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</si>
  <si>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</si>
  <si>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</si>
  <si>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</si>
  <si>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</si>
  <si>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</si>
  <si>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</si>
  <si>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</si>
  <si>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</si>
  <si>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</si>
  <si>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</si>
  <si>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</si>
  <si>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</si>
  <si>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</si>
  <si>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</si>
  <si>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</si>
  <si>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</si>
  <si>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</si>
  <si>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</si>
  <si>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</si>
  <si>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</si>
  <si>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</si>
  <si>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</si>
  <si>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</si>
  <si>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</si>
  <si>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</si>
  <si>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</si>
  <si>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</si>
  <si>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</si>
  <si>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</si>
  <si>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</si>
  <si>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</si>
  <si>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</si>
  <si>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</si>
  <si>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</si>
  <si>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</si>
  <si>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</si>
  <si>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</si>
  <si>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</si>
  <si>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</si>
  <si>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</si>
  <si>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</si>
  <si>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</si>
  <si>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</si>
  <si>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</si>
  <si>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</si>
  <si>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</si>
  <si>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</si>
  <si>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</si>
  <si>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</si>
  <si>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</si>
  <si>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</si>
  <si>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</si>
  <si>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</si>
  <si>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</si>
  <si>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</si>
  <si>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</si>
  <si>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</si>
  <si>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</si>
  <si>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</si>
  <si>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</si>
  <si>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</si>
  <si>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</si>
  <si>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</si>
  <si>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</si>
  <si>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</si>
  <si>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</si>
  <si>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</si>
  <si>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</si>
  <si>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</si>
  <si>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</si>
  <si>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</si>
  <si>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</si>
  <si>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</si>
  <si>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</si>
  <si>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</si>
  <si>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</si>
  <si>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</si>
  <si>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</si>
  <si>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</si>
  <si>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</si>
  <si>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</si>
  <si>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</si>
  <si>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</si>
  <si>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</si>
  <si>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</si>
  <si>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</si>
  <si>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</si>
  <si>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</si>
  <si>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</si>
  <si>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</si>
  <si>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Greece03</t>
    <phoneticPr fontId="22"/>
  </si>
  <si>
    <t>30</t>
    <phoneticPr fontId="22"/>
  </si>
  <si>
    <t>old</t>
  </si>
  <si>
    <t>1体に大ダメージ(与えたダメージの20%で回復)+2ターンの間緑属性ユニットの防御力大UP</t>
    <phoneticPr fontId="22"/>
  </si>
  <si>
    <t>黄パネルを緑パネルに変換+1体に特大ダメージ(与えたダメージの20%で回復)+2ターンの間緑属性ユニットの防御力大UP</t>
    <phoneticPr fontId="22"/>
  </si>
  <si>
    <t>1体に特大ダメージ</t>
    <phoneticPr fontId="22"/>
  </si>
  <si>
    <t>1体に特大ダメージ+
1ターン全ユニットの回復力小UP</t>
    <phoneticPr fontId="22"/>
  </si>
  <si>
    <t>荒々しき竜爪の閃攻</t>
    <phoneticPr fontId="22"/>
  </si>
  <si>
    <t>禍々しき竜爪の威煌</t>
    <phoneticPr fontId="22"/>
  </si>
  <si>
    <t>レイド・フロム・スカイ</t>
    <phoneticPr fontId="22"/>
  </si>
  <si>
    <t>プレッシャー・フロム・スカイ</t>
    <phoneticPr fontId="22"/>
  </si>
  <si>
    <t>準備運動させてもらうか</t>
    <phoneticPr fontId="22"/>
  </si>
  <si>
    <t>giza</t>
  </si>
  <si>
    <t>どこから捌かれたい？</t>
    <phoneticPr fontId="22"/>
  </si>
  <si>
    <t>遅すぎる…オマエ</t>
    <phoneticPr fontId="22"/>
  </si>
  <si>
    <t>つまらない狩りだ…</t>
    <phoneticPr fontId="22"/>
  </si>
  <si>
    <t>恐怖の中でもがくがいい！</t>
    <phoneticPr fontId="22"/>
  </si>
  <si>
    <t>…震えているのか？</t>
    <phoneticPr fontId="22"/>
  </si>
  <si>
    <t>[effect:damage, target:enemy_one, color:green, val:2.25, animation:damage_one_green04]</t>
    <phoneticPr fontId="22"/>
  </si>
  <si>
    <t>[effect:damage, target:enemy_one, color:green, val:2.25, animation:damage_one_green04],[effect:enhance_unit, target:unit_all, turn:1, status:heal, val:0.015, calc:mul, animation:enhance_unit_all_heal01_unit01]</t>
    <phoneticPr fontId="22"/>
  </si>
  <si>
    <t>[effect:enhance_unit, target:unit_green, turn:2, status:defense, val:960, calc:add, animation:enhance_unit_all_defense03_unit01],[effect:damage_absorb, target:enemy_one, color:green, val:5.95, heal_ratio:0.2, animation:damage_one_green03]</t>
    <phoneticPr fontId="22"/>
  </si>
  <si>
    <t>[effect:force_change_block, new_block:block_green, target:block_yellow, count:0, val:0, animation:change_block],[effect:enhance_unit, target:unit_green, turn:2, status:defense, val:720, calc:add, animation:enhance_unit_all_defense03_unit01],[effect:damage_absorb, target:enemy_one, color:green, val:8.16, heal_ratio:0.2, animation:damage_one_green04]</t>
    <phoneticPr fontId="22"/>
  </si>
  <si>
    <t>sell_ghosts</t>
    <phoneticPr fontId="22"/>
  </si>
  <si>
    <t>sell_ghosts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</si>
</sst>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1800</v>
          </cell>
          <cell r="B126" t="str">
            <v>ja</v>
          </cell>
          <cell r="C126" t="str">
            <v>フィーバー 自身攻撃回復力UP</v>
          </cell>
          <cell r="D126" t="str">
            <v>フィーバー時自身の攻撃力、回復力を特大UP</v>
          </cell>
        </row>
        <row r="127">
          <cell r="A127">
            <v>119402</v>
          </cell>
          <cell r="B127" t="str">
            <v>ja</v>
          </cell>
          <cell r="C127" t="str">
            <v>ハロウィンナイトパニック！ 威力UP</v>
          </cell>
          <cell r="D127" t="str">
            <v>ハロウィンナイトパニック！内で自身の全ての攻撃の威力を究極UP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1700</v>
          </cell>
          <cell r="B201" t="str">
            <v>ja</v>
          </cell>
          <cell r="C201" t="str">
            <v>パネルブレイク30 ターンHP小回復</v>
          </cell>
          <cell r="D201" t="str">
            <v>自身が先頭の時、1ターンの間に合計30個以上パネルを破壊した場合に1ターン HP小回復</v>
          </cell>
        </row>
        <row r="202">
          <cell r="A202">
            <v>1701</v>
          </cell>
          <cell r="B202" t="str">
            <v>ja</v>
          </cell>
          <cell r="C202" t="str">
            <v>ターン終了時HP回復</v>
          </cell>
          <cell r="D202" t="str">
            <v>最初の1ターン目と、その後5ターン毎のターン終了時、HPを2500回復する</v>
          </cell>
        </row>
        <row r="203">
          <cell r="A203">
            <v>1702</v>
          </cell>
          <cell r="B203" t="str">
            <v>ja</v>
          </cell>
          <cell r="C203" t="str">
            <v>ターン経過攻撃力UP</v>
          </cell>
          <cell r="D203" t="str">
            <v>最初の1ターン目と、その後6ターン毎に1ターン種族ドラゴン・ファンタジー・アニマルの攻撃力を1000UP</v>
          </cell>
        </row>
        <row r="204">
          <cell r="A204">
            <v>1800</v>
          </cell>
          <cell r="B204" t="str">
            <v>ja</v>
          </cell>
          <cell r="C204" t="str">
            <v>フィーバー強化</v>
          </cell>
          <cell r="D204" t="str">
            <v>フィーバー時自身の攻撃力、回復力を特大UP</v>
          </cell>
        </row>
        <row r="205">
          <cell r="A205">
            <v>1900</v>
          </cell>
          <cell r="B205" t="str">
            <v>ja</v>
          </cell>
          <cell r="C205" t="str">
            <v>ハート出現率UP</v>
          </cell>
          <cell r="D205" t="str">
            <v>自身が先頭の時、ハートパネルの出現率UP</v>
          </cell>
        </row>
        <row r="206">
          <cell r="A206">
            <v>2000</v>
          </cell>
          <cell r="B206" t="str">
            <v>ja</v>
          </cell>
          <cell r="C206" t="str">
            <v>赤パネル出現率UP</v>
          </cell>
          <cell r="D206" t="str">
            <v>自身が先頭の時、赤パネルの出現率UP</v>
          </cell>
        </row>
        <row r="207">
          <cell r="A207">
            <v>2100</v>
          </cell>
          <cell r="B207" t="str">
            <v>ja</v>
          </cell>
          <cell r="C207" t="str">
            <v>緑パネル出現率UP</v>
          </cell>
          <cell r="D207" t="str">
            <v>自身が先頭の時、緑パネルの出現率UP</v>
          </cell>
        </row>
        <row r="208">
          <cell r="A208">
            <v>2101</v>
          </cell>
          <cell r="B208" t="str">
            <v>ja</v>
          </cell>
          <cell r="C208" t="str">
            <v>緑パネル出現率UP</v>
          </cell>
          <cell r="D208" t="str">
            <v>自身が先頭の時、緑パネルの出現率UP</v>
          </cell>
        </row>
        <row r="209">
          <cell r="A209">
            <v>2200</v>
          </cell>
          <cell r="B209" t="str">
            <v>ja</v>
          </cell>
          <cell r="C209" t="str">
            <v>青パネル出現率UP</v>
          </cell>
          <cell r="D209" t="str">
            <v>自身が先頭の時、青パネルの出現率UP</v>
          </cell>
        </row>
        <row r="210">
          <cell r="A210">
            <v>2201</v>
          </cell>
          <cell r="B210" t="str">
            <v>ja</v>
          </cell>
          <cell r="C210" t="str">
            <v>青パネル出現率UP</v>
          </cell>
          <cell r="D210" t="str">
            <v>自身が先頭の時、青パネルの出現率UP</v>
          </cell>
        </row>
        <row r="211">
          <cell r="A211">
            <v>2300</v>
          </cell>
          <cell r="B211" t="str">
            <v>ja</v>
          </cell>
          <cell r="C211" t="str">
            <v>黄パネル出現率UP</v>
          </cell>
          <cell r="D211" t="str">
            <v>自身が先頭の時、黄パネルの出現率UP</v>
          </cell>
        </row>
        <row r="212">
          <cell r="A212">
            <v>2400</v>
          </cell>
          <cell r="B212" t="str">
            <v>ja</v>
          </cell>
          <cell r="C212" t="str">
            <v>ハートボムパネルドロップ</v>
          </cell>
          <cell r="D212" t="str">
            <v>自身が先頭の時、ハートパネルを確率でハートボムパネルに変換しドロップ</v>
          </cell>
        </row>
        <row r="213">
          <cell r="A213">
            <v>2401</v>
          </cell>
          <cell r="B213" t="str">
            <v>ja</v>
          </cell>
          <cell r="C213" t="str">
            <v>赤ボムパネルドロップ</v>
          </cell>
          <cell r="D213" t="str">
            <v>自身が先頭の時、赤パネルを低確率で赤ボムパネルに変換しドロップ</v>
          </cell>
        </row>
        <row r="214">
          <cell r="A214">
            <v>2402</v>
          </cell>
          <cell r="B214" t="str">
            <v>ja</v>
          </cell>
          <cell r="C214" t="str">
            <v>緑ボムパネルドロップ</v>
          </cell>
          <cell r="D214" t="str">
            <v>自身が先頭の時、緑パネルを低確率で緑ボムパネルに変換しドロップ</v>
          </cell>
        </row>
        <row r="215">
          <cell r="A215">
            <v>2403</v>
          </cell>
          <cell r="B215" t="str">
            <v>ja</v>
          </cell>
          <cell r="C215" t="str">
            <v>青ボムパネルドロップ</v>
          </cell>
          <cell r="D215" t="str">
            <v>自身が先頭の時、青パネルを確率で青ボムパネルに変換しドロップ</v>
          </cell>
        </row>
        <row r="216">
          <cell r="A216">
            <v>2500</v>
          </cell>
          <cell r="B216" t="str">
            <v>ja</v>
          </cell>
          <cell r="C216" t="str">
            <v>青パネルドロップ</v>
          </cell>
          <cell r="D216" t="str">
            <v>自身が先頭の時、緑パネルを確率で青パネルに変換しドロップ</v>
          </cell>
        </row>
        <row r="217">
          <cell r="A217">
            <v>2501</v>
          </cell>
          <cell r="B217" t="str">
            <v>ja</v>
          </cell>
          <cell r="C217" t="str">
            <v>黄パネルドロップ</v>
          </cell>
          <cell r="D217" t="str">
            <v>自身が先頭の時、青パネルを確率で黄パネルに変換しドロップ</v>
          </cell>
        </row>
        <row r="218">
          <cell r="A218">
            <v>2502</v>
          </cell>
          <cell r="B218" t="str">
            <v>ja</v>
          </cell>
          <cell r="C218" t="str">
            <v>赤パネルドロップ</v>
          </cell>
          <cell r="D218" t="str">
            <v>自身が先頭の時、黄パネルを確率で赤パネルに変換しドロップ</v>
          </cell>
        </row>
        <row r="219">
          <cell r="A219">
            <v>2503</v>
          </cell>
          <cell r="B219" t="str">
            <v>ja</v>
          </cell>
          <cell r="C219" t="str">
            <v>黄パネルドロップ</v>
          </cell>
          <cell r="D219" t="str">
            <v>自身が先頭の時、赤パネルを確率で黄パネルに変換しドロップ</v>
          </cell>
        </row>
        <row r="220">
          <cell r="A220">
            <v>2504</v>
          </cell>
          <cell r="B220" t="str">
            <v>ja</v>
          </cell>
          <cell r="C220" t="str">
            <v>SCパネルドロップ</v>
          </cell>
          <cell r="D220" t="str">
            <v>自身が先頭の時、緑パネルを確率でSCパネルに変換しドロップ</v>
          </cell>
        </row>
        <row r="221">
          <cell r="A221">
            <v>2505</v>
          </cell>
          <cell r="B221" t="str">
            <v>ja</v>
          </cell>
          <cell r="C221" t="str">
            <v>緑ボムパネル(大)ドロップ</v>
          </cell>
          <cell r="D221" t="str">
            <v>自身が先頭の時、低確率で緑ボムパネル(大)をドロップ</v>
          </cell>
        </row>
        <row r="222">
          <cell r="A222">
            <v>2506</v>
          </cell>
          <cell r="B222" t="str">
            <v>ja</v>
          </cell>
          <cell r="C222" t="str">
            <v>ハートボムパネル(大)ドロップ</v>
          </cell>
          <cell r="D222" t="str">
            <v>自身が先頭の時、低確率でハートボムパネル(大)をドロップ</v>
          </cell>
        </row>
        <row r="223">
          <cell r="A223">
            <v>2507</v>
          </cell>
          <cell r="B223" t="str">
            <v>ja</v>
          </cell>
          <cell r="C223" t="str">
            <v>Cパネルドロップ</v>
          </cell>
          <cell r="D223" t="str">
            <v>自身が先頭の時、低確率でCパネルをドロップ</v>
          </cell>
        </row>
        <row r="224">
          <cell r="A224">
            <v>2508</v>
          </cell>
          <cell r="B224" t="str">
            <v>ja</v>
          </cell>
          <cell r="C224" t="str">
            <v>黄パネルドロップ</v>
          </cell>
          <cell r="D224" t="str">
            <v>自身が先頭の時、緑パネルを確率で黄パネルに変換しドロップ</v>
          </cell>
        </row>
        <row r="225">
          <cell r="A225">
            <v>2509</v>
          </cell>
          <cell r="B225" t="str">
            <v>ja</v>
          </cell>
          <cell r="C225" t="str">
            <v>赤ボムパネル(大)ドロップ</v>
          </cell>
          <cell r="D225" t="str">
            <v>自身が先頭の時、低確率で赤ボムパネル(大)をドロップ</v>
          </cell>
        </row>
        <row r="226">
          <cell r="A226">
            <v>2510</v>
          </cell>
          <cell r="B226" t="str">
            <v>ja</v>
          </cell>
          <cell r="C226" t="str">
            <v>青ボムパネル(大)ドロップ</v>
          </cell>
          <cell r="D226" t="str">
            <v>自身が先頭の時、低確率で青ボムパネル(大)をドロップ</v>
          </cell>
        </row>
        <row r="227">
          <cell r="A227">
            <v>2511</v>
          </cell>
          <cell r="B227" t="str">
            <v>ja</v>
          </cell>
          <cell r="C227" t="str">
            <v>緑ボムパネルドロップ</v>
          </cell>
          <cell r="D227" t="str">
            <v>自身が先頭の時、ハートパネルを確率で緑ボムパネルに変換しドロップ</v>
          </cell>
        </row>
        <row r="228">
          <cell r="A228">
            <v>2512</v>
          </cell>
          <cell r="B228" t="str">
            <v>ja</v>
          </cell>
          <cell r="C228" t="str">
            <v>ハートボムパネル(大)ドロップ</v>
          </cell>
          <cell r="D228" t="str">
            <v>自身が先頭の時、低確率でハートボムパネル(大)をドロップ</v>
          </cell>
        </row>
        <row r="229">
          <cell r="A229">
            <v>2513</v>
          </cell>
          <cell r="B229" t="str">
            <v>ja</v>
          </cell>
          <cell r="C229" t="str">
            <v>緑ボムパネル(大)ドロップ</v>
          </cell>
          <cell r="D229" t="str">
            <v>自身が先頭の時、低確率で緑ボムパネル(大)をドロップ</v>
          </cell>
        </row>
        <row r="230">
          <cell r="A230">
            <v>2514</v>
          </cell>
          <cell r="B230" t="str">
            <v>ja</v>
          </cell>
          <cell r="C230" t="str">
            <v>赤ボムパネルドロップ</v>
          </cell>
          <cell r="D230" t="str">
            <v>自身が先頭の時、青パネルを低確率で赤ボムパネルに変換しドロップ</v>
          </cell>
        </row>
        <row r="231">
          <cell r="A231">
            <v>2600</v>
          </cell>
          <cell r="B231" t="str">
            <v>ja</v>
          </cell>
          <cell r="C231" t="str">
            <v>回復力400UP</v>
          </cell>
          <cell r="D231" t="str">
            <v>自身の回復力を400UP</v>
          </cell>
        </row>
        <row r="232">
          <cell r="A232">
            <v>2601</v>
          </cell>
          <cell r="B232" t="str">
            <v>ja</v>
          </cell>
          <cell r="C232" t="str">
            <v>回復力300UP</v>
          </cell>
          <cell r="D232" t="str">
            <v>自身の回復力を300UP</v>
          </cell>
        </row>
        <row r="233">
          <cell r="A233">
            <v>2700</v>
          </cell>
          <cell r="B233" t="str">
            <v>ja</v>
          </cell>
          <cell r="C233" t="str">
            <v>攻撃力UP</v>
          </cell>
          <cell r="D233" t="str">
            <v>自身の攻撃力を300UP</v>
          </cell>
        </row>
        <row r="234">
          <cell r="A234">
            <v>2701</v>
          </cell>
          <cell r="B234" t="str">
            <v>ja</v>
          </cell>
          <cell r="C234" t="str">
            <v>攻撃力UP</v>
          </cell>
          <cell r="D234" t="str">
            <v>自身の攻撃力を500UP</v>
          </cell>
        </row>
        <row r="235">
          <cell r="A235">
            <v>2800</v>
          </cell>
          <cell r="B235" t="str">
            <v>ja</v>
          </cell>
          <cell r="C235" t="str">
            <v>防御力UP</v>
          </cell>
          <cell r="D235" t="str">
            <v>自身の防御力を250UP</v>
          </cell>
        </row>
        <row r="236">
          <cell r="A236">
            <v>2801</v>
          </cell>
          <cell r="B236" t="str">
            <v>ja</v>
          </cell>
          <cell r="C236" t="str">
            <v>防御力UP</v>
          </cell>
          <cell r="D236" t="str">
            <v>自身の防御力を350UP</v>
          </cell>
        </row>
        <row r="237">
          <cell r="A237">
            <v>2802</v>
          </cell>
          <cell r="B237" t="str">
            <v>ja</v>
          </cell>
          <cell r="C237" t="str">
            <v>防御力UP</v>
          </cell>
          <cell r="D237" t="str">
            <v>自身の防御力を300UP</v>
          </cell>
        </row>
        <row r="238">
          <cell r="A238">
            <v>2803</v>
          </cell>
          <cell r="B238" t="str">
            <v>ja</v>
          </cell>
          <cell r="C238" t="str">
            <v>防御力UP</v>
          </cell>
          <cell r="D238" t="str">
            <v>自身の防御力を400UP</v>
          </cell>
        </row>
        <row r="239">
          <cell r="A239">
            <v>2804</v>
          </cell>
          <cell r="B239" t="str">
            <v>ja</v>
          </cell>
          <cell r="C239" t="str">
            <v>防御力UP</v>
          </cell>
          <cell r="D239" t="str">
            <v>自身の防御力を280UP</v>
          </cell>
        </row>
        <row r="240">
          <cell r="A240">
            <v>2805</v>
          </cell>
          <cell r="B240" t="str">
            <v>ja</v>
          </cell>
          <cell r="C240" t="str">
            <v>ターン防御力UP</v>
          </cell>
          <cell r="D240" t="str">
            <v>最初の1ターン目と、その後3ターン毎に1ターン緑属性ユニットの防御力を500UP</v>
          </cell>
        </row>
        <row r="241">
          <cell r="A241">
            <v>2900</v>
          </cell>
          <cell r="B241" t="str">
            <v>ja</v>
          </cell>
          <cell r="C241" t="str">
            <v>フィーバー50 攻撃力小UP</v>
          </cell>
          <cell r="D241" t="str">
            <v>フィーバーゲージが50％以上の時、自身の攻撃力小UP</v>
          </cell>
        </row>
        <row r="242">
          <cell r="A242">
            <v>2901</v>
          </cell>
          <cell r="B242" t="str">
            <v>ja</v>
          </cell>
          <cell r="C242" t="str">
            <v>フィーバー40 攻撃力UP</v>
          </cell>
          <cell r="D242" t="str">
            <v>フィーバーゲージが40％以上の時、自身の攻撃力UP</v>
          </cell>
        </row>
        <row r="243">
          <cell r="A243">
            <v>2902</v>
          </cell>
          <cell r="B243" t="str">
            <v>ja</v>
          </cell>
          <cell r="C243" t="str">
            <v>フィーバー80 攻撃力大UP</v>
          </cell>
          <cell r="D243" t="str">
            <v>フィーバーゲージが80％以上の時、自身の攻撃力大UP</v>
          </cell>
        </row>
        <row r="244">
          <cell r="A244">
            <v>2903</v>
          </cell>
          <cell r="B244" t="str">
            <v>ja</v>
          </cell>
          <cell r="C244" t="str">
            <v>フィーバー100 攻撃参加</v>
          </cell>
          <cell r="D244" t="str">
            <v>フィーバーゲージが100％の時、自身が先頭以外でも通常攻撃に参加する</v>
          </cell>
        </row>
        <row r="245">
          <cell r="A245">
            <v>2904</v>
          </cell>
          <cell r="B245" t="str">
            <v>ja</v>
          </cell>
          <cell r="C245" t="str">
            <v>フィーバー70 HP回復</v>
          </cell>
          <cell r="D245" t="str">
            <v>フィーバーゲージが70%以上の時、毎ターン終了時、HPを1500回復する</v>
          </cell>
        </row>
        <row r="246">
          <cell r="A246">
            <v>3000</v>
          </cell>
          <cell r="B246" t="str">
            <v>ja</v>
          </cell>
          <cell r="C246" t="str">
            <v>攻撃参加</v>
          </cell>
          <cell r="D246" t="str">
            <v>最初の1ターン目と、その後7ターン毎に自身が先頭以外でも通常攻撃に参加する</v>
          </cell>
        </row>
        <row r="247">
          <cell r="A247">
            <v>3001</v>
          </cell>
          <cell r="B247" t="str">
            <v>ja</v>
          </cell>
          <cell r="C247" t="str">
            <v>攻撃参加</v>
          </cell>
          <cell r="D247" t="str">
            <v>最初の1ターン目と、その後6ターン毎に自身が先頭以外でも通常攻撃に参加する</v>
          </cell>
        </row>
        <row r="248">
          <cell r="A248">
            <v>3002</v>
          </cell>
          <cell r="B248" t="str">
            <v>ja</v>
          </cell>
          <cell r="C248" t="str">
            <v>攻撃参加</v>
          </cell>
          <cell r="D248" t="str">
            <v>最初の1ターン目と、その後9ターン毎に自身が先頭以外でも通常攻撃に参加する</v>
          </cell>
        </row>
        <row r="249">
          <cell r="A249">
            <v>3100</v>
          </cell>
          <cell r="B249" t="str">
            <v>ja</v>
          </cell>
          <cell r="C249" t="str">
            <v>最終フロア Cパネル生成短縮(特大)</v>
          </cell>
          <cell r="D249" t="str">
            <v>最終フロア内で自身が先頭の時、Cパネル生成に必要なチェイン数を短縮する</v>
          </cell>
        </row>
        <row r="250">
          <cell r="A250">
            <v>3101</v>
          </cell>
          <cell r="B250" t="str">
            <v>ja</v>
          </cell>
          <cell r="C250" t="str">
            <v>ボスフロア時 バリア3000</v>
          </cell>
          <cell r="D250" t="str">
            <v>ボスフロア到達時に自身への直接ダメージを3000まで防ぐバリアを一度だけ展開(バリアは破壊されると復活しない)</v>
          </cell>
        </row>
        <row r="251">
          <cell r="A251">
            <v>3102</v>
          </cell>
          <cell r="B251" t="str">
            <v>ja</v>
          </cell>
          <cell r="C251" t="str">
            <v>ボスフロア時 Cスキル威力UP</v>
          </cell>
          <cell r="D251" t="str">
            <v>ボスフロアの1ターン目終了時に自身のCスキルの威力をUP</v>
          </cell>
        </row>
        <row r="252">
          <cell r="A252">
            <v>3103</v>
          </cell>
          <cell r="B252" t="str">
            <v>ja</v>
          </cell>
          <cell r="C252" t="str">
            <v>ボスフロア 攻撃力UP</v>
          </cell>
          <cell r="D252" t="str">
            <v>ボスフロア内で自身の攻撃力を700UP</v>
          </cell>
        </row>
        <row r="253">
          <cell r="A253">
            <v>3104</v>
          </cell>
          <cell r="B253" t="str">
            <v>ja</v>
          </cell>
          <cell r="C253" t="str">
            <v>ボスフロア時 バリア5000</v>
          </cell>
          <cell r="D253" t="str">
            <v>ボスフロア到達時に自身への直接ダメージを5000まで防ぐバリアを一度だけ展開(バリアは破壊されると復活しない)</v>
          </cell>
        </row>
        <row r="254">
          <cell r="A254">
            <v>3105</v>
          </cell>
          <cell r="B254" t="str">
            <v>ja</v>
          </cell>
          <cell r="C254" t="str">
            <v>ボスフロア時 バリア7000</v>
          </cell>
          <cell r="D254" t="str">
            <v>ボスフロア到達時に自身への直接ダメージを7000まで防ぐバリアを一度だけ展開(バリアは破壊されると復活しない)</v>
          </cell>
        </row>
        <row r="255">
          <cell r="A255">
            <v>3200</v>
          </cell>
          <cell r="B255" t="str">
            <v>ja</v>
          </cell>
          <cell r="C255" t="str">
            <v>HP33%以下 攻撃力UP</v>
          </cell>
          <cell r="D255" t="str">
            <v>自身が先頭の時、残りHPが33%以下で攻撃力特大UP</v>
          </cell>
        </row>
        <row r="256">
          <cell r="A256">
            <v>3201</v>
          </cell>
          <cell r="B256" t="str">
            <v>ja</v>
          </cell>
          <cell r="C256" t="str">
            <v>HP35%以下 回復力UP</v>
          </cell>
          <cell r="D256" t="str">
            <v>自身が先頭の時、残りHPが35%以下で回復力40%UP</v>
          </cell>
        </row>
        <row r="257">
          <cell r="A257">
            <v>3202</v>
          </cell>
          <cell r="B257" t="str">
            <v>ja</v>
          </cell>
          <cell r="C257" t="str">
            <v>HP90%以上 全属性耐性15</v>
          </cell>
          <cell r="D257" t="str">
            <v>自身が先頭の時、残りHPが90%以上で全ユニットに対する全属性の敵からの攻撃を15％軽減</v>
          </cell>
        </row>
        <row r="258">
          <cell r="A258">
            <v>3203</v>
          </cell>
          <cell r="B258" t="str">
            <v>ja</v>
          </cell>
          <cell r="C258" t="str">
            <v>HP50%以下 防御力UP</v>
          </cell>
          <cell r="D258" t="str">
            <v>自身が先頭の時、残りHPが50%以下で防御力398UP</v>
          </cell>
        </row>
        <row r="259">
          <cell r="A259">
            <v>3204</v>
          </cell>
          <cell r="B259" t="str">
            <v>ja</v>
          </cell>
          <cell r="C259" t="str">
            <v>HP30%以下 攻撃力大UP</v>
          </cell>
          <cell r="D259" t="str">
            <v>自身が先頭の時、残りHPが30%以下で攻撃力大UP</v>
          </cell>
        </row>
        <row r="260">
          <cell r="A260">
            <v>3205</v>
          </cell>
          <cell r="B260" t="str">
            <v>ja</v>
          </cell>
          <cell r="C260" t="str">
            <v>HP90%以上 ダメージ軽減</v>
          </cell>
          <cell r="D260" t="str">
            <v>残りHPが90%以上の時、全ユニットが敵からの攻撃を15％軽減</v>
          </cell>
        </row>
        <row r="261">
          <cell r="A261">
            <v>4000</v>
          </cell>
          <cell r="B261" t="str">
            <v>ja</v>
          </cell>
          <cell r="C261" t="str">
            <v>被ダメージ時 HP回復</v>
          </cell>
          <cell r="D261" t="str">
            <v>自身が攻撃を受けた場合、次のターンの開始時にHP500回復する</v>
          </cell>
        </row>
        <row r="262">
          <cell r="A262">
            <v>8000</v>
          </cell>
          <cell r="B262" t="str">
            <v>ja</v>
          </cell>
          <cell r="C262" t="str">
            <v>ユニットが一番右にいるとき 攻撃力UP</v>
          </cell>
          <cell r="D262" t="str">
            <v>自身が一番右にいる場合、全ユニットの攻撃力UP</v>
          </cell>
        </row>
        <row r="263">
          <cell r="A263">
            <v>8001</v>
          </cell>
          <cell r="B263" t="str">
            <v>ja</v>
          </cell>
          <cell r="C263" t="str">
            <v>敵に青属性がいる場合 小カウンター</v>
          </cell>
          <cell r="D263" t="str">
            <v>敵に青属性がいる場合、小カウンター</v>
          </cell>
        </row>
        <row r="264">
          <cell r="A264">
            <v>8002</v>
          </cell>
          <cell r="B264" t="str">
            <v>ja</v>
          </cell>
          <cell r="C264" t="str">
            <v>テスト</v>
          </cell>
          <cell r="D264" t="str">
            <v>フロアスタート時、1ターン全ユニットの攻撃力UP</v>
          </cell>
        </row>
        <row r="265">
          <cell r="A265">
            <v>8003</v>
          </cell>
          <cell r="B265" t="str">
            <v>ja</v>
          </cell>
          <cell r="C265" t="str">
            <v>HP70%以上 ウィルス無効</v>
          </cell>
          <cell r="D265" t="str">
            <v>残りHPが70%以上で自身にかかるウィルスを無効化する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8006</v>
          </cell>
          <cell r="B291" t="str">
            <v>ja</v>
          </cell>
          <cell r="C291" t="str">
            <v>攻撃、回復、体力のCP短縮1</v>
          </cell>
          <cell r="D291" t="str">
            <v>攻撃、回復、体力のCP短縮1</v>
          </cell>
        </row>
        <row r="292">
          <cell r="A292">
            <v>8007</v>
          </cell>
          <cell r="B292" t="str">
            <v>ja</v>
          </cell>
          <cell r="C292" t="str">
            <v>自身の左ユニットが攻撃参加</v>
          </cell>
          <cell r="D292" t="str">
            <v>自身の左ユニットが攻撃参加</v>
          </cell>
        </row>
        <row r="293">
          <cell r="A293">
            <v>8008</v>
          </cell>
          <cell r="B293" t="str">
            <v>ja</v>
          </cell>
          <cell r="C293" t="str">
            <v>ターン経過回復力UP</v>
          </cell>
          <cell r="D293" t="str">
            <v>最初の1ターン目と、その後4ターン毎に2ターン全ユニットの回復力を1500UP</v>
          </cell>
        </row>
        <row r="294">
          <cell r="A294">
            <v>8009</v>
          </cell>
          <cell r="B294" t="str">
            <v>ja</v>
          </cell>
          <cell r="C294" t="str">
            <v>最終フロア Cパネル生成短縮(特大)</v>
          </cell>
          <cell r="D294" t="str">
            <v>最終フロア内で自身が先頭の時、Cパネル生成に必要なチェイン数を4短縮する</v>
          </cell>
        </row>
        <row r="295">
          <cell r="A295">
            <v>9000</v>
          </cell>
          <cell r="B295" t="str">
            <v>ja</v>
          </cell>
          <cell r="C295" t="str">
            <v>ハップルチャレンジ ダメージUP</v>
          </cell>
          <cell r="D295" t="str">
            <v>ハップルチャレンジ内で自身の全ての攻撃の威力をUP</v>
          </cell>
        </row>
        <row r="296">
          <cell r="A296">
            <v>9001</v>
          </cell>
          <cell r="B296" t="str">
            <v>ja</v>
          </cell>
          <cell r="C296" t="str">
            <v>クロネッカーチャレンジ ダメージUP</v>
          </cell>
          <cell r="D296" t="str">
            <v>クロネッカーチャレンジ内で自身の全ての攻撃の威力をUP</v>
          </cell>
        </row>
        <row r="297">
          <cell r="A297">
            <v>9002</v>
          </cell>
          <cell r="B297" t="str">
            <v>ja</v>
          </cell>
          <cell r="C297" t="str">
            <v>クロネッカーチャレンジ ダメージUP</v>
          </cell>
          <cell r="D297" t="str">
            <v>クロネッカーチャレンジ内で自身の全ての攻撃+カウンターの威力をUP</v>
          </cell>
        </row>
        <row r="298">
          <cell r="A298">
            <v>9003</v>
          </cell>
          <cell r="B298" t="str">
            <v>ja</v>
          </cell>
          <cell r="C298" t="str">
            <v>オイラーチャレンジ ダメージUP</v>
          </cell>
          <cell r="D298" t="str">
            <v>オイラーチャレンジ内で自身の全ての攻撃の威力をUP</v>
          </cell>
        </row>
        <row r="299">
          <cell r="A299">
            <v>9004</v>
          </cell>
          <cell r="B299" t="str">
            <v>ja</v>
          </cell>
          <cell r="C299" t="str">
            <v>オイラーチャレンジ ダメージ究極UP</v>
          </cell>
          <cell r="D299" t="str">
            <v>オイラーチャレンジ内で自身の全ての攻撃の威力を究極UP</v>
          </cell>
        </row>
        <row r="300">
          <cell r="A300">
            <v>9005</v>
          </cell>
          <cell r="B300" t="str">
            <v>ja</v>
          </cell>
          <cell r="C300" t="str">
            <v>ヘンペルチャレンジ ダメージUP</v>
          </cell>
          <cell r="D300" t="str">
            <v>ヘンペルチャレンジ内で自身の全ての攻撃の威力をUP</v>
          </cell>
        </row>
        <row r="301">
          <cell r="A301">
            <v>9006</v>
          </cell>
          <cell r="B301" t="str">
            <v>ja</v>
          </cell>
          <cell r="C301" t="str">
            <v>ヘンペルチャレンジ ダメージUP</v>
          </cell>
          <cell r="D301" t="str">
            <v>ヘンペルチャレンジ内で自身の全ての攻撃+カウンターの威力をUP</v>
          </cell>
        </row>
        <row r="302">
          <cell r="A302">
            <v>9007</v>
          </cell>
          <cell r="B302" t="str">
            <v>ja</v>
          </cell>
          <cell r="C302" t="str">
            <v>フロイトチャレンジ ダメージ究極UP</v>
          </cell>
          <cell r="D302" t="str">
            <v>フロイトチャレンジ内で自身の全ての攻撃の威力を究極UP</v>
          </cell>
        </row>
        <row r="303">
          <cell r="A303">
            <v>9008</v>
          </cell>
          <cell r="B303" t="str">
            <v>ja</v>
          </cell>
          <cell r="C303" t="str">
            <v>フロイトチャレンジ ダメージUP</v>
          </cell>
          <cell r="D303" t="str">
            <v>フロイトチャレンジ内で自身の全ての攻撃の威力をUP</v>
          </cell>
        </row>
        <row r="304">
          <cell r="A304">
            <v>9009</v>
          </cell>
          <cell r="B304" t="str">
            <v>ja</v>
          </cell>
          <cell r="C304" t="str">
            <v>フロイトチャレンジ ダメージUP</v>
          </cell>
          <cell r="D304" t="str">
            <v>フロイトチャレンジ内で自身の全ての攻撃+カウンターの威力をUP</v>
          </cell>
        </row>
        <row r="305">
          <cell r="A305">
            <v>9010</v>
          </cell>
          <cell r="B305" t="str">
            <v>ja</v>
          </cell>
          <cell r="C305" t="str">
            <v>ウエディングクエスト ダメージUP</v>
          </cell>
          <cell r="D305" t="str">
            <v>ウエディングクエスト内で自身の全ての攻撃の威力をUP</v>
          </cell>
        </row>
        <row r="306">
          <cell r="A306">
            <v>9011</v>
          </cell>
          <cell r="B306" t="str">
            <v>ja</v>
          </cell>
          <cell r="C306" t="str">
            <v>クリスマスクエストダメージ究極UP</v>
          </cell>
          <cell r="D306" t="str">
            <v>クリスマスクエスト内で自身の全ての攻撃の威力を究極UP</v>
          </cell>
        </row>
        <row r="307">
          <cell r="A307">
            <v>119402</v>
          </cell>
          <cell r="B307" t="str">
            <v>ja</v>
          </cell>
          <cell r="C307" t="str">
            <v>ハロウィンナイトパニック！ 威力UP</v>
          </cell>
          <cell r="D307" t="str">
            <v>ハロウィンナイトパニック！内で自身の全ての攻撃の威力を究極UP</v>
          </cell>
        </row>
        <row r="308">
          <cell r="A308">
            <v>500801</v>
          </cell>
          <cell r="B308" t="str">
            <v>ja</v>
          </cell>
          <cell r="C308" t="str">
            <v>パネルブレイク35 攻撃力小UP</v>
          </cell>
          <cell r="D308" t="str">
            <v>自身が先頭の時、1ターンの間に合計35個以上パネルを破壊した場合に攻撃力小UP</v>
          </cell>
        </row>
        <row r="309">
          <cell r="A309">
            <v>808082</v>
          </cell>
          <cell r="B309" t="str">
            <v>ja</v>
          </cell>
          <cell r="C309" t="str">
            <v>Cパネルドロップ</v>
          </cell>
          <cell r="D309" t="str">
            <v>自身が先頭の時、低確率でCパネルをドロップ</v>
          </cell>
        </row>
        <row r="310">
          <cell r="A310">
            <v>900000</v>
          </cell>
          <cell r="B310" t="str">
            <v>ja</v>
          </cell>
          <cell r="C310" t="str">
            <v>フィーバー100 プロテクトブレイク</v>
          </cell>
          <cell r="D310" t="str">
            <v>フィーバーゲージが100％以上の時、1ターンプロテクトブレイク</v>
          </cell>
        </row>
        <row r="311">
          <cell r="A311">
            <v>900001</v>
          </cell>
          <cell r="B311" t="str">
            <v>ja</v>
          </cell>
          <cell r="C311" t="str">
            <v>フィーバー100 お邪魔ブレイク</v>
          </cell>
          <cell r="D311" t="str">
            <v>フィーバーゲージが100％以上の時、1ターンお邪魔ブレイク</v>
          </cell>
        </row>
        <row r="312">
          <cell r="A312">
            <v>900402</v>
          </cell>
          <cell r="B312" t="str">
            <v>ja</v>
          </cell>
          <cell r="C312" t="str">
            <v>バリア3500</v>
          </cell>
          <cell r="D312" t="str">
            <v>戦闘開始時に、自身への直接ダメージを3500まで防ぐバリアを一度だけ展開(バリアは破壊されると復活しない)</v>
          </cell>
        </row>
        <row r="313">
          <cell r="A313">
            <v>810202</v>
          </cell>
          <cell r="B313" t="str">
            <v>ja</v>
          </cell>
          <cell r="C313" t="str">
            <v>パネルブレイク50 ダメージ軽減</v>
          </cell>
          <cell r="D313" t="str">
            <v>自身が先頭の時、1ターンの間に合計50個以上パネルを破壊した場合敵からのダメージを15%軽減（1ターンに1度だけ発動）</v>
          </cell>
        </row>
        <row r="314">
          <cell r="A314">
            <v>811802</v>
          </cell>
          <cell r="B314" t="str">
            <v>ja</v>
          </cell>
          <cell r="C314" t="str">
            <v>ターン攻撃力UP</v>
          </cell>
          <cell r="D314" t="str">
            <v>最初の1ターン目と、その後6ターン毎に1ターン種族ドラゴン・ファンタジー・アニマルの攻撃力1000UP</v>
          </cell>
        </row>
        <row r="315">
          <cell r="A315">
            <v>812002</v>
          </cell>
          <cell r="B315" t="str">
            <v>ja</v>
          </cell>
          <cell r="C315" t="str">
            <v>ターンタップ増加</v>
          </cell>
          <cell r="D315" t="str">
            <v>最初の1ターン目と、その後6ターン毎に1ターン種族ドラゴン・ファンタジー・アニマルのタップ数1増加</v>
          </cell>
        </row>
        <row r="316">
          <cell r="A316">
            <v>811803</v>
          </cell>
          <cell r="B316" t="str">
            <v>ja</v>
          </cell>
          <cell r="C316" t="str">
            <v>端午クエスト ダメージUP</v>
          </cell>
          <cell r="D316" t="str">
            <v>端午クエスト内で自身の全ての攻撃の威力をUP</v>
          </cell>
        </row>
        <row r="317">
          <cell r="A317">
            <v>900802</v>
          </cell>
          <cell r="B317" t="str">
            <v>ja</v>
          </cell>
          <cell r="C317" t="str">
            <v>ターン攻撃力UP</v>
          </cell>
          <cell r="D317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opLeftCell="J1" workbookViewId="0">
      <selection activeCell="K17" sqref="K17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319</v>
      </c>
      <c r="B2" s="105" t="s">
        <v>129</v>
      </c>
      <c r="C2" s="162" t="s">
        <v>317</v>
      </c>
      <c r="D2" s="105" t="s">
        <v>128</v>
      </c>
      <c r="E2" s="104" t="str">
        <f>B2&amp;C2&amp;D2</f>
        <v>units_Greece03.tmp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105" t="s">
        <v>339</v>
      </c>
      <c r="S2" s="105"/>
      <c r="T2" s="105"/>
      <c r="U2" s="105"/>
      <c r="V2" s="105"/>
      <c r="W2" s="105"/>
    </row>
    <row r="3" spans="1:29" x14ac:dyDescent="0.15">
      <c r="A3" s="105" t="s">
        <v>319</v>
      </c>
      <c r="B3" s="105" t="s">
        <v>294</v>
      </c>
      <c r="C3" s="162" t="s">
        <v>317</v>
      </c>
      <c r="D3" s="105" t="s">
        <v>128</v>
      </c>
      <c r="E3" s="104" t="str">
        <f>B3&amp;C3&amp;D3</f>
        <v>fork_awake_units_Greece03.tmp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319</v>
      </c>
      <c r="B4" s="105" t="s">
        <v>130</v>
      </c>
      <c r="C4" s="162" t="s">
        <v>317</v>
      </c>
      <c r="D4" s="105" t="s">
        <v>128</v>
      </c>
      <c r="E4" s="104" t="str">
        <f>B4&amp;C4&amp;D4</f>
        <v>awake_materials_Greece03.tmp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319</v>
      </c>
      <c r="B5" s="105" t="s">
        <v>293</v>
      </c>
      <c r="C5" s="162" t="s">
        <v>317</v>
      </c>
      <c r="D5" s="105" t="s">
        <v>128</v>
      </c>
      <c r="E5" s="104" t="str">
        <f>B5&amp;C5&amp;D5</f>
        <v>fork_awake_materials_Greece03.tmp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319</v>
      </c>
      <c r="B6" s="105" t="s">
        <v>131</v>
      </c>
      <c r="C6" s="162" t="s">
        <v>317</v>
      </c>
      <c r="D6" s="105" t="s">
        <v>132</v>
      </c>
      <c r="E6" s="104" t="str">
        <f t="shared" ref="E6" si="0">B6&amp;C6&amp;D6</f>
        <v>unit_levels_calc_Greece03.tmp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319</v>
      </c>
      <c r="B7" s="105" t="s">
        <v>143</v>
      </c>
      <c r="C7" s="162" t="s">
        <v>317</v>
      </c>
      <c r="D7" s="105" t="s">
        <v>144</v>
      </c>
      <c r="E7" s="104" t="str">
        <f>B7&amp;C7&amp;D7</f>
        <v>unit_skills_data_Greece03.tmp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319</v>
      </c>
      <c r="B8" s="105" t="s">
        <v>149</v>
      </c>
      <c r="C8" s="162" t="s">
        <v>317</v>
      </c>
      <c r="D8" s="105" t="s">
        <v>128</v>
      </c>
      <c r="E8" s="104" t="str">
        <f>B8&amp;C8&amp;D8</f>
        <v>unit_skills_i18n_Greece03.tmp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319</v>
      </c>
      <c r="B9" s="105" t="s">
        <v>153</v>
      </c>
      <c r="C9" s="162" t="s">
        <v>317</v>
      </c>
      <c r="D9" s="105" t="s">
        <v>154</v>
      </c>
      <c r="E9" s="104" t="str">
        <f>B9&amp;C9&amp;D9</f>
        <v>crash_skills_data_Greece03.tmp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319</v>
      </c>
      <c r="B10" s="105" t="s">
        <v>157</v>
      </c>
      <c r="C10" s="162" t="s">
        <v>317</v>
      </c>
      <c r="D10" s="105" t="s">
        <v>158</v>
      </c>
      <c r="E10" s="104" t="str">
        <f t="shared" ref="E10" si="1">B10&amp;C10&amp;D10</f>
        <v>crash_skills_i18n_Greece03.tmp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319</v>
      </c>
      <c r="B11" s="108" t="s">
        <v>135</v>
      </c>
      <c r="C11" s="162" t="s">
        <v>317</v>
      </c>
      <c r="D11" s="105" t="s">
        <v>158</v>
      </c>
      <c r="E11" s="104" t="str">
        <f t="shared" ref="E11:E12" si="2">B11&amp;C11&amp;D11</f>
        <v>unit_serifs_data_Greece03.tmp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319</v>
      </c>
      <c r="B12" s="108" t="s">
        <v>136</v>
      </c>
      <c r="C12" s="162" t="s">
        <v>317</v>
      </c>
      <c r="D12" s="105" t="s">
        <v>158</v>
      </c>
      <c r="E12" s="104" t="str">
        <f t="shared" si="2"/>
        <v>unit_serifs_i18n_Greece03.tmp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319</v>
      </c>
      <c r="B13" s="105" t="s">
        <v>253</v>
      </c>
      <c r="C13" s="162" t="s">
        <v>317</v>
      </c>
      <c r="D13" s="105" t="s">
        <v>254</v>
      </c>
      <c r="E13" s="104" t="str">
        <f>B13&amp;C13&amp;D13</f>
        <v>abilities_Greece03.tmp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319</v>
      </c>
      <c r="B14" s="105" t="s">
        <v>259</v>
      </c>
      <c r="C14" s="162" t="s">
        <v>317</v>
      </c>
      <c r="D14" s="105" t="s">
        <v>128</v>
      </c>
      <c r="E14" s="104" t="str">
        <f>B14&amp;C14&amp;D14</f>
        <v>abilities_i18n_Greece03.tmp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319</v>
      </c>
      <c r="B15" s="105" t="s">
        <v>262</v>
      </c>
      <c r="C15" s="162" t="s">
        <v>317</v>
      </c>
      <c r="D15" s="105" t="s">
        <v>128</v>
      </c>
      <c r="E15" s="104" t="str">
        <f>B15&amp;C15&amp;D15</f>
        <v>unit_abilities_Greece03.tmp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BO2" activePane="bottomRight" state="frozen"/>
      <selection pane="topRight" activeCell="J1" sqref="J1"/>
      <selection pane="bottomLeft" activeCell="A3" sqref="A3"/>
      <selection pane="bottomRight" activeCell="BQ8" sqref="BQ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340</v>
      </c>
    </row>
    <row r="2" spans="1:70" ht="26" customHeight="1" x14ac:dyDescent="0.15">
      <c r="A2" s="186">
        <v>1204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デルピュネー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dragon</v>
      </c>
      <c r="Z2" s="5" t="str">
        <f ca="1">VLOOKUP(Y2,[1]character_tribe_i18n!$A:$H,3,FALSE)</f>
        <v>ドラゴン</v>
      </c>
      <c r="AA2" s="10">
        <f ca="1">VLOOKUP(W2,[1]character_tribe_i18n!$A:$H,4,FALSE)</f>
        <v>0.96</v>
      </c>
      <c r="AB2" s="10">
        <f ca="1">VLOOKUP(W2,[1]character_tribe_i18n!$A:$H,5,FALSE)</f>
        <v>1.02</v>
      </c>
      <c r="AC2" s="10">
        <f ca="1">VLOOKUP(W2,[1]character_tribe_i18n!$A:$H,6,FALSE)</f>
        <v>1</v>
      </c>
      <c r="AD2" s="10">
        <f ca="1">VLOOKUP(W2,[1]character_tribe_i18n!$A:$H,7,FALSE)</f>
        <v>1.02</v>
      </c>
      <c r="AE2" s="187">
        <v>1205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襲奪の竜鱗姫 デルピュネー</v>
      </c>
      <c r="AG2" s="187">
        <v>1204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デルピュネー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1204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荒々しき竜爪の閃攻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1体に大ダメージ(与えたダメージの20%で回復)+2ターンの間緑属性ユニットの防御力大UP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1204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レイド・フロム・スカイ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</v>
      </c>
      <c r="AZ2" s="64">
        <v>1</v>
      </c>
      <c r="BA2" s="64">
        <v>0</v>
      </c>
      <c r="BB2" s="64">
        <v>1</v>
      </c>
      <c r="BC2" s="10">
        <f ca="1">INDEX('RC6SV'!$A$1:$G$21,MATCH(H2,'RC6SV'!$A$1:$A$21,FALSE),MATCH(G2,'RC6SV'!$A$1:$G$1,FALSE))</f>
        <v>9000</v>
      </c>
      <c r="BD2" s="44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2203</v>
      </c>
      <c r="BH2" s="15">
        <f ca="1">IF($BE2&lt;=0,ROUND(BL2*0.5,0), ROUND($BE2*T2*AB2*K2*AZ2*0.8*[1]ステータス!$C$2,0))</f>
        <v>1795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769</v>
      </c>
      <c r="BK2" s="10">
        <f ca="1">ROUND(BD2*S2*AA2*J2*AY2*[1]ステータス!$B$2,0)</f>
        <v>4406</v>
      </c>
      <c r="BL2" s="10">
        <f ca="1">ROUND(BD2*T2*AB2*K2*AZ2*[1]ステータス!$C$2,0)</f>
        <v>3590</v>
      </c>
      <c r="BM2" s="10">
        <f ca="1">ROUND(BD2*U2*AC2*L2*BA2*[1]ステータス!$D$2,0)</f>
        <v>0</v>
      </c>
      <c r="BN2" s="10">
        <f ca="1">ROUND(BD2*V2*AD2*M2*BB2*[1]ステータス!$E$2,0)</f>
        <v>1538</v>
      </c>
      <c r="BO2" s="9">
        <v>0</v>
      </c>
      <c r="BP2" s="9">
        <v>1</v>
      </c>
      <c r="BQ2" s="36" t="s">
        <v>47</v>
      </c>
      <c r="BR2" s="9">
        <v>1</v>
      </c>
    </row>
    <row r="3" spans="1:70" ht="26" customHeight="1" x14ac:dyDescent="0.15">
      <c r="A3" s="186">
        <v>1205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襲奪の竜鱗姫 デルピュネー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dragon</v>
      </c>
      <c r="Z3" s="5" t="str">
        <f ca="1">VLOOKUP(Y3,[1]character_tribe_i18n!$A:$H,3,FALSE)</f>
        <v>ドラゴン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1204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デルピュネー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1205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禍々しき竜爪の威煌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黄パネルを緑パネルに変換+1体に特大ダメージ(与えたダメージの20%で回復)+2ターンの間緑属性ユニットの防御力大UP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1205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プレッシャー・フロム・スカイ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1体に特大ダメージ+_x000D_1ターン全ユニットの回復力小UP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</v>
      </c>
      <c r="AZ3" s="64">
        <v>1</v>
      </c>
      <c r="BA3" s="64">
        <v>0</v>
      </c>
      <c r="BB3" s="64">
        <v>1</v>
      </c>
      <c r="BC3" s="10">
        <f ca="1">INDEX('RC6SV'!$A$1:$G$21,MATCH(H3,'RC6SV'!$A$1:$A$21,FALSE),MATCH(G3,'RC6SV'!$A$1:$G$1,FALSE))</f>
        <v>12000</v>
      </c>
      <c r="BD3" s="44">
        <f t="shared" ref="BD3" ca="1" si="4">ROUND(BC3*IF(AJ3=1,0.95,IF(AJ3=2,1,IF(AJ3,1.05,0))),0)</f>
        <v>12000</v>
      </c>
      <c r="BE3" s="10">
        <f ca="1">ROUND(IFERROR(INDIRECT(ADDRESS(MATCH($A3,$AE:$AE,0),MATCH($BC$1,$1:$1,0))),0),0)</f>
        <v>9000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3525</v>
      </c>
      <c r="BH3" s="15">
        <f ca="1">IF($BE3&lt;=0,ROUND(BL3*0.5,0), ROUND($BE3*T3*AB3*K3*AZ3*0.8*[1]ステータス!$C$2,0))</f>
        <v>2872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1230</v>
      </c>
      <c r="BK3" s="10">
        <f ca="1">ROUND(BD3*S3*AA3*J3*AY3*[1]ステータス!$B$2,0)</f>
        <v>5875</v>
      </c>
      <c r="BL3" s="10">
        <f ca="1">ROUND(BD3*T3*AB3*K3*AZ3*[1]ステータス!$C$2,0)</f>
        <v>4786</v>
      </c>
      <c r="BM3" s="10">
        <f ca="1">ROUND(BD3*U3*AC3*L3*BA3*[1]ステータス!$D$2,0)</f>
        <v>0</v>
      </c>
      <c r="BN3" s="10">
        <f ca="1">ROUND(BD3*V3*AD3*M3*BB3*[1]ステータス!$E$2,0)</f>
        <v>2050</v>
      </c>
      <c r="BO3" s="9">
        <v>0</v>
      </c>
      <c r="BP3" s="9">
        <v>1</v>
      </c>
      <c r="BQ3" s="9" t="s">
        <v>47</v>
      </c>
      <c r="BR3" s="9">
        <v>1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4" sqref="I14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1204</v>
      </c>
      <c r="B2" s="129" t="s">
        <v>185</v>
      </c>
      <c r="C2" s="188" t="s">
        <v>324</v>
      </c>
      <c r="D2" s="188" t="s">
        <v>320</v>
      </c>
      <c r="E2" s="131">
        <f t="shared" ref="E2" si="0">LEN(D2)</f>
        <v>45</v>
      </c>
      <c r="F2" s="63">
        <v>14</v>
      </c>
      <c r="G2" s="113">
        <v>7</v>
      </c>
      <c r="H2" s="132">
        <f>2001</f>
        <v>2001</v>
      </c>
      <c r="I2" s="189" t="s">
        <v>337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デルピュネー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1205</v>
      </c>
      <c r="B3" s="129" t="s">
        <v>185</v>
      </c>
      <c r="C3" s="188" t="s">
        <v>325</v>
      </c>
      <c r="D3" s="188" t="s">
        <v>321</v>
      </c>
      <c r="E3" s="131">
        <f t="shared" ref="E3" si="1">LEN(D3)</f>
        <v>59</v>
      </c>
      <c r="F3" s="63">
        <v>14</v>
      </c>
      <c r="G3" s="113">
        <v>7</v>
      </c>
      <c r="H3" s="132">
        <f>2001</f>
        <v>2001</v>
      </c>
      <c r="I3" s="189" t="s">
        <v>338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襲奪の竜鱗姫 デルピュネー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4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7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E7" sqref="E7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1204</v>
      </c>
      <c r="B2" s="129" t="s">
        <v>186</v>
      </c>
      <c r="C2" s="188" t="s">
        <v>326</v>
      </c>
      <c r="D2" s="188" t="s">
        <v>322</v>
      </c>
      <c r="E2" s="131">
        <f t="shared" ref="E2" si="0">LEN(D2)</f>
        <v>9</v>
      </c>
      <c r="F2" s="190" t="s">
        <v>335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デルピュネー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1205</v>
      </c>
      <c r="B3" s="129" t="s">
        <v>186</v>
      </c>
      <c r="C3" s="188" t="s">
        <v>327</v>
      </c>
      <c r="D3" s="188" t="s">
        <v>323</v>
      </c>
      <c r="E3" s="131">
        <f t="shared" ref="E3" si="1">LEN(D3)</f>
        <v>27</v>
      </c>
      <c r="F3" s="190" t="s">
        <v>336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襲奪の竜鱗姫 デルピュネー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7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G10" sqref="G1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1204</v>
      </c>
      <c r="B2" s="138" t="str">
        <f>VLOOKUP(A2,[1]characters!$A:$C,3,FALSE)</f>
        <v>デルピュネー</v>
      </c>
      <c r="C2" s="105" t="s">
        <v>195</v>
      </c>
      <c r="D2" s="138" t="str">
        <f t="shared" ref="D2" si="0">A2&amp;C2</f>
        <v>1204skill</v>
      </c>
      <c r="E2" s="138" t="str">
        <f>A2&amp;+(COUNTIF(A2:A$29,A2)-1)</f>
        <v>12043</v>
      </c>
      <c r="F2" s="105" t="s">
        <v>197</v>
      </c>
      <c r="G2" s="162" t="s">
        <v>329</v>
      </c>
      <c r="H2" s="162" t="s">
        <v>328</v>
      </c>
    </row>
    <row r="3" spans="1:8" x14ac:dyDescent="0.15">
      <c r="A3" s="105">
        <v>1204</v>
      </c>
      <c r="B3" s="138" t="str">
        <f>VLOOKUP(A3,[1]characters!$A:$C,3,FALSE)</f>
        <v>デルピュネー</v>
      </c>
      <c r="C3" s="105" t="s">
        <v>198</v>
      </c>
      <c r="D3" s="138" t="str">
        <f>A3&amp;C3</f>
        <v>1204cskill</v>
      </c>
      <c r="E3" s="138" t="str">
        <f>A3&amp;+(COUNTIF(A3:A$29,A3)-1)</f>
        <v>12042</v>
      </c>
      <c r="F3" s="105" t="s">
        <v>186</v>
      </c>
      <c r="G3" s="162" t="s">
        <v>196</v>
      </c>
      <c r="H3" s="162" t="s">
        <v>330</v>
      </c>
    </row>
    <row r="4" spans="1:8" x14ac:dyDescent="0.15">
      <c r="A4" s="105">
        <v>1204</v>
      </c>
      <c r="B4" s="138" t="str">
        <f>VLOOKUP(A4,[1]characters!$A:$C,3,FALSE)</f>
        <v>デルピュネー</v>
      </c>
      <c r="C4" s="105" t="s">
        <v>198</v>
      </c>
      <c r="D4" s="138" t="str">
        <f>A4&amp;C4</f>
        <v>1204cskill</v>
      </c>
      <c r="E4" s="138" t="str">
        <f>A4&amp;+(COUNTIF(A4:A$29,A4)-1)</f>
        <v>12041</v>
      </c>
      <c r="F4" s="105" t="s">
        <v>186</v>
      </c>
      <c r="G4" s="162" t="s">
        <v>196</v>
      </c>
      <c r="H4" s="162" t="s">
        <v>331</v>
      </c>
    </row>
    <row r="5" spans="1:8" x14ac:dyDescent="0.15">
      <c r="A5" s="105">
        <v>1204</v>
      </c>
      <c r="B5" s="138" t="str">
        <f>VLOOKUP(A5,[1]characters!$A:$C,3,FALSE)</f>
        <v>デルピュネー</v>
      </c>
      <c r="C5" s="105" t="s">
        <v>198</v>
      </c>
      <c r="D5" s="138" t="str">
        <f>A5&amp;C5</f>
        <v>1204cskill</v>
      </c>
      <c r="E5" s="138" t="str">
        <f>A5&amp;+(COUNTIF(A5:A$29,A5)-1)</f>
        <v>12040</v>
      </c>
      <c r="F5" s="105" t="s">
        <v>197</v>
      </c>
      <c r="G5" s="162" t="s">
        <v>316</v>
      </c>
      <c r="H5" s="162" t="s">
        <v>332</v>
      </c>
    </row>
    <row r="6" spans="1:8" x14ac:dyDescent="0.15">
      <c r="A6" s="105">
        <v>1205</v>
      </c>
      <c r="B6" s="138" t="str">
        <f>VLOOKUP(A6,[1]characters!$A:$C,3,FALSE)</f>
        <v>襲奪の竜鱗姫 デルピュネー</v>
      </c>
      <c r="C6" s="105" t="s">
        <v>195</v>
      </c>
      <c r="D6" s="138" t="str">
        <f t="shared" ref="D6" si="1">A6&amp;C6</f>
        <v>1205skill</v>
      </c>
      <c r="E6" s="138" t="str">
        <f>A6&amp;+(COUNTIF(A6:A$29,A6)-1)</f>
        <v>12054</v>
      </c>
      <c r="F6" s="105" t="s">
        <v>186</v>
      </c>
      <c r="G6" s="162" t="s">
        <v>329</v>
      </c>
      <c r="H6" s="162" t="s">
        <v>333</v>
      </c>
    </row>
    <row r="7" spans="1:8" x14ac:dyDescent="0.15">
      <c r="A7" s="105">
        <v>1205</v>
      </c>
      <c r="B7" s="138" t="str">
        <f>VLOOKUP(A7,[1]characters!$A:$C,3,FALSE)</f>
        <v>襲奪の竜鱗姫 デルピュネー</v>
      </c>
      <c r="C7" s="105" t="s">
        <v>198</v>
      </c>
      <c r="D7" s="138" t="str">
        <f>A7&amp;C7</f>
        <v>1205cskill</v>
      </c>
      <c r="E7" s="138" t="str">
        <f>A7&amp;+(COUNTIF(A7:A$29,A7)-1)</f>
        <v>12053</v>
      </c>
      <c r="F7" s="105" t="s">
        <v>186</v>
      </c>
      <c r="G7" s="162" t="s">
        <v>196</v>
      </c>
      <c r="H7" s="162" t="s">
        <v>330</v>
      </c>
    </row>
    <row r="8" spans="1:8" x14ac:dyDescent="0.15">
      <c r="A8" s="105">
        <v>1205</v>
      </c>
      <c r="B8" s="138" t="str">
        <f>VLOOKUP(A8,[1]characters!$A:$C,3,FALSE)</f>
        <v>襲奪の竜鱗姫 デルピュネー</v>
      </c>
      <c r="C8" s="105" t="s">
        <v>198</v>
      </c>
      <c r="D8" s="138" t="str">
        <f>A8&amp;C8</f>
        <v>1205cskill</v>
      </c>
      <c r="E8" s="138" t="str">
        <f>A8&amp;+(COUNTIF(A8:A$29,A8)-1)</f>
        <v>12052</v>
      </c>
      <c r="F8" s="105" t="s">
        <v>186</v>
      </c>
      <c r="G8" s="162" t="s">
        <v>196</v>
      </c>
      <c r="H8" s="162" t="s">
        <v>331</v>
      </c>
    </row>
    <row r="9" spans="1:8" x14ac:dyDescent="0.15">
      <c r="A9" s="105">
        <v>1205</v>
      </c>
      <c r="B9" s="138" t="str">
        <f>VLOOKUP(A9,[1]characters!$A:$C,3,FALSE)</f>
        <v>襲奪の竜鱗姫 デルピュネー</v>
      </c>
      <c r="C9" s="105" t="s">
        <v>198</v>
      </c>
      <c r="D9" s="138" t="str">
        <f>A9&amp;C9</f>
        <v>1205cskill</v>
      </c>
      <c r="E9" s="138" t="str">
        <f>A9&amp;+(COUNTIF(A9:A$29,A9)-1)</f>
        <v>12051</v>
      </c>
      <c r="F9" s="105" t="s">
        <v>186</v>
      </c>
      <c r="G9" s="162" t="s">
        <v>316</v>
      </c>
      <c r="H9" s="162" t="s">
        <v>332</v>
      </c>
    </row>
    <row r="10" spans="1:8" x14ac:dyDescent="0.15">
      <c r="A10" s="105">
        <v>1205</v>
      </c>
      <c r="B10" s="138" t="str">
        <f>VLOOKUP(A10,[1]characters!$A:$C,3,FALSE)</f>
        <v>襲奪の竜鱗姫 デルピュネー</v>
      </c>
      <c r="C10" s="105" t="s">
        <v>198</v>
      </c>
      <c r="D10" s="138" t="str">
        <f>A10&amp;C10</f>
        <v>1205cskill</v>
      </c>
      <c r="E10" s="138" t="str">
        <f>A10&amp;+(COUNTIF(A10:A$29,A10)-1)</f>
        <v>12050</v>
      </c>
      <c r="F10" s="105" t="s">
        <v>186</v>
      </c>
      <c r="G10" s="162" t="s">
        <v>196</v>
      </c>
      <c r="H10" s="162" t="s">
        <v>334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3" sqref="Q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1204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デルピュネー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dragon</v>
      </c>
      <c r="K2" s="5" t="str">
        <f ca="1">VLOOKUP(J2,[1]character_tribe_i18n!$A:$H,3,FALSE)</f>
        <v>ドラゴン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1205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襲奪の竜鱗姫 デルピュネー</v>
      </c>
      <c r="S2" s="5">
        <f ca="1">IF(ISNA(MATCH(A2,Q:Q,0)),A2,INDIRECT(ADDRESS(MATCH(A2,Q:Q,0),COLUMN())))</f>
        <v>1204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デルピュネー</v>
      </c>
      <c r="U2" s="10">
        <f ca="1">IF(Q2="NULL","NULL",VLOOKUP(G2,[2]ビット!$A$2:$B$7,2))</f>
        <v>200000</v>
      </c>
    </row>
  </sheetData>
  <autoFilter ref="A1:U2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5"/>
  <sheetViews>
    <sheetView showGridLines="0" workbookViewId="0">
      <pane ySplit="1" topLeftCell="A2" activePane="bottomLeft" state="frozen"/>
      <selection pane="bottomLeft" activeCell="I5" sqref="I5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>B2&amp;"_"&amp;I2</f>
        <v>1204_108</v>
      </c>
      <c r="B2" s="195">
        <v>1204</v>
      </c>
      <c r="C2" s="178">
        <f>B2</f>
        <v>1204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デルピュネー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</v>
      </c>
      <c r="G2" s="195">
        <v>1205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襲奪の竜鱗姫 デルピュネー</v>
      </c>
      <c r="I2" s="194">
        <v>108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森のマッドハッター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>B3&amp;"_"&amp;I3</f>
        <v>1204_837</v>
      </c>
      <c r="B3" s="195">
        <v>1204</v>
      </c>
      <c r="C3" s="178">
        <f>B3</f>
        <v>1204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デルピュネー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</v>
      </c>
      <c r="G3" s="195">
        <v>1205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襲奪の竜鱗姫 デルピュネー</v>
      </c>
      <c r="I3" s="194">
        <v>837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リトルハンプティ</v>
      </c>
      <c r="K3" s="192">
        <v>1</v>
      </c>
      <c r="L3" s="193">
        <v>1</v>
      </c>
      <c r="M3" s="193">
        <v>1000</v>
      </c>
      <c r="N3" s="2" t="s">
        <v>291</v>
      </c>
    </row>
    <row r="4" spans="1:14" ht="21" customHeight="1" x14ac:dyDescent="0.15">
      <c r="A4" s="61" t="str">
        <f>B4&amp;"_"&amp;I4</f>
        <v>1204_1200</v>
      </c>
      <c r="B4" s="195">
        <v>1204</v>
      </c>
      <c r="C4" s="178">
        <f>B4</f>
        <v>1204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デルピュネー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</v>
      </c>
      <c r="G4" s="195">
        <v>1205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襲奪の竜鱗姫 デルピュネー</v>
      </c>
      <c r="I4" s="194">
        <v>1200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サイクロプス</v>
      </c>
      <c r="K4" s="192">
        <v>1</v>
      </c>
      <c r="L4" s="193">
        <v>2</v>
      </c>
      <c r="M4" s="193">
        <v>100</v>
      </c>
      <c r="N4" s="2" t="s">
        <v>291</v>
      </c>
    </row>
    <row r="5" spans="1:14" ht="21" customHeight="1" x14ac:dyDescent="0.15">
      <c r="A5" s="61" t="str">
        <f>B5&amp;"_"&amp;I5</f>
        <v>1204_766</v>
      </c>
      <c r="B5" s="195">
        <v>1204</v>
      </c>
      <c r="C5" s="178">
        <f>B5</f>
        <v>1204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デルピュネー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1205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襲奪の竜鱗姫 デルピュネー</v>
      </c>
      <c r="I5" s="194">
        <v>766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ランドラグ</v>
      </c>
      <c r="K5" s="192">
        <v>1</v>
      </c>
      <c r="L5" s="193">
        <v>3</v>
      </c>
      <c r="M5" s="193">
        <v>100</v>
      </c>
      <c r="N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D24" sqref="D24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1205</v>
      </c>
      <c r="B2" s="172" t="str">
        <f>VLOOKUP(A2,[1]characters!$A:$C,3)</f>
        <v>襲奪の竜鱗姫 デルピュネー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7" t="s">
        <v>318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2017-06-06T08:44:20Z</dcterms:modified>
</cp:coreProperties>
</file>