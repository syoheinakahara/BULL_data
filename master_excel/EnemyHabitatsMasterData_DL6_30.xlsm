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0" yWindow="460" windowWidth="28800" windowHeight="174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enemy_habitats!$B$1:$AH$78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58" i="1" l="1"/>
  <c r="A58" i="1"/>
  <c r="D58" i="1"/>
  <c r="E58" i="1"/>
  <c r="F58" i="1"/>
  <c r="H58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I58" i="1"/>
  <c r="J58" i="1"/>
  <c r="M58" i="1"/>
  <c r="N58" i="1"/>
  <c r="O58" i="1"/>
  <c r="P58" i="1"/>
  <c r="Q58" i="1"/>
  <c r="E23" i="9"/>
  <c r="V58" i="1"/>
  <c r="AB58" i="1"/>
  <c r="AC58" i="1"/>
  <c r="AD58" i="1"/>
  <c r="AE58" i="1"/>
  <c r="AG58" i="1"/>
  <c r="AA59" i="1"/>
  <c r="A59" i="1"/>
  <c r="D59" i="1"/>
  <c r="E59" i="1"/>
  <c r="F59" i="1"/>
  <c r="H59" i="1"/>
  <c r="I59" i="1"/>
  <c r="J59" i="1"/>
  <c r="M59" i="1"/>
  <c r="N59" i="1"/>
  <c r="O59" i="1"/>
  <c r="P59" i="1"/>
  <c r="Q59" i="1"/>
  <c r="V59" i="1"/>
  <c r="AB59" i="1"/>
  <c r="AC59" i="1"/>
  <c r="AD59" i="1"/>
  <c r="AE59" i="1"/>
  <c r="AG59" i="1"/>
  <c r="AA60" i="1"/>
  <c r="A60" i="1"/>
  <c r="D60" i="1"/>
  <c r="E60" i="1"/>
  <c r="F60" i="1"/>
  <c r="H60" i="1"/>
  <c r="I60" i="1"/>
  <c r="J60" i="1"/>
  <c r="M60" i="1"/>
  <c r="N60" i="1"/>
  <c r="O60" i="1"/>
  <c r="P60" i="1"/>
  <c r="Q60" i="1"/>
  <c r="E2" i="9"/>
  <c r="V60" i="1"/>
  <c r="AB60" i="1"/>
  <c r="AC60" i="1"/>
  <c r="AD60" i="1"/>
  <c r="AE60" i="1"/>
  <c r="AG60" i="1"/>
  <c r="AA61" i="1"/>
  <c r="A61" i="1"/>
  <c r="D61" i="1"/>
  <c r="E61" i="1"/>
  <c r="F61" i="1"/>
  <c r="H61" i="1"/>
  <c r="I61" i="1"/>
  <c r="J61" i="1"/>
  <c r="M61" i="1"/>
  <c r="N61" i="1"/>
  <c r="O61" i="1"/>
  <c r="P61" i="1"/>
  <c r="Q61" i="1"/>
  <c r="E3" i="9"/>
  <c r="V61" i="1"/>
  <c r="AB61" i="1"/>
  <c r="AC61" i="1"/>
  <c r="AD61" i="1"/>
  <c r="AE61" i="1"/>
  <c r="AG61" i="1"/>
  <c r="AA42" i="1"/>
  <c r="A42" i="1"/>
  <c r="D42" i="1"/>
  <c r="E42" i="1"/>
  <c r="F42" i="1"/>
  <c r="H42" i="1"/>
  <c r="I42" i="1"/>
  <c r="J42" i="1"/>
  <c r="M42" i="1"/>
  <c r="N42" i="1"/>
  <c r="O42" i="1"/>
  <c r="P42" i="1"/>
  <c r="Q42" i="1"/>
  <c r="W42" i="1"/>
  <c r="V42" i="1"/>
  <c r="AB42" i="1"/>
  <c r="AC42" i="1"/>
  <c r="AD42" i="1"/>
  <c r="AE42" i="1"/>
  <c r="AG42" i="1"/>
  <c r="AA43" i="1"/>
  <c r="A43" i="1"/>
  <c r="D43" i="1"/>
  <c r="E43" i="1"/>
  <c r="F43" i="1"/>
  <c r="H43" i="1"/>
  <c r="I43" i="1"/>
  <c r="J43" i="1"/>
  <c r="M43" i="1"/>
  <c r="N43" i="1"/>
  <c r="O43" i="1"/>
  <c r="P43" i="1"/>
  <c r="Q43" i="1"/>
  <c r="W43" i="1"/>
  <c r="V43" i="1"/>
  <c r="AB43" i="1"/>
  <c r="AC43" i="1"/>
  <c r="AD43" i="1"/>
  <c r="AE43" i="1"/>
  <c r="AG43" i="1"/>
  <c r="AA32" i="1"/>
  <c r="A32" i="1"/>
  <c r="D32" i="1"/>
  <c r="E32" i="1"/>
  <c r="F32" i="1"/>
  <c r="H32" i="1"/>
  <c r="I32" i="1"/>
  <c r="J32" i="1"/>
  <c r="M32" i="1"/>
  <c r="N32" i="1"/>
  <c r="O32" i="1"/>
  <c r="P32" i="1"/>
  <c r="Q32" i="1"/>
  <c r="W32" i="1"/>
  <c r="V32" i="1"/>
  <c r="AB32" i="1"/>
  <c r="AC32" i="1"/>
  <c r="AD32" i="1"/>
  <c r="AE32" i="1"/>
  <c r="AG32" i="1"/>
  <c r="AA33" i="1"/>
  <c r="A33" i="1"/>
  <c r="D33" i="1"/>
  <c r="E33" i="1"/>
  <c r="F33" i="1"/>
  <c r="H33" i="1"/>
  <c r="I33" i="1"/>
  <c r="J33" i="1"/>
  <c r="M33" i="1"/>
  <c r="N33" i="1"/>
  <c r="O33" i="1"/>
  <c r="P33" i="1"/>
  <c r="Q33" i="1"/>
  <c r="W33" i="1"/>
  <c r="V33" i="1"/>
  <c r="AB33" i="1"/>
  <c r="AC33" i="1"/>
  <c r="AD33" i="1"/>
  <c r="AE33" i="1"/>
  <c r="AG33" i="1"/>
  <c r="M21" i="1"/>
  <c r="M20" i="1"/>
  <c r="AA20" i="1"/>
  <c r="A20" i="1"/>
  <c r="D20" i="1"/>
  <c r="E20" i="1"/>
  <c r="F20" i="1"/>
  <c r="H20" i="1"/>
  <c r="I20" i="1"/>
  <c r="J20" i="1"/>
  <c r="N20" i="1"/>
  <c r="O20" i="1"/>
  <c r="P20" i="1"/>
  <c r="Q20" i="1"/>
  <c r="W20" i="1"/>
  <c r="V20" i="1"/>
  <c r="AB20" i="1"/>
  <c r="AC20" i="1"/>
  <c r="AD20" i="1"/>
  <c r="AE20" i="1"/>
  <c r="AG20" i="1"/>
  <c r="AA21" i="1"/>
  <c r="A21" i="1"/>
  <c r="D21" i="1"/>
  <c r="E21" i="1"/>
  <c r="F21" i="1"/>
  <c r="H21" i="1"/>
  <c r="I21" i="1"/>
  <c r="J21" i="1"/>
  <c r="N21" i="1"/>
  <c r="O21" i="1"/>
  <c r="P21" i="1"/>
  <c r="Q21" i="1"/>
  <c r="W21" i="1"/>
  <c r="V21" i="1"/>
  <c r="AB21" i="1"/>
  <c r="AC21" i="1"/>
  <c r="AD21" i="1"/>
  <c r="AE21" i="1"/>
  <c r="AG21" i="1"/>
  <c r="AA8" i="1"/>
  <c r="A8" i="1"/>
  <c r="D8" i="1"/>
  <c r="E8" i="1"/>
  <c r="F8" i="1"/>
  <c r="H8" i="1"/>
  <c r="I8" i="1"/>
  <c r="J8" i="1"/>
  <c r="M8" i="1"/>
  <c r="N8" i="1"/>
  <c r="O8" i="1"/>
  <c r="P8" i="1"/>
  <c r="Q8" i="1"/>
  <c r="W8" i="1"/>
  <c r="V8" i="1"/>
  <c r="AB8" i="1"/>
  <c r="AC8" i="1"/>
  <c r="AD8" i="1"/>
  <c r="AE8" i="1"/>
  <c r="AG8" i="1"/>
  <c r="AA9" i="1"/>
  <c r="A9" i="1"/>
  <c r="D9" i="1"/>
  <c r="E9" i="1"/>
  <c r="F9" i="1"/>
  <c r="H9" i="1"/>
  <c r="I9" i="1"/>
  <c r="J9" i="1"/>
  <c r="M9" i="1"/>
  <c r="N9" i="1"/>
  <c r="O9" i="1"/>
  <c r="P9" i="1"/>
  <c r="Q9" i="1"/>
  <c r="W9" i="1"/>
  <c r="V9" i="1"/>
  <c r="AB9" i="1"/>
  <c r="AC9" i="1"/>
  <c r="AD9" i="1"/>
  <c r="AE9" i="1"/>
  <c r="AG9" i="1"/>
  <c r="C46" i="18"/>
  <c r="D46" i="18"/>
  <c r="C45" i="18"/>
  <c r="D45" i="18"/>
  <c r="C44" i="18"/>
  <c r="D44" i="18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A12" i="9"/>
  <c r="D12" i="9"/>
  <c r="E12" i="9"/>
  <c r="G12" i="9"/>
  <c r="H12" i="9"/>
  <c r="I12" i="9"/>
  <c r="J12" i="9"/>
  <c r="K12" i="9"/>
  <c r="L12" i="9"/>
  <c r="M12" i="9"/>
  <c r="N12" i="9"/>
  <c r="J24" i="11"/>
  <c r="O12" i="9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H78" i="1"/>
  <c r="H77" i="1"/>
  <c r="H76" i="1"/>
  <c r="H75" i="1"/>
  <c r="H74" i="1"/>
  <c r="H73" i="1"/>
  <c r="H72" i="1"/>
  <c r="H71" i="1"/>
  <c r="H70" i="1"/>
  <c r="H69" i="1"/>
  <c r="AA74" i="1"/>
  <c r="A74" i="1"/>
  <c r="D74" i="1"/>
  <c r="E74" i="1"/>
  <c r="F74" i="1"/>
  <c r="M74" i="1"/>
  <c r="N74" i="1"/>
  <c r="O74" i="1"/>
  <c r="P74" i="1"/>
  <c r="Q74" i="1"/>
  <c r="W74" i="1"/>
  <c r="V74" i="1"/>
  <c r="AB74" i="1"/>
  <c r="AC74" i="1"/>
  <c r="AD74" i="1"/>
  <c r="AE74" i="1"/>
  <c r="AG74" i="1"/>
  <c r="AA75" i="1"/>
  <c r="A75" i="1"/>
  <c r="D75" i="1"/>
  <c r="E75" i="1"/>
  <c r="F75" i="1"/>
  <c r="M75" i="1"/>
  <c r="N75" i="1"/>
  <c r="O75" i="1"/>
  <c r="P75" i="1"/>
  <c r="Q75" i="1"/>
  <c r="W75" i="1"/>
  <c r="V75" i="1"/>
  <c r="AB75" i="1"/>
  <c r="AC75" i="1"/>
  <c r="AD75" i="1"/>
  <c r="AE75" i="1"/>
  <c r="AG75" i="1"/>
  <c r="AA76" i="1"/>
  <c r="A76" i="1"/>
  <c r="D76" i="1"/>
  <c r="E76" i="1"/>
  <c r="F76" i="1"/>
  <c r="M76" i="1"/>
  <c r="N76" i="1"/>
  <c r="O76" i="1"/>
  <c r="P76" i="1"/>
  <c r="Q76" i="1"/>
  <c r="W76" i="1"/>
  <c r="V76" i="1"/>
  <c r="AB76" i="1"/>
  <c r="AC76" i="1"/>
  <c r="AD76" i="1"/>
  <c r="AE76" i="1"/>
  <c r="AG76" i="1"/>
  <c r="AA77" i="1"/>
  <c r="A77" i="1"/>
  <c r="D77" i="1"/>
  <c r="E77" i="1"/>
  <c r="F77" i="1"/>
  <c r="M77" i="1"/>
  <c r="N77" i="1"/>
  <c r="O77" i="1"/>
  <c r="P77" i="1"/>
  <c r="Q77" i="1"/>
  <c r="W77" i="1"/>
  <c r="V77" i="1"/>
  <c r="AB77" i="1"/>
  <c r="AC77" i="1"/>
  <c r="AD77" i="1"/>
  <c r="AE77" i="1"/>
  <c r="AG77" i="1"/>
  <c r="AA78" i="1"/>
  <c r="A78" i="1"/>
  <c r="D78" i="1"/>
  <c r="E78" i="1"/>
  <c r="F78" i="1"/>
  <c r="M78" i="1"/>
  <c r="N78" i="1"/>
  <c r="O78" i="1"/>
  <c r="P78" i="1"/>
  <c r="Q78" i="1"/>
  <c r="W78" i="1"/>
  <c r="V78" i="1"/>
  <c r="AB78" i="1"/>
  <c r="AC78" i="1"/>
  <c r="AD78" i="1"/>
  <c r="AE78" i="1"/>
  <c r="AG78" i="1"/>
  <c r="F18" i="19"/>
  <c r="G18" i="19"/>
  <c r="D18" i="19"/>
  <c r="C18" i="19"/>
  <c r="F17" i="19"/>
  <c r="G17" i="19"/>
  <c r="D17" i="19"/>
  <c r="C17" i="19"/>
  <c r="F16" i="19"/>
  <c r="G16" i="19"/>
  <c r="D16" i="19"/>
  <c r="C16" i="19"/>
  <c r="F15" i="19"/>
  <c r="G15" i="19"/>
  <c r="D15" i="19"/>
  <c r="C15" i="19"/>
  <c r="F14" i="19"/>
  <c r="G14" i="19"/>
  <c r="D14" i="19"/>
  <c r="C14" i="19"/>
  <c r="F13" i="19"/>
  <c r="G13" i="19"/>
  <c r="D13" i="19"/>
  <c r="C13" i="19"/>
  <c r="F12" i="19"/>
  <c r="G12" i="19"/>
  <c r="D12" i="19"/>
  <c r="C12" i="19"/>
  <c r="F11" i="19"/>
  <c r="G11" i="19"/>
  <c r="D11" i="19"/>
  <c r="C11" i="19"/>
  <c r="F10" i="19"/>
  <c r="G10" i="19"/>
  <c r="D10" i="19"/>
  <c r="C10" i="19"/>
  <c r="F9" i="19"/>
  <c r="G9" i="19"/>
  <c r="D9" i="19"/>
  <c r="C9" i="19"/>
  <c r="F8" i="19"/>
  <c r="G8" i="19"/>
  <c r="D8" i="19"/>
  <c r="C8" i="19"/>
  <c r="F7" i="19"/>
  <c r="G7" i="19"/>
  <c r="D7" i="19"/>
  <c r="C7" i="19"/>
  <c r="F6" i="19"/>
  <c r="G6" i="19"/>
  <c r="D6" i="19"/>
  <c r="C6" i="19"/>
  <c r="F5" i="19"/>
  <c r="G5" i="19"/>
  <c r="D5" i="19"/>
  <c r="C5" i="19"/>
  <c r="F4" i="19"/>
  <c r="G4" i="19"/>
  <c r="D4" i="19"/>
  <c r="C4" i="19"/>
  <c r="F3" i="19"/>
  <c r="G3" i="19"/>
  <c r="D3" i="19"/>
  <c r="C3" i="19"/>
  <c r="F2" i="19"/>
  <c r="G2" i="19"/>
  <c r="D2" i="19"/>
  <c r="C2" i="19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B17" i="21"/>
  <c r="C17" i="21"/>
  <c r="D17" i="21"/>
  <c r="F17" i="21"/>
  <c r="G17" i="21"/>
  <c r="I17" i="21"/>
  <c r="J17" i="21"/>
  <c r="B18" i="21"/>
  <c r="C18" i="21"/>
  <c r="D18" i="21"/>
  <c r="F18" i="21"/>
  <c r="G18" i="21"/>
  <c r="I18" i="21"/>
  <c r="J1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B14" i="21"/>
  <c r="C14" i="21"/>
  <c r="D14" i="21"/>
  <c r="F14" i="21"/>
  <c r="G14" i="21"/>
  <c r="I14" i="21"/>
  <c r="J14" i="2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H10" i="1"/>
  <c r="H11" i="1"/>
  <c r="H22" i="1"/>
  <c r="H23" i="1"/>
  <c r="H44" i="1"/>
  <c r="H45" i="1"/>
  <c r="H40" i="1"/>
  <c r="H41" i="1"/>
  <c r="H38" i="1"/>
  <c r="H39" i="1"/>
  <c r="H16" i="1"/>
  <c r="H17" i="1"/>
  <c r="H18" i="1"/>
  <c r="H19" i="1"/>
  <c r="H2" i="1"/>
  <c r="H3" i="1"/>
  <c r="H4" i="1"/>
  <c r="H5" i="1"/>
  <c r="H6" i="1"/>
  <c r="H7" i="1"/>
  <c r="H12" i="1"/>
  <c r="H13" i="1"/>
  <c r="H14" i="1"/>
  <c r="H15" i="1"/>
  <c r="H24" i="1"/>
  <c r="H25" i="1"/>
  <c r="H26" i="1"/>
  <c r="H27" i="1"/>
  <c r="H28" i="1"/>
  <c r="H29" i="1"/>
  <c r="H30" i="1"/>
  <c r="H31" i="1"/>
  <c r="H34" i="1"/>
  <c r="H35" i="1"/>
  <c r="H36" i="1"/>
  <c r="H37" i="1"/>
  <c r="H46" i="1"/>
  <c r="H47" i="1"/>
  <c r="H48" i="1"/>
  <c r="H49" i="1"/>
  <c r="H50" i="1"/>
  <c r="H51" i="1"/>
  <c r="H52" i="1"/>
  <c r="H53" i="1"/>
  <c r="H54" i="1"/>
  <c r="H55" i="1"/>
  <c r="H56" i="1"/>
  <c r="H57" i="1"/>
  <c r="H62" i="1"/>
  <c r="H63" i="1"/>
  <c r="H64" i="1"/>
  <c r="H65" i="1"/>
  <c r="H66" i="1"/>
  <c r="H67" i="1"/>
  <c r="H68" i="1"/>
  <c r="B9" i="2"/>
  <c r="D9" i="2"/>
  <c r="E9" i="2"/>
  <c r="H9" i="2"/>
  <c r="B5" i="2"/>
  <c r="D5" i="2"/>
  <c r="E5" i="2"/>
  <c r="H5" i="2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O22" i="9"/>
  <c r="N22" i="9"/>
  <c r="M22" i="9"/>
  <c r="L22" i="9"/>
  <c r="K22" i="9"/>
  <c r="J22" i="9"/>
  <c r="I22" i="9"/>
  <c r="H22" i="9"/>
  <c r="G22" i="9"/>
  <c r="E22" i="9"/>
  <c r="D22" i="9"/>
  <c r="A22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D23" i="9"/>
  <c r="A23" i="9"/>
  <c r="O21" i="9"/>
  <c r="N21" i="9"/>
  <c r="M21" i="9"/>
  <c r="L21" i="9"/>
  <c r="K21" i="9"/>
  <c r="J21" i="9"/>
  <c r="I21" i="9"/>
  <c r="H21" i="9"/>
  <c r="G21" i="9"/>
  <c r="E21" i="9"/>
  <c r="D21" i="9"/>
  <c r="A21" i="9"/>
  <c r="AB67" i="1"/>
  <c r="AD67" i="1"/>
  <c r="AG67" i="1"/>
  <c r="AE67" i="1"/>
  <c r="AC67" i="1"/>
  <c r="AA67" i="1"/>
  <c r="W67" i="1"/>
  <c r="V67" i="1"/>
  <c r="Q67" i="1"/>
  <c r="P67" i="1"/>
  <c r="O67" i="1"/>
  <c r="N67" i="1"/>
  <c r="M67" i="1"/>
  <c r="J67" i="1"/>
  <c r="I67" i="1"/>
  <c r="D67" i="1"/>
  <c r="F67" i="1"/>
  <c r="E67" i="1"/>
  <c r="A67" i="1"/>
  <c r="AB66" i="1"/>
  <c r="AD66" i="1"/>
  <c r="AG66" i="1"/>
  <c r="AE66" i="1"/>
  <c r="AC66" i="1"/>
  <c r="AA66" i="1"/>
  <c r="W66" i="1"/>
  <c r="V66" i="1"/>
  <c r="Q66" i="1"/>
  <c r="P66" i="1"/>
  <c r="O66" i="1"/>
  <c r="N66" i="1"/>
  <c r="M66" i="1"/>
  <c r="J66" i="1"/>
  <c r="I66" i="1"/>
  <c r="D66" i="1"/>
  <c r="F66" i="1"/>
  <c r="E66" i="1"/>
  <c r="A66" i="1"/>
  <c r="AB65" i="1"/>
  <c r="AD65" i="1"/>
  <c r="AG65" i="1"/>
  <c r="AE65" i="1"/>
  <c r="AC65" i="1"/>
  <c r="AA65" i="1"/>
  <c r="W65" i="1"/>
  <c r="V65" i="1"/>
  <c r="Q65" i="1"/>
  <c r="P65" i="1"/>
  <c r="O65" i="1"/>
  <c r="N65" i="1"/>
  <c r="M65" i="1"/>
  <c r="J65" i="1"/>
  <c r="I65" i="1"/>
  <c r="D65" i="1"/>
  <c r="F65" i="1"/>
  <c r="E65" i="1"/>
  <c r="A65" i="1"/>
  <c r="AB64" i="1"/>
  <c r="AD64" i="1"/>
  <c r="AG64" i="1"/>
  <c r="AE64" i="1"/>
  <c r="AC64" i="1"/>
  <c r="AA64" i="1"/>
  <c r="W64" i="1"/>
  <c r="V64" i="1"/>
  <c r="Q64" i="1"/>
  <c r="P64" i="1"/>
  <c r="O64" i="1"/>
  <c r="N64" i="1"/>
  <c r="M64" i="1"/>
  <c r="J64" i="1"/>
  <c r="I64" i="1"/>
  <c r="D64" i="1"/>
  <c r="F64" i="1"/>
  <c r="E64" i="1"/>
  <c r="A64" i="1"/>
  <c r="AB55" i="1"/>
  <c r="AD55" i="1"/>
  <c r="AG55" i="1"/>
  <c r="AE55" i="1"/>
  <c r="AC55" i="1"/>
  <c r="AA55" i="1"/>
  <c r="W55" i="1"/>
  <c r="V55" i="1"/>
  <c r="Q55" i="1"/>
  <c r="P55" i="1"/>
  <c r="O55" i="1"/>
  <c r="N55" i="1"/>
  <c r="M55" i="1"/>
  <c r="J55" i="1"/>
  <c r="I55" i="1"/>
  <c r="D55" i="1"/>
  <c r="F55" i="1"/>
  <c r="E55" i="1"/>
  <c r="A55" i="1"/>
  <c r="AB54" i="1"/>
  <c r="AD54" i="1"/>
  <c r="AG54" i="1"/>
  <c r="AE54" i="1"/>
  <c r="AC54" i="1"/>
  <c r="AA54" i="1"/>
  <c r="W54" i="1"/>
  <c r="V54" i="1"/>
  <c r="Q54" i="1"/>
  <c r="P54" i="1"/>
  <c r="O54" i="1"/>
  <c r="N54" i="1"/>
  <c r="M54" i="1"/>
  <c r="J54" i="1"/>
  <c r="I54" i="1"/>
  <c r="D54" i="1"/>
  <c r="F54" i="1"/>
  <c r="E54" i="1"/>
  <c r="A54" i="1"/>
  <c r="AB53" i="1"/>
  <c r="AD53" i="1"/>
  <c r="AG53" i="1"/>
  <c r="AE53" i="1"/>
  <c r="AC53" i="1"/>
  <c r="AA53" i="1"/>
  <c r="W53" i="1"/>
  <c r="V53" i="1"/>
  <c r="Q53" i="1"/>
  <c r="P53" i="1"/>
  <c r="O53" i="1"/>
  <c r="N53" i="1"/>
  <c r="M53" i="1"/>
  <c r="J53" i="1"/>
  <c r="I53" i="1"/>
  <c r="D53" i="1"/>
  <c r="F53" i="1"/>
  <c r="E53" i="1"/>
  <c r="A53" i="1"/>
  <c r="AB52" i="1"/>
  <c r="AD52" i="1"/>
  <c r="AG52" i="1"/>
  <c r="AE52" i="1"/>
  <c r="AC52" i="1"/>
  <c r="AA52" i="1"/>
  <c r="W52" i="1"/>
  <c r="V52" i="1"/>
  <c r="Q52" i="1"/>
  <c r="P52" i="1"/>
  <c r="O52" i="1"/>
  <c r="N52" i="1"/>
  <c r="M52" i="1"/>
  <c r="J52" i="1"/>
  <c r="I52" i="1"/>
  <c r="D52" i="1"/>
  <c r="F52" i="1"/>
  <c r="E52" i="1"/>
  <c r="A52" i="1"/>
  <c r="AB51" i="1"/>
  <c r="AD51" i="1"/>
  <c r="AG51" i="1"/>
  <c r="AE51" i="1"/>
  <c r="AC51" i="1"/>
  <c r="AA51" i="1"/>
  <c r="W51" i="1"/>
  <c r="V51" i="1"/>
  <c r="Q51" i="1"/>
  <c r="P51" i="1"/>
  <c r="O51" i="1"/>
  <c r="N51" i="1"/>
  <c r="M51" i="1"/>
  <c r="J51" i="1"/>
  <c r="I51" i="1"/>
  <c r="D51" i="1"/>
  <c r="F51" i="1"/>
  <c r="E51" i="1"/>
  <c r="A51" i="1"/>
  <c r="AB50" i="1"/>
  <c r="AD50" i="1"/>
  <c r="AG50" i="1"/>
  <c r="AE50" i="1"/>
  <c r="AC50" i="1"/>
  <c r="AA50" i="1"/>
  <c r="W50" i="1"/>
  <c r="V50" i="1"/>
  <c r="Q50" i="1"/>
  <c r="P50" i="1"/>
  <c r="O50" i="1"/>
  <c r="N50" i="1"/>
  <c r="M50" i="1"/>
  <c r="J50" i="1"/>
  <c r="I50" i="1"/>
  <c r="D50" i="1"/>
  <c r="F50" i="1"/>
  <c r="E50" i="1"/>
  <c r="A50" i="1"/>
  <c r="AB41" i="1"/>
  <c r="AD41" i="1"/>
  <c r="AG41" i="1"/>
  <c r="AE41" i="1"/>
  <c r="AC41" i="1"/>
  <c r="AA41" i="1"/>
  <c r="W41" i="1"/>
  <c r="V41" i="1"/>
  <c r="Q41" i="1"/>
  <c r="P41" i="1"/>
  <c r="O41" i="1"/>
  <c r="N41" i="1"/>
  <c r="M41" i="1"/>
  <c r="J41" i="1"/>
  <c r="I41" i="1"/>
  <c r="D41" i="1"/>
  <c r="F41" i="1"/>
  <c r="E41" i="1"/>
  <c r="A41" i="1"/>
  <c r="AB40" i="1"/>
  <c r="AD40" i="1"/>
  <c r="AG40" i="1"/>
  <c r="AE40" i="1"/>
  <c r="AC40" i="1"/>
  <c r="AA40" i="1"/>
  <c r="W40" i="1"/>
  <c r="V40" i="1"/>
  <c r="Q40" i="1"/>
  <c r="P40" i="1"/>
  <c r="O40" i="1"/>
  <c r="N40" i="1"/>
  <c r="M40" i="1"/>
  <c r="J40" i="1"/>
  <c r="I40" i="1"/>
  <c r="D40" i="1"/>
  <c r="F40" i="1"/>
  <c r="E40" i="1"/>
  <c r="A40" i="1"/>
  <c r="AB39" i="1"/>
  <c r="AD39" i="1"/>
  <c r="AG39" i="1"/>
  <c r="AE39" i="1"/>
  <c r="AC39" i="1"/>
  <c r="AA39" i="1"/>
  <c r="W39" i="1"/>
  <c r="V39" i="1"/>
  <c r="Q39" i="1"/>
  <c r="P39" i="1"/>
  <c r="O39" i="1"/>
  <c r="N39" i="1"/>
  <c r="M39" i="1"/>
  <c r="J39" i="1"/>
  <c r="I39" i="1"/>
  <c r="D39" i="1"/>
  <c r="F39" i="1"/>
  <c r="E39" i="1"/>
  <c r="A39" i="1"/>
  <c r="AB38" i="1"/>
  <c r="AD38" i="1"/>
  <c r="AG38" i="1"/>
  <c r="AE38" i="1"/>
  <c r="AC38" i="1"/>
  <c r="AA38" i="1"/>
  <c r="W38" i="1"/>
  <c r="V38" i="1"/>
  <c r="Q38" i="1"/>
  <c r="P38" i="1"/>
  <c r="O38" i="1"/>
  <c r="N38" i="1"/>
  <c r="M38" i="1"/>
  <c r="J38" i="1"/>
  <c r="I38" i="1"/>
  <c r="D38" i="1"/>
  <c r="F38" i="1"/>
  <c r="E38" i="1"/>
  <c r="A38" i="1"/>
  <c r="AB31" i="1"/>
  <c r="AD31" i="1"/>
  <c r="AG31" i="1"/>
  <c r="AE31" i="1"/>
  <c r="AC31" i="1"/>
  <c r="AA31" i="1"/>
  <c r="W31" i="1"/>
  <c r="V31" i="1"/>
  <c r="Q31" i="1"/>
  <c r="P31" i="1"/>
  <c r="O31" i="1"/>
  <c r="N31" i="1"/>
  <c r="M31" i="1"/>
  <c r="J31" i="1"/>
  <c r="I31" i="1"/>
  <c r="D31" i="1"/>
  <c r="F31" i="1"/>
  <c r="E31" i="1"/>
  <c r="A31" i="1"/>
  <c r="AB30" i="1"/>
  <c r="AD30" i="1"/>
  <c r="AG30" i="1"/>
  <c r="AE30" i="1"/>
  <c r="AC30" i="1"/>
  <c r="AA30" i="1"/>
  <c r="W30" i="1"/>
  <c r="V30" i="1"/>
  <c r="Q30" i="1"/>
  <c r="P30" i="1"/>
  <c r="O30" i="1"/>
  <c r="N30" i="1"/>
  <c r="M30" i="1"/>
  <c r="J30" i="1"/>
  <c r="I30" i="1"/>
  <c r="D30" i="1"/>
  <c r="F30" i="1"/>
  <c r="E30" i="1"/>
  <c r="A30" i="1"/>
  <c r="AB29" i="1"/>
  <c r="AD29" i="1"/>
  <c r="AG29" i="1"/>
  <c r="AE29" i="1"/>
  <c r="AC29" i="1"/>
  <c r="AA29" i="1"/>
  <c r="W29" i="1"/>
  <c r="V29" i="1"/>
  <c r="Q29" i="1"/>
  <c r="P29" i="1"/>
  <c r="O29" i="1"/>
  <c r="N29" i="1"/>
  <c r="M29" i="1"/>
  <c r="J29" i="1"/>
  <c r="I29" i="1"/>
  <c r="D29" i="1"/>
  <c r="F29" i="1"/>
  <c r="E29" i="1"/>
  <c r="A29" i="1"/>
  <c r="AB28" i="1"/>
  <c r="AD28" i="1"/>
  <c r="AG28" i="1"/>
  <c r="AE28" i="1"/>
  <c r="AC28" i="1"/>
  <c r="AA28" i="1"/>
  <c r="W28" i="1"/>
  <c r="V28" i="1"/>
  <c r="Q28" i="1"/>
  <c r="P28" i="1"/>
  <c r="O28" i="1"/>
  <c r="N28" i="1"/>
  <c r="M28" i="1"/>
  <c r="J28" i="1"/>
  <c r="I28" i="1"/>
  <c r="D28" i="1"/>
  <c r="F28" i="1"/>
  <c r="E28" i="1"/>
  <c r="A28" i="1"/>
  <c r="AB27" i="1"/>
  <c r="AD27" i="1"/>
  <c r="AG27" i="1"/>
  <c r="AE27" i="1"/>
  <c r="AC27" i="1"/>
  <c r="AA27" i="1"/>
  <c r="W27" i="1"/>
  <c r="V27" i="1"/>
  <c r="Q27" i="1"/>
  <c r="P27" i="1"/>
  <c r="O27" i="1"/>
  <c r="N27" i="1"/>
  <c r="M27" i="1"/>
  <c r="J27" i="1"/>
  <c r="I27" i="1"/>
  <c r="D27" i="1"/>
  <c r="F27" i="1"/>
  <c r="E27" i="1"/>
  <c r="A27" i="1"/>
  <c r="AB26" i="1"/>
  <c r="AD26" i="1"/>
  <c r="AG26" i="1"/>
  <c r="AE26" i="1"/>
  <c r="AC26" i="1"/>
  <c r="AA26" i="1"/>
  <c r="W26" i="1"/>
  <c r="V26" i="1"/>
  <c r="Q26" i="1"/>
  <c r="P26" i="1"/>
  <c r="O26" i="1"/>
  <c r="N26" i="1"/>
  <c r="M26" i="1"/>
  <c r="J26" i="1"/>
  <c r="I26" i="1"/>
  <c r="D26" i="1"/>
  <c r="F26" i="1"/>
  <c r="E26" i="1"/>
  <c r="A26" i="1"/>
  <c r="AB19" i="1"/>
  <c r="AD19" i="1"/>
  <c r="AG19" i="1"/>
  <c r="AE19" i="1"/>
  <c r="AC19" i="1"/>
  <c r="AA19" i="1"/>
  <c r="W19" i="1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AA18" i="1"/>
  <c r="W18" i="1"/>
  <c r="V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AA17" i="1"/>
  <c r="W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AA16" i="1"/>
  <c r="W16" i="1"/>
  <c r="V16" i="1"/>
  <c r="Q16" i="1"/>
  <c r="P16" i="1"/>
  <c r="O16" i="1"/>
  <c r="N16" i="1"/>
  <c r="M16" i="1"/>
  <c r="J16" i="1"/>
  <c r="I16" i="1"/>
  <c r="D16" i="1"/>
  <c r="F16" i="1"/>
  <c r="E16" i="1"/>
  <c r="A16" i="1"/>
  <c r="AB7" i="1"/>
  <c r="AD7" i="1"/>
  <c r="AG7" i="1"/>
  <c r="AE7" i="1"/>
  <c r="AC7" i="1"/>
  <c r="AA7" i="1"/>
  <c r="W7" i="1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AA6" i="1"/>
  <c r="W6" i="1"/>
  <c r="V6" i="1"/>
  <c r="Q6" i="1"/>
  <c r="P6" i="1"/>
  <c r="O6" i="1"/>
  <c r="N6" i="1"/>
  <c r="M6" i="1"/>
  <c r="J6" i="1"/>
  <c r="I6" i="1"/>
  <c r="D6" i="1"/>
  <c r="F6" i="1"/>
  <c r="E6" i="1"/>
  <c r="A6" i="1"/>
  <c r="AB11" i="1"/>
  <c r="AD11" i="1"/>
  <c r="AG11" i="1"/>
  <c r="AE11" i="1"/>
  <c r="AC11" i="1"/>
  <c r="AA11" i="1"/>
  <c r="W11" i="1"/>
  <c r="V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AA10" i="1"/>
  <c r="W10" i="1"/>
  <c r="V10" i="1"/>
  <c r="Q10" i="1"/>
  <c r="P10" i="1"/>
  <c r="O10" i="1"/>
  <c r="N10" i="1"/>
  <c r="M10" i="1"/>
  <c r="J10" i="1"/>
  <c r="I10" i="1"/>
  <c r="D10" i="1"/>
  <c r="F10" i="1"/>
  <c r="E10" i="1"/>
  <c r="A10" i="1"/>
  <c r="W5" i="1"/>
  <c r="V5" i="1"/>
  <c r="W4" i="1"/>
  <c r="V4" i="1"/>
  <c r="AB5" i="1"/>
  <c r="AD5" i="1"/>
  <c r="AG5" i="1"/>
  <c r="AE5" i="1"/>
  <c r="AC5" i="1"/>
  <c r="AA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AA4" i="1"/>
  <c r="Q4" i="1"/>
  <c r="P4" i="1"/>
  <c r="O4" i="1"/>
  <c r="N4" i="1"/>
  <c r="M4" i="1"/>
  <c r="J4" i="1"/>
  <c r="I4" i="1"/>
  <c r="D4" i="1"/>
  <c r="F4" i="1"/>
  <c r="E4" i="1"/>
  <c r="A4" i="1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O13" i="9"/>
  <c r="N13" i="9"/>
  <c r="M13" i="9"/>
  <c r="L13" i="9"/>
  <c r="K13" i="9"/>
  <c r="J13" i="9"/>
  <c r="I13" i="9"/>
  <c r="H13" i="9"/>
  <c r="G13" i="9"/>
  <c r="E13" i="9"/>
  <c r="D13" i="9"/>
  <c r="A13" i="9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W63" i="1"/>
  <c r="V63" i="1"/>
  <c r="W62" i="1"/>
  <c r="V62" i="1"/>
  <c r="W49" i="1"/>
  <c r="V49" i="1"/>
  <c r="W48" i="1"/>
  <c r="V48" i="1"/>
  <c r="AB63" i="1"/>
  <c r="AD63" i="1"/>
  <c r="AG63" i="1"/>
  <c r="AE63" i="1"/>
  <c r="AC63" i="1"/>
  <c r="AA63" i="1"/>
  <c r="Q63" i="1"/>
  <c r="P63" i="1"/>
  <c r="O63" i="1"/>
  <c r="N63" i="1"/>
  <c r="M63" i="1"/>
  <c r="J63" i="1"/>
  <c r="I63" i="1"/>
  <c r="D63" i="1"/>
  <c r="F63" i="1"/>
  <c r="E63" i="1"/>
  <c r="A63" i="1"/>
  <c r="AB62" i="1"/>
  <c r="AD62" i="1"/>
  <c r="AG62" i="1"/>
  <c r="AE62" i="1"/>
  <c r="AC62" i="1"/>
  <c r="AA62" i="1"/>
  <c r="Q62" i="1"/>
  <c r="P62" i="1"/>
  <c r="O62" i="1"/>
  <c r="N62" i="1"/>
  <c r="M62" i="1"/>
  <c r="J62" i="1"/>
  <c r="I62" i="1"/>
  <c r="D62" i="1"/>
  <c r="F62" i="1"/>
  <c r="E62" i="1"/>
  <c r="A62" i="1"/>
  <c r="AB49" i="1"/>
  <c r="AD49" i="1"/>
  <c r="AG49" i="1"/>
  <c r="AE49" i="1"/>
  <c r="AC49" i="1"/>
  <c r="AA49" i="1"/>
  <c r="Q49" i="1"/>
  <c r="P49" i="1"/>
  <c r="O49" i="1"/>
  <c r="N49" i="1"/>
  <c r="M49" i="1"/>
  <c r="J49" i="1"/>
  <c r="I49" i="1"/>
  <c r="D49" i="1"/>
  <c r="F49" i="1"/>
  <c r="E49" i="1"/>
  <c r="A49" i="1"/>
  <c r="AB48" i="1"/>
  <c r="AD48" i="1"/>
  <c r="AG48" i="1"/>
  <c r="AE48" i="1"/>
  <c r="AC48" i="1"/>
  <c r="AA48" i="1"/>
  <c r="Q48" i="1"/>
  <c r="P48" i="1"/>
  <c r="O48" i="1"/>
  <c r="N48" i="1"/>
  <c r="M48" i="1"/>
  <c r="J48" i="1"/>
  <c r="I48" i="1"/>
  <c r="D48" i="1"/>
  <c r="F48" i="1"/>
  <c r="E48" i="1"/>
  <c r="A48" i="1"/>
  <c r="O11" i="9"/>
  <c r="N11" i="9"/>
  <c r="M11" i="9"/>
  <c r="L11" i="9"/>
  <c r="K11" i="9"/>
  <c r="J11" i="9"/>
  <c r="I11" i="9"/>
  <c r="H11" i="9"/>
  <c r="G11" i="9"/>
  <c r="E11" i="9"/>
  <c r="D11" i="9"/>
  <c r="A11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O7" i="9"/>
  <c r="N7" i="9"/>
  <c r="M7" i="9"/>
  <c r="L7" i="9"/>
  <c r="K7" i="9"/>
  <c r="J7" i="9"/>
  <c r="I7" i="9"/>
  <c r="H7" i="9"/>
  <c r="G7" i="9"/>
  <c r="E7" i="9"/>
  <c r="D7" i="9"/>
  <c r="A7" i="9"/>
  <c r="V68" i="1"/>
  <c r="V57" i="1"/>
  <c r="V56" i="1"/>
  <c r="V47" i="1"/>
  <c r="V46" i="1"/>
  <c r="V35" i="1"/>
  <c r="V34" i="1"/>
  <c r="V25" i="1"/>
  <c r="V24" i="1"/>
  <c r="AB37" i="1"/>
  <c r="AD37" i="1"/>
  <c r="AG37" i="1"/>
  <c r="AE37" i="1"/>
  <c r="AC37" i="1"/>
  <c r="AA37" i="1"/>
  <c r="W37" i="1"/>
  <c r="V37" i="1"/>
  <c r="Q37" i="1"/>
  <c r="P37" i="1"/>
  <c r="O37" i="1"/>
  <c r="N37" i="1"/>
  <c r="M37" i="1"/>
  <c r="J37" i="1"/>
  <c r="I37" i="1"/>
  <c r="D37" i="1"/>
  <c r="F37" i="1"/>
  <c r="E37" i="1"/>
  <c r="A37" i="1"/>
  <c r="AB36" i="1"/>
  <c r="AD36" i="1"/>
  <c r="AG36" i="1"/>
  <c r="AE36" i="1"/>
  <c r="AC36" i="1"/>
  <c r="AA36" i="1"/>
  <c r="W36" i="1"/>
  <c r="V36" i="1"/>
  <c r="Q36" i="1"/>
  <c r="P36" i="1"/>
  <c r="O36" i="1"/>
  <c r="N36" i="1"/>
  <c r="M36" i="1"/>
  <c r="J36" i="1"/>
  <c r="I36" i="1"/>
  <c r="D36" i="1"/>
  <c r="F36" i="1"/>
  <c r="E36" i="1"/>
  <c r="A36" i="1"/>
  <c r="W15" i="1"/>
  <c r="W14" i="1"/>
  <c r="AB15" i="1"/>
  <c r="AD15" i="1"/>
  <c r="AG15" i="1"/>
  <c r="AE15" i="1"/>
  <c r="AC15" i="1"/>
  <c r="AA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AA14" i="1"/>
  <c r="V14" i="1"/>
  <c r="Q14" i="1"/>
  <c r="P14" i="1"/>
  <c r="O14" i="1"/>
  <c r="N14" i="1"/>
  <c r="M14" i="1"/>
  <c r="J14" i="1"/>
  <c r="I14" i="1"/>
  <c r="D14" i="1"/>
  <c r="F14" i="1"/>
  <c r="E14" i="1"/>
  <c r="A14" i="1"/>
  <c r="V13" i="1"/>
  <c r="V12" i="1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AB34" i="1"/>
  <c r="AD34" i="1"/>
  <c r="AG34" i="1"/>
  <c r="AE34" i="1"/>
  <c r="AC34" i="1"/>
  <c r="AA34" i="1"/>
  <c r="Q34" i="1"/>
  <c r="P34" i="1"/>
  <c r="O34" i="1"/>
  <c r="N34" i="1"/>
  <c r="M34" i="1"/>
  <c r="J34" i="1"/>
  <c r="I34" i="1"/>
  <c r="D34" i="1"/>
  <c r="F34" i="1"/>
  <c r="E34" i="1"/>
  <c r="A34" i="1"/>
  <c r="AB25" i="1"/>
  <c r="AD25" i="1"/>
  <c r="AG25" i="1"/>
  <c r="AE25" i="1"/>
  <c r="AC25" i="1"/>
  <c r="AA25" i="1"/>
  <c r="Q25" i="1"/>
  <c r="P25" i="1"/>
  <c r="O25" i="1"/>
  <c r="N25" i="1"/>
  <c r="M25" i="1"/>
  <c r="J25" i="1"/>
  <c r="I25" i="1"/>
  <c r="D25" i="1"/>
  <c r="F25" i="1"/>
  <c r="E25" i="1"/>
  <c r="A25" i="1"/>
  <c r="AB13" i="1"/>
  <c r="AD13" i="1"/>
  <c r="AG13" i="1"/>
  <c r="AE13" i="1"/>
  <c r="AC13" i="1"/>
  <c r="AA13" i="1"/>
  <c r="Q13" i="1"/>
  <c r="P13" i="1"/>
  <c r="O13" i="1"/>
  <c r="N13" i="1"/>
  <c r="M13" i="1"/>
  <c r="J13" i="1"/>
  <c r="I13" i="1"/>
  <c r="D13" i="1"/>
  <c r="F13" i="1"/>
  <c r="E13" i="1"/>
  <c r="A13" i="1"/>
  <c r="AB3" i="1"/>
  <c r="AD3" i="1"/>
  <c r="AG3" i="1"/>
  <c r="AE3" i="1"/>
  <c r="AC3" i="1"/>
  <c r="AA3" i="1"/>
  <c r="V3" i="1"/>
  <c r="Q3" i="1"/>
  <c r="P3" i="1"/>
  <c r="O3" i="1"/>
  <c r="N3" i="1"/>
  <c r="M3" i="1"/>
  <c r="J3" i="1"/>
  <c r="I3" i="1"/>
  <c r="D3" i="1"/>
  <c r="F3" i="1"/>
  <c r="E3" i="1"/>
  <c r="A3" i="1"/>
  <c r="AB56" i="1"/>
  <c r="AD56" i="1"/>
  <c r="AG56" i="1"/>
  <c r="AE56" i="1"/>
  <c r="AC56" i="1"/>
  <c r="AA56" i="1"/>
  <c r="Q56" i="1"/>
  <c r="P56" i="1"/>
  <c r="O56" i="1"/>
  <c r="N56" i="1"/>
  <c r="M56" i="1"/>
  <c r="J56" i="1"/>
  <c r="I56" i="1"/>
  <c r="D56" i="1"/>
  <c r="F56" i="1"/>
  <c r="E56" i="1"/>
  <c r="A56" i="1"/>
  <c r="AB47" i="1"/>
  <c r="AD47" i="1"/>
  <c r="AG47" i="1"/>
  <c r="AE47" i="1"/>
  <c r="AC47" i="1"/>
  <c r="AA47" i="1"/>
  <c r="Q47" i="1"/>
  <c r="P47" i="1"/>
  <c r="O47" i="1"/>
  <c r="N47" i="1"/>
  <c r="M47" i="1"/>
  <c r="J47" i="1"/>
  <c r="I47" i="1"/>
  <c r="D47" i="1"/>
  <c r="F47" i="1"/>
  <c r="E47" i="1"/>
  <c r="A47" i="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3" i="9"/>
  <c r="N3" i="9"/>
  <c r="M3" i="9"/>
  <c r="L3" i="9"/>
  <c r="K3" i="9"/>
  <c r="J3" i="9"/>
  <c r="I3" i="9"/>
  <c r="H3" i="9"/>
  <c r="G3" i="9"/>
  <c r="D3" i="9"/>
  <c r="A3" i="9"/>
  <c r="V2" i="1"/>
  <c r="W69" i="1"/>
  <c r="W70" i="1"/>
  <c r="W71" i="1"/>
  <c r="W72" i="1"/>
  <c r="W73" i="1"/>
  <c r="A22" i="1"/>
  <c r="D22" i="1"/>
  <c r="E22" i="1"/>
  <c r="F22" i="1"/>
  <c r="I22" i="1"/>
  <c r="J22" i="1"/>
  <c r="M22" i="1"/>
  <c r="N22" i="1"/>
  <c r="O22" i="1"/>
  <c r="P22" i="1"/>
  <c r="Q22" i="1"/>
  <c r="V22" i="1"/>
  <c r="AB22" i="1"/>
  <c r="AC22" i="1"/>
  <c r="AD22" i="1"/>
  <c r="AE22" i="1"/>
  <c r="AG22" i="1"/>
  <c r="A23" i="1"/>
  <c r="D23" i="1"/>
  <c r="E23" i="1"/>
  <c r="F23" i="1"/>
  <c r="I23" i="1"/>
  <c r="J23" i="1"/>
  <c r="M23" i="1"/>
  <c r="N23" i="1"/>
  <c r="O23" i="1"/>
  <c r="P23" i="1"/>
  <c r="Q23" i="1"/>
  <c r="V23" i="1"/>
  <c r="AB23" i="1"/>
  <c r="AC23" i="1"/>
  <c r="AD23" i="1"/>
  <c r="AE23" i="1"/>
  <c r="AG23" i="1"/>
  <c r="AA24" i="1"/>
  <c r="A24" i="1"/>
  <c r="D24" i="1"/>
  <c r="E24" i="1"/>
  <c r="F24" i="1"/>
  <c r="I24" i="1"/>
  <c r="J24" i="1"/>
  <c r="M24" i="1"/>
  <c r="N24" i="1"/>
  <c r="O24" i="1"/>
  <c r="P24" i="1"/>
  <c r="Q24" i="1"/>
  <c r="AB24" i="1"/>
  <c r="AC24" i="1"/>
  <c r="AD24" i="1"/>
  <c r="AE24" i="1"/>
  <c r="AG24" i="1"/>
  <c r="AA35" i="1"/>
  <c r="A35" i="1"/>
  <c r="D35" i="1"/>
  <c r="E35" i="1"/>
  <c r="F35" i="1"/>
  <c r="I35" i="1"/>
  <c r="J35" i="1"/>
  <c r="M35" i="1"/>
  <c r="N35" i="1"/>
  <c r="O35" i="1"/>
  <c r="P35" i="1"/>
  <c r="Q35" i="1"/>
  <c r="AB35" i="1"/>
  <c r="AC35" i="1"/>
  <c r="AD35" i="1"/>
  <c r="AE35" i="1"/>
  <c r="AG35" i="1"/>
  <c r="A44" i="1"/>
  <c r="D44" i="1"/>
  <c r="E44" i="1"/>
  <c r="F44" i="1"/>
  <c r="I44" i="1"/>
  <c r="J44" i="1"/>
  <c r="M44" i="1"/>
  <c r="N44" i="1"/>
  <c r="O44" i="1"/>
  <c r="P44" i="1"/>
  <c r="Q44" i="1"/>
  <c r="V44" i="1"/>
  <c r="AB44" i="1"/>
  <c r="AC44" i="1"/>
  <c r="AD44" i="1"/>
  <c r="AE44" i="1"/>
  <c r="AG44" i="1"/>
  <c r="AA45" i="1"/>
  <c r="A45" i="1"/>
  <c r="D45" i="1"/>
  <c r="E45" i="1"/>
  <c r="F45" i="1"/>
  <c r="I45" i="1"/>
  <c r="J45" i="1"/>
  <c r="M45" i="1"/>
  <c r="N45" i="1"/>
  <c r="O45" i="1"/>
  <c r="P45" i="1"/>
  <c r="Q45" i="1"/>
  <c r="V45" i="1"/>
  <c r="AB45" i="1"/>
  <c r="AC45" i="1"/>
  <c r="AD45" i="1"/>
  <c r="AE45" i="1"/>
  <c r="AG45" i="1"/>
  <c r="AA46" i="1"/>
  <c r="A46" i="1"/>
  <c r="D46" i="1"/>
  <c r="E46" i="1"/>
  <c r="F46" i="1"/>
  <c r="I46" i="1"/>
  <c r="J46" i="1"/>
  <c r="M46" i="1"/>
  <c r="N46" i="1"/>
  <c r="O46" i="1"/>
  <c r="P46" i="1"/>
  <c r="Q46" i="1"/>
  <c r="AB46" i="1"/>
  <c r="AC46" i="1"/>
  <c r="AD46" i="1"/>
  <c r="AE46" i="1"/>
  <c r="AG46" i="1"/>
  <c r="AA57" i="1"/>
  <c r="A57" i="1"/>
  <c r="D57" i="1"/>
  <c r="E57" i="1"/>
  <c r="F57" i="1"/>
  <c r="I57" i="1"/>
  <c r="J57" i="1"/>
  <c r="M57" i="1"/>
  <c r="N57" i="1"/>
  <c r="O57" i="1"/>
  <c r="P57" i="1"/>
  <c r="Q57" i="1"/>
  <c r="AB57" i="1"/>
  <c r="AC57" i="1"/>
  <c r="AD57" i="1"/>
  <c r="AE57" i="1"/>
  <c r="AG57" i="1"/>
  <c r="A68" i="1"/>
  <c r="D68" i="1"/>
  <c r="E68" i="1"/>
  <c r="F68" i="1"/>
  <c r="I68" i="1"/>
  <c r="J68" i="1"/>
  <c r="M68" i="1"/>
  <c r="N68" i="1"/>
  <c r="O68" i="1"/>
  <c r="P68" i="1"/>
  <c r="Q68" i="1"/>
  <c r="AB68" i="1"/>
  <c r="AC68" i="1"/>
  <c r="AD68" i="1"/>
  <c r="AE68" i="1"/>
  <c r="AG68" i="1"/>
  <c r="AA69" i="1"/>
  <c r="A69" i="1"/>
  <c r="D69" i="1"/>
  <c r="E69" i="1"/>
  <c r="F69" i="1"/>
  <c r="M69" i="1"/>
  <c r="N69" i="1"/>
  <c r="O69" i="1"/>
  <c r="P69" i="1"/>
  <c r="Q69" i="1"/>
  <c r="V69" i="1"/>
  <c r="AB69" i="1"/>
  <c r="AC69" i="1"/>
  <c r="AD69" i="1"/>
  <c r="AE69" i="1"/>
  <c r="AG69" i="1"/>
  <c r="AA70" i="1"/>
  <c r="A70" i="1"/>
  <c r="D70" i="1"/>
  <c r="E70" i="1"/>
  <c r="F70" i="1"/>
  <c r="M70" i="1"/>
  <c r="N70" i="1"/>
  <c r="O70" i="1"/>
  <c r="P70" i="1"/>
  <c r="Q70" i="1"/>
  <c r="V70" i="1"/>
  <c r="AB70" i="1"/>
  <c r="AC70" i="1"/>
  <c r="AD70" i="1"/>
  <c r="AE70" i="1"/>
  <c r="AG70" i="1"/>
  <c r="AA71" i="1"/>
  <c r="A71" i="1"/>
  <c r="D71" i="1"/>
  <c r="E71" i="1"/>
  <c r="F71" i="1"/>
  <c r="M71" i="1"/>
  <c r="N71" i="1"/>
  <c r="O71" i="1"/>
  <c r="P71" i="1"/>
  <c r="Q71" i="1"/>
  <c r="V71" i="1"/>
  <c r="AB71" i="1"/>
  <c r="AC71" i="1"/>
  <c r="AD71" i="1"/>
  <c r="AE71" i="1"/>
  <c r="AG71" i="1"/>
  <c r="AA72" i="1"/>
  <c r="A72" i="1"/>
  <c r="D72" i="1"/>
  <c r="E72" i="1"/>
  <c r="F72" i="1"/>
  <c r="M72" i="1"/>
  <c r="N72" i="1"/>
  <c r="O72" i="1"/>
  <c r="P72" i="1"/>
  <c r="Q72" i="1"/>
  <c r="V72" i="1"/>
  <c r="AB72" i="1"/>
  <c r="AC72" i="1"/>
  <c r="AD72" i="1"/>
  <c r="AE72" i="1"/>
  <c r="AG72" i="1"/>
  <c r="AA73" i="1"/>
  <c r="A73" i="1"/>
  <c r="D73" i="1"/>
  <c r="E73" i="1"/>
  <c r="F73" i="1"/>
  <c r="M73" i="1"/>
  <c r="N73" i="1"/>
  <c r="O73" i="1"/>
  <c r="P73" i="1"/>
  <c r="Q73" i="1"/>
  <c r="V73" i="1"/>
  <c r="AB73" i="1"/>
  <c r="AC73" i="1"/>
  <c r="AD73" i="1"/>
  <c r="AE73" i="1"/>
  <c r="AG73" i="1"/>
  <c r="B3" i="2"/>
  <c r="D3" i="2"/>
  <c r="E3" i="2"/>
  <c r="H3" i="2"/>
  <c r="B4" i="2"/>
  <c r="D4" i="2"/>
  <c r="E4" i="2"/>
  <c r="H4" i="2"/>
  <c r="B6" i="2"/>
  <c r="D6" i="2"/>
  <c r="E6" i="2"/>
  <c r="H6" i="2"/>
  <c r="B7" i="2"/>
  <c r="D7" i="2"/>
  <c r="E7" i="2"/>
  <c r="H7" i="2"/>
  <c r="B8" i="2"/>
  <c r="D8" i="2"/>
  <c r="E8" i="2"/>
  <c r="H8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14" i="2"/>
  <c r="D14" i="2"/>
  <c r="E14" i="2"/>
  <c r="H14" i="2"/>
  <c r="B15" i="2"/>
  <c r="D15" i="2"/>
  <c r="E15" i="2"/>
  <c r="H15" i="2"/>
  <c r="B16" i="2"/>
  <c r="D16" i="2"/>
  <c r="E16" i="2"/>
  <c r="H16" i="2"/>
  <c r="B17" i="2"/>
  <c r="D17" i="2"/>
  <c r="E17" i="2"/>
  <c r="H17" i="2"/>
  <c r="B18" i="2"/>
  <c r="D18" i="2"/>
  <c r="E18" i="2"/>
  <c r="H18" i="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12" i="1"/>
  <c r="AE12" i="1"/>
  <c r="AD12" i="1"/>
  <c r="AC12" i="1"/>
  <c r="AB2" i="1"/>
  <c r="AE2" i="1"/>
  <c r="AD2" i="1"/>
  <c r="AC2" i="1"/>
  <c r="AA12" i="1"/>
  <c r="AA2" i="1"/>
  <c r="Q12" i="1"/>
  <c r="P12" i="1"/>
  <c r="O12" i="1"/>
  <c r="N12" i="1"/>
  <c r="M1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12" i="1"/>
  <c r="A2" i="1"/>
  <c r="AG12" i="1"/>
  <c r="A2" i="9"/>
  <c r="J12" i="1"/>
  <c r="I12" i="1"/>
  <c r="D12" i="1"/>
  <c r="F12" i="1"/>
  <c r="E12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<sst xmlns="http://schemas.openxmlformats.org/spreadsheetml/2006/main" count="887" uniqueCount="319">
  <si>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</si>
  <si>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</si>
  <si>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</si>
  <si>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</si>
  <si>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</si>
  <si>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</si>
  <si>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</si>
  <si>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</si>
  <si>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</si>
  <si>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</si>
  <si>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</si>
  <si>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</si>
  <si>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</si>
  <si>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</si>
  <si>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</si>
  <si>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</si>
  <si>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</si>
  <si>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</si>
  <si>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</si>
  <si>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</si>
  <si>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</si>
  <si>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</si>
  <si>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</si>
  <si>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</si>
  <si>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</si>
  <si>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</si>
  <si>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</si>
  <si>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</si>
  <si>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</si>
  <si>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</si>
  <si>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</si>
  <si>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</si>
  <si>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</si>
  <si>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</si>
  <si>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</si>
  <si>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</si>
  <si>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</si>
  <si>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</si>
  <si>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</si>
  <si>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</si>
  <si>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</si>
  <si>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</si>
  <si>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</si>
  <si>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</si>
  <si>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</si>
  <si>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</si>
  <si>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</si>
  <si>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</si>
  <si>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</si>
  <si>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</si>
  <si>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</si>
  <si>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</si>
  <si>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</si>
  <si>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</si>
  <si>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</si>
  <si>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</si>
  <si>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</si>
  <si>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</si>
  <si>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</si>
  <si>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</si>
  <si>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</si>
  <si>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</si>
  <si>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</si>
  <si>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</si>
  <si>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</si>
  <si>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</si>
  <si>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</si>
  <si>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</si>
  <si>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</si>
  <si>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</si>
  <si>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</si>
  <si>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</si>
  <si>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</si>
  <si>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</si>
  <si>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</si>
  <si>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</si>
  <si>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</si>
  <si>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</si>
  <si>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</si>
  <si>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</si>
  <si>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</si>
  <si>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</si>
  <si>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</si>
  <si>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</si>
  <si>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</si>
  <si>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</si>
  <si>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</si>
  <si>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</si>
  <si>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</si>
  <si>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</si>
  <si>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</si>
  <si>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</si>
  <si>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</si>
  <si>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</si>
  <si>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</si>
  <si>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</si>
  <si>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</si>
  <si>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</si>
  <si>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</si>
  <si>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</si>
  <si>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</si>
  <si>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</si>
  <si>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</si>
  <si>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</si>
  <si>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</si>
  <si>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</si>
  <si>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</si>
  <si>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</si>
  <si>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</si>
  <si>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</si>
  <si>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</si>
  <si>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</si>
  <si>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</si>
  <si>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</si>
  <si>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</si>
  <si>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</si>
  <si>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</si>
  <si>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</si>
  <si>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</si>
  <si>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</si>
  <si>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</si>
  <si>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</si>
  <si>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</si>
  <si>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</si>
  <si>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</si>
  <si>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</si>
  <si>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</si>
  <si>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</si>
  <si>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</si>
  <si>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</si>
  <si>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</si>
  <si>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</si>
  <si>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</si>
  <si>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</si>
  <si>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</si>
  <si>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</si>
  <si>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</si>
  <si>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</si>
  <si>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</si>
  <si>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</si>
  <si>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</si>
  <si>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</si>
  <si>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</si>
  <si>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</si>
  <si>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</si>
  <si>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</si>
  <si>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</si>
  <si>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</si>
  <si>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</si>
  <si>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</si>
  <si>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</si>
  <si>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</si>
  <si>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</si>
  <si>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</si>
  <si>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</si>
  <si>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</si>
  <si>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</si>
  <si>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</si>
  <si>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</si>
  <si>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</si>
  <si>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</si>
  <si>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</si>
  <si>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</si>
  <si>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</si>
  <si>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</si>
  <si>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</si>
  <si>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</si>
  <si>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</si>
  <si>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</si>
  <si>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</si>
  <si>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</si>
  <si>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</si>
  <si>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</si>
  <si>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</si>
  <si>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</si>
  <si>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</si>
  <si>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</si>
  <si>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</si>
  <si>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</si>
  <si>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</si>
  <si>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</si>
  <si>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</si>
  <si>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</si>
  <si>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</si>
  <si>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</si>
  <si>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</si>
  <si>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</si>
  <si>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</si>
  <si>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</si>
  <si>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</si>
  <si>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</si>
  <si>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</si>
  <si>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</si>
  <si>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</si>
  <si>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</si>
  <si>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</si>
  <si>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</si>
  <si>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</si>
  <si>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</si>
  <si>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</si>
  <si>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</si>
  <si>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</si>
  <si>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</si>
  <si>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</si>
  <si>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</si>
  <si>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</si>
  <si>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</si>
  <si>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</si>
  <si>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stage_hints_failure</t>
    <phoneticPr fontId="6"/>
  </si>
  <si>
    <t>stage_hints_failure</t>
    <phoneticPr fontId="6"/>
  </si>
  <si>
    <t>null</t>
    <phoneticPr fontId="6"/>
  </si>
  <si>
    <t>old</t>
    <phoneticPr fontId="6"/>
  </si>
  <si>
    <t>破滅の熱波</t>
    <rPh sb="0" eb="2">
      <t>ハメツ</t>
    </rPh>
    <rPh sb="3" eb="4">
      <t>ネッキ</t>
    </rPh>
    <rPh sb="4" eb="5">
      <t>ナミ</t>
    </rPh>
    <phoneticPr fontId="6"/>
  </si>
  <si>
    <t>紅蓮雀焔</t>
    <rPh sb="0" eb="2">
      <t>グレン</t>
    </rPh>
    <rPh sb="2" eb="3">
      <t>スザク</t>
    </rPh>
    <rPh sb="3" eb="4">
      <t>ホムラ</t>
    </rPh>
    <phoneticPr fontId="6"/>
  </si>
  <si>
    <t>全体攻撃</t>
    <rPh sb="0" eb="4">
      <t>ゼンタイコウゲキ</t>
    </rPh>
    <phoneticPr fontId="6"/>
  </si>
  <si>
    <t>ハイスピード・ハック</t>
    <phoneticPr fontId="6"/>
  </si>
  <si>
    <t>[effect:virus, turn:5, rate:1, val:0.15, animation:enemy_virus],[effect:spread, val:0.3]</t>
    <phoneticPr fontId="6"/>
  </si>
  <si>
    <t>[effect:spread, val:0.4]</t>
    <phoneticPr fontId="6"/>
  </si>
  <si>
    <t>[effect:freq_turn, target:myself, turn:-1, val:1, animation:enemy_freq_turn]</t>
    <phoneticPr fontId="6"/>
  </si>
  <si>
    <t>5回連続攻撃</t>
    <rPh sb="1" eb="2">
      <t>カイ</t>
    </rPh>
    <rPh sb="2" eb="6">
      <t>レンゾクコウゲキ</t>
    </rPh>
    <phoneticPr fontId="6"/>
  </si>
  <si>
    <t>[effect:degrade_unit, target:unit_all, turn:3, status:attack, val:0.5]</t>
    <phoneticPr fontId="6"/>
  </si>
  <si>
    <t>ペンギンストライク</t>
    <phoneticPr fontId="6"/>
  </si>
  <si>
    <t>クリティカル！</t>
    <phoneticPr fontId="6"/>
  </si>
  <si>
    <t>[effect:critical, val:1.3]</t>
    <phoneticPr fontId="6"/>
  </si>
  <si>
    <t>[effect:change_block, new_block:time_bomb, target:block_all, count:5, val:0.2, min_time_count:2, max_time_count:4, no_effect_msg:no_effect_msg_change_block, animation:change_block],[effect:change_block, new_block:jammer, target:block_all, count:5, val:0, no_effect_msg:no_effect_msg_change_block, animation:change_block]</t>
    <phoneticPr fontId="6"/>
  </si>
  <si>
    <t>[effect:force_change_block, new_block:time_bomb, target:block_blue, count:10, val:0.1, min_time_count:2, max_time_count:2, animation:change_block],[effect:rush, count:1, val:0.75]</t>
    <phoneticPr fontId="6"/>
  </si>
  <si>
    <t xml:space="preserve">[effect:break_attack, val:0.3, lowest_val:2000, count:-1, block:block_red, target:unit_all]    </t>
    <phoneticPr fontId="6"/>
  </si>
  <si>
    <t xml:space="preserve">[effect:degrade_unit, target:unit_all, turn:5, status:action, val:1, animation:enemy_tap_down],[effect:crash_condition, target:unit_all, val:2, turn:4, animation:enemy_crash_extend]    </t>
    <phoneticPr fontId="6"/>
  </si>
  <si>
    <t>ウィルスまたはスリープ状態のユニットに大ダメージ</t>
    <rPh sb="11" eb="13">
      <t>ジョウタイ</t>
    </rPh>
    <rPh sb="19" eb="20">
      <t>ダイ</t>
    </rPh>
    <phoneticPr fontId="6"/>
  </si>
  <si>
    <t>[effect:force_change_block, new_block:block_red, target:block_blue, ignore:crash, ignore02:crack_bomb, count:5, val:0, animation:change_block],[effect:rush, count:1, val:1.0]</t>
    <phoneticPr fontId="6"/>
  </si>
  <si>
    <t>ブービートラップ</t>
    <phoneticPr fontId="6"/>
  </si>
  <si>
    <t>フィシュ・タンズ</t>
    <phoneticPr fontId="6"/>
  </si>
  <si>
    <t>悪病退散</t>
    <rPh sb="0" eb="1">
      <t>アク</t>
    </rPh>
    <rPh sb="1" eb="2">
      <t>ヤマイ</t>
    </rPh>
    <rPh sb="2" eb="4">
      <t>タイサン</t>
    </rPh>
    <phoneticPr fontId="6"/>
  </si>
  <si>
    <t>悪病退散・改</t>
    <rPh sb="0" eb="4">
      <t>アクビョウタイサン</t>
    </rPh>
    <rPh sb="5" eb="6">
      <t>カイ</t>
    </rPh>
    <phoneticPr fontId="6"/>
  </si>
  <si>
    <t>催眠スタングレネード</t>
    <rPh sb="0" eb="2">
      <t>サイミン</t>
    </rPh>
    <phoneticPr fontId="6"/>
  </si>
  <si>
    <t>ダルマフォール</t>
    <phoneticPr fontId="6"/>
  </si>
  <si>
    <t>ダルマフォール・改</t>
    <rPh sb="8" eb="9">
      <t>カイ</t>
    </rPh>
    <phoneticPr fontId="6"/>
  </si>
  <si>
    <t>バーニングブルー</t>
    <phoneticPr fontId="6"/>
  </si>
  <si>
    <t>ディフラグレイション</t>
    <phoneticPr fontId="6"/>
  </si>
  <si>
    <t>クィンティプルクロー</t>
    <phoneticPr fontId="6"/>
  </si>
  <si>
    <t>スリーポイント・バースト</t>
    <phoneticPr fontId="6"/>
  </si>
  <si>
    <t>チェック・シューティング</t>
    <phoneticPr fontId="6"/>
  </si>
  <si>
    <t>サプレッシブ・ファイア</t>
    <phoneticPr fontId="6"/>
  </si>
  <si>
    <t>skill_trigger_id</t>
    <phoneticPr fontId="8"/>
  </si>
  <si>
    <t>null</t>
    <phoneticPr fontId="6"/>
  </si>
  <si>
    <t>ダブルタップ・ヘッドショット</t>
    <phoneticPr fontId="6"/>
  </si>
  <si>
    <t>null</t>
    <phoneticPr fontId="6"/>
  </si>
  <si>
    <t>null</t>
    <phoneticPr fontId="6"/>
  </si>
  <si>
    <t>null</t>
    <phoneticPr fontId="6"/>
  </si>
  <si>
    <t xml:space="preserve">[effect:damage_anti_abnormal, target:unit_all, target_effect01:virus, val1:1.6, val2:0.8]    </t>
    <phoneticPr fontId="6"/>
  </si>
  <si>
    <t>[effect:rush, count:5, val:0.25]</t>
    <phoneticPr fontId="6"/>
  </si>
  <si>
    <t xml:space="preserve">[effect:break_attack, val:0.1, lowest_val:500, count:-1, block:block_red, target:unit_all]    </t>
    <phoneticPr fontId="6"/>
  </si>
  <si>
    <t xml:space="preserve">[effect:break_attack, val:0.05, lowest_val:0, count:8, block:block_red, target:unit_all]    </t>
    <phoneticPr fontId="6"/>
  </si>
  <si>
    <t>[effect:virus, turn:3, target:unit_all, rate:0.4, val:0.1, animation:enemy_virus],[effect:sleep, target:unit_one, turn:3, rate:0.4, animation:sleep04],[effect:hungup, target:unit_one, turn:3, rate:0.4, animation:hungup01]</t>
    <phoneticPr fontId="6"/>
  </si>
  <si>
    <t>[effect:damage_anti_abnormal, target:unit_all, target_effect01:virus, target_effect02:sleep, val1:1.3, val2:0.6]</t>
    <phoneticPr fontId="6"/>
  </si>
  <si>
    <t>null</t>
    <phoneticPr fontId="6"/>
  </si>
  <si>
    <t>[effect:panel_freeze, target:block_green, color:block_green, count:5, break_count:1],[effect:rush, count:1, val:0.75]</t>
    <phoneticPr fontId="6"/>
  </si>
  <si>
    <t>[effect:panel_freeze, target:block_yellow, color:block_yellow, count:5, break_count:1],[effect:spread, val:0.2]</t>
    <phoneticPr fontId="6"/>
  </si>
  <si>
    <t>[effect:panel_freeze, target:block_blue, color:block_blue, count:5, break_count:1],[effect:rush, count:3, val:0.33]</t>
    <phoneticPr fontId="6"/>
  </si>
  <si>
    <t>[effect:damage_anti_tribe, target:unit_one, tribe:human, val1:1, val2:0.3],[effect:damage_anti_tribe, target:unit_one, tribe:human, val1:1.2, val2:0.3]</t>
    <phoneticPr fontId="6"/>
  </si>
  <si>
    <t xml:space="preserve">[effect:break_enchance_enemy, val:0.1, lowest_val:0.1, count :10, status:attack, turn:-1, block:block_red, target:myself, calc:mul, animation:enemy_enhance_attack]    </t>
    <phoneticPr fontId="6"/>
  </si>
  <si>
    <t>タマテバコ</t>
    <phoneticPr fontId="6"/>
  </si>
  <si>
    <t>サプライ・ボックス</t>
    <phoneticPr fontId="6"/>
  </si>
  <si>
    <t>タイチと影丸は強力なスキルを使用するので
優先的に狙いましょう</t>
    <rPh sb="4" eb="6">
      <t>カゲマル</t>
    </rPh>
    <rPh sb="7" eb="9">
      <t>キョウリョク</t>
    </rPh>
    <rPh sb="14" eb="16">
      <t>シヨウ</t>
    </rPh>
    <rPh sb="21" eb="24">
      <t>ユウセンテキ</t>
    </rPh>
    <rPh sb="25" eb="26">
      <t>ネラ</t>
    </rPh>
    <phoneticPr fontId="6"/>
  </si>
  <si>
    <t>complete</t>
  </si>
  <si>
    <t>ja</t>
    <phoneticPr fontId="6"/>
  </si>
  <si>
    <t>NULL</t>
    <phoneticPr fontId="6"/>
  </si>
  <si>
    <t>ja</t>
    <phoneticPr fontId="6"/>
  </si>
  <si>
    <t>NULL</t>
    <phoneticPr fontId="6"/>
  </si>
  <si>
    <t>NULL</t>
    <phoneticPr fontId="6"/>
  </si>
  <si>
    <t>タイチと影丸は強力なスキルを使用するので
優先的に狙いましょう</t>
    <phoneticPr fontId="6"/>
  </si>
  <si>
    <t>ダックスは行動頻度が上がっており
毎ターン攻撃してくるので
先に倒してしまう方が楽になります</t>
    <rPh sb="5" eb="7">
      <t>コウドウ</t>
    </rPh>
    <rPh sb="7" eb="9">
      <t>ヒンド</t>
    </rPh>
    <rPh sb="10" eb="11">
      <t>ア</t>
    </rPh>
    <rPh sb="17" eb="18">
      <t>マイ</t>
    </rPh>
    <rPh sb="21" eb="23">
      <t>コウゲキ</t>
    </rPh>
    <rPh sb="30" eb="31">
      <t>サキ</t>
    </rPh>
    <rPh sb="32" eb="33">
      <t>タオ</t>
    </rPh>
    <rPh sb="38" eb="39">
      <t>ホウ</t>
    </rPh>
    <rPh sb="40" eb="41">
      <t>ラク</t>
    </rPh>
    <phoneticPr fontId="6"/>
  </si>
  <si>
    <t>リクエスト・CAS</t>
    <phoneticPr fontId="6"/>
  </si>
  <si>
    <t>null</t>
    <phoneticPr fontId="6"/>
  </si>
  <si>
    <t>行灯達磨 タイチの攻撃スキルは
威力が大幅に向上しており危険です
タイチの手番では攻撃よりも
赤パネルの処理を優先しましょう</t>
    <rPh sb="9" eb="11">
      <t>コウゲキ</t>
    </rPh>
    <rPh sb="16" eb="18">
      <t>イリョク</t>
    </rPh>
    <rPh sb="19" eb="21">
      <t>オオハバ</t>
    </rPh>
    <rPh sb="22" eb="24">
      <t>コウジョウ</t>
    </rPh>
    <rPh sb="28" eb="30">
      <t>キケン</t>
    </rPh>
    <rPh sb="37" eb="39">
      <t>テバン</t>
    </rPh>
    <rPh sb="41" eb="43">
      <t>コウゲキ</t>
    </rPh>
    <rPh sb="47" eb="48">
      <t>アカ</t>
    </rPh>
    <rPh sb="52" eb="54">
      <t>ショリ</t>
    </rPh>
    <rPh sb="55" eb="57">
      <t>ユウセン</t>
    </rPh>
    <phoneticPr fontId="6"/>
  </si>
  <si>
    <t>友情の激情</t>
    <rPh sb="0" eb="2">
      <t>ユウジョウ</t>
    </rPh>
    <rPh sb="3" eb="5">
      <t>ゲキジョウ</t>
    </rPh>
    <phoneticPr fontId="6"/>
  </si>
  <si>
    <t>null</t>
    <phoneticPr fontId="6"/>
  </si>
  <si>
    <t xml:space="preserve">[effect:rush, count:1, val:1.0],[effect:freq_turn, target:myself, turn:2, val:2]    </t>
    <phoneticPr fontId="6"/>
  </si>
  <si>
    <t>[effect:enhance_enemy, target:myself, turn:-1, status:attack, val:1.5, calc:mul, animation:enemy_enhance_attack]</t>
    <phoneticPr fontId="6"/>
  </si>
  <si>
    <t>null</t>
    <phoneticPr fontId="6"/>
  </si>
  <si>
    <t>link</t>
    <phoneticPr fontId="6"/>
  </si>
  <si>
    <t>unit</t>
    <phoneticPr fontId="6"/>
  </si>
  <si>
    <t>2015-03-27 00:00:01</t>
  </si>
  <si>
    <t>2970-01-01 09:00:01</t>
  </si>
  <si>
    <t>2015-03-27 00:00:02</t>
  </si>
  <si>
    <t>2970-01-01 09:00:02</t>
  </si>
  <si>
    <t>この戦闘の間 攻撃頻度が1にUP</t>
    <rPh sb="2" eb="4">
      <t>セントウ</t>
    </rPh>
    <rPh sb="5" eb="6">
      <t>アイダ</t>
    </rPh>
    <rPh sb="7" eb="11">
      <t>コウゲキヒンド</t>
    </rPh>
    <phoneticPr fontId="6"/>
  </si>
  <si>
    <t>5ターンの間ダメージを与えるウィルス＋全体攻撃</t>
    <rPh sb="5" eb="6">
      <t>アイダ</t>
    </rPh>
    <rPh sb="11" eb="12">
      <t>アタ</t>
    </rPh>
    <rPh sb="19" eb="23">
      <t>ゼンタイコウゲキ</t>
    </rPh>
    <phoneticPr fontId="6"/>
  </si>
  <si>
    <t>5ターンの間 タップ回数が1減少
＋4ターンの間 Cパネル生成延長</t>
    <rPh sb="5" eb="6">
      <t>アイダ</t>
    </rPh>
    <rPh sb="10" eb="12">
      <t>カイスウ</t>
    </rPh>
    <rPh sb="14" eb="16">
      <t>ゲンショウ</t>
    </rPh>
    <rPh sb="23" eb="24">
      <t>アイダ</t>
    </rPh>
    <rPh sb="29" eb="31">
      <t>セイセイ</t>
    </rPh>
    <rPh sb="31" eb="33">
      <t>エンチョウ</t>
    </rPh>
    <phoneticPr fontId="6"/>
  </si>
  <si>
    <t>ウィルス状態のユニットに大ダメージの全体攻撃</t>
    <rPh sb="4" eb="6">
      <t>ジョウタイ</t>
    </rPh>
    <rPh sb="12" eb="13">
      <t>ダイ</t>
    </rPh>
    <rPh sb="18" eb="22">
      <t>ゼンタイコウゲキ</t>
    </rPh>
    <phoneticPr fontId="6"/>
  </si>
  <si>
    <t>赤パネル吸収量が多いほど攻撃力上昇</t>
    <rPh sb="0" eb="1">
      <t>アカ</t>
    </rPh>
    <rPh sb="4" eb="6">
      <t>キュウシュウリョウ</t>
    </rPh>
    <rPh sb="6" eb="7">
      <t>リョウ</t>
    </rPh>
    <rPh sb="8" eb="9">
      <t>オオ</t>
    </rPh>
    <rPh sb="12" eb="15">
      <t>コウゲキリョク</t>
    </rPh>
    <rPh sb="15" eb="17">
      <t>ジョウショウ</t>
    </rPh>
    <phoneticPr fontId="6"/>
  </si>
  <si>
    <t>近接航空支援攻撃</t>
    <rPh sb="0" eb="6">
      <t>キンセツコウクウシエンホウゲキ</t>
    </rPh>
    <rPh sb="6" eb="8">
      <t>コウゲキ</t>
    </rPh>
    <phoneticPr fontId="6"/>
  </si>
  <si>
    <t>3ターンの間 攻撃力DOWN</t>
    <phoneticPr fontId="6"/>
  </si>
  <si>
    <t>青パネルを最大10個 時限式パネルに変換
＋攻撃</t>
    <rPh sb="0" eb="1">
      <t>アオ</t>
    </rPh>
    <rPh sb="5" eb="7">
      <t>サイダイ</t>
    </rPh>
    <rPh sb="9" eb="10">
      <t>コ</t>
    </rPh>
    <rPh sb="11" eb="14">
      <t>ジゲンシキ</t>
    </rPh>
    <rPh sb="18" eb="20">
      <t>ヘンカン</t>
    </rPh>
    <rPh sb="22" eb="24">
      <t>コウゲキ</t>
    </rPh>
    <phoneticPr fontId="6"/>
  </si>
  <si>
    <t>この戦闘の間ずっと攻撃力UP</t>
    <rPh sb="2" eb="4">
      <t>セントウ</t>
    </rPh>
    <rPh sb="5" eb="6">
      <t>アイダ</t>
    </rPh>
    <rPh sb="9" eb="12">
      <t>コウゲキリョク</t>
    </rPh>
    <phoneticPr fontId="6"/>
  </si>
  <si>
    <t>青パネルを最大5個赤パネルに変換</t>
    <rPh sb="0" eb="1">
      <t>アオ</t>
    </rPh>
    <rPh sb="5" eb="7">
      <t>サイダイ</t>
    </rPh>
    <rPh sb="8" eb="9">
      <t>コ</t>
    </rPh>
    <rPh sb="9" eb="10">
      <t>アカ</t>
    </rPh>
    <rPh sb="14" eb="16">
      <t>ヘンカン</t>
    </rPh>
    <phoneticPr fontId="6"/>
  </si>
  <si>
    <t>それぞれ一定確率で3ターンの間
ウィルス、睡眠、スキルバインド</t>
    <rPh sb="4" eb="8">
      <t>イッテイカクリツ</t>
    </rPh>
    <rPh sb="14" eb="15">
      <t>アイダ</t>
    </rPh>
    <rPh sb="21" eb="23">
      <t>スイミン</t>
    </rPh>
    <phoneticPr fontId="6"/>
  </si>
  <si>
    <t>青パネルを最大5個プロテクト＋3回攻撃</t>
    <rPh sb="0" eb="1">
      <t>アオ</t>
    </rPh>
    <rPh sb="5" eb="7">
      <t>サイダイ</t>
    </rPh>
    <rPh sb="8" eb="9">
      <t>コ</t>
    </rPh>
    <rPh sb="16" eb="17">
      <t>kai</t>
    </rPh>
    <rPh sb="17" eb="19">
      <t>コウゲキ</t>
    </rPh>
    <phoneticPr fontId="6"/>
  </si>
  <si>
    <t>種族ヒューマンに大ダメージの2回攻撃</t>
    <rPh sb="0" eb="2">
      <t>シュゾク</t>
    </rPh>
    <rPh sb="8" eb="9">
      <t>ダイ</t>
    </rPh>
    <rPh sb="15" eb="16">
      <t>カイ</t>
    </rPh>
    <rPh sb="16" eb="18">
      <t>コウゲキ</t>
    </rPh>
    <phoneticPr fontId="6"/>
  </si>
  <si>
    <t>一定確率で時限式＆お邪魔パネルに変換</t>
    <rPh sb="0" eb="2">
      <t>イッテイ</t>
    </rPh>
    <rPh sb="2" eb="4">
      <t>カクリツ</t>
    </rPh>
    <rPh sb="5" eb="8">
      <t>ジゲンシキ</t>
    </rPh>
    <rPh sb="10" eb="12">
      <t>ジャマ</t>
    </rPh>
    <rPh sb="16" eb="18">
      <t>ヘンカン</t>
    </rPh>
    <phoneticPr fontId="6"/>
  </si>
  <si>
    <t>緑パネルを最大5個プロテクト＋攻撃</t>
    <rPh sb="0" eb="1">
      <t>ミドリ</t>
    </rPh>
    <rPh sb="5" eb="7">
      <t>サイダイ</t>
    </rPh>
    <rPh sb="8" eb="9">
      <t>コ</t>
    </rPh>
    <rPh sb="15" eb="17">
      <t>コウゲキ</t>
    </rPh>
    <phoneticPr fontId="6"/>
  </si>
  <si>
    <t>黄パネルを最大5個プロテクト＋全体攻撃</t>
    <rPh sb="0" eb="1">
      <t>キイロ</t>
    </rPh>
    <rPh sb="5" eb="7">
      <t>サイダイ</t>
    </rPh>
    <rPh sb="8" eb="9">
      <t>コ</t>
    </rPh>
    <rPh sb="15" eb="17">
      <t>ゼンタイ</t>
    </rPh>
    <rPh sb="17" eb="19">
      <t>コウゲキ</t>
    </rPh>
    <phoneticPr fontId="6"/>
  </si>
  <si>
    <t>赤パネルを吸収して全体攻撃</t>
    <rPh sb="0" eb="1">
      <t>アカ</t>
    </rPh>
    <rPh sb="5" eb="7">
      <t>キュウシュウ</t>
    </rPh>
    <rPh sb="9" eb="13">
      <t>ゼンタイコウゲキ</t>
    </rPh>
    <phoneticPr fontId="6"/>
  </si>
  <si>
    <t>D.R.T.H.の体力が減ると一度だけ使用する
近接航空支援攻撃は赤パネル吸収数に応じて
ダメージが増加するため対策が必要です</t>
    <rPh sb="9" eb="11">
      <t>タイリョク</t>
    </rPh>
    <rPh sb="12" eb="13">
      <t>ヘ</t>
    </rPh>
    <rPh sb="15" eb="17">
      <t>イチド</t>
    </rPh>
    <rPh sb="19" eb="21">
      <t>シヨウ</t>
    </rPh>
    <rPh sb="24" eb="26">
      <t>キンセツ</t>
    </rPh>
    <rPh sb="26" eb="28">
      <t>コウクウ</t>
    </rPh>
    <rPh sb="28" eb="32">
      <t>シエンコウゲキ</t>
    </rPh>
    <rPh sb="33" eb="34">
      <t>アカ</t>
    </rPh>
    <rPh sb="37" eb="39">
      <t>キュウシュウ</t>
    </rPh>
    <rPh sb="39" eb="40">
      <t>スウ</t>
    </rPh>
    <rPh sb="41" eb="42">
      <t>オウ</t>
    </rPh>
    <rPh sb="50" eb="52">
      <t>ゾウカ</t>
    </rPh>
    <rPh sb="56" eb="58">
      <t>タイサク</t>
    </rPh>
    <rPh sb="59" eb="61">
      <t>ヒツヨウ</t>
    </rPh>
    <phoneticPr fontId="6"/>
  </si>
  <si>
    <t>フェンリルと乙姫は体力が減ると
妨害系スキルも使用してきますので
片方を優先して倒すのが良いでしょう</t>
    <rPh sb="6" eb="8">
      <t>オトヒメ</t>
    </rPh>
    <rPh sb="9" eb="11">
      <t>タイリョク</t>
    </rPh>
    <rPh sb="12" eb="13">
      <t>ヘ</t>
    </rPh>
    <rPh sb="16" eb="19">
      <t>ボウガイケイ</t>
    </rPh>
    <rPh sb="23" eb="25">
      <t>シヨウ</t>
    </rPh>
    <rPh sb="33" eb="35">
      <t>カタホウ</t>
    </rPh>
    <rPh sb="36" eb="38">
      <t>ユウセン</t>
    </rPh>
    <rPh sb="40" eb="41">
      <t>タオ</t>
    </rPh>
    <rPh sb="44" eb="45">
      <t>ヨ</t>
    </rPh>
    <phoneticPr fontId="6"/>
  </si>
  <si>
    <t>エネミーのアバターをタップすることで
ターゲット指定ができますので
倒す順番をコントロールしましょう</t>
    <rPh sb="24" eb="26">
      <t>シテイ</t>
    </rPh>
    <rPh sb="34" eb="35">
      <t>タオ</t>
    </rPh>
    <rPh sb="36" eb="38">
      <t>ジュンバン</t>
    </rPh>
    <phoneticPr fontId="6"/>
  </si>
  <si>
    <t>2ターン後に赤パネル吸収攻撃+2ターン行動頻度UP</t>
    <rPh sb="4" eb="5">
      <t>ゴ</t>
    </rPh>
    <rPh sb="6" eb="7">
      <t>アカ</t>
    </rPh>
    <rPh sb="10" eb="12">
      <t>キュウシュウ</t>
    </rPh>
    <rPh sb="12" eb="14">
      <t>ハカイコウゲキ</t>
    </rPh>
    <rPh sb="19" eb="23">
      <t>コウドウh</t>
    </rPh>
    <phoneticPr fontId="6"/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</si>
  <si>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</si>
  <si>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</si>
  <si>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</si>
  <si>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</si>
  <si>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</si>
  <si>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</si>
  <si>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</si>
  <si>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</si>
  <si>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チャレンジタワーのボス</t>
  </si>
  <si>
    <t>チャレンジタワーでのみ登場するボスは
一定確率で獲得することができます</t>
  </si>
  <si>
    <t>限界突破値の引き継ぎ</t>
  </si>
  <si>
    <t>同じユニットを強化で合成すると
限界突破値を引き継げます（覚醒前後も可）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</si>
</sst>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"/>
      <family val="3"/>
      <charset val="128"/>
    </font>
    <font>
      <sz val="10"/>
      <color rgb="FF0000FF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2" tint="-9.9978637043366805E-2"/>
        <bgColor indexed="2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indexed="2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940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238">
    <xf numFmtId="0" fontId="0" fillId="0" borderId="0" xfId="0"/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5" fillId="0" borderId="7" xfId="0" applyFont="1" applyFill="1" applyBorder="1" applyAlignment="1">
      <alignment vertical="center"/>
    </xf>
    <xf numFmtId="0" fontId="5" fillId="0" borderId="7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right" vertical="center"/>
    </xf>
    <xf numFmtId="0" fontId="5" fillId="31" borderId="7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32" borderId="7" xfId="0" applyFont="1" applyFill="1" applyBorder="1" applyAlignment="1">
      <alignment horizontal="center" vertical="center"/>
    </xf>
    <xf numFmtId="0" fontId="5" fillId="33" borderId="7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2" fillId="0" borderId="7" xfId="0" applyFont="1" applyBorder="1" applyAlignment="1">
      <alignment vertical="center"/>
    </xf>
    <xf numFmtId="0" fontId="7" fillId="34" borderId="3" xfId="0" applyFont="1" applyFill="1" applyBorder="1" applyAlignment="1">
      <alignment vertical="center"/>
    </xf>
    <xf numFmtId="0" fontId="7" fillId="35" borderId="3" xfId="0" applyFont="1" applyFill="1" applyBorder="1" applyAlignment="1">
      <alignment vertical="center"/>
    </xf>
    <xf numFmtId="0" fontId="7" fillId="34" borderId="11" xfId="0" applyFont="1" applyFill="1" applyBorder="1" applyAlignment="1">
      <alignment vertical="center"/>
    </xf>
    <xf numFmtId="0" fontId="53" fillId="34" borderId="3" xfId="0" applyFont="1" applyFill="1" applyBorder="1" applyAlignment="1">
      <alignment vertical="center"/>
    </xf>
    <xf numFmtId="0" fontId="5" fillId="6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177" fontId="9" fillId="0" borderId="24" xfId="0" applyNumberFormat="1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3" borderId="12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13" fillId="7" borderId="23" xfId="0" applyFont="1" applyFill="1" applyBorder="1" applyAlignment="1">
      <alignment vertical="center"/>
    </xf>
    <xf numFmtId="176" fontId="5" fillId="0" borderId="26" xfId="0" applyNumberFormat="1" applyFont="1" applyFill="1" applyBorder="1" applyAlignment="1">
      <alignment horizontal="right" vertical="center"/>
    </xf>
    <xf numFmtId="0" fontId="5" fillId="31" borderId="27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vertical="center"/>
    </xf>
    <xf numFmtId="0" fontId="5" fillId="32" borderId="27" xfId="0" applyFont="1" applyFill="1" applyBorder="1" applyAlignment="1">
      <alignment horizontal="center" vertical="center"/>
    </xf>
    <xf numFmtId="0" fontId="7" fillId="0" borderId="27" xfId="0" applyFont="1" applyFill="1" applyBorder="1" applyAlignment="1">
      <alignment vertical="center"/>
    </xf>
    <xf numFmtId="0" fontId="5" fillId="0" borderId="27" xfId="0" applyFont="1" applyBorder="1" applyAlignment="1">
      <alignment horizontal="center" vertical="center"/>
    </xf>
    <xf numFmtId="0" fontId="7" fillId="5" borderId="28" xfId="0" applyFont="1" applyFill="1" applyBorder="1" applyAlignment="1">
      <alignment vertical="center"/>
    </xf>
    <xf numFmtId="0" fontId="9" fillId="0" borderId="29" xfId="0" applyFont="1" applyBorder="1" applyAlignment="1">
      <alignment vertical="center"/>
    </xf>
    <xf numFmtId="177" fontId="9" fillId="0" borderId="29" xfId="0" applyNumberFormat="1" applyFont="1" applyBorder="1" applyAlignment="1">
      <alignment vertical="center"/>
    </xf>
    <xf numFmtId="0" fontId="52" fillId="34" borderId="26" xfId="0" applyFont="1" applyFill="1" applyBorder="1" applyAlignment="1">
      <alignment vertical="center"/>
    </xf>
    <xf numFmtId="0" fontId="5" fillId="0" borderId="30" xfId="0" applyFont="1" applyBorder="1" applyAlignment="1">
      <alignment vertical="center"/>
    </xf>
    <xf numFmtId="0" fontId="7" fillId="34" borderId="28" xfId="0" applyFont="1" applyFill="1" applyBorder="1" applyAlignment="1">
      <alignment vertical="center"/>
    </xf>
    <xf numFmtId="0" fontId="5" fillId="3" borderId="27" xfId="0" applyFont="1" applyFill="1" applyBorder="1" applyAlignment="1">
      <alignment vertical="center"/>
    </xf>
    <xf numFmtId="0" fontId="5" fillId="0" borderId="27" xfId="0" applyFont="1" applyFill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32" borderId="12" xfId="0" applyFont="1" applyFill="1" applyBorder="1" applyAlignment="1">
      <alignment horizontal="center" vertical="center"/>
    </xf>
    <xf numFmtId="0" fontId="5" fillId="6" borderId="27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38" fontId="17" fillId="0" borderId="7" xfId="628" applyFont="1" applyFill="1" applyBorder="1" applyAlignment="1">
      <alignment wrapText="1"/>
    </xf>
    <xf numFmtId="38" fontId="12" fillId="0" borderId="2" xfId="0" applyNumberFormat="1" applyFont="1" applyBorder="1" applyAlignment="1">
      <alignment wrapText="1"/>
    </xf>
    <xf numFmtId="0" fontId="32" fillId="14" borderId="7" xfId="0" applyFont="1" applyFill="1" applyBorder="1"/>
    <xf numFmtId="38" fontId="17" fillId="14" borderId="7" xfId="628" applyFont="1" applyFill="1" applyBorder="1" applyAlignment="1"/>
    <xf numFmtId="38" fontId="12" fillId="0" borderId="7" xfId="0" applyNumberFormat="1" applyFont="1" applyBorder="1" applyAlignment="1">
      <alignment wrapText="1"/>
    </xf>
    <xf numFmtId="0" fontId="7" fillId="5" borderId="12" xfId="0" applyFont="1" applyFill="1" applyBorder="1" applyAlignment="1">
      <alignment vertical="center"/>
    </xf>
    <xf numFmtId="38" fontId="0" fillId="0" borderId="0" xfId="0" applyNumberFormat="1"/>
    <xf numFmtId="0" fontId="5" fillId="0" borderId="2" xfId="0" applyFont="1" applyFill="1" applyBorder="1" applyAlignment="1">
      <alignment vertical="center"/>
    </xf>
    <xf numFmtId="0" fontId="7" fillId="5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vertical="center"/>
    </xf>
    <xf numFmtId="0" fontId="7" fillId="3" borderId="12" xfId="0" applyFont="1" applyFill="1" applyBorder="1" applyAlignment="1">
      <alignment vertical="center"/>
    </xf>
    <xf numFmtId="0" fontId="13" fillId="7" borderId="32" xfId="0" applyFont="1" applyFill="1" applyBorder="1" applyAlignment="1">
      <alignment vertical="center"/>
    </xf>
    <xf numFmtId="0" fontId="13" fillId="7" borderId="33" xfId="0" applyFont="1" applyFill="1" applyBorder="1" applyAlignment="1">
      <alignment vertical="center"/>
    </xf>
    <xf numFmtId="0" fontId="5" fillId="0" borderId="34" xfId="0" applyFont="1" applyFill="1" applyBorder="1" applyAlignment="1">
      <alignment vertical="center"/>
    </xf>
    <xf numFmtId="0" fontId="7" fillId="5" borderId="34" xfId="0" applyFont="1" applyFill="1" applyBorder="1" applyAlignment="1">
      <alignment vertical="center"/>
    </xf>
    <xf numFmtId="0" fontId="5" fillId="0" borderId="34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vertical="center"/>
    </xf>
    <xf numFmtId="0" fontId="5" fillId="3" borderId="34" xfId="0" applyFont="1" applyFill="1" applyBorder="1" applyAlignment="1">
      <alignment horizontal="center" vertical="center"/>
    </xf>
    <xf numFmtId="0" fontId="7" fillId="0" borderId="34" xfId="0" applyFont="1" applyFill="1" applyBorder="1" applyAlignment="1">
      <alignment vertical="center"/>
    </xf>
    <xf numFmtId="0" fontId="7" fillId="0" borderId="35" xfId="0" applyFont="1" applyFill="1" applyBorder="1" applyAlignment="1">
      <alignment vertical="center"/>
    </xf>
    <xf numFmtId="0" fontId="13" fillId="7" borderId="36" xfId="0" applyFont="1" applyFill="1" applyBorder="1" applyAlignment="1">
      <alignment vertical="center"/>
    </xf>
    <xf numFmtId="0" fontId="13" fillId="7" borderId="0" xfId="0" applyFont="1" applyFill="1" applyBorder="1" applyAlignment="1">
      <alignment vertical="center"/>
    </xf>
    <xf numFmtId="0" fontId="7" fillId="0" borderId="37" xfId="0" applyFont="1" applyFill="1" applyBorder="1" applyAlignment="1">
      <alignment vertical="center"/>
    </xf>
    <xf numFmtId="0" fontId="13" fillId="7" borderId="38" xfId="0" applyFont="1" applyFill="1" applyBorder="1" applyAlignment="1">
      <alignment vertical="center"/>
    </xf>
    <xf numFmtId="0" fontId="7" fillId="5" borderId="27" xfId="0" applyFont="1" applyFill="1" applyBorder="1" applyAlignment="1">
      <alignment vertical="center"/>
    </xf>
    <xf numFmtId="0" fontId="5" fillId="0" borderId="27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vertical="center"/>
    </xf>
    <xf numFmtId="0" fontId="7" fillId="0" borderId="39" xfId="0" applyFont="1" applyFill="1" applyBorder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7" fillId="0" borderId="40" xfId="0" applyFont="1" applyFill="1" applyBorder="1" applyAlignment="1">
      <alignment vertical="center"/>
    </xf>
    <xf numFmtId="0" fontId="7" fillId="0" borderId="41" xfId="0" applyFont="1" applyFill="1" applyBorder="1" applyAlignment="1">
      <alignment vertical="center"/>
    </xf>
    <xf numFmtId="0" fontId="28" fillId="36" borderId="7" xfId="0" applyFont="1" applyFill="1" applyBorder="1"/>
    <xf numFmtId="0" fontId="0" fillId="36" borderId="7" xfId="0" applyFill="1" applyBorder="1"/>
    <xf numFmtId="0" fontId="7" fillId="37" borderId="7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12" fillId="0" borderId="7" xfId="0" applyFont="1" applyBorder="1" applyAlignment="1">
      <alignment horizontal="center" vertical="center"/>
    </xf>
    <xf numFmtId="0" fontId="7" fillId="5" borderId="42" xfId="0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7" fillId="5" borderId="43" xfId="0" applyFont="1" applyFill="1" applyBorder="1" applyAlignment="1">
      <alignment vertical="center"/>
    </xf>
    <xf numFmtId="0" fontId="9" fillId="0" borderId="44" xfId="0" applyFont="1" applyBorder="1" applyAlignment="1">
      <alignment vertical="center"/>
    </xf>
    <xf numFmtId="177" fontId="9" fillId="0" borderId="44" xfId="0" applyNumberFormat="1" applyFont="1" applyBorder="1" applyAlignment="1">
      <alignment vertical="center"/>
    </xf>
    <xf numFmtId="0" fontId="7" fillId="35" borderId="42" xfId="0" applyFont="1" applyFill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0" borderId="46" xfId="0" applyFont="1" applyBorder="1" applyAlignment="1">
      <alignment vertical="center"/>
    </xf>
    <xf numFmtId="0" fontId="5" fillId="31" borderId="47" xfId="0" applyFont="1" applyFill="1" applyBorder="1" applyAlignment="1">
      <alignment horizontal="center" vertical="center"/>
    </xf>
    <xf numFmtId="0" fontId="7" fillId="5" borderId="48" xfId="0" applyFont="1" applyFill="1" applyBorder="1" applyAlignment="1">
      <alignment vertical="center"/>
    </xf>
    <xf numFmtId="0" fontId="5" fillId="0" borderId="34" xfId="0" applyFont="1" applyBorder="1" applyAlignment="1">
      <alignment horizontal="center" vertical="center"/>
    </xf>
    <xf numFmtId="0" fontId="7" fillId="5" borderId="49" xfId="0" applyFont="1" applyFill="1" applyBorder="1" applyAlignment="1">
      <alignment vertical="center"/>
    </xf>
    <xf numFmtId="0" fontId="9" fillId="0" borderId="50" xfId="0" applyFont="1" applyBorder="1" applyAlignment="1">
      <alignment vertical="center"/>
    </xf>
    <xf numFmtId="177" fontId="9" fillId="0" borderId="50" xfId="0" applyNumberFormat="1" applyFont="1" applyBorder="1" applyAlignment="1">
      <alignment vertical="center"/>
    </xf>
    <xf numFmtId="0" fontId="7" fillId="35" borderId="48" xfId="0" applyFont="1" applyFill="1" applyBorder="1" applyAlignment="1">
      <alignment vertical="center"/>
    </xf>
    <xf numFmtId="0" fontId="5" fillId="0" borderId="48" xfId="0" applyFont="1" applyBorder="1" applyAlignment="1">
      <alignment vertical="center"/>
    </xf>
    <xf numFmtId="0" fontId="5" fillId="3" borderId="34" xfId="0" applyFont="1" applyFill="1" applyBorder="1" applyAlignment="1">
      <alignment vertical="center"/>
    </xf>
    <xf numFmtId="0" fontId="5" fillId="0" borderId="51" xfId="0" applyFont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31" borderId="52" xfId="0" applyFont="1" applyFill="1" applyBorder="1" applyAlignment="1">
      <alignment horizontal="center" vertical="center"/>
    </xf>
    <xf numFmtId="0" fontId="5" fillId="0" borderId="37" xfId="0" applyFont="1" applyBorder="1" applyAlignment="1">
      <alignment vertical="center"/>
    </xf>
    <xf numFmtId="0" fontId="5" fillId="6" borderId="52" xfId="0" applyFont="1" applyFill="1" applyBorder="1" applyAlignment="1">
      <alignment horizontal="center" vertical="center"/>
    </xf>
    <xf numFmtId="0" fontId="5" fillId="6" borderId="53" xfId="0" applyFont="1" applyFill="1" applyBorder="1" applyAlignment="1">
      <alignment horizontal="center" vertical="center"/>
    </xf>
    <xf numFmtId="0" fontId="7" fillId="35" borderId="26" xfId="0" applyFont="1" applyFill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32" borderId="47" xfId="0" applyFont="1" applyFill="1" applyBorder="1" applyAlignment="1">
      <alignment horizontal="center" vertical="center"/>
    </xf>
    <xf numFmtId="0" fontId="52" fillId="34" borderId="48" xfId="0" applyFont="1" applyFill="1" applyBorder="1" applyAlignment="1">
      <alignment vertical="center"/>
    </xf>
    <xf numFmtId="0" fontId="7" fillId="34" borderId="49" xfId="0" applyFont="1" applyFill="1" applyBorder="1" applyAlignment="1">
      <alignment vertical="center"/>
    </xf>
    <xf numFmtId="0" fontId="5" fillId="32" borderId="53" xfId="0" applyFont="1" applyFill="1" applyBorder="1" applyAlignment="1">
      <alignment horizontal="center" vertical="center"/>
    </xf>
    <xf numFmtId="177" fontId="9" fillId="0" borderId="42" xfId="0" applyNumberFormat="1" applyFont="1" applyBorder="1" applyAlignment="1">
      <alignment vertical="center"/>
    </xf>
    <xf numFmtId="0" fontId="5" fillId="6" borderId="47" xfId="0" applyFont="1" applyFill="1" applyBorder="1" applyAlignment="1">
      <alignment horizontal="center" vertical="center"/>
    </xf>
    <xf numFmtId="0" fontId="53" fillId="34" borderId="48" xfId="0" applyFont="1" applyFill="1" applyBorder="1" applyAlignment="1">
      <alignment vertical="center"/>
    </xf>
    <xf numFmtId="0" fontId="12" fillId="0" borderId="54" xfId="0" applyFont="1" applyBorder="1" applyAlignment="1">
      <alignment horizontal="center" vertical="center"/>
    </xf>
    <xf numFmtId="177" fontId="9" fillId="0" borderId="26" xfId="0" applyNumberFormat="1" applyFont="1" applyBorder="1" applyAlignment="1">
      <alignment vertical="center"/>
    </xf>
    <xf numFmtId="0" fontId="53" fillId="34" borderId="26" xfId="0" applyFont="1" applyFill="1" applyBorder="1" applyAlignment="1">
      <alignment vertical="center"/>
    </xf>
    <xf numFmtId="0" fontId="5" fillId="33" borderId="55" xfId="0" applyFont="1" applyFill="1" applyBorder="1" applyAlignment="1">
      <alignment horizontal="center" vertical="center"/>
    </xf>
    <xf numFmtId="0" fontId="5" fillId="3" borderId="56" xfId="0" applyFont="1" applyFill="1" applyBorder="1" applyAlignment="1">
      <alignment horizontal="center" vertical="center"/>
    </xf>
    <xf numFmtId="0" fontId="7" fillId="5" borderId="57" xfId="0" applyFont="1" applyFill="1" applyBorder="1" applyAlignment="1">
      <alignment vertical="center"/>
    </xf>
    <xf numFmtId="0" fontId="7" fillId="0" borderId="56" xfId="0" applyFont="1" applyFill="1" applyBorder="1" applyAlignment="1">
      <alignment vertical="center"/>
    </xf>
    <xf numFmtId="0" fontId="5" fillId="0" borderId="56" xfId="0" applyFont="1" applyBorder="1" applyAlignment="1">
      <alignment horizontal="center" vertical="center"/>
    </xf>
    <xf numFmtId="0" fontId="7" fillId="5" borderId="58" xfId="0" applyFont="1" applyFill="1" applyBorder="1" applyAlignment="1">
      <alignment vertical="center"/>
    </xf>
    <xf numFmtId="0" fontId="9" fillId="0" borderId="57" xfId="0" applyFont="1" applyBorder="1" applyAlignment="1">
      <alignment vertical="center"/>
    </xf>
    <xf numFmtId="177" fontId="9" fillId="0" borderId="57" xfId="0" applyNumberFormat="1" applyFont="1" applyBorder="1" applyAlignment="1">
      <alignment vertical="center"/>
    </xf>
    <xf numFmtId="0" fontId="52" fillId="34" borderId="57" xfId="0" applyFont="1" applyFill="1" applyBorder="1" applyAlignment="1">
      <alignment vertical="center"/>
    </xf>
    <xf numFmtId="0" fontId="5" fillId="0" borderId="57" xfId="0" applyFont="1" applyBorder="1" applyAlignment="1">
      <alignment vertical="center"/>
    </xf>
    <xf numFmtId="0" fontId="7" fillId="34" borderId="58" xfId="0" applyFont="1" applyFill="1" applyBorder="1" applyAlignment="1">
      <alignment vertical="center"/>
    </xf>
    <xf numFmtId="0" fontId="5" fillId="3" borderId="56" xfId="0" applyFont="1" applyFill="1" applyBorder="1" applyAlignment="1">
      <alignment vertical="center"/>
    </xf>
    <xf numFmtId="0" fontId="5" fillId="0" borderId="56" xfId="0" applyFont="1" applyFill="1" applyBorder="1" applyAlignment="1">
      <alignment vertical="center"/>
    </xf>
    <xf numFmtId="0" fontId="5" fillId="0" borderId="59" xfId="0" applyFont="1" applyBorder="1" applyAlignment="1">
      <alignment vertical="center"/>
    </xf>
    <xf numFmtId="0" fontId="5" fillId="0" borderId="60" xfId="0" applyFont="1" applyBorder="1" applyAlignment="1">
      <alignment vertical="center"/>
    </xf>
    <xf numFmtId="0" fontId="7" fillId="34" borderId="48" xfId="0" applyFont="1" applyFill="1" applyBorder="1" applyAlignment="1">
      <alignment vertical="center"/>
    </xf>
    <xf numFmtId="0" fontId="5" fillId="31" borderId="53" xfId="0" applyFont="1" applyFill="1" applyBorder="1" applyAlignment="1">
      <alignment horizontal="center" vertical="center"/>
    </xf>
    <xf numFmtId="0" fontId="5" fillId="6" borderId="61" xfId="0" applyFont="1" applyFill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5" fillId="0" borderId="40" xfId="0" applyFont="1" applyBorder="1" applyAlignment="1">
      <alignment vertical="center"/>
    </xf>
    <xf numFmtId="0" fontId="5" fillId="31" borderId="63" xfId="0" applyFont="1" applyFill="1" applyBorder="1" applyAlignment="1">
      <alignment horizontal="center" vertical="center"/>
    </xf>
    <xf numFmtId="0" fontId="5" fillId="0" borderId="41" xfId="0" applyFont="1" applyBorder="1" applyAlignment="1">
      <alignment vertical="center"/>
    </xf>
    <xf numFmtId="0" fontId="5" fillId="32" borderId="5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left" vertical="center"/>
    </xf>
    <xf numFmtId="0" fontId="5" fillId="3" borderId="64" xfId="0" applyFont="1" applyFill="1" applyBorder="1" applyAlignment="1">
      <alignment horizontal="left" vertical="center"/>
    </xf>
    <xf numFmtId="0" fontId="5" fillId="3" borderId="65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5" fillId="31" borderId="61" xfId="0" applyFont="1" applyFill="1" applyBorder="1" applyAlignment="1">
      <alignment horizontal="center" vertical="center"/>
    </xf>
    <xf numFmtId="0" fontId="5" fillId="6" borderId="63" xfId="0" applyFont="1" applyFill="1" applyBorder="1" applyAlignment="1">
      <alignment horizontal="center" vertical="center"/>
    </xf>
  </cellXfs>
  <cellStyles count="94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904"/>
    <cellStyle name="標準 5" xfId="676"/>
    <cellStyle name="標準 5 2" xfId="677"/>
    <cellStyle name="標準 6" xfId="615"/>
    <cellStyle name="標準 6 2" xfId="90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5" tint="0.79998168889431442"/>
        </patternFill>
      </fill>
    </dxf>
    <dxf>
      <font>
        <color auto="1"/>
      </font>
      <fill>
        <patternFill patternType="solid">
          <fgColor indexed="64"/>
          <bgColor theme="8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20017</v>
          </cell>
        </row>
        <row r="113">
          <cell r="A113">
            <v>30001</v>
          </cell>
        </row>
        <row r="114">
          <cell r="A114">
            <v>30002</v>
          </cell>
        </row>
        <row r="115">
          <cell r="A115">
            <v>30003</v>
          </cell>
        </row>
        <row r="116">
          <cell r="A116">
            <v>30004</v>
          </cell>
        </row>
        <row r="117">
          <cell r="A117">
            <v>30005</v>
          </cell>
        </row>
        <row r="118">
          <cell r="A118">
            <v>30006</v>
          </cell>
        </row>
        <row r="119">
          <cell r="A119">
            <v>30007</v>
          </cell>
        </row>
        <row r="120">
          <cell r="A120">
            <v>30008</v>
          </cell>
        </row>
        <row r="121">
          <cell r="A121">
            <v>30009</v>
          </cell>
        </row>
        <row r="122">
          <cell r="A122">
            <v>30010</v>
          </cell>
        </row>
        <row r="123">
          <cell r="A123">
            <v>30011</v>
          </cell>
        </row>
        <row r="124">
          <cell r="A124">
            <v>30012</v>
          </cell>
        </row>
        <row r="125">
          <cell r="A125">
            <v>30013</v>
          </cell>
        </row>
        <row r="126">
          <cell r="A126">
            <v>30014</v>
          </cell>
        </row>
        <row r="127">
          <cell r="A127">
            <v>30015</v>
          </cell>
        </row>
        <row r="128">
          <cell r="A128">
            <v>30016</v>
          </cell>
        </row>
        <row r="129">
          <cell r="A129">
            <v>30017</v>
          </cell>
        </row>
        <row r="130">
          <cell r="A130">
            <v>30018</v>
          </cell>
        </row>
        <row r="131">
          <cell r="A131">
            <v>30019</v>
          </cell>
        </row>
        <row r="132">
          <cell r="A132">
            <v>30020</v>
          </cell>
        </row>
        <row r="133">
          <cell r="A133">
            <v>30021</v>
          </cell>
        </row>
        <row r="134">
          <cell r="A134">
            <v>30022</v>
          </cell>
        </row>
        <row r="135">
          <cell r="A135">
            <v>30023</v>
          </cell>
        </row>
        <row r="136">
          <cell r="A136">
            <v>30024</v>
          </cell>
        </row>
        <row r="137">
          <cell r="A137">
            <v>30025</v>
          </cell>
        </row>
        <row r="138">
          <cell r="A138">
            <v>30026</v>
          </cell>
        </row>
        <row r="139">
          <cell r="A139">
            <v>30027</v>
          </cell>
        </row>
        <row r="140">
          <cell r="A140">
            <v>30028</v>
          </cell>
        </row>
        <row r="141">
          <cell r="A141">
            <v>30029</v>
          </cell>
        </row>
        <row r="142">
          <cell r="A142">
            <v>30030</v>
          </cell>
        </row>
        <row r="143">
          <cell r="A143">
            <v>30031</v>
          </cell>
        </row>
        <row r="144">
          <cell r="A144">
            <v>30032</v>
          </cell>
        </row>
        <row r="145">
          <cell r="A145">
            <v>30033</v>
          </cell>
        </row>
        <row r="146">
          <cell r="A146">
            <v>30034</v>
          </cell>
        </row>
        <row r="147">
          <cell r="A147">
            <v>30035</v>
          </cell>
        </row>
        <row r="148">
          <cell r="A148">
            <v>30036</v>
          </cell>
        </row>
        <row r="149">
          <cell r="A149">
            <v>30037</v>
          </cell>
        </row>
        <row r="150">
          <cell r="A150">
            <v>39001</v>
          </cell>
        </row>
        <row r="151">
          <cell r="A151">
            <v>39002</v>
          </cell>
        </row>
        <row r="152">
          <cell r="A152">
            <v>39003</v>
          </cell>
        </row>
        <row r="153">
          <cell r="A153">
            <v>39004</v>
          </cell>
        </row>
        <row r="154">
          <cell r="A154">
            <v>39005</v>
          </cell>
        </row>
        <row r="155">
          <cell r="A155">
            <v>39006</v>
          </cell>
        </row>
        <row r="156">
          <cell r="A156">
            <v>40001</v>
          </cell>
        </row>
        <row r="157">
          <cell r="A157">
            <v>40002</v>
          </cell>
        </row>
        <row r="158">
          <cell r="A158">
            <v>40003</v>
          </cell>
        </row>
        <row r="159">
          <cell r="A159">
            <v>40004</v>
          </cell>
        </row>
        <row r="160">
          <cell r="A160">
            <v>40005</v>
          </cell>
        </row>
        <row r="161">
          <cell r="A161">
            <v>40006</v>
          </cell>
        </row>
        <row r="162">
          <cell r="A162">
            <v>40007</v>
          </cell>
        </row>
        <row r="163">
          <cell r="A163">
            <v>40008</v>
          </cell>
        </row>
        <row r="164">
          <cell r="A164">
            <v>40009</v>
          </cell>
        </row>
        <row r="165">
          <cell r="A165">
            <v>40010</v>
          </cell>
        </row>
        <row r="166">
          <cell r="A166">
            <v>40011</v>
          </cell>
        </row>
        <row r="167">
          <cell r="A167">
            <v>40012</v>
          </cell>
        </row>
        <row r="168">
          <cell r="A168">
            <v>40013</v>
          </cell>
        </row>
        <row r="169">
          <cell r="A169">
            <v>40014</v>
          </cell>
        </row>
        <row r="170">
          <cell r="A170">
            <v>40015</v>
          </cell>
        </row>
        <row r="171">
          <cell r="A171">
            <v>40016</v>
          </cell>
        </row>
        <row r="172">
          <cell r="A172">
            <v>40017</v>
          </cell>
        </row>
        <row r="173">
          <cell r="A173">
            <v>40018</v>
          </cell>
        </row>
        <row r="174">
          <cell r="A174">
            <v>40019</v>
          </cell>
        </row>
        <row r="175">
          <cell r="A175">
            <v>40020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49001</v>
          </cell>
        </row>
        <row r="190">
          <cell r="A190">
            <v>49002</v>
          </cell>
        </row>
        <row r="191">
          <cell r="A191">
            <v>49003</v>
          </cell>
        </row>
        <row r="192">
          <cell r="A192">
            <v>49004</v>
          </cell>
        </row>
        <row r="193">
          <cell r="A193">
            <v>49005</v>
          </cell>
        </row>
        <row r="194">
          <cell r="A194">
            <v>49006</v>
          </cell>
        </row>
        <row r="195">
          <cell r="A195">
            <v>50001</v>
          </cell>
        </row>
        <row r="196">
          <cell r="A196">
            <v>50002</v>
          </cell>
        </row>
        <row r="197">
          <cell r="A197">
            <v>50003</v>
          </cell>
        </row>
        <row r="198">
          <cell r="A198">
            <v>50004</v>
          </cell>
        </row>
        <row r="199">
          <cell r="A199">
            <v>50005</v>
          </cell>
        </row>
        <row r="200">
          <cell r="A200">
            <v>51001</v>
          </cell>
        </row>
        <row r="201">
          <cell r="A201">
            <v>51002</v>
          </cell>
        </row>
        <row r="202">
          <cell r="A202">
            <v>60001</v>
          </cell>
        </row>
        <row r="203">
          <cell r="A203">
            <v>60002</v>
          </cell>
        </row>
        <row r="204">
          <cell r="A204">
            <v>60003</v>
          </cell>
        </row>
        <row r="205">
          <cell r="A205">
            <v>60004</v>
          </cell>
        </row>
        <row r="206">
          <cell r="A206">
            <v>60005</v>
          </cell>
        </row>
        <row r="207">
          <cell r="A207">
            <v>60006</v>
          </cell>
        </row>
        <row r="208">
          <cell r="A208">
            <v>60007</v>
          </cell>
        </row>
        <row r="209">
          <cell r="A209">
            <v>60010</v>
          </cell>
        </row>
        <row r="210">
          <cell r="A210">
            <v>60011</v>
          </cell>
        </row>
        <row r="211">
          <cell r="A211">
            <v>65535</v>
          </cell>
        </row>
        <row r="212">
          <cell r="A212">
            <v>60021</v>
          </cell>
        </row>
        <row r="213">
          <cell r="A213">
            <v>60022</v>
          </cell>
        </row>
        <row r="214">
          <cell r="A214">
            <v>60023</v>
          </cell>
        </row>
        <row r="215">
          <cell r="A21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12001_1</v>
          </cell>
        </row>
        <row r="275">
          <cell r="A275" t="str">
            <v>12001_2</v>
          </cell>
        </row>
        <row r="276">
          <cell r="A276" t="str">
            <v>12001_3</v>
          </cell>
        </row>
        <row r="277">
          <cell r="A277" t="str">
            <v>12002_1</v>
          </cell>
        </row>
        <row r="278">
          <cell r="A278" t="str">
            <v>12002_2</v>
          </cell>
        </row>
        <row r="279">
          <cell r="A279" t="str">
            <v>12003_1</v>
          </cell>
        </row>
        <row r="280">
          <cell r="A280" t="str">
            <v>12003_2</v>
          </cell>
        </row>
        <row r="281">
          <cell r="A281" t="str">
            <v>12003_3</v>
          </cell>
        </row>
        <row r="282">
          <cell r="A282" t="str">
            <v>12003_4</v>
          </cell>
        </row>
        <row r="283">
          <cell r="A283" t="str">
            <v>12004_1</v>
          </cell>
        </row>
        <row r="284">
          <cell r="A284" t="str">
            <v>13001_1</v>
          </cell>
        </row>
        <row r="285">
          <cell r="A285" t="str">
            <v>13001_2</v>
          </cell>
        </row>
        <row r="286">
          <cell r="A286" t="str">
            <v>13001_3</v>
          </cell>
        </row>
        <row r="287">
          <cell r="A287" t="str">
            <v>13001_4</v>
          </cell>
        </row>
        <row r="288">
          <cell r="A288" t="str">
            <v>13001_5</v>
          </cell>
        </row>
        <row r="289">
          <cell r="A289" t="str">
            <v>13001_6</v>
          </cell>
        </row>
        <row r="290">
          <cell r="A290" t="str">
            <v>13001_7</v>
          </cell>
        </row>
        <row r="291">
          <cell r="A291" t="str">
            <v>13001_8</v>
          </cell>
        </row>
        <row r="292">
          <cell r="A292" t="str">
            <v>13001_9</v>
          </cell>
        </row>
        <row r="293">
          <cell r="A293" t="str">
            <v>13001_10</v>
          </cell>
        </row>
        <row r="294">
          <cell r="A294" t="str">
            <v>13001_11</v>
          </cell>
        </row>
        <row r="295">
          <cell r="A295" t="str">
            <v>13001_12</v>
          </cell>
        </row>
        <row r="296">
          <cell r="A296" t="str">
            <v>13001_13</v>
          </cell>
        </row>
        <row r="297">
          <cell r="A297" t="str">
            <v>13001_14</v>
          </cell>
        </row>
        <row r="298">
          <cell r="A298" t="str">
            <v>13001_15</v>
          </cell>
        </row>
        <row r="299">
          <cell r="A299" t="str">
            <v>13001_16</v>
          </cell>
        </row>
        <row r="300">
          <cell r="A300" t="str">
            <v>13001_17</v>
          </cell>
        </row>
        <row r="301">
          <cell r="A301" t="str">
            <v>13001_18</v>
          </cell>
        </row>
        <row r="302">
          <cell r="A302" t="str">
            <v>13001_19</v>
          </cell>
        </row>
        <row r="303">
          <cell r="A303" t="str">
            <v>13001_20</v>
          </cell>
        </row>
        <row r="304">
          <cell r="A304" t="str">
            <v>13001_21</v>
          </cell>
        </row>
        <row r="305">
          <cell r="A305" t="str">
            <v>13001_22</v>
          </cell>
        </row>
        <row r="306">
          <cell r="A306" t="str">
            <v>13001_23</v>
          </cell>
        </row>
        <row r="307">
          <cell r="A307" t="str">
            <v>13001_24</v>
          </cell>
        </row>
        <row r="308">
          <cell r="A308" t="str">
            <v>13001_25</v>
          </cell>
        </row>
        <row r="309">
          <cell r="A309" t="str">
            <v>14001_1</v>
          </cell>
        </row>
        <row r="310">
          <cell r="A310" t="str">
            <v>14001_2</v>
          </cell>
        </row>
        <row r="311">
          <cell r="A311" t="str">
            <v>14001_3</v>
          </cell>
        </row>
        <row r="312">
          <cell r="A312" t="str">
            <v>14001_4</v>
          </cell>
        </row>
        <row r="313">
          <cell r="A313" t="str">
            <v>14001_5</v>
          </cell>
        </row>
        <row r="314">
          <cell r="A314" t="str">
            <v>14001_6</v>
          </cell>
        </row>
        <row r="315">
          <cell r="A315" t="str">
            <v>14001_7</v>
          </cell>
        </row>
        <row r="316">
          <cell r="A316" t="str">
            <v>14001_8</v>
          </cell>
        </row>
        <row r="317">
          <cell r="A317" t="str">
            <v>14002_1</v>
          </cell>
        </row>
        <row r="318">
          <cell r="A318" t="str">
            <v>14002_2</v>
          </cell>
        </row>
        <row r="319">
          <cell r="A319" t="str">
            <v>14003_1</v>
          </cell>
        </row>
        <row r="320">
          <cell r="A320" t="str">
            <v>14003_2</v>
          </cell>
        </row>
        <row r="321">
          <cell r="A321" t="str">
            <v>14003_3</v>
          </cell>
        </row>
        <row r="322">
          <cell r="A322" t="str">
            <v>14003_4</v>
          </cell>
        </row>
        <row r="323">
          <cell r="A323" t="str">
            <v>14004_1</v>
          </cell>
        </row>
        <row r="324">
          <cell r="A324" t="str">
            <v>14004_2</v>
          </cell>
        </row>
        <row r="325">
          <cell r="A325" t="str">
            <v>14004_3</v>
          </cell>
        </row>
        <row r="326">
          <cell r="A326" t="str">
            <v>14004_4</v>
          </cell>
        </row>
        <row r="327">
          <cell r="A327" t="str">
            <v>14005_1</v>
          </cell>
        </row>
        <row r="328">
          <cell r="A328" t="str">
            <v>14006_1</v>
          </cell>
        </row>
        <row r="329">
          <cell r="A329" t="str">
            <v>15027_1</v>
          </cell>
        </row>
        <row r="330">
          <cell r="A330" t="str">
            <v>15027_2</v>
          </cell>
        </row>
        <row r="331">
          <cell r="A331" t="str">
            <v>15027_3</v>
          </cell>
        </row>
        <row r="332">
          <cell r="A332" t="str">
            <v>15027_4</v>
          </cell>
        </row>
        <row r="333">
          <cell r="A333" t="str">
            <v>15028_1</v>
          </cell>
        </row>
        <row r="334">
          <cell r="A334" t="str">
            <v>15028_2</v>
          </cell>
        </row>
        <row r="335">
          <cell r="A335" t="str">
            <v>15028_3</v>
          </cell>
        </row>
        <row r="336">
          <cell r="A336" t="str">
            <v>15028_4</v>
          </cell>
        </row>
        <row r="337">
          <cell r="A337" t="str">
            <v>15029_1</v>
          </cell>
        </row>
        <row r="338">
          <cell r="A338" t="str">
            <v>15029_2</v>
          </cell>
        </row>
        <row r="339">
          <cell r="A339" t="str">
            <v>15029_3</v>
          </cell>
        </row>
        <row r="340">
          <cell r="A340" t="str">
            <v>15029_4</v>
          </cell>
        </row>
        <row r="341">
          <cell r="A341" t="str">
            <v>15030_1</v>
          </cell>
        </row>
        <row r="342">
          <cell r="A342" t="str">
            <v>15030_2</v>
          </cell>
        </row>
        <row r="343">
          <cell r="A343" t="str">
            <v>15030_3</v>
          </cell>
        </row>
        <row r="344">
          <cell r="A344" t="str">
            <v>15030_4</v>
          </cell>
        </row>
        <row r="345">
          <cell r="A345" t="str">
            <v>15031_1</v>
          </cell>
        </row>
        <row r="346">
          <cell r="A346" t="str">
            <v>15031_2</v>
          </cell>
        </row>
        <row r="347">
          <cell r="A347" t="str">
            <v>15031_3</v>
          </cell>
        </row>
        <row r="348">
          <cell r="A348" t="str">
            <v>15031_4</v>
          </cell>
        </row>
        <row r="349">
          <cell r="A349" t="str">
            <v>20001_1</v>
          </cell>
        </row>
        <row r="350">
          <cell r="A350" t="str">
            <v>20001_2</v>
          </cell>
        </row>
        <row r="351">
          <cell r="A351" t="str">
            <v>20001_3</v>
          </cell>
        </row>
        <row r="352">
          <cell r="A352" t="str">
            <v>20002_1</v>
          </cell>
        </row>
        <row r="353">
          <cell r="A353" t="str">
            <v>20002_2</v>
          </cell>
        </row>
        <row r="354">
          <cell r="A354" t="str">
            <v>20002_3</v>
          </cell>
        </row>
        <row r="355">
          <cell r="A355" t="str">
            <v>20003_1</v>
          </cell>
        </row>
        <row r="356">
          <cell r="A356" t="str">
            <v>20003_2</v>
          </cell>
        </row>
        <row r="357">
          <cell r="A357" t="str">
            <v>20003_3</v>
          </cell>
        </row>
        <row r="358">
          <cell r="A358" t="str">
            <v>20004_1</v>
          </cell>
        </row>
        <row r="359">
          <cell r="A359" t="str">
            <v>20004_2</v>
          </cell>
        </row>
        <row r="360">
          <cell r="A360" t="str">
            <v>20004_3</v>
          </cell>
        </row>
        <row r="361">
          <cell r="A361" t="str">
            <v>20005_1</v>
          </cell>
        </row>
        <row r="362">
          <cell r="A362" t="str">
            <v>20005_2</v>
          </cell>
        </row>
        <row r="363">
          <cell r="A363" t="str">
            <v>20005_3</v>
          </cell>
        </row>
        <row r="364">
          <cell r="A364" t="str">
            <v>20006_1</v>
          </cell>
        </row>
        <row r="365">
          <cell r="A365" t="str">
            <v>20006_2</v>
          </cell>
        </row>
        <row r="366">
          <cell r="A366" t="str">
            <v>20006_3</v>
          </cell>
        </row>
        <row r="367">
          <cell r="A367" t="str">
            <v>20007_1</v>
          </cell>
        </row>
        <row r="368">
          <cell r="A368" t="str">
            <v>20007_2</v>
          </cell>
        </row>
        <row r="369">
          <cell r="A369" t="str">
            <v>20007_3</v>
          </cell>
        </row>
        <row r="370">
          <cell r="A370" t="str">
            <v>20008_1</v>
          </cell>
        </row>
        <row r="371">
          <cell r="A371" t="str">
            <v>20008_2</v>
          </cell>
        </row>
        <row r="372">
          <cell r="A372" t="str">
            <v>20008_3</v>
          </cell>
        </row>
        <row r="373">
          <cell r="A373" t="str">
            <v>20009_1</v>
          </cell>
        </row>
        <row r="374">
          <cell r="A374" t="str">
            <v>20009_2</v>
          </cell>
        </row>
        <row r="375">
          <cell r="A375" t="str">
            <v>20009_3</v>
          </cell>
        </row>
        <row r="376">
          <cell r="A376" t="str">
            <v>20010_1</v>
          </cell>
        </row>
        <row r="377">
          <cell r="A377" t="str">
            <v>20010_2</v>
          </cell>
        </row>
        <row r="378">
          <cell r="A378" t="str">
            <v>20010_3</v>
          </cell>
        </row>
        <row r="379">
          <cell r="A379" t="str">
            <v>20011_1</v>
          </cell>
        </row>
        <row r="380">
          <cell r="A380" t="str">
            <v>20011_2</v>
          </cell>
        </row>
        <row r="381">
          <cell r="A381" t="str">
            <v>20011_3</v>
          </cell>
        </row>
        <row r="382">
          <cell r="A382" t="str">
            <v>20012_1</v>
          </cell>
        </row>
        <row r="383">
          <cell r="A383" t="str">
            <v>20012_2</v>
          </cell>
        </row>
        <row r="384">
          <cell r="A384" t="str">
            <v>20012_3</v>
          </cell>
        </row>
        <row r="385">
          <cell r="A385" t="str">
            <v>20013_1</v>
          </cell>
        </row>
        <row r="386">
          <cell r="A386" t="str">
            <v>20013_2</v>
          </cell>
        </row>
        <row r="387">
          <cell r="A387" t="str">
            <v>20013_3</v>
          </cell>
        </row>
        <row r="388">
          <cell r="A388" t="str">
            <v>20014_1</v>
          </cell>
        </row>
        <row r="389">
          <cell r="A389" t="str">
            <v>20014_2</v>
          </cell>
        </row>
        <row r="390">
          <cell r="A390" t="str">
            <v>20014_3</v>
          </cell>
        </row>
        <row r="391">
          <cell r="A391" t="str">
            <v>20015_1</v>
          </cell>
        </row>
        <row r="392">
          <cell r="A392" t="str">
            <v>20015_2</v>
          </cell>
        </row>
        <row r="393">
          <cell r="A393" t="str">
            <v>20015_3</v>
          </cell>
        </row>
        <row r="394">
          <cell r="A394" t="str">
            <v>20016_1</v>
          </cell>
        </row>
        <row r="395">
          <cell r="A395" t="str">
            <v>20016_2</v>
          </cell>
        </row>
        <row r="396">
          <cell r="A396" t="str">
            <v>20016_3</v>
          </cell>
        </row>
        <row r="397">
          <cell r="A397" t="str">
            <v>20017_1</v>
          </cell>
        </row>
        <row r="398">
          <cell r="A398" t="str">
            <v>20017_2</v>
          </cell>
        </row>
        <row r="399">
          <cell r="A399" t="str">
            <v>20017_3</v>
          </cell>
        </row>
        <row r="400">
          <cell r="A400" t="str">
            <v>30001_1</v>
          </cell>
        </row>
        <row r="401">
          <cell r="A401" t="str">
            <v>30001_2</v>
          </cell>
        </row>
        <row r="402">
          <cell r="A402" t="str">
            <v>30001_3</v>
          </cell>
        </row>
        <row r="403">
          <cell r="A403" t="str">
            <v>30002_1</v>
          </cell>
        </row>
        <row r="404">
          <cell r="A404" t="str">
            <v>30002_2</v>
          </cell>
        </row>
        <row r="405">
          <cell r="A405" t="str">
            <v>30002_3</v>
          </cell>
        </row>
        <row r="406">
          <cell r="A406" t="str">
            <v>30003_1</v>
          </cell>
        </row>
        <row r="407">
          <cell r="A407" t="str">
            <v>30003_2</v>
          </cell>
        </row>
        <row r="408">
          <cell r="A408" t="str">
            <v>30003_3</v>
          </cell>
        </row>
        <row r="409">
          <cell r="A409" t="str">
            <v>30004_1</v>
          </cell>
        </row>
        <row r="410">
          <cell r="A410" t="str">
            <v>30004_2</v>
          </cell>
        </row>
        <row r="411">
          <cell r="A411" t="str">
            <v>30004_3</v>
          </cell>
        </row>
        <row r="412">
          <cell r="A412" t="str">
            <v>30005_1</v>
          </cell>
        </row>
        <row r="413">
          <cell r="A413" t="str">
            <v>30005_2</v>
          </cell>
        </row>
        <row r="414">
          <cell r="A414" t="str">
            <v>30005_3</v>
          </cell>
        </row>
        <row r="415">
          <cell r="A415" t="str">
            <v>30006_1</v>
          </cell>
        </row>
        <row r="416">
          <cell r="A416" t="str">
            <v>30006_2</v>
          </cell>
        </row>
        <row r="417">
          <cell r="A417" t="str">
            <v>30006_3</v>
          </cell>
        </row>
        <row r="418">
          <cell r="A418" t="str">
            <v>30007_1</v>
          </cell>
        </row>
        <row r="419">
          <cell r="A419" t="str">
            <v>30007_2</v>
          </cell>
        </row>
        <row r="420">
          <cell r="A420" t="str">
            <v>30007_3</v>
          </cell>
        </row>
        <row r="421">
          <cell r="A421" t="str">
            <v>30008_1</v>
          </cell>
        </row>
        <row r="422">
          <cell r="A422" t="str">
            <v>30008_2</v>
          </cell>
        </row>
        <row r="423">
          <cell r="A423" t="str">
            <v>30008_3</v>
          </cell>
        </row>
        <row r="424">
          <cell r="A424" t="str">
            <v>30009_3</v>
          </cell>
        </row>
        <row r="425">
          <cell r="A425" t="str">
            <v>30009_1</v>
          </cell>
        </row>
        <row r="426">
          <cell r="A426" t="str">
            <v>30009_2</v>
          </cell>
        </row>
        <row r="427">
          <cell r="A427" t="str">
            <v>30010_1</v>
          </cell>
        </row>
        <row r="428">
          <cell r="A428" t="str">
            <v>30010_2</v>
          </cell>
        </row>
        <row r="429">
          <cell r="A429" t="str">
            <v>30010_3</v>
          </cell>
        </row>
        <row r="430">
          <cell r="A430" t="str">
            <v>30011_1</v>
          </cell>
        </row>
        <row r="431">
          <cell r="A431" t="str">
            <v>30011_2</v>
          </cell>
        </row>
        <row r="432">
          <cell r="A432" t="str">
            <v>30011_3</v>
          </cell>
        </row>
        <row r="433">
          <cell r="A433" t="str">
            <v>30012_1</v>
          </cell>
        </row>
        <row r="434">
          <cell r="A434" t="str">
            <v>30012_2</v>
          </cell>
        </row>
        <row r="435">
          <cell r="A435" t="str">
            <v>30012_3</v>
          </cell>
        </row>
        <row r="436">
          <cell r="A436" t="str">
            <v>30013_1</v>
          </cell>
        </row>
        <row r="437">
          <cell r="A437" t="str">
            <v>30013_2</v>
          </cell>
        </row>
        <row r="438">
          <cell r="A438" t="str">
            <v>30014_1</v>
          </cell>
        </row>
        <row r="439">
          <cell r="A439" t="str">
            <v>30014_2</v>
          </cell>
        </row>
        <row r="440">
          <cell r="A440" t="str">
            <v>30015_1</v>
          </cell>
        </row>
        <row r="441">
          <cell r="A441" t="str">
            <v>30015_2</v>
          </cell>
        </row>
        <row r="442">
          <cell r="A442" t="str">
            <v>30016_1</v>
          </cell>
        </row>
        <row r="443">
          <cell r="A443" t="str">
            <v>30016_2</v>
          </cell>
        </row>
        <row r="444">
          <cell r="A444" t="str">
            <v>30017_1</v>
          </cell>
        </row>
        <row r="445">
          <cell r="A445" t="str">
            <v>30017_2</v>
          </cell>
        </row>
        <row r="446">
          <cell r="A446" t="str">
            <v>30018_1</v>
          </cell>
        </row>
        <row r="447">
          <cell r="A447" t="str">
            <v>30018_2</v>
          </cell>
        </row>
        <row r="448">
          <cell r="A448" t="str">
            <v>30019_1</v>
          </cell>
        </row>
        <row r="449">
          <cell r="A449" t="str">
            <v>30019_2</v>
          </cell>
        </row>
        <row r="450">
          <cell r="A450" t="str">
            <v>30020_1</v>
          </cell>
        </row>
        <row r="451">
          <cell r="A451" t="str">
            <v>30020_2</v>
          </cell>
        </row>
        <row r="452">
          <cell r="A452" t="str">
            <v>30021_1</v>
          </cell>
        </row>
        <row r="453">
          <cell r="A453" t="str">
            <v>30021_2</v>
          </cell>
        </row>
        <row r="454">
          <cell r="A454" t="str">
            <v>30021_3</v>
          </cell>
        </row>
        <row r="455">
          <cell r="A455" t="str">
            <v>30022_1</v>
          </cell>
        </row>
        <row r="456">
          <cell r="A456" t="str">
            <v>30022_2</v>
          </cell>
        </row>
        <row r="457">
          <cell r="A457" t="str">
            <v>30023_1</v>
          </cell>
        </row>
        <row r="458">
          <cell r="A458" t="str">
            <v>30023_2</v>
          </cell>
        </row>
        <row r="459">
          <cell r="A459" t="str">
            <v>30023_3</v>
          </cell>
        </row>
        <row r="460">
          <cell r="A460" t="str">
            <v>30024_1</v>
          </cell>
        </row>
        <row r="461">
          <cell r="A461" t="str">
            <v>30024_2</v>
          </cell>
        </row>
        <row r="462">
          <cell r="A462" t="str">
            <v>30024_3</v>
          </cell>
        </row>
        <row r="463">
          <cell r="A463" t="str">
            <v>30025_1</v>
          </cell>
        </row>
        <row r="464">
          <cell r="A464" t="str">
            <v>30025_2</v>
          </cell>
        </row>
        <row r="465">
          <cell r="A465" t="str">
            <v>30025_3</v>
          </cell>
        </row>
        <row r="466">
          <cell r="A466" t="str">
            <v>30026_1</v>
          </cell>
        </row>
        <row r="467">
          <cell r="A467" t="str">
            <v>30026_2</v>
          </cell>
        </row>
        <row r="468">
          <cell r="A468" t="str">
            <v>30026_3</v>
          </cell>
        </row>
        <row r="469">
          <cell r="A469" t="str">
            <v>30027_1</v>
          </cell>
        </row>
        <row r="470">
          <cell r="A470" t="str">
            <v>30027_2</v>
          </cell>
        </row>
        <row r="471">
          <cell r="A471" t="str">
            <v>30027_3</v>
          </cell>
        </row>
        <row r="472">
          <cell r="A472" t="str">
            <v>30028_1</v>
          </cell>
        </row>
        <row r="473">
          <cell r="A473" t="str">
            <v>30028_2</v>
          </cell>
        </row>
        <row r="474">
          <cell r="A474" t="str">
            <v>30028_3</v>
          </cell>
        </row>
        <row r="475">
          <cell r="A475" t="str">
            <v>30029_1</v>
          </cell>
        </row>
        <row r="476">
          <cell r="A476" t="str">
            <v>30029_2</v>
          </cell>
        </row>
        <row r="477">
          <cell r="A477" t="str">
            <v>30029_3</v>
          </cell>
        </row>
        <row r="478">
          <cell r="A478" t="str">
            <v>30030_1</v>
          </cell>
        </row>
        <row r="479">
          <cell r="A479" t="str">
            <v>30030_2</v>
          </cell>
        </row>
        <row r="480">
          <cell r="A480" t="str">
            <v>30030_3</v>
          </cell>
        </row>
        <row r="481">
          <cell r="A481" t="str">
            <v>30031_1</v>
          </cell>
        </row>
        <row r="482">
          <cell r="A482" t="str">
            <v>30031_2</v>
          </cell>
        </row>
        <row r="483">
          <cell r="A483" t="str">
            <v>30031_3</v>
          </cell>
        </row>
        <row r="484">
          <cell r="A484" t="str">
            <v>30032_1</v>
          </cell>
        </row>
        <row r="485">
          <cell r="A485" t="str">
            <v>30032_2</v>
          </cell>
        </row>
        <row r="486">
          <cell r="A486" t="str">
            <v>30032_3</v>
          </cell>
        </row>
        <row r="487">
          <cell r="A487" t="str">
            <v>30033_1</v>
          </cell>
        </row>
        <row r="488">
          <cell r="A488" t="str">
            <v>30033_2</v>
          </cell>
        </row>
        <row r="489">
          <cell r="A489" t="str">
            <v>30033_3</v>
          </cell>
        </row>
        <row r="490">
          <cell r="A490" t="str">
            <v>30034_1</v>
          </cell>
        </row>
        <row r="491">
          <cell r="A491" t="str">
            <v>30034_2</v>
          </cell>
        </row>
        <row r="492">
          <cell r="A492" t="str">
            <v>30034_3</v>
          </cell>
        </row>
        <row r="493">
          <cell r="A493" t="str">
            <v>30035_1</v>
          </cell>
        </row>
        <row r="494">
          <cell r="A494" t="str">
            <v>30035_2</v>
          </cell>
        </row>
        <row r="495">
          <cell r="A495" t="str">
            <v>30035_3</v>
          </cell>
        </row>
        <row r="496">
          <cell r="A496" t="str">
            <v>30036_1</v>
          </cell>
        </row>
        <row r="497">
          <cell r="A497" t="str">
            <v>30036_2</v>
          </cell>
        </row>
        <row r="498">
          <cell r="A498" t="str">
            <v>30036_3</v>
          </cell>
        </row>
        <row r="499">
          <cell r="A499" t="str">
            <v>30037_1</v>
          </cell>
        </row>
        <row r="500">
          <cell r="A500" t="str">
            <v>30037_2</v>
          </cell>
        </row>
        <row r="501">
          <cell r="A501" t="str">
            <v>30037_3</v>
          </cell>
        </row>
        <row r="502">
          <cell r="A502" t="str">
            <v>39001_1</v>
          </cell>
        </row>
        <row r="503">
          <cell r="A503" t="str">
            <v>39001_2</v>
          </cell>
        </row>
        <row r="504">
          <cell r="A504" t="str">
            <v>39001_3</v>
          </cell>
        </row>
        <row r="505">
          <cell r="A505" t="str">
            <v>39001_4</v>
          </cell>
        </row>
        <row r="506">
          <cell r="A506" t="str">
            <v>39001_5</v>
          </cell>
        </row>
        <row r="507">
          <cell r="A507" t="str">
            <v>39002_1</v>
          </cell>
        </row>
        <row r="508">
          <cell r="A508" t="str">
            <v>39002_2</v>
          </cell>
        </row>
        <row r="509">
          <cell r="A509" t="str">
            <v>39002_3</v>
          </cell>
        </row>
        <row r="510">
          <cell r="A510" t="str">
            <v>39002_4</v>
          </cell>
        </row>
        <row r="511">
          <cell r="A511" t="str">
            <v>39003_1</v>
          </cell>
        </row>
        <row r="512">
          <cell r="A512" t="str">
            <v>39003_2</v>
          </cell>
        </row>
        <row r="513">
          <cell r="A513" t="str">
            <v>39003_3</v>
          </cell>
        </row>
        <row r="514">
          <cell r="A514" t="str">
            <v>39003_4</v>
          </cell>
        </row>
        <row r="515">
          <cell r="A515" t="str">
            <v>39004_1</v>
          </cell>
        </row>
        <row r="516">
          <cell r="A516" t="str">
            <v>39004_2</v>
          </cell>
        </row>
        <row r="517">
          <cell r="A517" t="str">
            <v>39004_3</v>
          </cell>
        </row>
        <row r="518">
          <cell r="A518" t="str">
            <v>39004_4</v>
          </cell>
        </row>
        <row r="519">
          <cell r="A519" t="str">
            <v>39005_1</v>
          </cell>
        </row>
        <row r="520">
          <cell r="A520" t="str">
            <v>39005_2</v>
          </cell>
        </row>
        <row r="521">
          <cell r="A521" t="str">
            <v>39005_3</v>
          </cell>
        </row>
        <row r="522">
          <cell r="A522" t="str">
            <v>39005_4</v>
          </cell>
        </row>
        <row r="523">
          <cell r="A523" t="str">
            <v>39005_5</v>
          </cell>
        </row>
        <row r="524">
          <cell r="A524" t="str">
            <v>39006_1</v>
          </cell>
        </row>
        <row r="525">
          <cell r="A525" t="str">
            <v>39006_2</v>
          </cell>
        </row>
        <row r="526">
          <cell r="A526" t="str">
            <v>39006_3</v>
          </cell>
        </row>
        <row r="527">
          <cell r="A527" t="str">
            <v>39006_4</v>
          </cell>
        </row>
        <row r="528">
          <cell r="A528" t="str">
            <v>40001_1</v>
          </cell>
        </row>
        <row r="529">
          <cell r="A529" t="str">
            <v>40002_1</v>
          </cell>
        </row>
        <row r="530">
          <cell r="A530" t="str">
            <v>40002_2</v>
          </cell>
        </row>
        <row r="531">
          <cell r="A531" t="str">
            <v>40002_3</v>
          </cell>
        </row>
        <row r="532">
          <cell r="A532" t="str">
            <v>40003_1</v>
          </cell>
        </row>
        <row r="533">
          <cell r="A533" t="str">
            <v>40004_1</v>
          </cell>
        </row>
        <row r="534">
          <cell r="A534" t="str">
            <v>40005_1</v>
          </cell>
        </row>
        <row r="535">
          <cell r="A535" t="str">
            <v>40006_1</v>
          </cell>
        </row>
        <row r="536">
          <cell r="A536" t="str">
            <v>40007_1</v>
          </cell>
        </row>
        <row r="537">
          <cell r="A537" t="str">
            <v>40008_1</v>
          </cell>
        </row>
        <row r="538">
          <cell r="A538" t="str">
            <v>40009_1</v>
          </cell>
        </row>
        <row r="539">
          <cell r="A539" t="str">
            <v>40010_1</v>
          </cell>
        </row>
        <row r="540">
          <cell r="A540" t="str">
            <v>40011_1</v>
          </cell>
        </row>
        <row r="541">
          <cell r="A541" t="str">
            <v>40012_1</v>
          </cell>
        </row>
        <row r="542">
          <cell r="A542" t="str">
            <v>40013_1</v>
          </cell>
        </row>
        <row r="543">
          <cell r="A543" t="str">
            <v>40014_1</v>
          </cell>
        </row>
        <row r="544">
          <cell r="A544" t="str">
            <v>40015_1</v>
          </cell>
        </row>
        <row r="545">
          <cell r="A545" t="str">
            <v>40016_1</v>
          </cell>
        </row>
        <row r="546">
          <cell r="A546" t="str">
            <v>40016_2</v>
          </cell>
        </row>
        <row r="547">
          <cell r="A547" t="str">
            <v>40017_1</v>
          </cell>
        </row>
        <row r="548">
          <cell r="A548" t="str">
            <v>40017_2</v>
          </cell>
        </row>
        <row r="549">
          <cell r="A549" t="str">
            <v>40017_3</v>
          </cell>
        </row>
        <row r="550">
          <cell r="A550" t="str">
            <v>40018_1</v>
          </cell>
        </row>
        <row r="551">
          <cell r="A551" t="str">
            <v>40018_2</v>
          </cell>
        </row>
        <row r="552">
          <cell r="A552" t="str">
            <v>40018_3</v>
          </cell>
        </row>
        <row r="553">
          <cell r="A553" t="str">
            <v>40019_1</v>
          </cell>
        </row>
        <row r="554">
          <cell r="A554" t="str">
            <v>40019_2</v>
          </cell>
        </row>
        <row r="555">
          <cell r="A555" t="str">
            <v>40019_3</v>
          </cell>
        </row>
        <row r="556">
          <cell r="A556" t="str">
            <v>40020_1</v>
          </cell>
        </row>
        <row r="557">
          <cell r="A557" t="str">
            <v>40020_2</v>
          </cell>
        </row>
        <row r="558">
          <cell r="A558" t="str">
            <v>40021_1</v>
          </cell>
        </row>
        <row r="559">
          <cell r="A559" t="str">
            <v>40021_2</v>
          </cell>
        </row>
        <row r="560">
          <cell r="A560" t="str">
            <v>48001_1</v>
          </cell>
        </row>
        <row r="561">
          <cell r="A561" t="str">
            <v>48002_1</v>
          </cell>
        </row>
        <row r="562">
          <cell r="A562" t="str">
            <v>48002_2</v>
          </cell>
        </row>
        <row r="563">
          <cell r="A563" t="str">
            <v>48002_3</v>
          </cell>
        </row>
        <row r="564">
          <cell r="A564" t="str">
            <v>41001_1</v>
          </cell>
        </row>
        <row r="565">
          <cell r="A565" t="str">
            <v>41001_2</v>
          </cell>
        </row>
        <row r="566">
          <cell r="A566" t="str">
            <v>41001_3</v>
          </cell>
        </row>
        <row r="567">
          <cell r="A567" t="str">
            <v>41002_1</v>
          </cell>
        </row>
        <row r="568">
          <cell r="A568" t="str">
            <v>41002_2</v>
          </cell>
        </row>
        <row r="569">
          <cell r="A569" t="str">
            <v>41002_3</v>
          </cell>
        </row>
        <row r="570">
          <cell r="A570" t="str">
            <v>41003_1</v>
          </cell>
        </row>
        <row r="571">
          <cell r="A571" t="str">
            <v>41003_2</v>
          </cell>
        </row>
        <row r="572">
          <cell r="A572" t="str">
            <v>41003_3</v>
          </cell>
        </row>
        <row r="573">
          <cell r="A573" t="str">
            <v>41004_1</v>
          </cell>
        </row>
        <row r="574">
          <cell r="A574" t="str">
            <v>41004_2</v>
          </cell>
        </row>
        <row r="575">
          <cell r="A575" t="str">
            <v>41004_3</v>
          </cell>
        </row>
        <row r="576">
          <cell r="A576" t="str">
            <v>41005_1</v>
          </cell>
        </row>
        <row r="577">
          <cell r="A577" t="str">
            <v>41005_2</v>
          </cell>
        </row>
        <row r="578">
          <cell r="A578" t="str">
            <v>41005_3</v>
          </cell>
        </row>
        <row r="579">
          <cell r="A579" t="str">
            <v>41006_1</v>
          </cell>
        </row>
        <row r="580">
          <cell r="A580" t="str">
            <v>41006_2</v>
          </cell>
        </row>
        <row r="581">
          <cell r="A581" t="str">
            <v>41006_3</v>
          </cell>
        </row>
        <row r="582">
          <cell r="A582" t="str">
            <v>41007_1</v>
          </cell>
        </row>
        <row r="583">
          <cell r="A583" t="str">
            <v>41007_2</v>
          </cell>
        </row>
        <row r="584">
          <cell r="A584" t="str">
            <v>41007_3</v>
          </cell>
        </row>
        <row r="585">
          <cell r="A585" t="str">
            <v>41008_1</v>
          </cell>
        </row>
        <row r="586">
          <cell r="A586" t="str">
            <v>41008_2</v>
          </cell>
        </row>
        <row r="587">
          <cell r="A587" t="str">
            <v>41008_3</v>
          </cell>
        </row>
        <row r="588">
          <cell r="A588" t="str">
            <v>41009_1</v>
          </cell>
        </row>
        <row r="589">
          <cell r="A589" t="str">
            <v>41009_2</v>
          </cell>
        </row>
        <row r="590">
          <cell r="A590" t="str">
            <v>41009_3</v>
          </cell>
        </row>
        <row r="591">
          <cell r="A591" t="str">
            <v>41010_1</v>
          </cell>
        </row>
        <row r="592">
          <cell r="A592" t="str">
            <v>41010_2</v>
          </cell>
        </row>
        <row r="593">
          <cell r="A593" t="str">
            <v>41010_3</v>
          </cell>
        </row>
        <row r="594">
          <cell r="A594" t="str">
            <v>49001_1</v>
          </cell>
        </row>
        <row r="595">
          <cell r="A595" t="str">
            <v>49002_1</v>
          </cell>
        </row>
        <row r="596">
          <cell r="A596" t="str">
            <v>49002_2</v>
          </cell>
        </row>
        <row r="597">
          <cell r="A597" t="str">
            <v>49003_1</v>
          </cell>
        </row>
        <row r="598">
          <cell r="A598" t="str">
            <v>49003_2</v>
          </cell>
        </row>
        <row r="599">
          <cell r="A599" t="str">
            <v>49004_1</v>
          </cell>
        </row>
        <row r="600">
          <cell r="A600" t="str">
            <v>49004_2</v>
          </cell>
        </row>
        <row r="601">
          <cell r="A601" t="str">
            <v>49004_3</v>
          </cell>
        </row>
        <row r="602">
          <cell r="A602" t="str">
            <v>49005_1</v>
          </cell>
        </row>
        <row r="603">
          <cell r="A603" t="str">
            <v>49006_1</v>
          </cell>
        </row>
        <row r="604">
          <cell r="A604" t="str">
            <v>50001_1</v>
          </cell>
        </row>
        <row r="605">
          <cell r="A605" t="str">
            <v>50002_1</v>
          </cell>
        </row>
        <row r="606">
          <cell r="A606" t="str">
            <v>50003_1</v>
          </cell>
        </row>
        <row r="607">
          <cell r="A607" t="str">
            <v>50004_1</v>
          </cell>
        </row>
        <row r="608">
          <cell r="A608" t="str">
            <v>50005_1</v>
          </cell>
        </row>
        <row r="609">
          <cell r="A609" t="str">
            <v>51001_1</v>
          </cell>
        </row>
        <row r="610">
          <cell r="A610" t="str">
            <v>51002_1</v>
          </cell>
        </row>
        <row r="611">
          <cell r="A611" t="str">
            <v>60001_1</v>
          </cell>
        </row>
        <row r="612">
          <cell r="A612" t="str">
            <v>60002_1</v>
          </cell>
        </row>
        <row r="613">
          <cell r="A613" t="str">
            <v>60002_2</v>
          </cell>
        </row>
        <row r="614">
          <cell r="A614" t="str">
            <v>60003_1</v>
          </cell>
        </row>
        <row r="615">
          <cell r="A615" t="str">
            <v>60003_2</v>
          </cell>
        </row>
        <row r="616">
          <cell r="A616" t="str">
            <v>60003_3</v>
          </cell>
        </row>
        <row r="617">
          <cell r="A617" t="str">
            <v>60004_1</v>
          </cell>
        </row>
        <row r="618">
          <cell r="A618" t="str">
            <v>60005_1</v>
          </cell>
        </row>
        <row r="619">
          <cell r="A619" t="str">
            <v>60006_1</v>
          </cell>
        </row>
        <row r="620">
          <cell r="A620" t="str">
            <v>60006_2</v>
          </cell>
        </row>
        <row r="621">
          <cell r="A621" t="str">
            <v>60006_3</v>
          </cell>
        </row>
        <row r="622">
          <cell r="A622" t="str">
            <v>60007_1</v>
          </cell>
        </row>
        <row r="623">
          <cell r="A623" t="str">
            <v>60007_2</v>
          </cell>
        </row>
        <row r="624">
          <cell r="A624" t="str">
            <v>60007_3</v>
          </cell>
        </row>
        <row r="625">
          <cell r="A625" t="str">
            <v>60010_1</v>
          </cell>
        </row>
        <row r="626">
          <cell r="A626" t="str">
            <v>60011_1</v>
          </cell>
        </row>
        <row r="627">
          <cell r="A627" t="str">
            <v>65535_1</v>
          </cell>
        </row>
        <row r="628">
          <cell r="A628" t="str">
            <v>65535_2</v>
          </cell>
        </row>
        <row r="629">
          <cell r="A629" t="str">
            <v>65535_3</v>
          </cell>
        </row>
        <row r="630">
          <cell r="A630" t="str">
            <v>65535_4</v>
          </cell>
        </row>
        <row r="631">
          <cell r="A631" t="str">
            <v>65535_5</v>
          </cell>
        </row>
        <row r="632">
          <cell r="A632" t="str">
            <v>65535_6</v>
          </cell>
        </row>
        <row r="633">
          <cell r="A633" t="str">
            <v>65535_7</v>
          </cell>
        </row>
        <row r="634">
          <cell r="A634" t="str">
            <v>65535_8</v>
          </cell>
        </row>
        <row r="635">
          <cell r="A635" t="str">
            <v>60021_3</v>
          </cell>
        </row>
        <row r="636">
          <cell r="A636" t="str">
            <v>60022_3</v>
          </cell>
        </row>
        <row r="637">
          <cell r="A637" t="str">
            <v>60023_3</v>
          </cell>
        </row>
        <row r="638">
          <cell r="A638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H20" sqref="H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3" t="s">
        <v>129</v>
      </c>
      <c r="B1" s="48" t="s">
        <v>99</v>
      </c>
      <c r="C1" s="48" t="s">
        <v>100</v>
      </c>
      <c r="D1" s="48" t="s">
        <v>101</v>
      </c>
      <c r="E1" s="48" t="s">
        <v>102</v>
      </c>
      <c r="F1" s="48" t="s">
        <v>103</v>
      </c>
      <c r="G1" s="48" t="s">
        <v>104</v>
      </c>
      <c r="H1" s="48"/>
      <c r="I1" s="48"/>
      <c r="J1" s="48"/>
      <c r="K1" s="48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</row>
    <row r="2" spans="1:30" x14ac:dyDescent="0.15">
      <c r="A2" s="54" t="s">
        <v>211</v>
      </c>
      <c r="B2" s="50" t="s">
        <v>105</v>
      </c>
      <c r="C2" s="55">
        <v>15030</v>
      </c>
      <c r="D2" s="50" t="s">
        <v>106</v>
      </c>
      <c r="E2" s="49" t="str">
        <f>B2&amp;C2&amp;D2</f>
        <v>floors_15030.tmp</v>
      </c>
      <c r="F2" s="50" t="s">
        <v>107</v>
      </c>
      <c r="G2" s="51" t="s">
        <v>0</v>
      </c>
      <c r="H2" s="51" t="s">
        <v>1</v>
      </c>
      <c r="I2" s="51" t="s">
        <v>13</v>
      </c>
      <c r="J2" s="51" t="s">
        <v>14</v>
      </c>
      <c r="K2" s="51" t="s">
        <v>15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</row>
    <row r="3" spans="1:30" x14ac:dyDescent="0.15">
      <c r="A3" s="54" t="s">
        <v>211</v>
      </c>
      <c r="B3" s="50" t="s">
        <v>108</v>
      </c>
      <c r="C3" s="55">
        <f>C$2</f>
        <v>15030</v>
      </c>
      <c r="D3" s="50" t="s">
        <v>106</v>
      </c>
      <c r="E3" s="49" t="str">
        <f>B3&amp;C3&amp;D3</f>
        <v>enemy_habitats_15030.tmp</v>
      </c>
      <c r="F3" s="50" t="s">
        <v>109</v>
      </c>
      <c r="G3" s="51" t="s">
        <v>0</v>
      </c>
      <c r="H3" s="51" t="s">
        <v>1</v>
      </c>
      <c r="I3" s="51" t="s">
        <v>13</v>
      </c>
      <c r="J3" s="51" t="s">
        <v>2</v>
      </c>
      <c r="K3" s="51" t="s">
        <v>3</v>
      </c>
      <c r="L3" s="51" t="s">
        <v>47</v>
      </c>
      <c r="M3" s="51" t="s">
        <v>49</v>
      </c>
      <c r="N3" s="51" t="s">
        <v>51</v>
      </c>
      <c r="O3" s="51" t="s">
        <v>22</v>
      </c>
      <c r="P3" s="51" t="s">
        <v>5</v>
      </c>
      <c r="Q3" s="51" t="s">
        <v>6</v>
      </c>
      <c r="R3" s="51" t="s">
        <v>7</v>
      </c>
      <c r="S3" s="51" t="s">
        <v>8</v>
      </c>
      <c r="T3" s="51" t="s">
        <v>9</v>
      </c>
      <c r="U3" s="51" t="s">
        <v>10</v>
      </c>
      <c r="V3" s="51" t="s">
        <v>11</v>
      </c>
      <c r="W3" s="51" t="s">
        <v>12</v>
      </c>
      <c r="X3" s="51" t="s">
        <v>37</v>
      </c>
      <c r="Y3" s="51" t="s">
        <v>39</v>
      </c>
      <c r="Z3" s="51" t="s">
        <v>41</v>
      </c>
      <c r="AA3" s="51" t="s">
        <v>43</v>
      </c>
      <c r="AB3" s="51" t="s">
        <v>45</v>
      </c>
      <c r="AC3" s="51" t="s">
        <v>53</v>
      </c>
      <c r="AD3" s="51" t="s">
        <v>177</v>
      </c>
    </row>
    <row r="4" spans="1:30" x14ac:dyDescent="0.15">
      <c r="A4" s="54" t="s">
        <v>211</v>
      </c>
      <c r="B4" s="50" t="s">
        <v>110</v>
      </c>
      <c r="C4" s="55">
        <f t="shared" ref="C4:C12" si="0">C$2</f>
        <v>15030</v>
      </c>
      <c r="D4" s="50" t="s">
        <v>106</v>
      </c>
      <c r="E4" s="49" t="str">
        <f>B4&amp;C4&amp;D4</f>
        <v>enemy_habitat_S_15030.tmp</v>
      </c>
      <c r="F4" s="50" t="s">
        <v>111</v>
      </c>
      <c r="G4" s="51" t="s">
        <v>0</v>
      </c>
      <c r="H4" s="51" t="s">
        <v>1</v>
      </c>
      <c r="I4" s="51" t="s">
        <v>13</v>
      </c>
      <c r="J4" s="51" t="s">
        <v>53</v>
      </c>
      <c r="K4" s="51" t="s">
        <v>54</v>
      </c>
      <c r="L4" s="51" t="s">
        <v>55</v>
      </c>
      <c r="M4" s="51" t="s">
        <v>56</v>
      </c>
      <c r="N4" s="51" t="s">
        <v>57</v>
      </c>
      <c r="O4" s="51" t="s">
        <v>58</v>
      </c>
      <c r="P4" s="51" t="s">
        <v>48</v>
      </c>
      <c r="Q4" s="51" t="s">
        <v>50</v>
      </c>
      <c r="R4" s="51" t="s">
        <v>52</v>
      </c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</row>
    <row r="5" spans="1:30" x14ac:dyDescent="0.15">
      <c r="A5" s="54" t="s">
        <v>211</v>
      </c>
      <c r="B5" s="50" t="s">
        <v>112</v>
      </c>
      <c r="C5" s="55">
        <f t="shared" si="0"/>
        <v>15030</v>
      </c>
      <c r="D5" s="50" t="s">
        <v>106</v>
      </c>
      <c r="E5" s="49" t="str">
        <f>B5&amp;C5&amp;D5</f>
        <v>enemy_skill_sets_15030.tmp</v>
      </c>
      <c r="F5" s="50" t="s">
        <v>113</v>
      </c>
      <c r="G5" s="52" t="s">
        <v>22</v>
      </c>
      <c r="H5" s="52" t="s">
        <v>98</v>
      </c>
      <c r="I5" s="52" t="s">
        <v>93</v>
      </c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</row>
    <row r="6" spans="1:30" x14ac:dyDescent="0.15">
      <c r="A6" s="54" t="s">
        <v>211</v>
      </c>
      <c r="B6" s="50" t="s">
        <v>114</v>
      </c>
      <c r="C6" s="55">
        <f t="shared" si="0"/>
        <v>15030</v>
      </c>
      <c r="D6" s="50" t="s">
        <v>115</v>
      </c>
      <c r="E6" s="49" t="str">
        <f t="shared" ref="E6:E10" si="1">B6&amp;C6&amp;D6</f>
        <v>enemy_skills_tmp_15030.tmp</v>
      </c>
      <c r="F6" s="50" t="s">
        <v>89</v>
      </c>
      <c r="G6" s="51" t="s">
        <v>78</v>
      </c>
      <c r="H6" s="51" t="s">
        <v>79</v>
      </c>
      <c r="I6" s="51" t="s">
        <v>80</v>
      </c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</row>
    <row r="7" spans="1:30" x14ac:dyDescent="0.15">
      <c r="A7" s="54" t="s">
        <v>211</v>
      </c>
      <c r="B7" s="50" t="s">
        <v>116</v>
      </c>
      <c r="C7" s="55">
        <f t="shared" si="0"/>
        <v>15030</v>
      </c>
      <c r="D7" s="50" t="s">
        <v>106</v>
      </c>
      <c r="E7" s="49" t="str">
        <f>B7&amp;C7&amp;D7</f>
        <v>enemy_skills_i18n_15030.tmp</v>
      </c>
      <c r="F7" s="50" t="s">
        <v>117</v>
      </c>
      <c r="G7" s="51" t="s">
        <v>78</v>
      </c>
      <c r="H7" s="51" t="s">
        <v>90</v>
      </c>
      <c r="I7" s="51" t="s">
        <v>91</v>
      </c>
      <c r="J7" s="51" t="s">
        <v>92</v>
      </c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</row>
    <row r="8" spans="1:30" x14ac:dyDescent="0.15">
      <c r="A8" s="54" t="s">
        <v>211</v>
      </c>
      <c r="B8" s="50" t="s">
        <v>118</v>
      </c>
      <c r="C8" s="55">
        <f t="shared" si="0"/>
        <v>15030</v>
      </c>
      <c r="D8" s="50" t="s">
        <v>119</v>
      </c>
      <c r="E8" s="49" t="str">
        <f t="shared" si="1"/>
        <v>enemy_skill_triggers_15030.tmp</v>
      </c>
      <c r="F8" s="50" t="s">
        <v>120</v>
      </c>
      <c r="G8" s="51" t="s">
        <v>93</v>
      </c>
      <c r="H8" s="51" t="s">
        <v>94</v>
      </c>
      <c r="I8" s="51" t="s">
        <v>95</v>
      </c>
      <c r="J8" s="51" t="s">
        <v>96</v>
      </c>
      <c r="K8" s="51" t="s">
        <v>121</v>
      </c>
      <c r="L8" s="51" t="s">
        <v>97</v>
      </c>
      <c r="M8" s="51" t="s">
        <v>122</v>
      </c>
      <c r="N8" s="51" t="s">
        <v>123</v>
      </c>
      <c r="O8" s="51" t="s">
        <v>124</v>
      </c>
      <c r="P8" s="51" t="s">
        <v>66</v>
      </c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</row>
    <row r="9" spans="1:30" x14ac:dyDescent="0.15">
      <c r="A9" s="54" t="s">
        <v>211</v>
      </c>
      <c r="B9" s="60" t="s">
        <v>176</v>
      </c>
      <c r="C9" s="55">
        <f t="shared" si="0"/>
        <v>15030</v>
      </c>
      <c r="D9" s="60" t="s">
        <v>170</v>
      </c>
      <c r="E9" s="61" t="str">
        <f t="shared" si="1"/>
        <v>stage_bug_bonuses_15030.tmp</v>
      </c>
      <c r="F9" s="60" t="s">
        <v>171</v>
      </c>
      <c r="G9" s="57" t="s">
        <v>149</v>
      </c>
      <c r="H9" s="57" t="s">
        <v>172</v>
      </c>
      <c r="I9" s="57" t="s">
        <v>173</v>
      </c>
      <c r="J9" s="59" t="s">
        <v>174</v>
      </c>
      <c r="K9" s="57" t="s">
        <v>175</v>
      </c>
      <c r="L9" s="57" t="s">
        <v>155</v>
      </c>
      <c r="M9" s="57" t="s">
        <v>156</v>
      </c>
      <c r="N9" s="57" t="s">
        <v>157</v>
      </c>
      <c r="O9" s="57" t="s">
        <v>158</v>
      </c>
      <c r="P9" s="57" t="s">
        <v>159</v>
      </c>
      <c r="Q9" s="57" t="s">
        <v>160</v>
      </c>
      <c r="R9" s="57" t="s">
        <v>161</v>
      </c>
      <c r="S9" s="57" t="s">
        <v>162</v>
      </c>
      <c r="T9" s="57" t="s">
        <v>163</v>
      </c>
      <c r="U9" s="57" t="s">
        <v>164</v>
      </c>
      <c r="V9" s="57" t="s">
        <v>165</v>
      </c>
      <c r="W9" s="57" t="s">
        <v>166</v>
      </c>
    </row>
    <row r="10" spans="1:30" s="68" customFormat="1" x14ac:dyDescent="0.15">
      <c r="A10" s="54" t="s">
        <v>211</v>
      </c>
      <c r="B10" s="60" t="s">
        <v>199</v>
      </c>
      <c r="C10" s="55">
        <f>C$2</f>
        <v>15030</v>
      </c>
      <c r="D10" s="60" t="s">
        <v>179</v>
      </c>
      <c r="E10" s="61" t="str">
        <f t="shared" si="1"/>
        <v>stage_hints_data_c_15030.tmp</v>
      </c>
      <c r="F10" s="60" t="s">
        <v>207</v>
      </c>
      <c r="G10" s="65" t="s">
        <v>180</v>
      </c>
      <c r="H10" s="65" t="s">
        <v>172</v>
      </c>
      <c r="I10" s="66" t="s">
        <v>181</v>
      </c>
      <c r="J10" s="59" t="s">
        <v>182</v>
      </c>
      <c r="K10" s="67" t="s">
        <v>183</v>
      </c>
    </row>
    <row r="11" spans="1:30" s="68" customFormat="1" x14ac:dyDescent="0.15">
      <c r="A11" s="54" t="s">
        <v>211</v>
      </c>
      <c r="B11" s="60" t="s">
        <v>200</v>
      </c>
      <c r="C11" s="55">
        <f t="shared" si="0"/>
        <v>15030</v>
      </c>
      <c r="D11" s="60" t="s">
        <v>170</v>
      </c>
      <c r="E11" s="61" t="str">
        <f t="shared" ref="E11:E12" si="2">B11&amp;C11&amp;D11</f>
        <v>stage_hints_data_f_15030.tmp</v>
      </c>
      <c r="F11" s="60" t="s">
        <v>208</v>
      </c>
      <c r="G11" s="65" t="s">
        <v>180</v>
      </c>
      <c r="H11" s="65" t="s">
        <v>172</v>
      </c>
      <c r="I11" s="66" t="s">
        <v>181</v>
      </c>
      <c r="J11" s="59" t="s">
        <v>182</v>
      </c>
      <c r="K11" s="67" t="s">
        <v>183</v>
      </c>
    </row>
    <row r="12" spans="1:30" s="68" customFormat="1" x14ac:dyDescent="0.15">
      <c r="A12" s="54" t="s">
        <v>211</v>
      </c>
      <c r="B12" s="60" t="s">
        <v>201</v>
      </c>
      <c r="C12" s="55">
        <f t="shared" si="0"/>
        <v>15030</v>
      </c>
      <c r="D12" s="60" t="s">
        <v>170</v>
      </c>
      <c r="E12" s="61" t="str">
        <f t="shared" si="2"/>
        <v>stage_hints_i18n_15030.tmp</v>
      </c>
      <c r="F12" s="60" t="s">
        <v>209</v>
      </c>
      <c r="G12" s="66" t="s">
        <v>202</v>
      </c>
      <c r="H12" s="86" t="s">
        <v>203</v>
      </c>
      <c r="I12" s="65" t="s">
        <v>204</v>
      </c>
      <c r="J12" s="87" t="s">
        <v>205</v>
      </c>
      <c r="K12" s="67" t="s">
        <v>206</v>
      </c>
    </row>
  </sheetData>
  <phoneticPr fontId="6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8"/>
  <sheetViews>
    <sheetView showGridLines="0" zoomScale="85" zoomScaleNormal="85" zoomScalePageLayoutView="85" workbookViewId="0">
      <pane ySplit="1" topLeftCell="A2" activePane="bottomLeft" state="frozen"/>
      <selection activeCell="V2" sqref="V2:X34"/>
      <selection pane="bottomLeft" activeCell="J13" sqref="J13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5" style="16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6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3" t="s">
        <v>30</v>
      </c>
      <c r="B1" s="13" t="s">
        <v>36</v>
      </c>
      <c r="C1" s="164" t="s">
        <v>0</v>
      </c>
      <c r="D1" s="144" t="s">
        <v>18</v>
      </c>
      <c r="E1" s="144" t="s">
        <v>33</v>
      </c>
      <c r="F1" s="164" t="s">
        <v>1</v>
      </c>
      <c r="G1" s="143" t="s">
        <v>32</v>
      </c>
      <c r="H1" s="144" t="s">
        <v>34</v>
      </c>
      <c r="I1" s="164" t="s">
        <v>13</v>
      </c>
      <c r="J1" s="164" t="s">
        <v>14</v>
      </c>
      <c r="K1" s="164" t="s">
        <v>15</v>
      </c>
    </row>
    <row r="2" spans="1:11" ht="21" customHeight="1" x14ac:dyDescent="0.15">
      <c r="A2" s="147" t="str">
        <f>G2&amp;"-"&amp;I2</f>
        <v>15030_1-1</v>
      </c>
      <c r="B2" s="148" t="str">
        <f>IF(COUNTIF(enemy_habitats!$H:$H,A2),"OK","NG")</f>
        <v>OK</v>
      </c>
      <c r="C2" s="149">
        <v>15030</v>
      </c>
      <c r="D2" s="150" t="str">
        <f ca="1">VLOOKUP($C2,OFFSET([2]quests!$A$1,0,0,COUNTA([2]quests!$A:$A),MATCH(D$1,[2]quests!$1:$1,0)-MATCH($C$1,[2]quests!$1:$1,0)+1),MATCH(D$1,[2]quests!$1:$1,0)-MATCH($C$1,[2]quests!$1:$1,0)+1,FALSE)</f>
        <v>30. 月夜のオールドシティ</v>
      </c>
      <c r="E2" s="150" t="str">
        <f ca="1">VLOOKUP($C2,OFFSET([2]quests!$A$1,0,0,COUNTA([2]quests!$A:$A),MATCH(E$1,[2]quests!$1:$1,0)-MATCH($C$1,[2]quests!$1:$1,0)+1),MATCH(E$1,[2]quests!$1:$1,0)-MATCH($C$1,[2]quests!$1:$1,0)+1,FALSE)</f>
        <v>赤青DL6</v>
      </c>
      <c r="F2" s="151">
        <v>1</v>
      </c>
      <c r="G2" s="152" t="str">
        <f>C2&amp;"_"&amp;F2</f>
        <v>15030_1</v>
      </c>
      <c r="H2" s="153" t="str">
        <f ca="1">VLOOKUP($G2,OFFSET([2]stages!$A$1,0,0,COUNTA([2]stages!$A:$A),MATCH(H$1,[2]stages!$2:$2,0)-MATCH($G$1,[2]stages!$2:$2,0)+1),MATCH(H$1,[2]stages!$2:$2,0)-MATCH($G$1,[2]stages!$2:$2,0)+1,FALSE)</f>
        <v>30-1. 月夜に煌めく刃</v>
      </c>
      <c r="I2" s="151">
        <v>1</v>
      </c>
      <c r="J2" s="154">
        <v>45</v>
      </c>
      <c r="K2" s="155">
        <v>60</v>
      </c>
    </row>
    <row r="3" spans="1:11" ht="21" customHeight="1" x14ac:dyDescent="0.15">
      <c r="A3" s="156" t="str">
        <f t="shared" ref="A3:A18" si="0">G3&amp;"-"&amp;I3</f>
        <v>15030_1-2</v>
      </c>
      <c r="B3" s="157" t="str">
        <f>IF(COUNTIF(enemy_habitats!$H:$H,A3),"OK","NG")</f>
        <v>OK</v>
      </c>
      <c r="C3" s="88">
        <v>15030</v>
      </c>
      <c r="D3" s="15" t="str">
        <f ca="1">VLOOKUP($C3,OFFSET([2]quests!$A$1,0,0,COUNTA([2]quests!$A:$A),MATCH(D$1,[2]quests!$1:$1,0)-MATCH($C$1,[2]quests!$1:$1,0)+1),MATCH(D$1,[2]quests!$1:$1,0)-MATCH($C$1,[2]quests!$1:$1,0)+1,FALSE)</f>
        <v>30. 月夜のオールドシティ</v>
      </c>
      <c r="E3" s="15" t="str">
        <f ca="1">VLOOKUP($C3,OFFSET([2]quests!$A$1,0,0,COUNTA([2]quests!$A:$A),MATCH(E$1,[2]quests!$1:$1,0)-MATCH($C$1,[2]quests!$1:$1,0)+1),MATCH(E$1,[2]quests!$1:$1,0)-MATCH($C$1,[2]quests!$1:$1,0)+1,FALSE)</f>
        <v>赤青DL6</v>
      </c>
      <c r="F3" s="89">
        <v>1</v>
      </c>
      <c r="G3" s="17" t="str">
        <f t="shared" ref="G3:G18" si="1">C3&amp;"_"&amp;F3</f>
        <v>15030_1</v>
      </c>
      <c r="H3" s="12" t="str">
        <f ca="1">VLOOKUP($G3,OFFSET([2]stages!$A$1,0,0,COUNTA([2]stages!$A:$A),MATCH(H$1,[2]stages!$2:$2,0)-MATCH($G$1,[2]stages!$2:$2,0)+1),MATCH(H$1,[2]stages!$2:$2,0)-MATCH($G$1,[2]stages!$2:$2,0)+1,FALSE)</f>
        <v>30-1. 月夜に煌めく刃</v>
      </c>
      <c r="I3" s="89">
        <v>2</v>
      </c>
      <c r="J3" s="31">
        <v>45</v>
      </c>
      <c r="K3" s="158">
        <v>60</v>
      </c>
    </row>
    <row r="4" spans="1:11" ht="21" customHeight="1" x14ac:dyDescent="0.15">
      <c r="A4" s="156" t="str">
        <f t="shared" si="0"/>
        <v>15030_1-3</v>
      </c>
      <c r="B4" s="157" t="str">
        <f>IF(COUNTIF(enemy_habitats!$H:$H,A4),"OK","NG")</f>
        <v>OK</v>
      </c>
      <c r="C4" s="88">
        <v>15030</v>
      </c>
      <c r="D4" s="15" t="str">
        <f ca="1">VLOOKUP($C4,OFFSET([2]quests!$A$1,0,0,COUNTA([2]quests!$A:$A),MATCH(D$1,[2]quests!$1:$1,0)-MATCH($C$1,[2]quests!$1:$1,0)+1),MATCH(D$1,[2]quests!$1:$1,0)-MATCH($C$1,[2]quests!$1:$1,0)+1,FALSE)</f>
        <v>30. 月夜のオールドシティ</v>
      </c>
      <c r="E4" s="15" t="str">
        <f ca="1">VLOOKUP($C4,OFFSET([2]quests!$A$1,0,0,COUNTA([2]quests!$A:$A),MATCH(E$1,[2]quests!$1:$1,0)-MATCH($C$1,[2]quests!$1:$1,0)+1),MATCH(E$1,[2]quests!$1:$1,0)-MATCH($C$1,[2]quests!$1:$1,0)+1,FALSE)</f>
        <v>赤青DL6</v>
      </c>
      <c r="F4" s="89">
        <v>1</v>
      </c>
      <c r="G4" s="17" t="str">
        <f t="shared" si="1"/>
        <v>15030_1</v>
      </c>
      <c r="H4" s="12" t="str">
        <f ca="1">VLOOKUP($G4,OFFSET([2]stages!$A$1,0,0,COUNTA([2]stages!$A:$A),MATCH(H$1,[2]stages!$2:$2,0)-MATCH($G$1,[2]stages!$2:$2,0)+1),MATCH(H$1,[2]stages!$2:$2,0)-MATCH($G$1,[2]stages!$2:$2,0)+1,FALSE)</f>
        <v>30-1. 月夜に煌めく刃</v>
      </c>
      <c r="I4" s="89">
        <v>3</v>
      </c>
      <c r="J4" s="31">
        <v>45</v>
      </c>
      <c r="K4" s="158">
        <v>60</v>
      </c>
    </row>
    <row r="5" spans="1:11" ht="21" customHeight="1" thickBot="1" x14ac:dyDescent="0.2">
      <c r="A5" s="156" t="str">
        <f t="shared" ref="A5" si="2">G5&amp;"-"&amp;I5</f>
        <v>15030_1-4</v>
      </c>
      <c r="B5" s="157" t="str">
        <f>IF(COUNTIF(enemy_habitats!$H:$H,A5),"OK","NG")</f>
        <v>OK</v>
      </c>
      <c r="C5" s="140">
        <v>15030</v>
      </c>
      <c r="D5" s="141" t="str">
        <f ca="1">VLOOKUP($C5,OFFSET([2]quests!$A$1,0,0,COUNTA([2]quests!$A:$A),MATCH(D$1,[2]quests!$1:$1,0)-MATCH($C$1,[2]quests!$1:$1,0)+1),MATCH(D$1,[2]quests!$1:$1,0)-MATCH($C$1,[2]quests!$1:$1,0)+1,FALSE)</f>
        <v>30. 月夜のオールドシティ</v>
      </c>
      <c r="E5" s="141" t="str">
        <f ca="1">VLOOKUP($C5,OFFSET([2]quests!$A$1,0,0,COUNTA([2]quests!$A:$A),MATCH(E$1,[2]quests!$1:$1,0)-MATCH($C$1,[2]quests!$1:$1,0)+1),MATCH(E$1,[2]quests!$1:$1,0)-MATCH($C$1,[2]quests!$1:$1,0)+1,FALSE)</f>
        <v>赤青DL6</v>
      </c>
      <c r="F5" s="142">
        <v>1</v>
      </c>
      <c r="G5" s="143" t="str">
        <f t="shared" ref="G5" si="3">C5&amp;"_"&amp;F5</f>
        <v>15030_1</v>
      </c>
      <c r="H5" s="144" t="str">
        <f ca="1">VLOOKUP($G5,OFFSET([2]stages!$A$1,0,0,COUNTA([2]stages!$A:$A),MATCH(H$1,[2]stages!$2:$2,0)-MATCH($G$1,[2]stages!$2:$2,0)+1),MATCH(H$1,[2]stages!$2:$2,0)-MATCH($G$1,[2]stages!$2:$2,0)+1,FALSE)</f>
        <v>30-1. 月夜に煌めく刃</v>
      </c>
      <c r="I5" s="142">
        <v>4</v>
      </c>
      <c r="J5" s="145">
        <v>60</v>
      </c>
      <c r="K5" s="165">
        <v>60</v>
      </c>
    </row>
    <row r="6" spans="1:11" ht="21" customHeight="1" x14ac:dyDescent="0.15">
      <c r="A6" s="147" t="str">
        <f t="shared" si="0"/>
        <v>15030_2-1</v>
      </c>
      <c r="B6" s="148" t="str">
        <f>IF(COUNTIF(enemy_habitats!$H:$H,A6),"OK","NG")</f>
        <v>OK</v>
      </c>
      <c r="C6" s="149">
        <v>15030</v>
      </c>
      <c r="D6" s="150" t="str">
        <f ca="1">VLOOKUP($C6,OFFSET([2]quests!$A$1,0,0,COUNTA([2]quests!$A:$A),MATCH(D$1,[2]quests!$1:$1,0)-MATCH($C$1,[2]quests!$1:$1,0)+1),MATCH(D$1,[2]quests!$1:$1,0)-MATCH($C$1,[2]quests!$1:$1,0)+1,FALSE)</f>
        <v>30. 月夜のオールドシティ</v>
      </c>
      <c r="E6" s="150" t="str">
        <f ca="1">VLOOKUP($C6,OFFSET([2]quests!$A$1,0,0,COUNTA([2]quests!$A:$A),MATCH(E$1,[2]quests!$1:$1,0)-MATCH($C$1,[2]quests!$1:$1,0)+1),MATCH(E$1,[2]quests!$1:$1,0)-MATCH($C$1,[2]quests!$1:$1,0)+1,FALSE)</f>
        <v>赤青DL6</v>
      </c>
      <c r="F6" s="151">
        <v>2</v>
      </c>
      <c r="G6" s="152" t="str">
        <f t="shared" si="1"/>
        <v>15030_2</v>
      </c>
      <c r="H6" s="153" t="str">
        <f ca="1">VLOOKUP($G6,OFFSET([2]stages!$A$1,0,0,COUNTA([2]stages!$A:$A),MATCH(H$1,[2]stages!$2:$2,0)-MATCH($G$1,[2]stages!$2:$2,0)+1),MATCH(H$1,[2]stages!$2:$2,0)-MATCH($G$1,[2]stages!$2:$2,0)+1,FALSE)</f>
        <v>30-2. 深夜のお茶会</v>
      </c>
      <c r="I6" s="151">
        <v>1</v>
      </c>
      <c r="J6" s="154">
        <v>45</v>
      </c>
      <c r="K6" s="155">
        <v>60</v>
      </c>
    </row>
    <row r="7" spans="1:11" ht="21" customHeight="1" x14ac:dyDescent="0.15">
      <c r="A7" s="156" t="str">
        <f t="shared" si="0"/>
        <v>15030_2-2</v>
      </c>
      <c r="B7" s="157" t="str">
        <f>IF(COUNTIF(enemy_habitats!$H:$H,A7),"OK","NG")</f>
        <v>OK</v>
      </c>
      <c r="C7" s="88">
        <v>15030</v>
      </c>
      <c r="D7" s="15" t="str">
        <f ca="1">VLOOKUP($C7,OFFSET([2]quests!$A$1,0,0,COUNTA([2]quests!$A:$A),MATCH(D$1,[2]quests!$1:$1,0)-MATCH($C$1,[2]quests!$1:$1,0)+1),MATCH(D$1,[2]quests!$1:$1,0)-MATCH($C$1,[2]quests!$1:$1,0)+1,FALSE)</f>
        <v>30. 月夜のオールドシティ</v>
      </c>
      <c r="E7" s="15" t="str">
        <f ca="1">VLOOKUP($C7,OFFSET([2]quests!$A$1,0,0,COUNTA([2]quests!$A:$A),MATCH(E$1,[2]quests!$1:$1,0)-MATCH($C$1,[2]quests!$1:$1,0)+1),MATCH(E$1,[2]quests!$1:$1,0)-MATCH($C$1,[2]quests!$1:$1,0)+1,FALSE)</f>
        <v>赤青DL6</v>
      </c>
      <c r="F7" s="89">
        <v>2</v>
      </c>
      <c r="G7" s="17" t="str">
        <f t="shared" si="1"/>
        <v>15030_2</v>
      </c>
      <c r="H7" s="12" t="str">
        <f ca="1">VLOOKUP($G7,OFFSET([2]stages!$A$1,0,0,COUNTA([2]stages!$A:$A),MATCH(H$1,[2]stages!$2:$2,0)-MATCH($G$1,[2]stages!$2:$2,0)+1),MATCH(H$1,[2]stages!$2:$2,0)-MATCH($G$1,[2]stages!$2:$2,0)+1,FALSE)</f>
        <v>30-2. 深夜のお茶会</v>
      </c>
      <c r="I7" s="89">
        <v>2</v>
      </c>
      <c r="J7" s="31">
        <v>45</v>
      </c>
      <c r="K7" s="158">
        <v>60</v>
      </c>
    </row>
    <row r="8" spans="1:11" ht="21" customHeight="1" x14ac:dyDescent="0.15">
      <c r="A8" s="156" t="str">
        <f t="shared" si="0"/>
        <v>15030_2-3</v>
      </c>
      <c r="B8" s="157" t="str">
        <f>IF(COUNTIF(enemy_habitats!$H:$H,A8),"OK","NG")</f>
        <v>OK</v>
      </c>
      <c r="C8" s="88">
        <v>15030</v>
      </c>
      <c r="D8" s="15" t="str">
        <f ca="1">VLOOKUP($C8,OFFSET([2]quests!$A$1,0,0,COUNTA([2]quests!$A:$A),MATCH(D$1,[2]quests!$1:$1,0)-MATCH($C$1,[2]quests!$1:$1,0)+1),MATCH(D$1,[2]quests!$1:$1,0)-MATCH($C$1,[2]quests!$1:$1,0)+1,FALSE)</f>
        <v>30. 月夜のオールドシティ</v>
      </c>
      <c r="E8" s="15" t="str">
        <f ca="1">VLOOKUP($C8,OFFSET([2]quests!$A$1,0,0,COUNTA([2]quests!$A:$A),MATCH(E$1,[2]quests!$1:$1,0)-MATCH($C$1,[2]quests!$1:$1,0)+1),MATCH(E$1,[2]quests!$1:$1,0)-MATCH($C$1,[2]quests!$1:$1,0)+1,FALSE)</f>
        <v>赤青DL6</v>
      </c>
      <c r="F8" s="89">
        <v>2</v>
      </c>
      <c r="G8" s="17" t="str">
        <f t="shared" si="1"/>
        <v>15030_2</v>
      </c>
      <c r="H8" s="12" t="str">
        <f ca="1">VLOOKUP($G8,OFFSET([2]stages!$A$1,0,0,COUNTA([2]stages!$A:$A),MATCH(H$1,[2]stages!$2:$2,0)-MATCH($G$1,[2]stages!$2:$2,0)+1),MATCH(H$1,[2]stages!$2:$2,0)-MATCH($G$1,[2]stages!$2:$2,0)+1,FALSE)</f>
        <v>30-2. 深夜のお茶会</v>
      </c>
      <c r="I8" s="89">
        <v>3</v>
      </c>
      <c r="J8" s="31">
        <v>45</v>
      </c>
      <c r="K8" s="158">
        <v>60</v>
      </c>
    </row>
    <row r="9" spans="1:11" ht="21" customHeight="1" thickBot="1" x14ac:dyDescent="0.2">
      <c r="A9" s="159" t="str">
        <f t="shared" ref="A9" si="4">G9&amp;"-"&amp;I9</f>
        <v>15030_2-4</v>
      </c>
      <c r="B9" s="112" t="str">
        <f>IF(COUNTIF(enemy_habitats!$H:$H,A9),"OK","NG")</f>
        <v>OK</v>
      </c>
      <c r="C9" s="127">
        <v>15030</v>
      </c>
      <c r="D9" s="160" t="str">
        <f ca="1">VLOOKUP($C9,OFFSET([2]quests!$A$1,0,0,COUNTA([2]quests!$A:$A),MATCH(D$1,[2]quests!$1:$1,0)-MATCH($C$1,[2]quests!$1:$1,0)+1),MATCH(D$1,[2]quests!$1:$1,0)-MATCH($C$1,[2]quests!$1:$1,0)+1,FALSE)</f>
        <v>30. 月夜のオールドシティ</v>
      </c>
      <c r="E9" s="160" t="str">
        <f ca="1">VLOOKUP($C9,OFFSET([2]quests!$A$1,0,0,COUNTA([2]quests!$A:$A),MATCH(E$1,[2]quests!$1:$1,0)-MATCH($C$1,[2]quests!$1:$1,0)+1),MATCH(E$1,[2]quests!$1:$1,0)-MATCH($C$1,[2]quests!$1:$1,0)+1,FALSE)</f>
        <v>赤青DL6</v>
      </c>
      <c r="F9" s="161">
        <v>2</v>
      </c>
      <c r="G9" s="162" t="str">
        <f t="shared" ref="G9" si="5">C9&amp;"_"&amp;F9</f>
        <v>15030_2</v>
      </c>
      <c r="H9" s="115" t="str">
        <f ca="1">VLOOKUP($G9,OFFSET([2]stages!$A$1,0,0,COUNTA([2]stages!$A:$A),MATCH(H$1,[2]stages!$2:$2,0)-MATCH($G$1,[2]stages!$2:$2,0)+1),MATCH(H$1,[2]stages!$2:$2,0)-MATCH($G$1,[2]stages!$2:$2,0)+1,FALSE)</f>
        <v>30-2. 深夜のお茶会</v>
      </c>
      <c r="I9" s="161">
        <v>4</v>
      </c>
      <c r="J9" s="118">
        <v>60</v>
      </c>
      <c r="K9" s="163">
        <v>60</v>
      </c>
    </row>
    <row r="10" spans="1:11" ht="21" customHeight="1" x14ac:dyDescent="0.15">
      <c r="A10" s="147" t="str">
        <f t="shared" si="0"/>
        <v>15030_3-1</v>
      </c>
      <c r="B10" s="148" t="str">
        <f>IF(COUNTIF(enemy_habitats!$H:$H,A10),"OK","NG")</f>
        <v>OK</v>
      </c>
      <c r="C10" s="149">
        <v>15030</v>
      </c>
      <c r="D10" s="150" t="str">
        <f ca="1">VLOOKUP($C10,OFFSET([2]quests!$A$1,0,0,COUNTA([2]quests!$A:$A),MATCH(D$1,[2]quests!$1:$1,0)-MATCH($C$1,[2]quests!$1:$1,0)+1),MATCH(D$1,[2]quests!$1:$1,0)-MATCH($C$1,[2]quests!$1:$1,0)+1,FALSE)</f>
        <v>30. 月夜のオールドシティ</v>
      </c>
      <c r="E10" s="150" t="str">
        <f ca="1">VLOOKUP($C10,OFFSET([2]quests!$A$1,0,0,COUNTA([2]quests!$A:$A),MATCH(E$1,[2]quests!$1:$1,0)-MATCH($C$1,[2]quests!$1:$1,0)+1),MATCH(E$1,[2]quests!$1:$1,0)-MATCH($C$1,[2]quests!$1:$1,0)+1,FALSE)</f>
        <v>赤青DL6</v>
      </c>
      <c r="F10" s="151">
        <v>3</v>
      </c>
      <c r="G10" s="152" t="str">
        <f t="shared" si="1"/>
        <v>15030_3</v>
      </c>
      <c r="H10" s="153" t="str">
        <f ca="1">VLOOKUP($G10,OFFSET([2]stages!$A$1,0,0,COUNTA([2]stages!$A:$A),MATCH(H$1,[2]stages!$2:$2,0)-MATCH($G$1,[2]stages!$2:$2,0)+1),MATCH(H$1,[2]stages!$2:$2,0)-MATCH($G$1,[2]stages!$2:$2,0)+1,FALSE)</f>
        <v>30-3. 月影の襲撃者</v>
      </c>
      <c r="I10" s="151">
        <v>1</v>
      </c>
      <c r="J10" s="154">
        <v>45</v>
      </c>
      <c r="K10" s="155">
        <v>60</v>
      </c>
    </row>
    <row r="11" spans="1:11" ht="21" customHeight="1" x14ac:dyDescent="0.15">
      <c r="A11" s="156" t="str">
        <f t="shared" si="0"/>
        <v>15030_3-2</v>
      </c>
      <c r="B11" s="157" t="str">
        <f>IF(COUNTIF(enemy_habitats!$H:$H,A11),"OK","NG")</f>
        <v>OK</v>
      </c>
      <c r="C11" s="88">
        <v>15030</v>
      </c>
      <c r="D11" s="15" t="str">
        <f ca="1">VLOOKUP($C11,OFFSET([2]quests!$A$1,0,0,COUNTA([2]quests!$A:$A),MATCH(D$1,[2]quests!$1:$1,0)-MATCH($C$1,[2]quests!$1:$1,0)+1),MATCH(D$1,[2]quests!$1:$1,0)-MATCH($C$1,[2]quests!$1:$1,0)+1,FALSE)</f>
        <v>30. 月夜のオールドシティ</v>
      </c>
      <c r="E11" s="15" t="str">
        <f ca="1">VLOOKUP($C11,OFFSET([2]quests!$A$1,0,0,COUNTA([2]quests!$A:$A),MATCH(E$1,[2]quests!$1:$1,0)-MATCH($C$1,[2]quests!$1:$1,0)+1),MATCH(E$1,[2]quests!$1:$1,0)-MATCH($C$1,[2]quests!$1:$1,0)+1,FALSE)</f>
        <v>赤青DL6</v>
      </c>
      <c r="F11" s="89">
        <v>3</v>
      </c>
      <c r="G11" s="17" t="str">
        <f t="shared" si="1"/>
        <v>15030_3</v>
      </c>
      <c r="H11" s="12" t="str">
        <f ca="1">VLOOKUP($G11,OFFSET([2]stages!$A$1,0,0,COUNTA([2]stages!$A:$A),MATCH(H$1,[2]stages!$2:$2,0)-MATCH($G$1,[2]stages!$2:$2,0)+1),MATCH(H$1,[2]stages!$2:$2,0)-MATCH($G$1,[2]stages!$2:$2,0)+1,FALSE)</f>
        <v>30-3. 月影の襲撃者</v>
      </c>
      <c r="I11" s="89">
        <v>2</v>
      </c>
      <c r="J11" s="31">
        <v>45</v>
      </c>
      <c r="K11" s="158">
        <v>60</v>
      </c>
    </row>
    <row r="12" spans="1:11" ht="21" customHeight="1" x14ac:dyDescent="0.15">
      <c r="A12" s="156" t="str">
        <f t="shared" si="0"/>
        <v>15030_3-3</v>
      </c>
      <c r="B12" s="157" t="str">
        <f>IF(COUNTIF(enemy_habitats!$H:$H,A12),"OK","NG")</f>
        <v>OK</v>
      </c>
      <c r="C12" s="88">
        <v>15030</v>
      </c>
      <c r="D12" s="15" t="str">
        <f ca="1">VLOOKUP($C12,OFFSET([2]quests!$A$1,0,0,COUNTA([2]quests!$A:$A),MATCH(D$1,[2]quests!$1:$1,0)-MATCH($C$1,[2]quests!$1:$1,0)+1),MATCH(D$1,[2]quests!$1:$1,0)-MATCH($C$1,[2]quests!$1:$1,0)+1,FALSE)</f>
        <v>30. 月夜のオールドシティ</v>
      </c>
      <c r="E12" s="15" t="str">
        <f ca="1">VLOOKUP($C12,OFFSET([2]quests!$A$1,0,0,COUNTA([2]quests!$A:$A),MATCH(E$1,[2]quests!$1:$1,0)-MATCH($C$1,[2]quests!$1:$1,0)+1),MATCH(E$1,[2]quests!$1:$1,0)-MATCH($C$1,[2]quests!$1:$1,0)+1,FALSE)</f>
        <v>赤青DL6</v>
      </c>
      <c r="F12" s="89">
        <v>3</v>
      </c>
      <c r="G12" s="17" t="str">
        <f t="shared" si="1"/>
        <v>15030_3</v>
      </c>
      <c r="H12" s="12" t="str">
        <f ca="1">VLOOKUP($G12,OFFSET([2]stages!$A$1,0,0,COUNTA([2]stages!$A:$A),MATCH(H$1,[2]stages!$2:$2,0)-MATCH($G$1,[2]stages!$2:$2,0)+1),MATCH(H$1,[2]stages!$2:$2,0)-MATCH($G$1,[2]stages!$2:$2,0)+1,FALSE)</f>
        <v>30-3. 月影の襲撃者</v>
      </c>
      <c r="I12" s="89">
        <v>3</v>
      </c>
      <c r="J12" s="31">
        <v>45</v>
      </c>
      <c r="K12" s="158">
        <v>60</v>
      </c>
    </row>
    <row r="13" spans="1:11" ht="21" customHeight="1" thickBot="1" x14ac:dyDescent="0.2">
      <c r="A13" s="159" t="str">
        <f t="shared" si="0"/>
        <v>15030_3-4</v>
      </c>
      <c r="B13" s="112" t="str">
        <f>IF(COUNTIF(enemy_habitats!$H:$H,A13),"OK","NG")</f>
        <v>OK</v>
      </c>
      <c r="C13" s="127">
        <v>15030</v>
      </c>
      <c r="D13" s="160" t="str">
        <f ca="1">VLOOKUP($C13,OFFSET([2]quests!$A$1,0,0,COUNTA([2]quests!$A:$A),MATCH(D$1,[2]quests!$1:$1,0)-MATCH($C$1,[2]quests!$1:$1,0)+1),MATCH(D$1,[2]quests!$1:$1,0)-MATCH($C$1,[2]quests!$1:$1,0)+1,FALSE)</f>
        <v>30. 月夜のオールドシティ</v>
      </c>
      <c r="E13" s="160" t="str">
        <f ca="1">VLOOKUP($C13,OFFSET([2]quests!$A$1,0,0,COUNTA([2]quests!$A:$A),MATCH(E$1,[2]quests!$1:$1,0)-MATCH($C$1,[2]quests!$1:$1,0)+1),MATCH(E$1,[2]quests!$1:$1,0)-MATCH($C$1,[2]quests!$1:$1,0)+1,FALSE)</f>
        <v>赤青DL6</v>
      </c>
      <c r="F13" s="161">
        <v>3</v>
      </c>
      <c r="G13" s="162" t="str">
        <f t="shared" si="1"/>
        <v>15030_3</v>
      </c>
      <c r="H13" s="115" t="str">
        <f ca="1">VLOOKUP($G13,OFFSET([2]stages!$A$1,0,0,COUNTA([2]stages!$A:$A),MATCH(H$1,[2]stages!$2:$2,0)-MATCH($G$1,[2]stages!$2:$2,0)+1),MATCH(H$1,[2]stages!$2:$2,0)-MATCH($G$1,[2]stages!$2:$2,0)+1,FALSE)</f>
        <v>30-3. 月影の襲撃者</v>
      </c>
      <c r="I13" s="161">
        <v>4</v>
      </c>
      <c r="J13" s="118">
        <v>45</v>
      </c>
      <c r="K13" s="163">
        <v>60</v>
      </c>
    </row>
    <row r="14" spans="1:11" ht="21" customHeight="1" x14ac:dyDescent="0.15">
      <c r="A14" s="156" t="str">
        <f t="shared" si="0"/>
        <v>15030_4-1</v>
      </c>
      <c r="B14" s="157" t="str">
        <f>IF(COUNTIF(enemy_habitats!$H:$H,A14),"OK","NG")</f>
        <v>OK</v>
      </c>
      <c r="C14" s="109">
        <v>15030</v>
      </c>
      <c r="D14" s="138" t="str">
        <f ca="1">VLOOKUP($C14,OFFSET([2]quests!$A$1,0,0,COUNTA([2]quests!$A:$A),MATCH(D$1,[2]quests!$1:$1,0)-MATCH($C$1,[2]quests!$1:$1,0)+1),MATCH(D$1,[2]quests!$1:$1,0)-MATCH($C$1,[2]quests!$1:$1,0)+1,FALSE)</f>
        <v>30. 月夜のオールドシティ</v>
      </c>
      <c r="E14" s="138" t="str">
        <f ca="1">VLOOKUP($C14,OFFSET([2]quests!$A$1,0,0,COUNTA([2]quests!$A:$A),MATCH(E$1,[2]quests!$1:$1,0)-MATCH($C$1,[2]quests!$1:$1,0)+1),MATCH(E$1,[2]quests!$1:$1,0)-MATCH($C$1,[2]quests!$1:$1,0)+1,FALSE)</f>
        <v>赤青DL6</v>
      </c>
      <c r="F14" s="132">
        <v>4</v>
      </c>
      <c r="G14" s="146" t="str">
        <f t="shared" si="1"/>
        <v>15030_4</v>
      </c>
      <c r="H14" s="102" t="str">
        <f ca="1">VLOOKUP($G14,OFFSET([2]stages!$A$1,0,0,COUNTA([2]stages!$A:$A),MATCH(H$1,[2]stages!$2:$2,0)-MATCH($G$1,[2]stages!$2:$2,0)+1),MATCH(H$1,[2]stages!$2:$2,0)-MATCH($G$1,[2]stages!$2:$2,0)+1,FALSE)</f>
        <v>30-4. 【1回のみ】ボーナスステージ</v>
      </c>
      <c r="I14" s="132">
        <v>1</v>
      </c>
      <c r="J14" s="103">
        <v>60</v>
      </c>
      <c r="K14" s="166">
        <v>60</v>
      </c>
    </row>
    <row r="15" spans="1:11" ht="21" customHeight="1" x14ac:dyDescent="0.15">
      <c r="A15" s="156" t="str">
        <f t="shared" si="0"/>
        <v>15030_4-2</v>
      </c>
      <c r="B15" s="157" t="str">
        <f>IF(COUNTIF(enemy_habitats!$H:$H,A15),"OK","NG")</f>
        <v>OK</v>
      </c>
      <c r="C15" s="88">
        <v>15030</v>
      </c>
      <c r="D15" s="15" t="str">
        <f ca="1">VLOOKUP($C15,OFFSET([2]quests!$A$1,0,0,COUNTA([2]quests!$A:$A),MATCH(D$1,[2]quests!$1:$1,0)-MATCH($C$1,[2]quests!$1:$1,0)+1),MATCH(D$1,[2]quests!$1:$1,0)-MATCH($C$1,[2]quests!$1:$1,0)+1,FALSE)</f>
        <v>30. 月夜のオールドシティ</v>
      </c>
      <c r="E15" s="15" t="str">
        <f ca="1">VLOOKUP($C15,OFFSET([2]quests!$A$1,0,0,COUNTA([2]quests!$A:$A),MATCH(E$1,[2]quests!$1:$1,0)-MATCH($C$1,[2]quests!$1:$1,0)+1),MATCH(E$1,[2]quests!$1:$1,0)-MATCH($C$1,[2]quests!$1:$1,0)+1,FALSE)</f>
        <v>赤青DL6</v>
      </c>
      <c r="F15" s="89">
        <v>4</v>
      </c>
      <c r="G15" s="17" t="str">
        <f t="shared" si="1"/>
        <v>15030_4</v>
      </c>
      <c r="H15" s="12" t="str">
        <f ca="1">VLOOKUP($G15,OFFSET([2]stages!$A$1,0,0,COUNTA([2]stages!$A:$A),MATCH(H$1,[2]stages!$2:$2,0)-MATCH($G$1,[2]stages!$2:$2,0)+1),MATCH(H$1,[2]stages!$2:$2,0)-MATCH($G$1,[2]stages!$2:$2,0)+1,FALSE)</f>
        <v>30-4. 【1回のみ】ボーナスステージ</v>
      </c>
      <c r="I15" s="89">
        <v>2</v>
      </c>
      <c r="J15" s="31">
        <v>60</v>
      </c>
      <c r="K15" s="158">
        <v>60</v>
      </c>
    </row>
    <row r="16" spans="1:11" ht="21" customHeight="1" x14ac:dyDescent="0.15">
      <c r="A16" s="156" t="str">
        <f t="shared" si="0"/>
        <v>15030_4-3</v>
      </c>
      <c r="B16" s="157" t="str">
        <f>IF(COUNTIF(enemy_habitats!$H:$H,A16),"OK","NG")</f>
        <v>OK</v>
      </c>
      <c r="C16" s="88">
        <v>15030</v>
      </c>
      <c r="D16" s="15" t="str">
        <f ca="1">VLOOKUP($C16,OFFSET([2]quests!$A$1,0,0,COUNTA([2]quests!$A:$A),MATCH(D$1,[2]quests!$1:$1,0)-MATCH($C$1,[2]quests!$1:$1,0)+1),MATCH(D$1,[2]quests!$1:$1,0)-MATCH($C$1,[2]quests!$1:$1,0)+1,FALSE)</f>
        <v>30. 月夜のオールドシティ</v>
      </c>
      <c r="E16" s="15" t="str">
        <f ca="1">VLOOKUP($C16,OFFSET([2]quests!$A$1,0,0,COUNTA([2]quests!$A:$A),MATCH(E$1,[2]quests!$1:$1,0)-MATCH($C$1,[2]quests!$1:$1,0)+1),MATCH(E$1,[2]quests!$1:$1,0)-MATCH($C$1,[2]quests!$1:$1,0)+1,FALSE)</f>
        <v>赤青DL6</v>
      </c>
      <c r="F16" s="89">
        <v>4</v>
      </c>
      <c r="G16" s="17" t="str">
        <f t="shared" si="1"/>
        <v>15030_4</v>
      </c>
      <c r="H16" s="12" t="str">
        <f ca="1">VLOOKUP($G16,OFFSET([2]stages!$A$1,0,0,COUNTA([2]stages!$A:$A),MATCH(H$1,[2]stages!$2:$2,0)-MATCH($G$1,[2]stages!$2:$2,0)+1),MATCH(H$1,[2]stages!$2:$2,0)-MATCH($G$1,[2]stages!$2:$2,0)+1,FALSE)</f>
        <v>30-4. 【1回のみ】ボーナスステージ</v>
      </c>
      <c r="I16" s="89">
        <v>3</v>
      </c>
      <c r="J16" s="31">
        <v>60</v>
      </c>
      <c r="K16" s="158">
        <v>60</v>
      </c>
    </row>
    <row r="17" spans="1:11" ht="21" customHeight="1" x14ac:dyDescent="0.15">
      <c r="A17" s="156" t="str">
        <f t="shared" si="0"/>
        <v>15030_4-4</v>
      </c>
      <c r="B17" s="157" t="str">
        <f>IF(COUNTIF(enemy_habitats!$H:$H,A17),"OK","NG")</f>
        <v>OK</v>
      </c>
      <c r="C17" s="88">
        <v>15030</v>
      </c>
      <c r="D17" s="15" t="str">
        <f ca="1">VLOOKUP($C17,OFFSET([2]quests!$A$1,0,0,COUNTA([2]quests!$A:$A),MATCH(D$1,[2]quests!$1:$1,0)-MATCH($C$1,[2]quests!$1:$1,0)+1),MATCH(D$1,[2]quests!$1:$1,0)-MATCH($C$1,[2]quests!$1:$1,0)+1,FALSE)</f>
        <v>30. 月夜のオールドシティ</v>
      </c>
      <c r="E17" s="15" t="str">
        <f ca="1">VLOOKUP($C17,OFFSET([2]quests!$A$1,0,0,COUNTA([2]quests!$A:$A),MATCH(E$1,[2]quests!$1:$1,0)-MATCH($C$1,[2]quests!$1:$1,0)+1),MATCH(E$1,[2]quests!$1:$1,0)-MATCH($C$1,[2]quests!$1:$1,0)+1,FALSE)</f>
        <v>赤青DL6</v>
      </c>
      <c r="F17" s="89">
        <v>4</v>
      </c>
      <c r="G17" s="17" t="str">
        <f t="shared" si="1"/>
        <v>15030_4</v>
      </c>
      <c r="H17" s="12" t="str">
        <f ca="1">VLOOKUP($G17,OFFSET([2]stages!$A$1,0,0,COUNTA([2]stages!$A:$A),MATCH(H$1,[2]stages!$2:$2,0)-MATCH($G$1,[2]stages!$2:$2,0)+1),MATCH(H$1,[2]stages!$2:$2,0)-MATCH($G$1,[2]stages!$2:$2,0)+1,FALSE)</f>
        <v>30-4. 【1回のみ】ボーナスステージ</v>
      </c>
      <c r="I17" s="89">
        <v>4</v>
      </c>
      <c r="J17" s="31">
        <v>60</v>
      </c>
      <c r="K17" s="158">
        <v>60</v>
      </c>
    </row>
    <row r="18" spans="1:11" ht="21" customHeight="1" thickBot="1" x14ac:dyDescent="0.2">
      <c r="A18" s="159" t="str">
        <f t="shared" si="0"/>
        <v>15030_4-5</v>
      </c>
      <c r="B18" s="112" t="str">
        <f>IF(COUNTIF(enemy_habitats!$H:$H,A18),"OK","NG")</f>
        <v>OK</v>
      </c>
      <c r="C18" s="127">
        <v>15030</v>
      </c>
      <c r="D18" s="160" t="str">
        <f ca="1">VLOOKUP($C18,OFFSET([2]quests!$A$1,0,0,COUNTA([2]quests!$A:$A),MATCH(D$1,[2]quests!$1:$1,0)-MATCH($C$1,[2]quests!$1:$1,0)+1),MATCH(D$1,[2]quests!$1:$1,0)-MATCH($C$1,[2]quests!$1:$1,0)+1,FALSE)</f>
        <v>30. 月夜のオールドシティ</v>
      </c>
      <c r="E18" s="160" t="str">
        <f ca="1">VLOOKUP($C18,OFFSET([2]quests!$A$1,0,0,COUNTA([2]quests!$A:$A),MATCH(E$1,[2]quests!$1:$1,0)-MATCH($C$1,[2]quests!$1:$1,0)+1),MATCH(E$1,[2]quests!$1:$1,0)-MATCH($C$1,[2]quests!$1:$1,0)+1,FALSE)</f>
        <v>赤青DL6</v>
      </c>
      <c r="F18" s="161">
        <v>4</v>
      </c>
      <c r="G18" s="162" t="str">
        <f t="shared" si="1"/>
        <v>15030_4</v>
      </c>
      <c r="H18" s="115" t="str">
        <f ca="1">VLOOKUP($G18,OFFSET([2]stages!$A$1,0,0,COUNTA([2]stages!$A:$A),MATCH(H$1,[2]stages!$2:$2,0)-MATCH($G$1,[2]stages!$2:$2,0)+1),MATCH(H$1,[2]stages!$2:$2,0)-MATCH($G$1,[2]stages!$2:$2,0)+1,FALSE)</f>
        <v>30-4. 【1回のみ】ボーナスステージ</v>
      </c>
      <c r="I18" s="161">
        <v>5</v>
      </c>
      <c r="J18" s="118">
        <v>60</v>
      </c>
      <c r="K18" s="163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78"/>
  <sheetViews>
    <sheetView showGridLines="0" tabSelected="1" zoomScale="85" zoomScaleNormal="85" zoomScalePageLayoutView="85" workbookViewId="0">
      <pane xSplit="17" ySplit="1" topLeftCell="X65" activePane="bottomRight" state="frozen"/>
      <selection pane="topRight" activeCell="N1" sqref="N1"/>
      <selection pane="bottomLeft" activeCell="A2" sqref="A2"/>
      <selection pane="bottomRight" activeCell="AF9" sqref="AF9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2" bestFit="1" customWidth="1"/>
    <col min="3" max="3" width="10.6640625" style="2" bestFit="1" customWidth="1" collapsed="1"/>
    <col min="4" max="4" width="13" style="11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8" bestFit="1" customWidth="1"/>
    <col min="13" max="13" width="24.6640625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25.5" style="2" customWidth="1"/>
    <col min="23" max="23" width="12.1640625" style="2" customWidth="1" outlineLevel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8.83203125" style="10" bestFit="1" customWidth="1" outlineLevel="1"/>
    <col min="30" max="30" width="8" style="11" bestFit="1" customWidth="1" outlineLevel="1"/>
    <col min="31" max="31" width="12" style="11" bestFit="1" customWidth="1" outlineLevel="1"/>
    <col min="32" max="32" width="15" style="9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40" s="28" customFormat="1" ht="21" customHeight="1" thickBot="1" x14ac:dyDescent="0.2">
      <c r="A1" s="21" t="s">
        <v>29</v>
      </c>
      <c r="B1" s="22" t="s">
        <v>0</v>
      </c>
      <c r="C1" s="22" t="s">
        <v>1</v>
      </c>
      <c r="D1" s="23" t="s">
        <v>28</v>
      </c>
      <c r="E1" s="24" t="s">
        <v>20</v>
      </c>
      <c r="F1" s="24" t="s">
        <v>20</v>
      </c>
      <c r="G1" s="27" t="s">
        <v>19</v>
      </c>
      <c r="H1" s="231" t="s">
        <v>35</v>
      </c>
      <c r="I1" s="231" t="s">
        <v>14</v>
      </c>
      <c r="J1" s="231" t="s">
        <v>15</v>
      </c>
      <c r="K1" s="232" t="s">
        <v>53</v>
      </c>
      <c r="L1" s="232" t="s">
        <v>2</v>
      </c>
      <c r="M1" s="233" t="s">
        <v>21</v>
      </c>
      <c r="N1" s="231" t="s">
        <v>24</v>
      </c>
      <c r="O1" s="231" t="s">
        <v>23</v>
      </c>
      <c r="P1" s="234" t="s">
        <v>26</v>
      </c>
      <c r="Q1" s="231" t="s">
        <v>25</v>
      </c>
      <c r="R1" s="27" t="s">
        <v>3</v>
      </c>
      <c r="S1" s="27" t="s">
        <v>48</v>
      </c>
      <c r="T1" s="27" t="s">
        <v>50</v>
      </c>
      <c r="U1" s="27" t="s">
        <v>52</v>
      </c>
      <c r="V1" s="231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27" t="s">
        <v>9</v>
      </c>
      <c r="AC1" s="235" t="s">
        <v>16</v>
      </c>
      <c r="AD1" s="235" t="s">
        <v>17</v>
      </c>
      <c r="AE1" s="235" t="s">
        <v>27</v>
      </c>
      <c r="AF1" s="27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232" t="s">
        <v>178</v>
      </c>
    </row>
    <row r="2" spans="1:40" ht="21" customHeight="1" x14ac:dyDescent="0.15">
      <c r="A2" s="13" t="str">
        <f t="shared" ref="A2:A16" ca="1" si="0">B2&amp;"_"&amp;C2&amp;"-"&amp;G2&amp;"/"&amp;L2&amp;"&lt;lv"&amp;R2&amp;"&gt;s"&amp;AA2</f>
        <v>15030_1-1/370&lt;lv58&gt;s2</v>
      </c>
      <c r="B2" s="90">
        <v>15030</v>
      </c>
      <c r="C2" s="91">
        <v>1</v>
      </c>
      <c r="D2" s="1" t="str">
        <f t="shared" ref="D2:D16" si="1">B2&amp;"_"&amp;C2</f>
        <v>15030_1</v>
      </c>
      <c r="E2" s="3" t="str">
        <f ca="1">VLOOKUP($B2,OFFSET([2]quests!$A$1,0,0,COUNTA([2]quests!$A:$A),MATCH(E$1,[2]quests!$1:$1,0)-MATCH($B$1,[2]quests!$1:$1,0)+1),MATCH(E$1,[2]quests!$1:$1,0)-MATCH($B$1,[2]quests!$1:$1,0)+1,FALSE)</f>
        <v>30. 月夜のオールドシティ</v>
      </c>
      <c r="F2" s="14" t="str">
        <f ca="1">VLOOKUP($D2,OFFSET([2]stages!$A$1,0,0,COUNTA([2]stages!$A:$A),MATCH(F$1,[2]stages!$2:$2,0)-MATCH($D$1,[2]stages!$2:$2,0)+1),MATCH(F$1,[2]stages!$2:$2,0)-MATCH($D$1,[2]stages!$2:$2,0)+1,FALSE)</f>
        <v>30-1. 月夜に煌めく刃</v>
      </c>
      <c r="G2" s="181">
        <v>1</v>
      </c>
      <c r="H2" s="153" t="str">
        <f t="shared" ref="H2:H16" si="2">B2&amp;"_"&amp;C2&amp;"-"&amp;G2</f>
        <v>15030_1-1</v>
      </c>
      <c r="I2" s="182">
        <f ca="1">VLOOKUP($H2,OFFSET(floors!$A$1,0,0,COUNTA(floors!$A:$A),MATCH(I$1,floors!$1:$1,0)-MATCH($H$1,floors!$1:$1,0)+1),MATCH(I$1,floors!$1:$1,0)-MATCH($H$1,floors!$1:$1,0)+1,FALSE)</f>
        <v>45</v>
      </c>
      <c r="J2" s="182">
        <f ca="1">VLOOKUP($H2,OFFSET(floors!$A$1,0,0,COUNTA(floors!$A:$A),MATCH(J$1,floors!$1:$1,0)-MATCH($H$1,floors!$1:$1,0)+1),MATCH(J$1,floors!$1:$1,0)-MATCH($H$1,floors!$1:$1,0)+1,FALSE)</f>
        <v>60</v>
      </c>
      <c r="K2" s="154" t="s">
        <v>210</v>
      </c>
      <c r="L2" s="183">
        <v>370</v>
      </c>
      <c r="M2" s="184" t="str">
        <f ca="1">VLOOKUP($L2,OFFSET([3]enemies!$A$1,0,0,COUNTA([3]enemies!$A:$A),MATCH(M$1,[3]enemies!$1:$1,0)-MATCH($L$1,[3]enemies!$1:$1,0)+1),MATCH(M$1,[3]enemies!$1:$1,0)-MATCH($L$1,[3]enemies!$1:$1,0)+1,FALSE)</f>
        <v>タイチ</v>
      </c>
      <c r="N2" s="184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84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84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84">
        <f ca="1">VLOOKUP($L2,OFFSET([3]enemies!$A$1,0,0,COUNTA([3]enemies!$A:$A),MATCH(Q$1,[3]enemies!$1:$1,0)-MATCH($L$1,[3]enemies!$1:$1,0)+1),MATCH(Q$1,[3]enemies!$1:$1,0)-MATCH($L$1,[3]enemies!$1:$1,0)+1,FALSE)</f>
        <v>15</v>
      </c>
      <c r="R2" s="185">
        <v>58</v>
      </c>
      <c r="S2" s="186">
        <v>1.2</v>
      </c>
      <c r="T2" s="186">
        <v>0.8</v>
      </c>
      <c r="U2" s="185">
        <v>0</v>
      </c>
      <c r="V2" s="223" t="str">
        <f ca="1">VLOOKUP($W2,OFFSET(enemy_skill_sets!$B$1,0,0,COUNTA(enemy_skill_sets!$B:$B),MATCH(M$1,enemy_skill_sets!$1:$1,0)-MATCH($W$1,enemy_skill_sets!$1:$1,0)+2),MATCH(M$1,enemy_skill_sets!$1:$1,0)-MATCH($W$1,enemy_skill_sets!$1:$1,0)+2,FALSE)</f>
        <v>赤パネルを吸収して全体攻撃</v>
      </c>
      <c r="W2" s="223">
        <v>15030001</v>
      </c>
      <c r="X2" s="188">
        <v>1</v>
      </c>
      <c r="Y2" s="188">
        <v>100</v>
      </c>
      <c r="Z2" s="188">
        <v>1</v>
      </c>
      <c r="AA2" s="184">
        <f ca="1">VLOOKUP($L2,OFFSET([3]enemies!$A$1,0,0,COUNTA([3]enemies!$A:$A),MATCH(AA$1,[3]enemies!$1:$1,0)-MATCH($L$1,[3]enemies!$1:$1,0)+1),MATCH(AA$1,[3]enemies!$1:$1,0)-MATCH($L$1,[3]enemies!$1:$1,0)+1,FALSE)</f>
        <v>2</v>
      </c>
      <c r="AB2" s="189">
        <f t="shared" ref="AB2:AB16" si="3">L2</f>
        <v>370</v>
      </c>
      <c r="AC2" s="182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2" s="182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182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149">
        <v>1</v>
      </c>
      <c r="AG2" s="189">
        <f t="shared" ref="AG2:AG16" ca="1" si="4">AD2</f>
        <v>2</v>
      </c>
      <c r="AH2" s="190">
        <v>20</v>
      </c>
      <c r="AI2" s="149">
        <v>0</v>
      </c>
      <c r="AJ2" s="149">
        <v>0</v>
      </c>
      <c r="AK2" s="149">
        <v>0</v>
      </c>
      <c r="AL2" s="149">
        <v>0</v>
      </c>
      <c r="AM2" s="149">
        <v>1</v>
      </c>
      <c r="AN2" s="191">
        <v>1</v>
      </c>
    </row>
    <row r="3" spans="1:40" ht="21" customHeight="1" x14ac:dyDescent="0.15">
      <c r="A3" s="13" t="str">
        <f t="shared" ca="1" si="0"/>
        <v>15030_1-1/374&lt;lv58&gt;s1</v>
      </c>
      <c r="B3" s="90">
        <v>15030</v>
      </c>
      <c r="C3" s="91">
        <v>1</v>
      </c>
      <c r="D3" s="1" t="str">
        <f t="shared" si="1"/>
        <v>15030_1</v>
      </c>
      <c r="E3" s="3" t="str">
        <f ca="1">VLOOKUP($B3,OFFSET([2]quests!$A$1,0,0,COUNTA([2]quests!$A:$A),MATCH(E$1,[2]quests!$1:$1,0)-MATCH($B$1,[2]quests!$1:$1,0)+1),MATCH(E$1,[2]quests!$1:$1,0)-MATCH($B$1,[2]quests!$1:$1,0)+1,FALSE)</f>
        <v>30. 月夜のオールドシティ</v>
      </c>
      <c r="F3" s="14" t="str">
        <f ca="1">VLOOKUP($D3,OFFSET([2]stages!$A$1,0,0,COUNTA([2]stages!$A:$A),MATCH(F$1,[2]stages!$2:$2,0)-MATCH($D$1,[2]stages!$2:$2,0)+1),MATCH(F$1,[2]stages!$2:$2,0)-MATCH($D$1,[2]stages!$2:$2,0)+1,FALSE)</f>
        <v>30-1. 月夜に煌めく刃</v>
      </c>
      <c r="G3" s="192">
        <v>1</v>
      </c>
      <c r="H3" s="12" t="str">
        <f t="shared" si="2"/>
        <v>15030_1-1</v>
      </c>
      <c r="I3" s="3">
        <f ca="1">VLOOKUP($H3,OFFSET(floors!$A$1,0,0,COUNTA(floors!$A:$A),MATCH(I$1,floors!$1:$1,0)-MATCH($H$1,floors!$1:$1,0)+1),MATCH(I$1,floors!$1:$1,0)-MATCH($H$1,floors!$1:$1,0)+1,FALSE)</f>
        <v>45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31" t="s">
        <v>87</v>
      </c>
      <c r="L3" s="95">
        <v>374</v>
      </c>
      <c r="M3" s="14" t="str">
        <f ca="1">VLOOKUP($L3,OFFSET([3]enemies!$A$1,0,0,COUNTA([3]enemies!$A:$A),MATCH(M$1,[3]enemies!$1:$1,0)-MATCH($L$1,[3]enemies!$1:$1,0)+1),MATCH(M$1,[3]enemies!$1:$1,0)-MATCH($L$1,[3]enemies!$1:$1,0)+1,FALSE)</f>
        <v>影丸</v>
      </c>
      <c r="N3" s="14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4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4">
        <f ca="1">VLOOKUP($L3,OFFSET([3]enemies!$A$1,0,0,COUNTA([3]enemies!$A:$A),MATCH(Q$1,[3]enemies!$1:$1,0)-MATCH($L$1,[3]enemies!$1:$1,0)+1),MATCH(Q$1,[3]enemies!$1:$1,0)-MATCH($L$1,[3]enemies!$1:$1,0)+1,FALSE)</f>
        <v>15</v>
      </c>
      <c r="R3" s="4">
        <v>58</v>
      </c>
      <c r="S3" s="19">
        <v>1.2</v>
      </c>
      <c r="T3" s="19">
        <v>0.8</v>
      </c>
      <c r="U3" s="4">
        <v>0</v>
      </c>
      <c r="V3" s="97" t="str">
        <f ca="1">VLOOKUP($W3,OFFSET(enemy_skill_sets!$B$1,0,0,COUNTA(enemy_skill_sets!$B:$B),MATCH(M$1,enemy_skill_sets!$1:$1,0)-MATCH($W$1,enemy_skill_sets!$1:$1,0)+2),MATCH(M$1,enemy_skill_sets!$1:$1,0)-MATCH($W$1,enemy_skill_sets!$1:$1,0)+2,FALSE)</f>
        <v>ウィルス状態のユニットに大ダメージの全体攻撃</v>
      </c>
      <c r="W3" s="97">
        <v>15030002</v>
      </c>
      <c r="X3" s="5">
        <v>0</v>
      </c>
      <c r="Y3" s="5">
        <v>100</v>
      </c>
      <c r="Z3" s="5">
        <v>2</v>
      </c>
      <c r="AA3" s="14">
        <f ca="1">VLOOKUP($L3,OFFSET([3]enemies!$A$1,0,0,COUNTA([3]enemies!$A:$A),MATCH(AA$1,[3]enemies!$1:$1,0)-MATCH($L$1,[3]enemies!$1:$1,0)+1),MATCH(AA$1,[3]enemies!$1:$1,0)-MATCH($L$1,[3]enemies!$1:$1,0)+1,FALSE)</f>
        <v>1</v>
      </c>
      <c r="AB3" s="170">
        <f t="shared" si="3"/>
        <v>374</v>
      </c>
      <c r="AC3" s="3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影丸</v>
      </c>
      <c r="AD3" s="3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3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88">
        <v>1</v>
      </c>
      <c r="AG3" s="170">
        <f t="shared" ca="1" si="4"/>
        <v>2</v>
      </c>
      <c r="AH3" s="7">
        <v>20</v>
      </c>
      <c r="AI3" s="88">
        <v>0</v>
      </c>
      <c r="AJ3" s="88">
        <v>0</v>
      </c>
      <c r="AK3" s="88">
        <v>0</v>
      </c>
      <c r="AL3" s="88">
        <v>0</v>
      </c>
      <c r="AM3" s="88">
        <v>1</v>
      </c>
      <c r="AN3" s="193">
        <v>1</v>
      </c>
    </row>
    <row r="4" spans="1:40" ht="21" customHeight="1" x14ac:dyDescent="0.15">
      <c r="A4" s="13" t="str">
        <f t="shared" ref="A4" ca="1" si="5">B4&amp;"_"&amp;C4&amp;"-"&amp;G4&amp;"/"&amp;L4&amp;"&lt;lv"&amp;R4&amp;"&gt;s"&amp;AA4</f>
        <v>15030_1-1/360&lt;lv58&gt;s3</v>
      </c>
      <c r="B4" s="90">
        <v>15030</v>
      </c>
      <c r="C4" s="91">
        <v>1</v>
      </c>
      <c r="D4" s="1" t="str">
        <f t="shared" ref="D4" si="6">B4&amp;"_"&amp;C4</f>
        <v>15030_1</v>
      </c>
      <c r="E4" s="3" t="str">
        <f ca="1">VLOOKUP($B4,OFFSET([2]quests!$A$1,0,0,COUNTA([2]quests!$A:$A),MATCH(E$1,[2]quests!$1:$1,0)-MATCH($B$1,[2]quests!$1:$1,0)+1),MATCH(E$1,[2]quests!$1:$1,0)-MATCH($B$1,[2]quests!$1:$1,0)+1,FALSE)</f>
        <v>30. 月夜のオールドシティ</v>
      </c>
      <c r="F4" s="14" t="str">
        <f ca="1">VLOOKUP($D4,OFFSET([2]stages!$A$1,0,0,COUNTA([2]stages!$A:$A),MATCH(F$1,[2]stages!$2:$2,0)-MATCH($D$1,[2]stages!$2:$2,0)+1),MATCH(F$1,[2]stages!$2:$2,0)-MATCH($D$1,[2]stages!$2:$2,0)+1,FALSE)</f>
        <v>30-1. 月夜に煌めく刃</v>
      </c>
      <c r="G4" s="192">
        <v>1</v>
      </c>
      <c r="H4" s="12" t="str">
        <f t="shared" ref="H4" si="7">B4&amp;"_"&amp;C4&amp;"-"&amp;G4</f>
        <v>15030_1-1</v>
      </c>
      <c r="I4" s="3">
        <f ca="1">VLOOKUP($H4,OFFSET(floors!$A$1,0,0,COUNTA(floors!$A:$A),MATCH(I$1,floors!$1:$1,0)-MATCH($H$1,floors!$1:$1,0)+1),MATCH(I$1,floors!$1:$1,0)-MATCH($H$1,floors!$1:$1,0)+1,FALSE)</f>
        <v>45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1" t="s">
        <v>87</v>
      </c>
      <c r="L4" s="95">
        <v>360</v>
      </c>
      <c r="M4" s="14" t="str">
        <f ca="1">VLOOKUP($L4,OFFSET([3]enemies!$A$1,0,0,COUNTA([3]enemies!$A:$A),MATCH(M$1,[3]enemies!$1:$1,0)-MATCH($L$1,[3]enemies!$1:$1,0)+1),MATCH(M$1,[3]enemies!$1:$1,0)-MATCH($L$1,[3]enemies!$1:$1,0)+1,FALSE)</f>
        <v>ガンテツ</v>
      </c>
      <c r="N4" s="14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4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4">
        <f ca="1">VLOOKUP($L4,OFFSET([3]enemies!$A$1,0,0,COUNTA([3]enemies!$A:$A),MATCH(Q$1,[3]enemies!$1:$1,0)-MATCH($L$1,[3]enemies!$1:$1,0)+1),MATCH(Q$1,[3]enemies!$1:$1,0)-MATCH($L$1,[3]enemies!$1:$1,0)+1,FALSE)</f>
        <v>15</v>
      </c>
      <c r="R4" s="4">
        <v>58</v>
      </c>
      <c r="S4" s="19">
        <v>1.2</v>
      </c>
      <c r="T4" s="19">
        <v>0.8</v>
      </c>
      <c r="U4" s="4">
        <v>0</v>
      </c>
      <c r="V4" s="98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3">
        <f ca="1">VLOOKUP($L4,OFFSET([3]enemies!$A$1,0,0,COUNTA([3]enemies!$A:$A),MATCH(W$1,[3]enemies!$1:$1,0)-MATCH($L$1,[3]enemies!$1:$1,0)+1),MATCH(W$1,[3]enemies!$1:$1,0)-MATCH($L$1,[3]enemies!$1:$1,0)+1,FALSE)</f>
        <v>0</v>
      </c>
      <c r="X4" s="5">
        <v>0</v>
      </c>
      <c r="Y4" s="5">
        <v>100</v>
      </c>
      <c r="Z4" s="5">
        <v>0</v>
      </c>
      <c r="AA4" s="14">
        <f ca="1">VLOOKUP($L4,OFFSET([3]enemies!$A$1,0,0,COUNTA([3]enemies!$A:$A),MATCH(AA$1,[3]enemies!$1:$1,0)-MATCH($L$1,[3]enemies!$1:$1,0)+1),MATCH(AA$1,[3]enemies!$1:$1,0)-MATCH($L$1,[3]enemies!$1:$1,0)+1,FALSE)</f>
        <v>3</v>
      </c>
      <c r="AB4" s="170">
        <f t="shared" ref="AB4" si="8">L4</f>
        <v>360</v>
      </c>
      <c r="AC4" s="3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4" s="3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3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88">
        <v>1</v>
      </c>
      <c r="AG4" s="170">
        <f t="shared" ref="AG4" ca="1" si="9">AD4</f>
        <v>2</v>
      </c>
      <c r="AH4" s="7">
        <v>20</v>
      </c>
      <c r="AI4" s="88">
        <v>0</v>
      </c>
      <c r="AJ4" s="88">
        <v>0</v>
      </c>
      <c r="AK4" s="88">
        <v>0</v>
      </c>
      <c r="AL4" s="88">
        <v>0</v>
      </c>
      <c r="AM4" s="88">
        <v>1</v>
      </c>
      <c r="AN4" s="193">
        <v>1</v>
      </c>
    </row>
    <row r="5" spans="1:40" ht="21" customHeight="1" x14ac:dyDescent="0.15">
      <c r="A5" s="13" t="str">
        <f t="shared" ref="A5:A6" ca="1" si="10">B5&amp;"_"&amp;C5&amp;"-"&amp;G5&amp;"/"&amp;L5&amp;"&lt;lv"&amp;R5&amp;"&gt;s"&amp;AA5</f>
        <v>15030_1-1/364&lt;lv58&gt;s3</v>
      </c>
      <c r="B5" s="90">
        <v>15030</v>
      </c>
      <c r="C5" s="91">
        <v>1</v>
      </c>
      <c r="D5" s="1" t="str">
        <f t="shared" ref="D5:D6" si="11">B5&amp;"_"&amp;C5</f>
        <v>15030_1</v>
      </c>
      <c r="E5" s="3" t="str">
        <f ca="1">VLOOKUP($B5,OFFSET([2]quests!$A$1,0,0,COUNTA([2]quests!$A:$A),MATCH(E$1,[2]quests!$1:$1,0)-MATCH($B$1,[2]quests!$1:$1,0)+1),MATCH(E$1,[2]quests!$1:$1,0)-MATCH($B$1,[2]quests!$1:$1,0)+1,FALSE)</f>
        <v>30. 月夜のオールドシティ</v>
      </c>
      <c r="F5" s="14" t="str">
        <f ca="1">VLOOKUP($D5,OFFSET([2]stages!$A$1,0,0,COUNTA([2]stages!$A:$A),MATCH(F$1,[2]stages!$2:$2,0)-MATCH($D$1,[2]stages!$2:$2,0)+1),MATCH(F$1,[2]stages!$2:$2,0)-MATCH($D$1,[2]stages!$2:$2,0)+1,FALSE)</f>
        <v>30-1. 月夜に煌めく刃</v>
      </c>
      <c r="G5" s="192">
        <v>1</v>
      </c>
      <c r="H5" s="12" t="str">
        <f t="shared" ref="H5:H6" si="12">B5&amp;"_"&amp;C5&amp;"-"&amp;G5</f>
        <v>15030_1-1</v>
      </c>
      <c r="I5" s="3">
        <f ca="1">VLOOKUP($H5,OFFSET(floors!$A$1,0,0,COUNTA(floors!$A:$A),MATCH(I$1,floors!$1:$1,0)-MATCH($H$1,floors!$1:$1,0)+1),MATCH(I$1,floors!$1:$1,0)-MATCH($H$1,floors!$1:$1,0)+1,FALSE)</f>
        <v>45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31" t="s">
        <v>87</v>
      </c>
      <c r="L5" s="95">
        <v>364</v>
      </c>
      <c r="M5" s="14" t="str">
        <f ca="1">VLOOKUP($L5,OFFSET([3]enemies!$A$1,0,0,COUNTA([3]enemies!$A:$A),MATCH(M$1,[3]enemies!$1:$1,0)-MATCH($L$1,[3]enemies!$1:$1,0)+1),MATCH(M$1,[3]enemies!$1:$1,0)-MATCH($L$1,[3]enemies!$1:$1,0)+1,FALSE)</f>
        <v>ノエル</v>
      </c>
      <c r="N5" s="14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4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4">
        <f ca="1">VLOOKUP($L5,OFFSET([3]enemies!$A$1,0,0,COUNTA([3]enemies!$A:$A),MATCH(Q$1,[3]enemies!$1:$1,0)-MATCH($L$1,[3]enemies!$1:$1,0)+1),MATCH(Q$1,[3]enemies!$1:$1,0)-MATCH($L$1,[3]enemies!$1:$1,0)+1,FALSE)</f>
        <v>15</v>
      </c>
      <c r="R5" s="4">
        <v>58</v>
      </c>
      <c r="S5" s="19">
        <v>1.2</v>
      </c>
      <c r="T5" s="19">
        <v>0.8</v>
      </c>
      <c r="U5" s="4">
        <v>0</v>
      </c>
      <c r="V5" s="98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3">
        <f ca="1">VLOOKUP($L5,OFFSET([3]enemies!$A$1,0,0,COUNTA([3]enemies!$A:$A),MATCH(W$1,[3]enemies!$1:$1,0)-MATCH($L$1,[3]enemies!$1:$1,0)+1),MATCH(W$1,[3]enemies!$1:$1,0)-MATCH($L$1,[3]enemies!$1:$1,0)+1,FALSE)</f>
        <v>0</v>
      </c>
      <c r="X5" s="5">
        <v>0</v>
      </c>
      <c r="Y5" s="5">
        <v>100</v>
      </c>
      <c r="Z5" s="5">
        <v>0</v>
      </c>
      <c r="AA5" s="14">
        <f ca="1">VLOOKUP($L5,OFFSET([3]enemies!$A$1,0,0,COUNTA([3]enemies!$A:$A),MATCH(AA$1,[3]enemies!$1:$1,0)-MATCH($L$1,[3]enemies!$1:$1,0)+1),MATCH(AA$1,[3]enemies!$1:$1,0)-MATCH($L$1,[3]enemies!$1:$1,0)+1,FALSE)</f>
        <v>3</v>
      </c>
      <c r="AB5" s="170">
        <f t="shared" ref="AB5:AB6" si="13">L5</f>
        <v>364</v>
      </c>
      <c r="AC5" s="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5" s="3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88">
        <v>1</v>
      </c>
      <c r="AG5" s="170">
        <f t="shared" ref="AG5:AG6" ca="1" si="14">AD5</f>
        <v>2</v>
      </c>
      <c r="AH5" s="7">
        <v>20</v>
      </c>
      <c r="AI5" s="88">
        <v>0</v>
      </c>
      <c r="AJ5" s="88">
        <v>0</v>
      </c>
      <c r="AK5" s="88">
        <v>0</v>
      </c>
      <c r="AL5" s="88">
        <v>0</v>
      </c>
      <c r="AM5" s="88">
        <v>1</v>
      </c>
      <c r="AN5" s="193">
        <v>1</v>
      </c>
    </row>
    <row r="6" spans="1:40" ht="21" customHeight="1" x14ac:dyDescent="0.15">
      <c r="A6" s="13" t="str">
        <f t="shared" ca="1" si="10"/>
        <v>15030_1-1/33&lt;lv58&gt;s2</v>
      </c>
      <c r="B6" s="90">
        <v>15030</v>
      </c>
      <c r="C6" s="91">
        <v>1</v>
      </c>
      <c r="D6" s="1" t="str">
        <f t="shared" si="11"/>
        <v>15030_1</v>
      </c>
      <c r="E6" s="3" t="str">
        <f ca="1">VLOOKUP($B6,OFFSET([2]quests!$A$1,0,0,COUNTA([2]quests!$A:$A),MATCH(E$1,[2]quests!$1:$1,0)-MATCH($B$1,[2]quests!$1:$1,0)+1),MATCH(E$1,[2]quests!$1:$1,0)-MATCH($B$1,[2]quests!$1:$1,0)+1,FALSE)</f>
        <v>30. 月夜のオールドシティ</v>
      </c>
      <c r="F6" s="14" t="str">
        <f ca="1">VLOOKUP($D6,OFFSET([2]stages!$A$1,0,0,COUNTA([2]stages!$A:$A),MATCH(F$1,[2]stages!$2:$2,0)-MATCH($D$1,[2]stages!$2:$2,0)+1),MATCH(F$1,[2]stages!$2:$2,0)-MATCH($D$1,[2]stages!$2:$2,0)+1,FALSE)</f>
        <v>30-1. 月夜に煌めく刃</v>
      </c>
      <c r="G6" s="192">
        <v>1</v>
      </c>
      <c r="H6" s="12" t="str">
        <f t="shared" si="12"/>
        <v>15030_1-1</v>
      </c>
      <c r="I6" s="3">
        <f ca="1">VLOOKUP($H6,OFFSET(floors!$A$1,0,0,COUNTA(floors!$A:$A),MATCH(I$1,floors!$1:$1,0)-MATCH($H$1,floors!$1:$1,0)+1),MATCH(I$1,floors!$1:$1,0)-MATCH($H$1,floors!$1:$1,0)+1,FALSE)</f>
        <v>45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31" t="s">
        <v>87</v>
      </c>
      <c r="L6" s="95">
        <v>33</v>
      </c>
      <c r="M6" s="14" t="str">
        <f ca="1">VLOOKUP($L6,OFFSET([3]enemies!$A$1,0,0,COUNTA([3]enemies!$A:$A),MATCH(M$1,[3]enemies!$1:$1,0)-MATCH($L$1,[3]enemies!$1:$1,0)+1),MATCH(M$1,[3]enemies!$1:$1,0)-MATCH($L$1,[3]enemies!$1:$1,0)+1,FALSE)</f>
        <v>ゴクウ</v>
      </c>
      <c r="N6" s="14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4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4">
        <f ca="1">VLOOKUP($L6,OFFSET([3]enemies!$A$1,0,0,COUNTA([3]enemies!$A:$A),MATCH(Q$1,[3]enemies!$1:$1,0)-MATCH($L$1,[3]enemies!$1:$1,0)+1),MATCH(Q$1,[3]enemies!$1:$1,0)-MATCH($L$1,[3]enemies!$1:$1,0)+1,FALSE)</f>
        <v>15</v>
      </c>
      <c r="R6" s="4">
        <v>58</v>
      </c>
      <c r="S6" s="19">
        <v>1.2</v>
      </c>
      <c r="T6" s="19">
        <v>0.8</v>
      </c>
      <c r="U6" s="4">
        <v>0</v>
      </c>
      <c r="V6" s="98" t="e">
        <f ca="1">VLOOKUP($W6,OFFSET(enemy_skill_sets!$B$1,0,0,COUNTA(enemy_skill_sets!$B:$B),MATCH(M$1,enemy_skill_sets!$1:$1,0)-MATCH($W$1,enemy_skill_sets!$1:$1,0)+2),MATCH(M$1,enemy_skill_sets!$1:$1,0)-MATCH($W$1,enemy_skill_sets!$1:$1,0)+2,FALSE)</f>
        <v>#N/A</v>
      </c>
      <c r="W6" s="3">
        <f ca="1">VLOOKUP($L6,OFFSET([3]enemies!$A$1,0,0,COUNTA([3]enemies!$A:$A),MATCH(W$1,[3]enemies!$1:$1,0)-MATCH($L$1,[3]enemies!$1:$1,0)+1),MATCH(W$1,[3]enemies!$1:$1,0)-MATCH($L$1,[3]enemies!$1:$1,0)+1,FALSE)</f>
        <v>33</v>
      </c>
      <c r="X6" s="5">
        <v>0</v>
      </c>
      <c r="Y6" s="5">
        <v>100</v>
      </c>
      <c r="Z6" s="5">
        <v>0</v>
      </c>
      <c r="AA6" s="14">
        <f ca="1">VLOOKUP($L6,OFFSET([3]enemies!$A$1,0,0,COUNTA([3]enemies!$A:$A),MATCH(AA$1,[3]enemies!$1:$1,0)-MATCH($L$1,[3]enemies!$1:$1,0)+1),MATCH(AA$1,[3]enemies!$1:$1,0)-MATCH($L$1,[3]enemies!$1:$1,0)+1,FALSE)</f>
        <v>2</v>
      </c>
      <c r="AB6" s="170">
        <f t="shared" si="13"/>
        <v>33</v>
      </c>
      <c r="AC6" s="3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6" s="3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3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88">
        <v>1</v>
      </c>
      <c r="AG6" s="170">
        <f t="shared" ca="1" si="14"/>
        <v>2</v>
      </c>
      <c r="AH6" s="7">
        <v>20</v>
      </c>
      <c r="AI6" s="88">
        <v>0</v>
      </c>
      <c r="AJ6" s="88">
        <v>0</v>
      </c>
      <c r="AK6" s="88">
        <v>0</v>
      </c>
      <c r="AL6" s="88">
        <v>0</v>
      </c>
      <c r="AM6" s="88">
        <v>1</v>
      </c>
      <c r="AN6" s="193">
        <v>1</v>
      </c>
    </row>
    <row r="7" spans="1:40" ht="21" customHeight="1" x14ac:dyDescent="0.15">
      <c r="A7" s="13" t="str">
        <f t="shared" ref="A7" ca="1" si="15">B7&amp;"_"&amp;C7&amp;"-"&amp;G7&amp;"/"&amp;L7&amp;"&lt;lv"&amp;R7&amp;"&gt;s"&amp;AA7</f>
        <v>15030_1-1/37&lt;lv58&gt;s3</v>
      </c>
      <c r="B7" s="90">
        <v>15030</v>
      </c>
      <c r="C7" s="91">
        <v>1</v>
      </c>
      <c r="D7" s="1" t="str">
        <f t="shared" ref="D7" si="16">B7&amp;"_"&amp;C7</f>
        <v>15030_1</v>
      </c>
      <c r="E7" s="3" t="str">
        <f ca="1">VLOOKUP($B7,OFFSET([2]quests!$A$1,0,0,COUNTA([2]quests!$A:$A),MATCH(E$1,[2]quests!$1:$1,0)-MATCH($B$1,[2]quests!$1:$1,0)+1),MATCH(E$1,[2]quests!$1:$1,0)-MATCH($B$1,[2]quests!$1:$1,0)+1,FALSE)</f>
        <v>30. 月夜のオールドシティ</v>
      </c>
      <c r="F7" s="14" t="str">
        <f ca="1">VLOOKUP($D7,OFFSET([2]stages!$A$1,0,0,COUNTA([2]stages!$A:$A),MATCH(F$1,[2]stages!$2:$2,0)-MATCH($D$1,[2]stages!$2:$2,0)+1),MATCH(F$1,[2]stages!$2:$2,0)-MATCH($D$1,[2]stages!$2:$2,0)+1,FALSE)</f>
        <v>30-1. 月夜に煌めく刃</v>
      </c>
      <c r="G7" s="192">
        <v>1</v>
      </c>
      <c r="H7" s="12" t="str">
        <f t="shared" ref="H7" si="17">B7&amp;"_"&amp;C7&amp;"-"&amp;G7</f>
        <v>15030_1-1</v>
      </c>
      <c r="I7" s="3">
        <f ca="1">VLOOKUP($H7,OFFSET(floors!$A$1,0,0,COUNTA(floors!$A:$A),MATCH(I$1,floors!$1:$1,0)-MATCH($H$1,floors!$1:$1,0)+1),MATCH(I$1,floors!$1:$1,0)-MATCH($H$1,floors!$1:$1,0)+1,FALSE)</f>
        <v>45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31" t="s">
        <v>87</v>
      </c>
      <c r="L7" s="95">
        <v>37</v>
      </c>
      <c r="M7" s="14" t="str">
        <f ca="1">VLOOKUP($L7,OFFSET([3]enemies!$A$1,0,0,COUNTA([3]enemies!$A:$A),MATCH(M$1,[3]enemies!$1:$1,0)-MATCH($L$1,[3]enemies!$1:$1,0)+1),MATCH(M$1,[3]enemies!$1:$1,0)-MATCH($L$1,[3]enemies!$1:$1,0)+1,FALSE)</f>
        <v>ガイル</v>
      </c>
      <c r="N7" s="14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4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4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4">
        <f ca="1">VLOOKUP($L7,OFFSET([3]enemies!$A$1,0,0,COUNTA([3]enemies!$A:$A),MATCH(Q$1,[3]enemies!$1:$1,0)-MATCH($L$1,[3]enemies!$1:$1,0)+1),MATCH(Q$1,[3]enemies!$1:$1,0)-MATCH($L$1,[3]enemies!$1:$1,0)+1,FALSE)</f>
        <v>15</v>
      </c>
      <c r="R7" s="4">
        <v>58</v>
      </c>
      <c r="S7" s="19">
        <v>1.2</v>
      </c>
      <c r="T7" s="19">
        <v>0.8</v>
      </c>
      <c r="U7" s="4">
        <v>0</v>
      </c>
      <c r="V7" s="98" t="e">
        <f ca="1">VLOOKUP($W7,OFFSET(enemy_skill_sets!$B$1,0,0,COUNTA(enemy_skill_sets!$B:$B),MATCH(M$1,enemy_skill_sets!$1:$1,0)-MATCH($W$1,enemy_skill_sets!$1:$1,0)+2),MATCH(M$1,enemy_skill_sets!$1:$1,0)-MATCH($W$1,enemy_skill_sets!$1:$1,0)+2,FALSE)</f>
        <v>#N/A</v>
      </c>
      <c r="W7" s="3">
        <f ca="1">VLOOKUP($L7,OFFSET([3]enemies!$A$1,0,0,COUNTA([3]enemies!$A:$A),MATCH(W$1,[3]enemies!$1:$1,0)-MATCH($L$1,[3]enemies!$1:$1,0)+1),MATCH(W$1,[3]enemies!$1:$1,0)-MATCH($L$1,[3]enemies!$1:$1,0)+1,FALSE)</f>
        <v>37</v>
      </c>
      <c r="X7" s="5">
        <v>0</v>
      </c>
      <c r="Y7" s="5">
        <v>100</v>
      </c>
      <c r="Z7" s="5">
        <v>0</v>
      </c>
      <c r="AA7" s="14">
        <f ca="1">VLOOKUP($L7,OFFSET([3]enemies!$A$1,0,0,COUNTA([3]enemies!$A:$A),MATCH(AA$1,[3]enemies!$1:$1,0)-MATCH($L$1,[3]enemies!$1:$1,0)+1),MATCH(AA$1,[3]enemies!$1:$1,0)-MATCH($L$1,[3]enemies!$1:$1,0)+1,FALSE)</f>
        <v>3</v>
      </c>
      <c r="AB7" s="170">
        <f t="shared" ref="AB7" si="18">L7</f>
        <v>37</v>
      </c>
      <c r="AC7" s="3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ガイル</v>
      </c>
      <c r="AD7" s="3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3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88">
        <v>1</v>
      </c>
      <c r="AG7" s="170">
        <f t="shared" ref="AG7" ca="1" si="19">AD7</f>
        <v>2</v>
      </c>
      <c r="AH7" s="7">
        <v>20</v>
      </c>
      <c r="AI7" s="88">
        <v>0</v>
      </c>
      <c r="AJ7" s="88">
        <v>0</v>
      </c>
      <c r="AK7" s="88">
        <v>0</v>
      </c>
      <c r="AL7" s="88">
        <v>0</v>
      </c>
      <c r="AM7" s="88">
        <v>1</v>
      </c>
      <c r="AN7" s="193">
        <v>1</v>
      </c>
    </row>
    <row r="8" spans="1:40" ht="21" customHeight="1" x14ac:dyDescent="0.15">
      <c r="A8" s="13" t="str">
        <f t="shared" ref="A8:A9" ca="1" si="20">B8&amp;"_"&amp;C8&amp;"-"&amp;G8&amp;"/"&amp;L8&amp;"&lt;lv"&amp;R8&amp;"&gt;s"&amp;AA8</f>
        <v>15030_1-1/348&lt;lv58&gt;s3</v>
      </c>
      <c r="B8" s="90">
        <v>15030</v>
      </c>
      <c r="C8" s="91">
        <v>1</v>
      </c>
      <c r="D8" s="1" t="str">
        <f t="shared" ref="D8:D9" si="21">B8&amp;"_"&amp;C8</f>
        <v>15030_1</v>
      </c>
      <c r="E8" s="3" t="str">
        <f ca="1">VLOOKUP($B8,OFFSET([2]quests!$A$1,0,0,COUNTA([2]quests!$A:$A),MATCH(E$1,[2]quests!$1:$1,0)-MATCH($B$1,[2]quests!$1:$1,0)+1),MATCH(E$1,[2]quests!$1:$1,0)-MATCH($B$1,[2]quests!$1:$1,0)+1,FALSE)</f>
        <v>30. 月夜のオールドシティ</v>
      </c>
      <c r="F8" s="14" t="str">
        <f ca="1">VLOOKUP($D8,OFFSET([2]stages!$A$1,0,0,COUNTA([2]stages!$A:$A),MATCH(F$1,[2]stages!$2:$2,0)-MATCH($D$1,[2]stages!$2:$2,0)+1),MATCH(F$1,[2]stages!$2:$2,0)-MATCH($D$1,[2]stages!$2:$2,0)+1,FALSE)</f>
        <v>30-1. 月夜に煌めく刃</v>
      </c>
      <c r="G8" s="192">
        <v>1</v>
      </c>
      <c r="H8" s="12" t="str">
        <f t="shared" ref="H8:H9" si="22">B8&amp;"_"&amp;C8&amp;"-"&amp;G8</f>
        <v>15030_1-1</v>
      </c>
      <c r="I8" s="3">
        <f ca="1">VLOOKUP($H8,OFFSET(floors!$A$1,0,0,COUNTA(floors!$A:$A),MATCH(I$1,floors!$1:$1,0)-MATCH($H$1,floors!$1:$1,0)+1),MATCH(I$1,floors!$1:$1,0)-MATCH($H$1,floors!$1:$1,0)+1,FALSE)</f>
        <v>45</v>
      </c>
      <c r="J8" s="3">
        <f ca="1">VLOOKUP($H8,OFFSET(floors!$A$1,0,0,COUNTA(floors!$A:$A),MATCH(J$1,floors!$1:$1,0)-MATCH($H$1,floors!$1:$1,0)+1),MATCH(J$1,floors!$1:$1,0)-MATCH($H$1,floors!$1:$1,0)+1,FALSE)</f>
        <v>60</v>
      </c>
      <c r="K8" s="31" t="s">
        <v>87</v>
      </c>
      <c r="L8" s="95">
        <v>348</v>
      </c>
      <c r="M8" s="14" t="str">
        <f ca="1">VLOOKUP($L8,OFFSET([3]enemies!$A$1,0,0,COUNTA([3]enemies!$A:$A),MATCH(M$1,[3]enemies!$1:$1,0)-MATCH($L$1,[3]enemies!$1:$1,0)+1),MATCH(M$1,[3]enemies!$1:$1,0)-MATCH($L$1,[3]enemies!$1:$1,0)+1,FALSE)</f>
        <v>炎のケロケロ</v>
      </c>
      <c r="N8" s="14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4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4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4">
        <f ca="1">VLOOKUP($L8,OFFSET([3]enemies!$A$1,0,0,COUNTA([3]enemies!$A:$A),MATCH(Q$1,[3]enemies!$1:$1,0)-MATCH($L$1,[3]enemies!$1:$1,0)+1),MATCH(Q$1,[3]enemies!$1:$1,0)-MATCH($L$1,[3]enemies!$1:$1,0)+1,FALSE)</f>
        <v>15</v>
      </c>
      <c r="R8" s="4">
        <v>58</v>
      </c>
      <c r="S8" s="19">
        <v>1.2</v>
      </c>
      <c r="T8" s="19">
        <v>0.8</v>
      </c>
      <c r="U8" s="4">
        <v>0</v>
      </c>
      <c r="V8" s="98" t="e">
        <f ca="1">VLOOKUP($W8,OFFSET(enemy_skill_sets!$B$1,0,0,COUNTA(enemy_skill_sets!$B:$B),MATCH(M$1,enemy_skill_sets!$1:$1,0)-MATCH($W$1,enemy_skill_sets!$1:$1,0)+2),MATCH(M$1,enemy_skill_sets!$1:$1,0)-MATCH($W$1,enemy_skill_sets!$1:$1,0)+2,FALSE)</f>
        <v>#N/A</v>
      </c>
      <c r="W8" s="3">
        <f ca="1">VLOOKUP($L8,OFFSET([3]enemies!$A$1,0,0,COUNTA([3]enemies!$A:$A),MATCH(W$1,[3]enemies!$1:$1,0)-MATCH($L$1,[3]enemies!$1:$1,0)+1),MATCH(W$1,[3]enemies!$1:$1,0)-MATCH($L$1,[3]enemies!$1:$1,0)+1,FALSE)</f>
        <v>0</v>
      </c>
      <c r="X8" s="5">
        <v>0</v>
      </c>
      <c r="Y8" s="5">
        <v>20</v>
      </c>
      <c r="Z8" s="5">
        <v>0</v>
      </c>
      <c r="AA8" s="14">
        <f ca="1">VLOOKUP($L8,OFFSET([3]enemies!$A$1,0,0,COUNTA([3]enemies!$A:$A),MATCH(AA$1,[3]enemies!$1:$1,0)-MATCH($L$1,[3]enemies!$1:$1,0)+1),MATCH(AA$1,[3]enemies!$1:$1,0)-MATCH($L$1,[3]enemies!$1:$1,0)+1,FALSE)</f>
        <v>3</v>
      </c>
      <c r="AB8" s="170">
        <f t="shared" ref="AB8:AB9" si="23">L8</f>
        <v>348</v>
      </c>
      <c r="AC8" s="3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8" s="3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3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88">
        <v>10</v>
      </c>
      <c r="AG8" s="170">
        <f t="shared" ref="AG8:AG9" ca="1" si="24">AD8</f>
        <v>2</v>
      </c>
      <c r="AH8" s="7">
        <v>20</v>
      </c>
      <c r="AI8" s="88">
        <v>0</v>
      </c>
      <c r="AJ8" s="88">
        <v>0</v>
      </c>
      <c r="AK8" s="88">
        <v>0</v>
      </c>
      <c r="AL8" s="88">
        <v>0</v>
      </c>
      <c r="AM8" s="88">
        <v>1</v>
      </c>
      <c r="AN8" s="193">
        <v>1</v>
      </c>
    </row>
    <row r="9" spans="1:40" ht="21" customHeight="1" thickBot="1" x14ac:dyDescent="0.2">
      <c r="A9" s="13" t="str">
        <f t="shared" ca="1" si="20"/>
        <v>15030_1-1/352&lt;lv58&gt;s3</v>
      </c>
      <c r="B9" s="90">
        <v>15030</v>
      </c>
      <c r="C9" s="91">
        <v>1</v>
      </c>
      <c r="D9" s="1" t="str">
        <f t="shared" si="21"/>
        <v>15030_1</v>
      </c>
      <c r="E9" s="3" t="str">
        <f ca="1">VLOOKUP($B9,OFFSET([2]quests!$A$1,0,0,COUNTA([2]quests!$A:$A),MATCH(E$1,[2]quests!$1:$1,0)-MATCH($B$1,[2]quests!$1:$1,0)+1),MATCH(E$1,[2]quests!$1:$1,0)-MATCH($B$1,[2]quests!$1:$1,0)+1,FALSE)</f>
        <v>30. 月夜のオールドシティ</v>
      </c>
      <c r="F9" s="14" t="str">
        <f ca="1">VLOOKUP($D9,OFFSET([2]stages!$A$1,0,0,COUNTA([2]stages!$A:$A),MATCH(F$1,[2]stages!$2:$2,0)-MATCH($D$1,[2]stages!$2:$2,0)+1),MATCH(F$1,[2]stages!$2:$2,0)-MATCH($D$1,[2]stages!$2:$2,0)+1,FALSE)</f>
        <v>30-1. 月夜に煌めく刃</v>
      </c>
      <c r="G9" s="236">
        <v>1</v>
      </c>
      <c r="H9" s="144" t="str">
        <f t="shared" si="22"/>
        <v>15030_1-1</v>
      </c>
      <c r="I9" s="172">
        <f ca="1">VLOOKUP($H9,OFFSET(floors!$A$1,0,0,COUNTA(floors!$A:$A),MATCH(I$1,floors!$1:$1,0)-MATCH($H$1,floors!$1:$1,0)+1),MATCH(I$1,floors!$1:$1,0)-MATCH($H$1,floors!$1:$1,0)+1,FALSE)</f>
        <v>45</v>
      </c>
      <c r="J9" s="172">
        <f ca="1">VLOOKUP($H9,OFFSET(floors!$A$1,0,0,COUNTA(floors!$A:$A),MATCH(J$1,floors!$1:$1,0)-MATCH($H$1,floors!$1:$1,0)+1),MATCH(J$1,floors!$1:$1,0)-MATCH($H$1,floors!$1:$1,0)+1,FALSE)</f>
        <v>60</v>
      </c>
      <c r="K9" s="145" t="s">
        <v>87</v>
      </c>
      <c r="L9" s="173">
        <v>352</v>
      </c>
      <c r="M9" s="174" t="str">
        <f ca="1">VLOOKUP($L9,OFFSET([3]enemies!$A$1,0,0,COUNTA([3]enemies!$A:$A),MATCH(M$1,[3]enemies!$1:$1,0)-MATCH($L$1,[3]enemies!$1:$1,0)+1),MATCH(M$1,[3]enemies!$1:$1,0)-MATCH($L$1,[3]enemies!$1:$1,0)+1,FALSE)</f>
        <v>水のケロケロ</v>
      </c>
      <c r="N9" s="174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4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4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4">
        <f ca="1">VLOOKUP($L9,OFFSET([3]enemies!$A$1,0,0,COUNTA([3]enemies!$A:$A),MATCH(Q$1,[3]enemies!$1:$1,0)-MATCH($L$1,[3]enemies!$1:$1,0)+1),MATCH(Q$1,[3]enemies!$1:$1,0)-MATCH($L$1,[3]enemies!$1:$1,0)+1,FALSE)</f>
        <v>15</v>
      </c>
      <c r="R9" s="175">
        <v>58</v>
      </c>
      <c r="S9" s="176">
        <v>1.2</v>
      </c>
      <c r="T9" s="176">
        <v>0.8</v>
      </c>
      <c r="U9" s="175">
        <v>0</v>
      </c>
      <c r="V9" s="177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172">
        <f ca="1">VLOOKUP($L9,OFFSET([3]enemies!$A$1,0,0,COUNTA([3]enemies!$A:$A),MATCH(W$1,[3]enemies!$1:$1,0)-MATCH($L$1,[3]enemies!$1:$1,0)+1),MATCH(W$1,[3]enemies!$1:$1,0)-MATCH($L$1,[3]enemies!$1:$1,0)+1,FALSE)</f>
        <v>0</v>
      </c>
      <c r="X9" s="178">
        <v>0</v>
      </c>
      <c r="Y9" s="178">
        <v>20</v>
      </c>
      <c r="Z9" s="178">
        <v>0</v>
      </c>
      <c r="AA9" s="174">
        <f ca="1">VLOOKUP($L9,OFFSET([3]enemies!$A$1,0,0,COUNTA([3]enemies!$A:$A),MATCH(AA$1,[3]enemies!$1:$1,0)-MATCH($L$1,[3]enemies!$1:$1,0)+1),MATCH(AA$1,[3]enemies!$1:$1,0)-MATCH($L$1,[3]enemies!$1:$1,0)+1,FALSE)</f>
        <v>3</v>
      </c>
      <c r="AB9" s="179">
        <f t="shared" si="23"/>
        <v>352</v>
      </c>
      <c r="AC9" s="172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9" s="172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172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140">
        <v>10</v>
      </c>
      <c r="AG9" s="179">
        <f t="shared" ca="1" si="24"/>
        <v>2</v>
      </c>
      <c r="AH9" s="180">
        <v>20</v>
      </c>
      <c r="AI9" s="140">
        <v>0</v>
      </c>
      <c r="AJ9" s="140">
        <v>0</v>
      </c>
      <c r="AK9" s="140">
        <v>0</v>
      </c>
      <c r="AL9" s="140">
        <v>0</v>
      </c>
      <c r="AM9" s="140">
        <v>1</v>
      </c>
      <c r="AN9" s="227">
        <v>1</v>
      </c>
    </row>
    <row r="10" spans="1:40" ht="21" customHeight="1" x14ac:dyDescent="0.15">
      <c r="A10" s="13" t="str">
        <f t="shared" ref="A10" ca="1" si="25">B10&amp;"_"&amp;C10&amp;"-"&amp;G10&amp;"/"&amp;L10&amp;"&lt;lv"&amp;R10&amp;"&gt;s"&amp;AA10</f>
        <v>15030_1-2/41&lt;lv59&gt;s1</v>
      </c>
      <c r="B10" s="90">
        <v>15030</v>
      </c>
      <c r="C10" s="91">
        <v>1</v>
      </c>
      <c r="D10" s="1" t="str">
        <f t="shared" ref="D10" si="26">B10&amp;"_"&amp;C10</f>
        <v>15030_1</v>
      </c>
      <c r="E10" s="3" t="str">
        <f ca="1">VLOOKUP($B10,OFFSET([2]quests!$A$1,0,0,COUNTA([2]quests!$A:$A),MATCH(E$1,[2]quests!$1:$1,0)-MATCH($B$1,[2]quests!$1:$1,0)+1),MATCH(E$1,[2]quests!$1:$1,0)-MATCH($B$1,[2]quests!$1:$1,0)+1,FALSE)</f>
        <v>30. 月夜のオールドシティ</v>
      </c>
      <c r="F10" s="14" t="str">
        <f ca="1">VLOOKUP($D10,OFFSET([2]stages!$A$1,0,0,COUNTA([2]stages!$A:$A),MATCH(F$1,[2]stages!$2:$2,0)-MATCH($D$1,[2]stages!$2:$2,0)+1),MATCH(F$1,[2]stages!$2:$2,0)-MATCH($D$1,[2]stages!$2:$2,0)+1,FALSE)</f>
        <v>30-1. 月夜に煌めく刃</v>
      </c>
      <c r="G10" s="181">
        <v>2</v>
      </c>
      <c r="H10" s="153" t="str">
        <f t="shared" ref="H10" si="27">B10&amp;"_"&amp;C10&amp;"-"&amp;G10</f>
        <v>15030_1-2</v>
      </c>
      <c r="I10" s="182">
        <f ca="1">VLOOKUP($H10,OFFSET(floors!$A$1,0,0,COUNTA(floors!$A:$A),MATCH(I$1,floors!$1:$1,0)-MATCH($H$1,floors!$1:$1,0)+1),MATCH(I$1,floors!$1:$1,0)-MATCH($H$1,floors!$1:$1,0)+1,FALSE)</f>
        <v>45</v>
      </c>
      <c r="J10" s="182">
        <f ca="1">VLOOKUP($H10,OFFSET(floors!$A$1,0,0,COUNTA(floors!$A:$A),MATCH(J$1,floors!$1:$1,0)-MATCH($H$1,floors!$1:$1,0)+1),MATCH(J$1,floors!$1:$1,0)-MATCH($H$1,floors!$1:$1,0)+1,FALSE)</f>
        <v>60</v>
      </c>
      <c r="K10" s="154" t="s">
        <v>87</v>
      </c>
      <c r="L10" s="183">
        <v>41</v>
      </c>
      <c r="M10" s="184" t="str">
        <f ca="1">VLOOKUP($L10,OFFSET([3]enemies!$A$1,0,0,COUNTA([3]enemies!$A:$A),MATCH(M$1,[3]enemies!$1:$1,0)-MATCH($L$1,[3]enemies!$1:$1,0)+1),MATCH(M$1,[3]enemies!$1:$1,0)-MATCH($L$1,[3]enemies!$1:$1,0)+1,FALSE)</f>
        <v>ヒュウガ</v>
      </c>
      <c r="N10" s="184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84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84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84">
        <f ca="1">VLOOKUP($L10,OFFSET([3]enemies!$A$1,0,0,COUNTA([3]enemies!$A:$A),MATCH(Q$1,[3]enemies!$1:$1,0)-MATCH($L$1,[3]enemies!$1:$1,0)+1),MATCH(Q$1,[3]enemies!$1:$1,0)-MATCH($L$1,[3]enemies!$1:$1,0)+1,FALSE)</f>
        <v>15</v>
      </c>
      <c r="R10" s="185">
        <v>59</v>
      </c>
      <c r="S10" s="186">
        <v>1.2</v>
      </c>
      <c r="T10" s="186">
        <v>0.9</v>
      </c>
      <c r="U10" s="185">
        <v>0</v>
      </c>
      <c r="V10" s="187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182">
        <f ca="1">VLOOKUP($L10,OFFSET([3]enemies!$A$1,0,0,COUNTA([3]enemies!$A:$A),MATCH(W$1,[3]enemies!$1:$1,0)-MATCH($L$1,[3]enemies!$1:$1,0)+1),MATCH(W$1,[3]enemies!$1:$1,0)-MATCH($L$1,[3]enemies!$1:$1,0)+1,FALSE)</f>
        <v>0</v>
      </c>
      <c r="X10" s="188">
        <v>0</v>
      </c>
      <c r="Y10" s="188">
        <v>100</v>
      </c>
      <c r="Z10" s="188">
        <v>0</v>
      </c>
      <c r="AA10" s="184">
        <f ca="1">VLOOKUP($L10,OFFSET([3]enemies!$A$1,0,0,COUNTA([3]enemies!$A:$A),MATCH(AA$1,[3]enemies!$1:$1,0)-MATCH($L$1,[3]enemies!$1:$1,0)+1),MATCH(AA$1,[3]enemies!$1:$1,0)-MATCH($L$1,[3]enemies!$1:$1,0)+1,FALSE)</f>
        <v>1</v>
      </c>
      <c r="AB10" s="189">
        <f t="shared" ref="AB10" si="28">L10</f>
        <v>41</v>
      </c>
      <c r="AC10" s="182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10" s="182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182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149">
        <v>1</v>
      </c>
      <c r="AG10" s="189">
        <f t="shared" ref="AG10" ca="1" si="29">AD10</f>
        <v>2</v>
      </c>
      <c r="AH10" s="190">
        <v>20</v>
      </c>
      <c r="AI10" s="149">
        <v>0</v>
      </c>
      <c r="AJ10" s="149">
        <v>0</v>
      </c>
      <c r="AK10" s="149">
        <v>0</v>
      </c>
      <c r="AL10" s="149">
        <v>0</v>
      </c>
      <c r="AM10" s="149">
        <v>1</v>
      </c>
      <c r="AN10" s="191">
        <v>1</v>
      </c>
    </row>
    <row r="11" spans="1:40" ht="21" customHeight="1" x14ac:dyDescent="0.15">
      <c r="A11" s="13" t="str">
        <f t="shared" ref="A11" ca="1" si="30">B11&amp;"_"&amp;C11&amp;"-"&amp;G11&amp;"/"&amp;L11&amp;"&lt;lv"&amp;R11&amp;"&gt;s"&amp;AA11</f>
        <v>15030_1-2/45&lt;lv59&gt;s3</v>
      </c>
      <c r="B11" s="90">
        <v>15030</v>
      </c>
      <c r="C11" s="91">
        <v>1</v>
      </c>
      <c r="D11" s="1" t="str">
        <f t="shared" ref="D11" si="31">B11&amp;"_"&amp;C11</f>
        <v>15030_1</v>
      </c>
      <c r="E11" s="3" t="str">
        <f ca="1">VLOOKUP($B11,OFFSET([2]quests!$A$1,0,0,COUNTA([2]quests!$A:$A),MATCH(E$1,[2]quests!$1:$1,0)-MATCH($B$1,[2]quests!$1:$1,0)+1),MATCH(E$1,[2]quests!$1:$1,0)-MATCH($B$1,[2]quests!$1:$1,0)+1,FALSE)</f>
        <v>30. 月夜のオールドシティ</v>
      </c>
      <c r="F11" s="14" t="str">
        <f ca="1">VLOOKUP($D11,OFFSET([2]stages!$A$1,0,0,COUNTA([2]stages!$A:$A),MATCH(F$1,[2]stages!$2:$2,0)-MATCH($D$1,[2]stages!$2:$2,0)+1),MATCH(F$1,[2]stages!$2:$2,0)-MATCH($D$1,[2]stages!$2:$2,0)+1,FALSE)</f>
        <v>30-1. 月夜に煌めく刃</v>
      </c>
      <c r="G11" s="192">
        <v>2</v>
      </c>
      <c r="H11" s="12" t="str">
        <f t="shared" ref="H11" si="32">B11&amp;"_"&amp;C11&amp;"-"&amp;G11</f>
        <v>15030_1-2</v>
      </c>
      <c r="I11" s="3">
        <f ca="1">VLOOKUP($H11,OFFSET(floors!$A$1,0,0,COUNTA(floors!$A:$A),MATCH(I$1,floors!$1:$1,0)-MATCH($H$1,floors!$1:$1,0)+1),MATCH(I$1,floors!$1:$1,0)-MATCH($H$1,floors!$1:$1,0)+1,FALSE)</f>
        <v>45</v>
      </c>
      <c r="J11" s="3">
        <f ca="1">VLOOKUP($H11,OFFSET(floors!$A$1,0,0,COUNTA(floors!$A:$A),MATCH(J$1,floors!$1:$1,0)-MATCH($H$1,floors!$1:$1,0)+1),MATCH(J$1,floors!$1:$1,0)-MATCH($H$1,floors!$1:$1,0)+1,FALSE)</f>
        <v>60</v>
      </c>
      <c r="K11" s="31" t="s">
        <v>87</v>
      </c>
      <c r="L11" s="95">
        <v>45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ショウイン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4">
        <f ca="1">VLOOKUP($L11,OFFSET([3]enemies!$A$1,0,0,COUNTA([3]enemies!$A:$A),MATCH(Q$1,[3]enemies!$1:$1,0)-MATCH($L$1,[3]enemies!$1:$1,0)+1),MATCH(Q$1,[3]enemies!$1:$1,0)-MATCH($L$1,[3]enemies!$1:$1,0)+1,FALSE)</f>
        <v>15</v>
      </c>
      <c r="R11" s="4">
        <v>59</v>
      </c>
      <c r="S11" s="19">
        <v>1.2</v>
      </c>
      <c r="T11" s="19">
        <v>0.9</v>
      </c>
      <c r="U11" s="4">
        <v>0</v>
      </c>
      <c r="V11" s="98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3">
        <f ca="1">VLOOKUP($L11,OFFSET([3]enemies!$A$1,0,0,COUNTA([3]enemies!$A:$A),MATCH(W$1,[3]enemies!$1:$1,0)-MATCH($L$1,[3]enemies!$1:$1,0)+1),MATCH(W$1,[3]enemies!$1:$1,0)-MATCH($L$1,[3]enemies!$1:$1,0)+1,FALSE)</f>
        <v>0</v>
      </c>
      <c r="X11" s="5">
        <v>0</v>
      </c>
      <c r="Y11" s="5">
        <v>100</v>
      </c>
      <c r="Z11" s="5">
        <v>0</v>
      </c>
      <c r="AA11" s="14">
        <f ca="1">VLOOKUP($L11,OFFSET([3]enemies!$A$1,0,0,COUNTA([3]enemies!$A:$A),MATCH(AA$1,[3]enemies!$1:$1,0)-MATCH($L$1,[3]enemies!$1:$1,0)+1),MATCH(AA$1,[3]enemies!$1:$1,0)-MATCH($L$1,[3]enemies!$1:$1,0)+1,FALSE)</f>
        <v>3</v>
      </c>
      <c r="AB11" s="170">
        <f t="shared" ref="AB11" si="33">L11</f>
        <v>45</v>
      </c>
      <c r="AC11" s="3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11" s="3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3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88">
        <v>1</v>
      </c>
      <c r="AG11" s="170">
        <f t="shared" ref="AG11" ca="1" si="34">AD11</f>
        <v>2</v>
      </c>
      <c r="AH11" s="7">
        <v>20</v>
      </c>
      <c r="AI11" s="88">
        <v>0</v>
      </c>
      <c r="AJ11" s="88">
        <v>0</v>
      </c>
      <c r="AK11" s="88">
        <v>0</v>
      </c>
      <c r="AL11" s="88">
        <v>0</v>
      </c>
      <c r="AM11" s="88">
        <v>1</v>
      </c>
      <c r="AN11" s="193">
        <v>1</v>
      </c>
    </row>
    <row r="12" spans="1:40" ht="21" customHeight="1" x14ac:dyDescent="0.15">
      <c r="A12" s="13" t="str">
        <f t="shared" ca="1" si="0"/>
        <v>15030_1-2/370&lt;lv59&gt;s2</v>
      </c>
      <c r="B12" s="90">
        <v>15030</v>
      </c>
      <c r="C12" s="91">
        <v>1</v>
      </c>
      <c r="D12" s="1" t="str">
        <f t="shared" si="1"/>
        <v>15030_1</v>
      </c>
      <c r="E12" s="3" t="str">
        <f ca="1">VLOOKUP($B12,OFFSET([2]quests!$A$1,0,0,COUNTA([2]quests!$A:$A),MATCH(E$1,[2]quests!$1:$1,0)-MATCH($B$1,[2]quests!$1:$1,0)+1),MATCH(E$1,[2]quests!$1:$1,0)-MATCH($B$1,[2]quests!$1:$1,0)+1,FALSE)</f>
        <v>30. 月夜のオールドシティ</v>
      </c>
      <c r="F12" s="14" t="str">
        <f ca="1">VLOOKUP($D12,OFFSET([2]stages!$A$1,0,0,COUNTA([2]stages!$A:$A),MATCH(F$1,[2]stages!$2:$2,0)-MATCH($D$1,[2]stages!$2:$2,0)+1),MATCH(F$1,[2]stages!$2:$2,0)-MATCH($D$1,[2]stages!$2:$2,0)+1,FALSE)</f>
        <v>30-1. 月夜に煌めく刃</v>
      </c>
      <c r="G12" s="194">
        <v>2</v>
      </c>
      <c r="H12" s="12" t="str">
        <f t="shared" si="2"/>
        <v>15030_1-2</v>
      </c>
      <c r="I12" s="3">
        <f ca="1">VLOOKUP($H12,OFFSET(floors!$A$1,0,0,COUNTA(floors!$A:$A),MATCH(I$1,floors!$1:$1,0)-MATCH($H$1,floors!$1:$1,0)+1),MATCH(I$1,floors!$1:$1,0)-MATCH($H$1,floors!$1:$1,0)+1,FALSE)</f>
        <v>45</v>
      </c>
      <c r="J12" s="3">
        <f ca="1">VLOOKUP($H12,OFFSET(floors!$A$1,0,0,COUNTA(floors!$A:$A),MATCH(J$1,floors!$1:$1,0)-MATCH($H$1,floors!$1:$1,0)+1),MATCH(J$1,floors!$1:$1,0)-MATCH($H$1,floors!$1:$1,0)+1,FALSE)</f>
        <v>60</v>
      </c>
      <c r="K12" s="31" t="s">
        <v>210</v>
      </c>
      <c r="L12" s="95">
        <v>370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タイチ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4">
        <f ca="1">VLOOKUP($L12,OFFSET([3]enemies!$A$1,0,0,COUNTA([3]enemies!$A:$A),MATCH(Q$1,[3]enemies!$1:$1,0)-MATCH($L$1,[3]enemies!$1:$1,0)+1),MATCH(Q$1,[3]enemies!$1:$1,0)-MATCH($L$1,[3]enemies!$1:$1,0)+1,FALSE)</f>
        <v>15</v>
      </c>
      <c r="R12" s="4">
        <v>59</v>
      </c>
      <c r="S12" s="19">
        <v>1.2</v>
      </c>
      <c r="T12" s="19">
        <v>0.9</v>
      </c>
      <c r="U12" s="4">
        <v>0</v>
      </c>
      <c r="V12" s="97" t="str">
        <f ca="1">VLOOKUP($W12,OFFSET(enemy_skill_sets!$B$1,0,0,COUNTA(enemy_skill_sets!$B:$B),MATCH(M$1,enemy_skill_sets!$1:$1,0)-MATCH($W$1,enemy_skill_sets!$1:$1,0)+2),MATCH(M$1,enemy_skill_sets!$1:$1,0)-MATCH($W$1,enemy_skill_sets!$1:$1,0)+2,FALSE)</f>
        <v>赤パネルを吸収して全体攻撃</v>
      </c>
      <c r="W12" s="97">
        <v>15030001</v>
      </c>
      <c r="X12" s="5">
        <v>0</v>
      </c>
      <c r="Y12" s="5">
        <v>100</v>
      </c>
      <c r="Z12" s="5">
        <v>1</v>
      </c>
      <c r="AA12" s="14">
        <f ca="1">VLOOKUP($L12,OFFSET([3]enemies!$A$1,0,0,COUNTA([3]enemies!$A:$A),MATCH(AA$1,[3]enemies!$1:$1,0)-MATCH($L$1,[3]enemies!$1:$1,0)+1),MATCH(AA$1,[3]enemies!$1:$1,0)-MATCH($L$1,[3]enemies!$1:$1,0)+1,FALSE)</f>
        <v>2</v>
      </c>
      <c r="AB12" s="170">
        <f t="shared" si="3"/>
        <v>370</v>
      </c>
      <c r="AC12" s="3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12" s="3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3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Drop1S</v>
      </c>
      <c r="AF12" s="88">
        <v>1</v>
      </c>
      <c r="AG12" s="170">
        <f t="shared" ca="1" si="4"/>
        <v>2</v>
      </c>
      <c r="AH12" s="7">
        <v>20</v>
      </c>
      <c r="AI12" s="88">
        <v>0</v>
      </c>
      <c r="AJ12" s="88">
        <v>0</v>
      </c>
      <c r="AK12" s="88">
        <v>0</v>
      </c>
      <c r="AL12" s="88">
        <v>0</v>
      </c>
      <c r="AM12" s="88">
        <v>1</v>
      </c>
      <c r="AN12" s="193">
        <v>1</v>
      </c>
    </row>
    <row r="13" spans="1:40" ht="21" customHeight="1" x14ac:dyDescent="0.15">
      <c r="A13" s="13" t="str">
        <f t="shared" ca="1" si="0"/>
        <v>15030_1-2/374&lt;lv59&gt;s1</v>
      </c>
      <c r="B13" s="90">
        <v>15030</v>
      </c>
      <c r="C13" s="91">
        <v>1</v>
      </c>
      <c r="D13" s="1" t="str">
        <f t="shared" si="1"/>
        <v>15030_1</v>
      </c>
      <c r="E13" s="3" t="str">
        <f ca="1">VLOOKUP($B13,OFFSET([2]quests!$A$1,0,0,COUNTA([2]quests!$A:$A),MATCH(E$1,[2]quests!$1:$1,0)-MATCH($B$1,[2]quests!$1:$1,0)+1),MATCH(E$1,[2]quests!$1:$1,0)-MATCH($B$1,[2]quests!$1:$1,0)+1,FALSE)</f>
        <v>30. 月夜のオールドシティ</v>
      </c>
      <c r="F13" s="14" t="str">
        <f ca="1">VLOOKUP($D13,OFFSET([2]stages!$A$1,0,0,COUNTA([2]stages!$A:$A),MATCH(F$1,[2]stages!$2:$2,0)-MATCH($D$1,[2]stages!$2:$2,0)+1),MATCH(F$1,[2]stages!$2:$2,0)-MATCH($D$1,[2]stages!$2:$2,0)+1,FALSE)</f>
        <v>30-1. 月夜に煌めく刃</v>
      </c>
      <c r="G13" s="194">
        <v>2</v>
      </c>
      <c r="H13" s="12" t="str">
        <f t="shared" si="2"/>
        <v>15030_1-2</v>
      </c>
      <c r="I13" s="3">
        <f ca="1">VLOOKUP($H13,OFFSET(floors!$A$1,0,0,COUNTA(floors!$A:$A),MATCH(I$1,floors!$1:$1,0)-MATCH($H$1,floors!$1:$1,0)+1),MATCH(I$1,floors!$1:$1,0)-MATCH($H$1,floors!$1:$1,0)+1,FALSE)</f>
        <v>45</v>
      </c>
      <c r="J13" s="3">
        <f ca="1">VLOOKUP($H13,OFFSET(floors!$A$1,0,0,COUNTA(floors!$A:$A),MATCH(J$1,floors!$1:$1,0)-MATCH($H$1,floors!$1:$1,0)+1),MATCH(J$1,floors!$1:$1,0)-MATCH($H$1,floors!$1:$1,0)+1,FALSE)</f>
        <v>60</v>
      </c>
      <c r="K13" s="31" t="s">
        <v>87</v>
      </c>
      <c r="L13" s="95">
        <v>374</v>
      </c>
      <c r="M13" s="14" t="str">
        <f ca="1">VLOOKUP($L13,OFFSET([3]enemies!$A$1,0,0,COUNTA([3]enemies!$A:$A),MATCH(M$1,[3]enemies!$1:$1,0)-MATCH($L$1,[3]enemies!$1:$1,0)+1),MATCH(M$1,[3]enemies!$1:$1,0)-MATCH($L$1,[3]enemies!$1:$1,0)+1,FALSE)</f>
        <v>影丸</v>
      </c>
      <c r="N13" s="14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4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4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4">
        <f ca="1">VLOOKUP($L13,OFFSET([3]enemies!$A$1,0,0,COUNTA([3]enemies!$A:$A),MATCH(Q$1,[3]enemies!$1:$1,0)-MATCH($L$1,[3]enemies!$1:$1,0)+1),MATCH(Q$1,[3]enemies!$1:$1,0)-MATCH($L$1,[3]enemies!$1:$1,0)+1,FALSE)</f>
        <v>15</v>
      </c>
      <c r="R13" s="4">
        <v>59</v>
      </c>
      <c r="S13" s="19">
        <v>1.2</v>
      </c>
      <c r="T13" s="19">
        <v>0.9</v>
      </c>
      <c r="U13" s="4">
        <v>0</v>
      </c>
      <c r="V13" s="97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ウィルス状態のユニットに大ダメージの全体攻撃</v>
      </c>
      <c r="W13" s="97">
        <v>15030002</v>
      </c>
      <c r="X13" s="5">
        <v>0</v>
      </c>
      <c r="Y13" s="5">
        <v>100</v>
      </c>
      <c r="Z13" s="5">
        <v>2</v>
      </c>
      <c r="AA13" s="14">
        <f ca="1">VLOOKUP($L13,OFFSET([3]enemies!$A$1,0,0,COUNTA([3]enemies!$A:$A),MATCH(AA$1,[3]enemies!$1:$1,0)-MATCH($L$1,[3]enemies!$1:$1,0)+1),MATCH(AA$1,[3]enemies!$1:$1,0)-MATCH($L$1,[3]enemies!$1:$1,0)+1,FALSE)</f>
        <v>1</v>
      </c>
      <c r="AB13" s="170">
        <f t="shared" si="3"/>
        <v>374</v>
      </c>
      <c r="AC13" s="3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影丸</v>
      </c>
      <c r="AD13" s="3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3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88">
        <v>1</v>
      </c>
      <c r="AG13" s="170">
        <f t="shared" ca="1" si="4"/>
        <v>2</v>
      </c>
      <c r="AH13" s="7">
        <v>20</v>
      </c>
      <c r="AI13" s="88">
        <v>0</v>
      </c>
      <c r="AJ13" s="88">
        <v>0</v>
      </c>
      <c r="AK13" s="88">
        <v>0</v>
      </c>
      <c r="AL13" s="88">
        <v>0</v>
      </c>
      <c r="AM13" s="88">
        <v>1</v>
      </c>
      <c r="AN13" s="193">
        <v>1</v>
      </c>
    </row>
    <row r="14" spans="1:40" ht="21" customHeight="1" x14ac:dyDescent="0.15">
      <c r="A14" s="13" t="str">
        <f t="shared" ca="1" si="0"/>
        <v>15030_1-2/348&lt;lv59&gt;s3</v>
      </c>
      <c r="B14" s="90">
        <v>15030</v>
      </c>
      <c r="C14" s="91">
        <v>1</v>
      </c>
      <c r="D14" s="1" t="str">
        <f t="shared" si="1"/>
        <v>15030_1</v>
      </c>
      <c r="E14" s="3" t="str">
        <f ca="1">VLOOKUP($B14,OFFSET([2]quests!$A$1,0,0,COUNTA([2]quests!$A:$A),MATCH(E$1,[2]quests!$1:$1,0)-MATCH($B$1,[2]quests!$1:$1,0)+1),MATCH(E$1,[2]quests!$1:$1,0)-MATCH($B$1,[2]quests!$1:$1,0)+1,FALSE)</f>
        <v>30. 月夜のオールドシティ</v>
      </c>
      <c r="F14" s="14" t="str">
        <f ca="1">VLOOKUP($D14,OFFSET([2]stages!$A$1,0,0,COUNTA([2]stages!$A:$A),MATCH(F$1,[2]stages!$2:$2,0)-MATCH($D$1,[2]stages!$2:$2,0)+1),MATCH(F$1,[2]stages!$2:$2,0)-MATCH($D$1,[2]stages!$2:$2,0)+1,FALSE)</f>
        <v>30-1. 月夜に煌めく刃</v>
      </c>
      <c r="G14" s="194">
        <v>2</v>
      </c>
      <c r="H14" s="12" t="str">
        <f t="shared" si="2"/>
        <v>15030_1-2</v>
      </c>
      <c r="I14" s="3">
        <f ca="1">VLOOKUP($H14,OFFSET(floors!$A$1,0,0,COUNTA(floors!$A:$A),MATCH(I$1,floors!$1:$1,0)-MATCH($H$1,floors!$1:$1,0)+1),MATCH(I$1,floors!$1:$1,0)-MATCH($H$1,floors!$1:$1,0)+1,FALSE)</f>
        <v>45</v>
      </c>
      <c r="J14" s="3">
        <f ca="1">VLOOKUP($H14,OFFSET(floors!$A$1,0,0,COUNTA(floors!$A:$A),MATCH(J$1,floors!$1:$1,0)-MATCH($H$1,floors!$1:$1,0)+1),MATCH(J$1,floors!$1:$1,0)-MATCH($H$1,floors!$1:$1,0)+1,FALSE)</f>
        <v>60</v>
      </c>
      <c r="K14" s="31" t="s">
        <v>87</v>
      </c>
      <c r="L14" s="95">
        <v>348</v>
      </c>
      <c r="M14" s="14" t="str">
        <f ca="1">VLOOKUP($L14,OFFSET([3]enemies!$A$1,0,0,COUNTA([3]enemies!$A:$A),MATCH(M$1,[3]enemies!$1:$1,0)-MATCH($L$1,[3]enemies!$1:$1,0)+1),MATCH(M$1,[3]enemies!$1:$1,0)-MATCH($L$1,[3]enemies!$1:$1,0)+1,FALSE)</f>
        <v>炎のケロケロ</v>
      </c>
      <c r="N14" s="14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4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14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4">
        <f ca="1">VLOOKUP($L14,OFFSET([3]enemies!$A$1,0,0,COUNTA([3]enemies!$A:$A),MATCH(Q$1,[3]enemies!$1:$1,0)-MATCH($L$1,[3]enemies!$1:$1,0)+1),MATCH(Q$1,[3]enemies!$1:$1,0)-MATCH($L$1,[3]enemies!$1:$1,0)+1,FALSE)</f>
        <v>15</v>
      </c>
      <c r="R14" s="4">
        <v>59</v>
      </c>
      <c r="S14" s="19">
        <v>1.5</v>
      </c>
      <c r="T14" s="19">
        <v>0.9</v>
      </c>
      <c r="U14" s="4">
        <v>0</v>
      </c>
      <c r="V14" s="98" t="e">
        <f ca="1">VLOOKUP($W14,OFFSET(enemy_skill_sets!$B$1,0,0,COUNTA(enemy_skill_sets!$B:$B),MATCH(M$1,enemy_skill_sets!$1:$1,0)-MATCH($W$1,enemy_skill_sets!$1:$1,0)+2),MATCH(M$1,enemy_skill_sets!$1:$1,0)-MATCH($W$1,enemy_skill_sets!$1:$1,0)+2,FALSE)</f>
        <v>#N/A</v>
      </c>
      <c r="W14" s="3">
        <f ca="1">VLOOKUP($L14,OFFSET([3]enemies!$A$1,0,0,COUNTA([3]enemies!$A:$A),MATCH(W$1,[3]enemies!$1:$1,0)-MATCH($L$1,[3]enemies!$1:$1,0)+1),MATCH(W$1,[3]enemies!$1:$1,0)-MATCH($L$1,[3]enemies!$1:$1,0)+1,FALSE)</f>
        <v>0</v>
      </c>
      <c r="X14" s="5">
        <v>0</v>
      </c>
      <c r="Y14" s="5">
        <v>100</v>
      </c>
      <c r="Z14" s="5">
        <v>0</v>
      </c>
      <c r="AA14" s="14">
        <f ca="1">VLOOKUP($L14,OFFSET([3]enemies!$A$1,0,0,COUNTA([3]enemies!$A:$A),MATCH(AA$1,[3]enemies!$1:$1,0)-MATCH($L$1,[3]enemies!$1:$1,0)+1),MATCH(AA$1,[3]enemies!$1:$1,0)-MATCH($L$1,[3]enemies!$1:$1,0)+1,FALSE)</f>
        <v>3</v>
      </c>
      <c r="AB14" s="170">
        <f t="shared" si="3"/>
        <v>348</v>
      </c>
      <c r="AC14" s="3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14" s="3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3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88">
        <v>10</v>
      </c>
      <c r="AG14" s="170">
        <f t="shared" ca="1" si="4"/>
        <v>2</v>
      </c>
      <c r="AH14" s="7">
        <v>100</v>
      </c>
      <c r="AI14" s="88">
        <v>0</v>
      </c>
      <c r="AJ14" s="88">
        <v>0</v>
      </c>
      <c r="AK14" s="88">
        <v>0</v>
      </c>
      <c r="AL14" s="88">
        <v>0</v>
      </c>
      <c r="AM14" s="88">
        <v>1</v>
      </c>
      <c r="AN14" s="193">
        <v>1</v>
      </c>
    </row>
    <row r="15" spans="1:40" ht="21" customHeight="1" thickBot="1" x14ac:dyDescent="0.2">
      <c r="A15" s="13" t="str">
        <f t="shared" ca="1" si="0"/>
        <v>15030_1-2/352&lt;lv59&gt;s3</v>
      </c>
      <c r="B15" s="90">
        <v>15030</v>
      </c>
      <c r="C15" s="91">
        <v>1</v>
      </c>
      <c r="D15" s="1" t="str">
        <f t="shared" si="1"/>
        <v>15030_1</v>
      </c>
      <c r="E15" s="3" t="str">
        <f ca="1">VLOOKUP($B15,OFFSET([2]quests!$A$1,0,0,COUNTA([2]quests!$A:$A),MATCH(E$1,[2]quests!$1:$1,0)-MATCH($B$1,[2]quests!$1:$1,0)+1),MATCH(E$1,[2]quests!$1:$1,0)-MATCH($B$1,[2]quests!$1:$1,0)+1,FALSE)</f>
        <v>30. 月夜のオールドシティ</v>
      </c>
      <c r="F15" s="14" t="str">
        <f ca="1">VLOOKUP($D15,OFFSET([2]stages!$A$1,0,0,COUNTA([2]stages!$A:$A),MATCH(F$1,[2]stages!$2:$2,0)-MATCH($D$1,[2]stages!$2:$2,0)+1),MATCH(F$1,[2]stages!$2:$2,0)-MATCH($D$1,[2]stages!$2:$2,0)+1,FALSE)</f>
        <v>30-1. 月夜に煌めく刃</v>
      </c>
      <c r="G15" s="195">
        <v>2</v>
      </c>
      <c r="H15" s="115" t="str">
        <f t="shared" si="2"/>
        <v>15030_1-2</v>
      </c>
      <c r="I15" s="116">
        <f ca="1">VLOOKUP($H15,OFFSET(floors!$A$1,0,0,COUNTA(floors!$A:$A),MATCH(I$1,floors!$1:$1,0)-MATCH($H$1,floors!$1:$1,0)+1),MATCH(I$1,floors!$1:$1,0)-MATCH($H$1,floors!$1:$1,0)+1,FALSE)</f>
        <v>45</v>
      </c>
      <c r="J15" s="116">
        <f ca="1">VLOOKUP($H15,OFFSET(floors!$A$1,0,0,COUNTA(floors!$A:$A),MATCH(J$1,floors!$1:$1,0)-MATCH($H$1,floors!$1:$1,0)+1),MATCH(J$1,floors!$1:$1,0)-MATCH($H$1,floors!$1:$1,0)+1,FALSE)</f>
        <v>60</v>
      </c>
      <c r="K15" s="118" t="s">
        <v>87</v>
      </c>
      <c r="L15" s="119">
        <v>352</v>
      </c>
      <c r="M15" s="120" t="str">
        <f ca="1">VLOOKUP($L15,OFFSET([3]enemies!$A$1,0,0,COUNTA([3]enemies!$A:$A),MATCH(M$1,[3]enemies!$1:$1,0)-MATCH($L$1,[3]enemies!$1:$1,0)+1),MATCH(M$1,[3]enemies!$1:$1,0)-MATCH($L$1,[3]enemies!$1:$1,0)+1,FALSE)</f>
        <v>水のケロケロ</v>
      </c>
      <c r="N15" s="120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20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1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20">
        <f ca="1">VLOOKUP($L15,OFFSET([3]enemies!$A$1,0,0,COUNTA([3]enemies!$A:$A),MATCH(Q$1,[3]enemies!$1:$1,0)-MATCH($L$1,[3]enemies!$1:$1,0)+1),MATCH(Q$1,[3]enemies!$1:$1,0)-MATCH($L$1,[3]enemies!$1:$1,0)+1,FALSE)</f>
        <v>15</v>
      </c>
      <c r="R15" s="121">
        <v>59</v>
      </c>
      <c r="S15" s="122">
        <v>1.5</v>
      </c>
      <c r="T15" s="122">
        <v>0.9</v>
      </c>
      <c r="U15" s="121">
        <v>0</v>
      </c>
      <c r="V15" s="196" t="e">
        <f ca="1">VLOOKUP($W15,OFFSET(enemy_skill_sets!$B$1,0,0,COUNTA(enemy_skill_sets!$B:$B),MATCH(M$1,enemy_skill_sets!$1:$1,0)-MATCH($W$1,enemy_skill_sets!$1:$1,0)+2),MATCH(M$1,enemy_skill_sets!$1:$1,0)-MATCH($W$1,enemy_skill_sets!$1:$1,0)+2,FALSE)</f>
        <v>#N/A</v>
      </c>
      <c r="W15" s="116">
        <f ca="1">VLOOKUP($L15,OFFSET([3]enemies!$A$1,0,0,COUNTA([3]enemies!$A:$A),MATCH(W$1,[3]enemies!$1:$1,0)-MATCH($L$1,[3]enemies!$1:$1,0)+1),MATCH(W$1,[3]enemies!$1:$1,0)-MATCH($L$1,[3]enemies!$1:$1,0)+1,FALSE)</f>
        <v>0</v>
      </c>
      <c r="X15" s="124">
        <v>0</v>
      </c>
      <c r="Y15" s="124">
        <v>100</v>
      </c>
      <c r="Z15" s="124">
        <v>0</v>
      </c>
      <c r="AA15" s="120">
        <f ca="1">VLOOKUP($L15,OFFSET([3]enemies!$A$1,0,0,COUNTA([3]enemies!$A:$A),MATCH(AA$1,[3]enemies!$1:$1,0)-MATCH($L$1,[3]enemies!$1:$1,0)+1),MATCH(AA$1,[3]enemies!$1:$1,0)-MATCH($L$1,[3]enemies!$1:$1,0)+1,FALSE)</f>
        <v>3</v>
      </c>
      <c r="AB15" s="126">
        <f t="shared" si="3"/>
        <v>352</v>
      </c>
      <c r="AC15" s="116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15" s="116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116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127">
        <v>10</v>
      </c>
      <c r="AG15" s="126">
        <f t="shared" ca="1" si="4"/>
        <v>2</v>
      </c>
      <c r="AH15" s="128">
        <v>100</v>
      </c>
      <c r="AI15" s="127">
        <v>0</v>
      </c>
      <c r="AJ15" s="127">
        <v>0</v>
      </c>
      <c r="AK15" s="127">
        <v>0</v>
      </c>
      <c r="AL15" s="127">
        <v>0</v>
      </c>
      <c r="AM15" s="127">
        <v>1</v>
      </c>
      <c r="AN15" s="197">
        <v>1</v>
      </c>
    </row>
    <row r="16" spans="1:40" ht="21" customHeight="1" x14ac:dyDescent="0.15">
      <c r="A16" s="13" t="str">
        <f t="shared" ca="1" si="0"/>
        <v>15030_1-3/361&lt;lv60&gt;s3</v>
      </c>
      <c r="B16" s="90">
        <v>15030</v>
      </c>
      <c r="C16" s="91">
        <v>1</v>
      </c>
      <c r="D16" s="1" t="str">
        <f t="shared" si="1"/>
        <v>15030_1</v>
      </c>
      <c r="E16" s="3" t="str">
        <f ca="1">VLOOKUP($B16,OFFSET([2]quests!$A$1,0,0,COUNTA([2]quests!$A:$A),MATCH(E$1,[2]quests!$1:$1,0)-MATCH($B$1,[2]quests!$1:$1,0)+1),MATCH(E$1,[2]quests!$1:$1,0)-MATCH($B$1,[2]quests!$1:$1,0)+1,FALSE)</f>
        <v>30. 月夜のオールドシティ</v>
      </c>
      <c r="F16" s="14" t="str">
        <f ca="1">VLOOKUP($D16,OFFSET([2]stages!$A$1,0,0,COUNTA([2]stages!$A:$A),MATCH(F$1,[2]stages!$2:$2,0)-MATCH($D$1,[2]stages!$2:$2,0)+1),MATCH(F$1,[2]stages!$2:$2,0)-MATCH($D$1,[2]stages!$2:$2,0)+1,FALSE)</f>
        <v>30-1. 月夜に煌めく刃</v>
      </c>
      <c r="G16" s="237">
        <v>3</v>
      </c>
      <c r="H16" s="102" t="str">
        <f t="shared" si="2"/>
        <v>15030_1-3</v>
      </c>
      <c r="I16" s="3">
        <f ca="1">VLOOKUP($H16,OFFSET(floors!$A$1,0,0,COUNTA(floors!$A:$A),MATCH(I$1,floors!$1:$1,0)-MATCH($H$1,floors!$1:$1,0)+1),MATCH(I$1,floors!$1:$1,0)-MATCH($H$1,floors!$1:$1,0)+1,FALSE)</f>
        <v>45</v>
      </c>
      <c r="J16" s="3">
        <f ca="1">VLOOKUP($H16,OFFSET(floors!$A$1,0,0,COUNTA(floors!$A:$A),MATCH(J$1,floors!$1:$1,0)-MATCH($H$1,floors!$1:$1,0)+1),MATCH(J$1,floors!$1:$1,0)-MATCH($H$1,floors!$1:$1,0)+1,FALSE)</f>
        <v>60</v>
      </c>
      <c r="K16" s="103" t="s">
        <v>87</v>
      </c>
      <c r="L16" s="104">
        <v>361</v>
      </c>
      <c r="M16" s="14" t="str">
        <f ca="1">VLOOKUP($L16,OFFSET([3]enemies!$A$1,0,0,COUNTA([3]enemies!$A:$A),MATCH(M$1,[3]enemies!$1:$1,0)-MATCH($L$1,[3]enemies!$1:$1,0)+1),MATCH(M$1,[3]enemies!$1:$1,0)-MATCH($L$1,[3]enemies!$1:$1,0)+1,FALSE)</f>
        <v>灼熱の鉄板 ガンテツ</v>
      </c>
      <c r="N16" s="14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4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4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4">
        <f ca="1">VLOOKUP($L16,OFFSET([3]enemies!$A$1,0,0,COUNTA([3]enemies!$A:$A),MATCH(Q$1,[3]enemies!$1:$1,0)-MATCH($L$1,[3]enemies!$1:$1,0)+1),MATCH(Q$1,[3]enemies!$1:$1,0)-MATCH($L$1,[3]enemies!$1:$1,0)+1,FALSE)</f>
        <v>15</v>
      </c>
      <c r="R16" s="105">
        <v>60</v>
      </c>
      <c r="S16" s="106">
        <v>1.1000000000000001</v>
      </c>
      <c r="T16" s="106">
        <v>0.9</v>
      </c>
      <c r="U16" s="105">
        <v>0</v>
      </c>
      <c r="V16" s="98" t="e">
        <f ca="1">VLOOKUP($W16,OFFSET(enemy_skill_sets!$B$1,0,0,COUNTA(enemy_skill_sets!$B:$B),MATCH(M$1,enemy_skill_sets!$1:$1,0)-MATCH($W$1,enemy_skill_sets!$1:$1,0)+2),MATCH(M$1,enemy_skill_sets!$1:$1,0)-MATCH($W$1,enemy_skill_sets!$1:$1,0)+2,FALSE)</f>
        <v>#N/A</v>
      </c>
      <c r="W16" s="3">
        <f ca="1">VLOOKUP($L16,OFFSET([3]enemies!$A$1,0,0,COUNTA([3]enemies!$A:$A),MATCH(W$1,[3]enemies!$1:$1,0)-MATCH($L$1,[3]enemies!$1:$1,0)+1),MATCH(W$1,[3]enemies!$1:$1,0)-MATCH($L$1,[3]enemies!$1:$1,0)+1,FALSE)</f>
        <v>0</v>
      </c>
      <c r="X16" s="107">
        <v>0</v>
      </c>
      <c r="Y16" s="107">
        <v>100</v>
      </c>
      <c r="Z16" s="107">
        <v>0</v>
      </c>
      <c r="AA16" s="14">
        <f ca="1">VLOOKUP($L16,OFFSET([3]enemies!$A$1,0,0,COUNTA([3]enemies!$A:$A),MATCH(AA$1,[3]enemies!$1:$1,0)-MATCH($L$1,[3]enemies!$1:$1,0)+1),MATCH(AA$1,[3]enemies!$1:$1,0)-MATCH($L$1,[3]enemies!$1:$1,0)+1,FALSE)</f>
        <v>3</v>
      </c>
      <c r="AB16" s="108">
        <f t="shared" si="3"/>
        <v>361</v>
      </c>
      <c r="AC16" s="3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16" s="3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3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109">
        <v>1</v>
      </c>
      <c r="AG16" s="108">
        <f t="shared" ca="1" si="4"/>
        <v>3</v>
      </c>
      <c r="AH16" s="110">
        <v>20</v>
      </c>
      <c r="AI16" s="109">
        <v>0</v>
      </c>
      <c r="AJ16" s="109">
        <v>0</v>
      </c>
      <c r="AK16" s="109">
        <v>0</v>
      </c>
      <c r="AL16" s="109">
        <v>0</v>
      </c>
      <c r="AM16" s="109">
        <v>1</v>
      </c>
      <c r="AN16" s="229">
        <v>1</v>
      </c>
    </row>
    <row r="17" spans="1:40" ht="21" customHeight="1" x14ac:dyDescent="0.15">
      <c r="A17" s="13" t="str">
        <f t="shared" ref="A17" ca="1" si="35">B17&amp;"_"&amp;C17&amp;"-"&amp;G17&amp;"/"&amp;L17&amp;"&lt;lv"&amp;R17&amp;"&gt;s"&amp;AA17</f>
        <v>15030_1-3/365&lt;lv60&gt;s3</v>
      </c>
      <c r="B17" s="90">
        <v>15030</v>
      </c>
      <c r="C17" s="91">
        <v>1</v>
      </c>
      <c r="D17" s="1" t="str">
        <f t="shared" ref="D17" si="36">B17&amp;"_"&amp;C17</f>
        <v>15030_1</v>
      </c>
      <c r="E17" s="3" t="str">
        <f ca="1">VLOOKUP($B17,OFFSET([2]quests!$A$1,0,0,COUNTA([2]quests!$A:$A),MATCH(E$1,[2]quests!$1:$1,0)-MATCH($B$1,[2]quests!$1:$1,0)+1),MATCH(E$1,[2]quests!$1:$1,0)-MATCH($B$1,[2]quests!$1:$1,0)+1,FALSE)</f>
        <v>30. 月夜のオールドシティ</v>
      </c>
      <c r="F17" s="14" t="str">
        <f ca="1">VLOOKUP($D17,OFFSET([2]stages!$A$1,0,0,COUNTA([2]stages!$A:$A),MATCH(F$1,[2]stages!$2:$2,0)-MATCH($D$1,[2]stages!$2:$2,0)+1),MATCH(F$1,[2]stages!$2:$2,0)-MATCH($D$1,[2]stages!$2:$2,0)+1,FALSE)</f>
        <v>30-1. 月夜に煌めく刃</v>
      </c>
      <c r="G17" s="194">
        <v>3</v>
      </c>
      <c r="H17" s="12" t="str">
        <f t="shared" ref="H17" si="37">B17&amp;"_"&amp;C17&amp;"-"&amp;G17</f>
        <v>15030_1-3</v>
      </c>
      <c r="I17" s="3">
        <f ca="1">VLOOKUP($H17,OFFSET(floors!$A$1,0,0,COUNTA(floors!$A:$A),MATCH(I$1,floors!$1:$1,0)-MATCH($H$1,floors!$1:$1,0)+1),MATCH(I$1,floors!$1:$1,0)-MATCH($H$1,floors!$1:$1,0)+1,FALSE)</f>
        <v>45</v>
      </c>
      <c r="J17" s="3">
        <f ca="1">VLOOKUP($H17,OFFSET(floors!$A$1,0,0,COUNTA(floors!$A:$A),MATCH(J$1,floors!$1:$1,0)-MATCH($H$1,floors!$1:$1,0)+1),MATCH(J$1,floors!$1:$1,0)-MATCH($H$1,floors!$1:$1,0)+1,FALSE)</f>
        <v>60</v>
      </c>
      <c r="K17" s="31" t="s">
        <v>87</v>
      </c>
      <c r="L17" s="95">
        <v>365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惨劇の人形 ノエル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4">
        <f ca="1">VLOOKUP($L17,OFFSET([3]enemies!$A$1,0,0,COUNTA([3]enemies!$A:$A),MATCH(Q$1,[3]enemies!$1:$1,0)-MATCH($L$1,[3]enemies!$1:$1,0)+1),MATCH(Q$1,[3]enemies!$1:$1,0)-MATCH($L$1,[3]enemies!$1:$1,0)+1,FALSE)</f>
        <v>15</v>
      </c>
      <c r="R17" s="4">
        <v>60</v>
      </c>
      <c r="S17" s="19">
        <v>1.1000000000000001</v>
      </c>
      <c r="T17" s="19">
        <v>0.9</v>
      </c>
      <c r="U17" s="4">
        <v>0</v>
      </c>
      <c r="V17" s="98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3">
        <f ca="1">VLOOKUP($L17,OFFSET([3]enemies!$A$1,0,0,COUNTA([3]enemies!$A:$A),MATCH(W$1,[3]enemies!$1:$1,0)-MATCH($L$1,[3]enemies!$1:$1,0)+1),MATCH(W$1,[3]enemies!$1:$1,0)-MATCH($L$1,[3]enemies!$1:$1,0)+1,FALSE)</f>
        <v>0</v>
      </c>
      <c r="X17" s="5">
        <v>0</v>
      </c>
      <c r="Y17" s="5">
        <v>100</v>
      </c>
      <c r="Z17" s="5">
        <v>0</v>
      </c>
      <c r="AA17" s="14">
        <f ca="1">VLOOKUP($L17,OFFSET([3]enemies!$A$1,0,0,COUNTA([3]enemies!$A:$A),MATCH(AA$1,[3]enemies!$1:$1,0)-MATCH($L$1,[3]enemies!$1:$1,0)+1),MATCH(AA$1,[3]enemies!$1:$1,0)-MATCH($L$1,[3]enemies!$1:$1,0)+1,FALSE)</f>
        <v>3</v>
      </c>
      <c r="AB17" s="170">
        <f t="shared" ref="AB17" si="38">L17</f>
        <v>365</v>
      </c>
      <c r="AC17" s="3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惨劇の人形 ノエル</v>
      </c>
      <c r="AD17" s="3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3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88">
        <v>1</v>
      </c>
      <c r="AG17" s="170">
        <f t="shared" ref="AG17" ca="1" si="39">AD17</f>
        <v>3</v>
      </c>
      <c r="AH17" s="7">
        <v>20</v>
      </c>
      <c r="AI17" s="88">
        <v>0</v>
      </c>
      <c r="AJ17" s="88">
        <v>0</v>
      </c>
      <c r="AK17" s="88">
        <v>0</v>
      </c>
      <c r="AL17" s="88">
        <v>0</v>
      </c>
      <c r="AM17" s="88">
        <v>1</v>
      </c>
      <c r="AN17" s="193">
        <v>1</v>
      </c>
    </row>
    <row r="18" spans="1:40" ht="21" customHeight="1" x14ac:dyDescent="0.15">
      <c r="A18" s="13" t="str">
        <f t="shared" ref="A18" ca="1" si="40">B18&amp;"_"&amp;C18&amp;"-"&amp;G18&amp;"/"&amp;L18&amp;"&lt;lv"&amp;R18&amp;"&gt;s"&amp;AA18</f>
        <v>15030_1-3/34&lt;lv60&gt;s2</v>
      </c>
      <c r="B18" s="90">
        <v>15030</v>
      </c>
      <c r="C18" s="91">
        <v>1</v>
      </c>
      <c r="D18" s="1" t="str">
        <f t="shared" ref="D18" si="41">B18&amp;"_"&amp;C18</f>
        <v>15030_1</v>
      </c>
      <c r="E18" s="3" t="str">
        <f ca="1">VLOOKUP($B18,OFFSET([2]quests!$A$1,0,0,COUNTA([2]quests!$A:$A),MATCH(E$1,[2]quests!$1:$1,0)-MATCH($B$1,[2]quests!$1:$1,0)+1),MATCH(E$1,[2]quests!$1:$1,0)-MATCH($B$1,[2]quests!$1:$1,0)+1,FALSE)</f>
        <v>30. 月夜のオールドシティ</v>
      </c>
      <c r="F18" s="14" t="str">
        <f ca="1">VLOOKUP($D18,OFFSET([2]stages!$A$1,0,0,COUNTA([2]stages!$A:$A),MATCH(F$1,[2]stages!$2:$2,0)-MATCH($D$1,[2]stages!$2:$2,0)+1),MATCH(F$1,[2]stages!$2:$2,0)-MATCH($D$1,[2]stages!$2:$2,0)+1,FALSE)</f>
        <v>30-1. 月夜に煌めく刃</v>
      </c>
      <c r="G18" s="194">
        <v>3</v>
      </c>
      <c r="H18" s="12" t="str">
        <f t="shared" ref="H18" si="42">B18&amp;"_"&amp;C18&amp;"-"&amp;G18</f>
        <v>15030_1-3</v>
      </c>
      <c r="I18" s="3">
        <f ca="1">VLOOKUP($H18,OFFSET(floors!$A$1,0,0,COUNTA(floors!$A:$A),MATCH(I$1,floors!$1:$1,0)-MATCH($H$1,floors!$1:$1,0)+1),MATCH(I$1,floors!$1:$1,0)-MATCH($H$1,floors!$1:$1,0)+1,FALSE)</f>
        <v>45</v>
      </c>
      <c r="J18" s="3">
        <f ca="1">VLOOKUP($H18,OFFSET(floors!$A$1,0,0,COUNTA(floors!$A:$A),MATCH(J$1,floors!$1:$1,0)-MATCH($H$1,floors!$1:$1,0)+1),MATCH(J$1,floors!$1:$1,0)-MATCH($H$1,floors!$1:$1,0)+1,FALSE)</f>
        <v>60</v>
      </c>
      <c r="K18" s="31" t="s">
        <v>87</v>
      </c>
      <c r="L18" s="95">
        <v>34</v>
      </c>
      <c r="M18" s="14" t="str">
        <f ca="1">VLOOKUP($L18,OFFSET([3]enemies!$A$1,0,0,COUNTA([3]enemies!$A:$A),MATCH(M$1,[3]enemies!$1:$1,0)-MATCH($L$1,[3]enemies!$1:$1,0)+1),MATCH(M$1,[3]enemies!$1:$1,0)-MATCH($L$1,[3]enemies!$1:$1,0)+1,FALSE)</f>
        <v>斉天大聖 ゴクウ</v>
      </c>
      <c r="N18" s="14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4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4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4">
        <f ca="1">VLOOKUP($L18,OFFSET([3]enemies!$A$1,0,0,COUNTA([3]enemies!$A:$A),MATCH(Q$1,[3]enemies!$1:$1,0)-MATCH($L$1,[3]enemies!$1:$1,0)+1),MATCH(Q$1,[3]enemies!$1:$1,0)-MATCH($L$1,[3]enemies!$1:$1,0)+1,FALSE)</f>
        <v>20</v>
      </c>
      <c r="R18" s="4">
        <v>60</v>
      </c>
      <c r="S18" s="19">
        <v>1.1000000000000001</v>
      </c>
      <c r="T18" s="19">
        <v>0.9</v>
      </c>
      <c r="U18" s="4">
        <v>0</v>
      </c>
      <c r="V18" s="98" t="e">
        <f ca="1">VLOOKUP($W18,OFFSET(enemy_skill_sets!$B$1,0,0,COUNTA(enemy_skill_sets!$B:$B),MATCH(M$1,enemy_skill_sets!$1:$1,0)-MATCH($W$1,enemy_skill_sets!$1:$1,0)+2),MATCH(M$1,enemy_skill_sets!$1:$1,0)-MATCH($W$1,enemy_skill_sets!$1:$1,0)+2,FALSE)</f>
        <v>#N/A</v>
      </c>
      <c r="W18" s="3">
        <f ca="1">VLOOKUP($L18,OFFSET([3]enemies!$A$1,0,0,COUNTA([3]enemies!$A:$A),MATCH(W$1,[3]enemies!$1:$1,0)-MATCH($L$1,[3]enemies!$1:$1,0)+1),MATCH(W$1,[3]enemies!$1:$1,0)-MATCH($L$1,[3]enemies!$1:$1,0)+1,FALSE)</f>
        <v>34</v>
      </c>
      <c r="X18" s="5">
        <v>0</v>
      </c>
      <c r="Y18" s="5">
        <v>100</v>
      </c>
      <c r="Z18" s="5">
        <v>0</v>
      </c>
      <c r="AA18" s="14">
        <f ca="1">VLOOKUP($L18,OFFSET([3]enemies!$A$1,0,0,COUNTA([3]enemies!$A:$A),MATCH(AA$1,[3]enemies!$1:$1,0)-MATCH($L$1,[3]enemies!$1:$1,0)+1),MATCH(AA$1,[3]enemies!$1:$1,0)-MATCH($L$1,[3]enemies!$1:$1,0)+1,FALSE)</f>
        <v>2</v>
      </c>
      <c r="AB18" s="170">
        <f t="shared" ref="AB18" si="43">L18</f>
        <v>34</v>
      </c>
      <c r="AC18" s="3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斉天大聖 ゴクウ</v>
      </c>
      <c r="AD18" s="3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3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" s="88">
        <v>1</v>
      </c>
      <c r="AG18" s="170">
        <f t="shared" ref="AG18" ca="1" si="44">AD18</f>
        <v>3</v>
      </c>
      <c r="AH18" s="7">
        <v>20</v>
      </c>
      <c r="AI18" s="88">
        <v>0</v>
      </c>
      <c r="AJ18" s="88">
        <v>0</v>
      </c>
      <c r="AK18" s="88">
        <v>0</v>
      </c>
      <c r="AL18" s="88">
        <v>0</v>
      </c>
      <c r="AM18" s="88">
        <v>1</v>
      </c>
      <c r="AN18" s="193">
        <v>1</v>
      </c>
    </row>
    <row r="19" spans="1:40" ht="21" customHeight="1" x14ac:dyDescent="0.15">
      <c r="A19" s="13" t="str">
        <f t="shared" ref="A19" ca="1" si="45">B19&amp;"_"&amp;C19&amp;"-"&amp;G19&amp;"/"&amp;L19&amp;"&lt;lv"&amp;R19&amp;"&gt;s"&amp;AA19</f>
        <v>15030_1-3/38&lt;lv60&gt;s3</v>
      </c>
      <c r="B19" s="90">
        <v>15030</v>
      </c>
      <c r="C19" s="91">
        <v>1</v>
      </c>
      <c r="D19" s="1" t="str">
        <f t="shared" ref="D19" si="46">B19&amp;"_"&amp;C19</f>
        <v>15030_1</v>
      </c>
      <c r="E19" s="3" t="str">
        <f ca="1">VLOOKUP($B19,OFFSET([2]quests!$A$1,0,0,COUNTA([2]quests!$A:$A),MATCH(E$1,[2]quests!$1:$1,0)-MATCH($B$1,[2]quests!$1:$1,0)+1),MATCH(E$1,[2]quests!$1:$1,0)-MATCH($B$1,[2]quests!$1:$1,0)+1,FALSE)</f>
        <v>30. 月夜のオールドシティ</v>
      </c>
      <c r="F19" s="14" t="str">
        <f ca="1">VLOOKUP($D19,OFFSET([2]stages!$A$1,0,0,COUNTA([2]stages!$A:$A),MATCH(F$1,[2]stages!$2:$2,0)-MATCH($D$1,[2]stages!$2:$2,0)+1),MATCH(F$1,[2]stages!$2:$2,0)-MATCH($D$1,[2]stages!$2:$2,0)+1,FALSE)</f>
        <v>30-1. 月夜に煌めく刃</v>
      </c>
      <c r="G19" s="194">
        <v>3</v>
      </c>
      <c r="H19" s="12" t="str">
        <f t="shared" ref="H19" si="47">B19&amp;"_"&amp;C19&amp;"-"&amp;G19</f>
        <v>15030_1-3</v>
      </c>
      <c r="I19" s="3">
        <f ca="1">VLOOKUP($H19,OFFSET(floors!$A$1,0,0,COUNTA(floors!$A:$A),MATCH(I$1,floors!$1:$1,0)-MATCH($H$1,floors!$1:$1,0)+1),MATCH(I$1,floors!$1:$1,0)-MATCH($H$1,floors!$1:$1,0)+1,FALSE)</f>
        <v>45</v>
      </c>
      <c r="J19" s="3">
        <f ca="1">VLOOKUP($H19,OFFSET(floors!$A$1,0,0,COUNTA(floors!$A:$A),MATCH(J$1,floors!$1:$1,0)-MATCH($H$1,floors!$1:$1,0)+1),MATCH(J$1,floors!$1:$1,0)-MATCH($H$1,floors!$1:$1,0)+1,FALSE)</f>
        <v>60</v>
      </c>
      <c r="K19" s="31" t="s">
        <v>87</v>
      </c>
      <c r="L19" s="95">
        <v>38</v>
      </c>
      <c r="M19" s="14" t="str">
        <f ca="1">VLOOKUP($L19,OFFSET([3]enemies!$A$1,0,0,COUNTA([3]enemies!$A:$A),MATCH(M$1,[3]enemies!$1:$1,0)-MATCH($L$1,[3]enemies!$1:$1,0)+1),MATCH(M$1,[3]enemies!$1:$1,0)-MATCH($L$1,[3]enemies!$1:$1,0)+1,FALSE)</f>
        <v>通話対応型 ガイル</v>
      </c>
      <c r="N19" s="14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4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4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4">
        <f ca="1">VLOOKUP($L19,OFFSET([3]enemies!$A$1,0,0,COUNTA([3]enemies!$A:$A),MATCH(Q$1,[3]enemies!$1:$1,0)-MATCH($L$1,[3]enemies!$1:$1,0)+1),MATCH(Q$1,[3]enemies!$1:$1,0)-MATCH($L$1,[3]enemies!$1:$1,0)+1,FALSE)</f>
        <v>20</v>
      </c>
      <c r="R19" s="4">
        <v>60</v>
      </c>
      <c r="S19" s="19">
        <v>1.1000000000000001</v>
      </c>
      <c r="T19" s="19">
        <v>0.8</v>
      </c>
      <c r="U19" s="4">
        <v>0</v>
      </c>
      <c r="V19" s="98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3">
        <f ca="1">VLOOKUP($L19,OFFSET([3]enemies!$A$1,0,0,COUNTA([3]enemies!$A:$A),MATCH(W$1,[3]enemies!$1:$1,0)-MATCH($L$1,[3]enemies!$1:$1,0)+1),MATCH(W$1,[3]enemies!$1:$1,0)-MATCH($L$1,[3]enemies!$1:$1,0)+1,FALSE)</f>
        <v>38</v>
      </c>
      <c r="X19" s="5">
        <v>0</v>
      </c>
      <c r="Y19" s="5">
        <v>100</v>
      </c>
      <c r="Z19" s="5">
        <v>0</v>
      </c>
      <c r="AA19" s="14">
        <f ca="1">VLOOKUP($L19,OFFSET([3]enemies!$A$1,0,0,COUNTA([3]enemies!$A:$A),MATCH(AA$1,[3]enemies!$1:$1,0)-MATCH($L$1,[3]enemies!$1:$1,0)+1),MATCH(AA$1,[3]enemies!$1:$1,0)-MATCH($L$1,[3]enemies!$1:$1,0)+1,FALSE)</f>
        <v>3</v>
      </c>
      <c r="AB19" s="170">
        <f t="shared" ref="AB19" si="48">L19</f>
        <v>38</v>
      </c>
      <c r="AC19" s="3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通話対応型 ガイル</v>
      </c>
      <c r="AD19" s="3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3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9" s="88">
        <v>1</v>
      </c>
      <c r="AG19" s="170">
        <f t="shared" ref="AG19" ca="1" si="49">AD19</f>
        <v>3</v>
      </c>
      <c r="AH19" s="7">
        <v>20</v>
      </c>
      <c r="AI19" s="88">
        <v>0</v>
      </c>
      <c r="AJ19" s="88">
        <v>0</v>
      </c>
      <c r="AK19" s="88">
        <v>0</v>
      </c>
      <c r="AL19" s="88">
        <v>0</v>
      </c>
      <c r="AM19" s="88">
        <v>1</v>
      </c>
      <c r="AN19" s="193">
        <v>1</v>
      </c>
    </row>
    <row r="20" spans="1:40" ht="21" customHeight="1" x14ac:dyDescent="0.15">
      <c r="A20" s="13" t="str">
        <f t="shared" ref="A20:A21" ca="1" si="50">B20&amp;"_"&amp;C20&amp;"-"&amp;G20&amp;"/"&amp;L20&amp;"&lt;lv"&amp;R20&amp;"&gt;s"&amp;AA20</f>
        <v>15030_1-3/348&lt;lv60&gt;s3</v>
      </c>
      <c r="B20" s="90">
        <v>15030</v>
      </c>
      <c r="C20" s="91">
        <v>1</v>
      </c>
      <c r="D20" s="1" t="str">
        <f t="shared" ref="D20:D21" si="51">B20&amp;"_"&amp;C20</f>
        <v>15030_1</v>
      </c>
      <c r="E20" s="3" t="str">
        <f ca="1">VLOOKUP($B20,OFFSET([2]quests!$A$1,0,0,COUNTA([2]quests!$A:$A),MATCH(E$1,[2]quests!$1:$1,0)-MATCH($B$1,[2]quests!$1:$1,0)+1),MATCH(E$1,[2]quests!$1:$1,0)-MATCH($B$1,[2]quests!$1:$1,0)+1,FALSE)</f>
        <v>30. 月夜のオールドシティ</v>
      </c>
      <c r="F20" s="14" t="str">
        <f ca="1">VLOOKUP($D20,OFFSET([2]stages!$A$1,0,0,COUNTA([2]stages!$A:$A),MATCH(F$1,[2]stages!$2:$2,0)-MATCH($D$1,[2]stages!$2:$2,0)+1),MATCH(F$1,[2]stages!$2:$2,0)-MATCH($D$1,[2]stages!$2:$2,0)+1,FALSE)</f>
        <v>30-1. 月夜に煌めく刃</v>
      </c>
      <c r="G20" s="194">
        <v>3</v>
      </c>
      <c r="H20" s="12" t="str">
        <f t="shared" ref="H20:H21" si="52">B20&amp;"_"&amp;C20&amp;"-"&amp;G20</f>
        <v>15030_1-3</v>
      </c>
      <c r="I20" s="3">
        <f ca="1">VLOOKUP($H20,OFFSET(floors!$A$1,0,0,COUNTA(floors!$A:$A),MATCH(I$1,floors!$1:$1,0)-MATCH($H$1,floors!$1:$1,0)+1),MATCH(I$1,floors!$1:$1,0)-MATCH($H$1,floors!$1:$1,0)+1,FALSE)</f>
        <v>45</v>
      </c>
      <c r="J20" s="3">
        <f ca="1">VLOOKUP($H20,OFFSET(floors!$A$1,0,0,COUNTA(floors!$A:$A),MATCH(J$1,floors!$1:$1,0)-MATCH($H$1,floors!$1:$1,0)+1),MATCH(J$1,floors!$1:$1,0)-MATCH($H$1,floors!$1:$1,0)+1,FALSE)</f>
        <v>60</v>
      </c>
      <c r="K20" s="31" t="s">
        <v>87</v>
      </c>
      <c r="L20" s="95">
        <v>348</v>
      </c>
      <c r="M20" s="14" t="str">
        <f ca="1">VLOOKUP($L20,OFFSET([3]enemies!$A$1,0,0,COUNTA([3]enemies!$A:$A),MATCH(M$1,[3]enemies!$1:$1,0)-MATCH($L$1,[3]enemies!$1:$1,0)+1),MATCH(M$1,[3]enemies!$1:$1,0)-MATCH($L$1,[3]enemies!$1:$1,0)+1,FALSE)</f>
        <v>炎のケロケロ</v>
      </c>
      <c r="N20" s="14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4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14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4">
        <f ca="1">VLOOKUP($L20,OFFSET([3]enemies!$A$1,0,0,COUNTA([3]enemies!$A:$A),MATCH(Q$1,[3]enemies!$1:$1,0)-MATCH($L$1,[3]enemies!$1:$1,0)+1),MATCH(Q$1,[3]enemies!$1:$1,0)-MATCH($L$1,[3]enemies!$1:$1,0)+1,FALSE)</f>
        <v>15</v>
      </c>
      <c r="R20" s="4">
        <v>60</v>
      </c>
      <c r="S20" s="19">
        <v>1.1000000000000001</v>
      </c>
      <c r="T20" s="19">
        <v>0.8</v>
      </c>
      <c r="U20" s="4">
        <v>0</v>
      </c>
      <c r="V20" s="98" t="e">
        <f ca="1">VLOOKUP($W20,OFFSET(enemy_skill_sets!$B$1,0,0,COUNTA(enemy_skill_sets!$B:$B),MATCH(M$1,enemy_skill_sets!$1:$1,0)-MATCH($W$1,enemy_skill_sets!$1:$1,0)+2),MATCH(M$1,enemy_skill_sets!$1:$1,0)-MATCH($W$1,enemy_skill_sets!$1:$1,0)+2,FALSE)</f>
        <v>#N/A</v>
      </c>
      <c r="W20" s="3">
        <f ca="1">VLOOKUP($L20,OFFSET([3]enemies!$A$1,0,0,COUNTA([3]enemies!$A:$A),MATCH(W$1,[3]enemies!$1:$1,0)-MATCH($L$1,[3]enemies!$1:$1,0)+1),MATCH(W$1,[3]enemies!$1:$1,0)-MATCH($L$1,[3]enemies!$1:$1,0)+1,FALSE)</f>
        <v>0</v>
      </c>
      <c r="X20" s="5">
        <v>0</v>
      </c>
      <c r="Y20" s="5">
        <v>20</v>
      </c>
      <c r="Z20" s="5">
        <v>0</v>
      </c>
      <c r="AA20" s="14">
        <f ca="1">VLOOKUP($L20,OFFSET([3]enemies!$A$1,0,0,COUNTA([3]enemies!$A:$A),MATCH(AA$1,[3]enemies!$1:$1,0)-MATCH($L$1,[3]enemies!$1:$1,0)+1),MATCH(AA$1,[3]enemies!$1:$1,0)-MATCH($L$1,[3]enemies!$1:$1,0)+1,FALSE)</f>
        <v>3</v>
      </c>
      <c r="AB20" s="170">
        <f t="shared" ref="AB20:AB21" si="53">L20</f>
        <v>348</v>
      </c>
      <c r="AC20" s="3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20" s="3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3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88">
        <v>10</v>
      </c>
      <c r="AG20" s="170">
        <f t="shared" ref="AG20:AG21" ca="1" si="54">AD20</f>
        <v>2</v>
      </c>
      <c r="AH20" s="7">
        <v>20</v>
      </c>
      <c r="AI20" s="88">
        <v>0</v>
      </c>
      <c r="AJ20" s="88">
        <v>0</v>
      </c>
      <c r="AK20" s="88">
        <v>0</v>
      </c>
      <c r="AL20" s="88">
        <v>0</v>
      </c>
      <c r="AM20" s="88">
        <v>1</v>
      </c>
      <c r="AN20" s="193">
        <v>1</v>
      </c>
    </row>
    <row r="21" spans="1:40" ht="21" customHeight="1" thickBot="1" x14ac:dyDescent="0.2">
      <c r="A21" s="13" t="str">
        <f t="shared" ca="1" si="50"/>
        <v>15030_1-3/352&lt;lv60&gt;s3</v>
      </c>
      <c r="B21" s="90">
        <v>15030</v>
      </c>
      <c r="C21" s="91">
        <v>1</v>
      </c>
      <c r="D21" s="1" t="str">
        <f t="shared" si="51"/>
        <v>15030_1</v>
      </c>
      <c r="E21" s="3" t="str">
        <f ca="1">VLOOKUP($B21,OFFSET([2]quests!$A$1,0,0,COUNTA([2]quests!$A:$A),MATCH(E$1,[2]quests!$1:$1,0)-MATCH($B$1,[2]quests!$1:$1,0)+1),MATCH(E$1,[2]quests!$1:$1,0)-MATCH($B$1,[2]quests!$1:$1,0)+1,FALSE)</f>
        <v>30. 月夜のオールドシティ</v>
      </c>
      <c r="F21" s="14" t="str">
        <f ca="1">VLOOKUP($D21,OFFSET([2]stages!$A$1,0,0,COUNTA([2]stages!$A:$A),MATCH(F$1,[2]stages!$2:$2,0)-MATCH($D$1,[2]stages!$2:$2,0)+1),MATCH(F$1,[2]stages!$2:$2,0)-MATCH($D$1,[2]stages!$2:$2,0)+1,FALSE)</f>
        <v>30-1. 月夜に煌めく刃</v>
      </c>
      <c r="G21" s="195">
        <v>3</v>
      </c>
      <c r="H21" s="115" t="str">
        <f t="shared" si="52"/>
        <v>15030_1-3</v>
      </c>
      <c r="I21" s="116">
        <f ca="1">VLOOKUP($H21,OFFSET(floors!$A$1,0,0,COUNTA(floors!$A:$A),MATCH(I$1,floors!$1:$1,0)-MATCH($H$1,floors!$1:$1,0)+1),MATCH(I$1,floors!$1:$1,0)-MATCH($H$1,floors!$1:$1,0)+1,FALSE)</f>
        <v>45</v>
      </c>
      <c r="J21" s="116">
        <f ca="1">VLOOKUP($H21,OFFSET(floors!$A$1,0,0,COUNTA(floors!$A:$A),MATCH(J$1,floors!$1:$1,0)-MATCH($H$1,floors!$1:$1,0)+1),MATCH(J$1,floors!$1:$1,0)-MATCH($H$1,floors!$1:$1,0)+1,FALSE)</f>
        <v>60</v>
      </c>
      <c r="K21" s="118" t="s">
        <v>87</v>
      </c>
      <c r="L21" s="119">
        <v>352</v>
      </c>
      <c r="M21" s="120" t="str">
        <f ca="1">VLOOKUP($L21,OFFSET([3]enemies!$A$1,0,0,COUNTA([3]enemies!$A:$A),MATCH(M$1,[3]enemies!$1:$1,0)-MATCH($L$1,[3]enemies!$1:$1,0)+1),MATCH(M$1,[3]enemies!$1:$1,0)-MATCH($L$1,[3]enemies!$1:$1,0)+1,FALSE)</f>
        <v>水のケロケロ</v>
      </c>
      <c r="N21" s="120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20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120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20">
        <f ca="1">VLOOKUP($L21,OFFSET([3]enemies!$A$1,0,0,COUNTA([3]enemies!$A:$A),MATCH(Q$1,[3]enemies!$1:$1,0)-MATCH($L$1,[3]enemies!$1:$1,0)+1),MATCH(Q$1,[3]enemies!$1:$1,0)-MATCH($L$1,[3]enemies!$1:$1,0)+1,FALSE)</f>
        <v>15</v>
      </c>
      <c r="R21" s="121">
        <v>60</v>
      </c>
      <c r="S21" s="122">
        <v>1.1000000000000001</v>
      </c>
      <c r="T21" s="122">
        <v>0.8</v>
      </c>
      <c r="U21" s="121">
        <v>0</v>
      </c>
      <c r="V21" s="196" t="e">
        <f ca="1">VLOOKUP($W21,OFFSET(enemy_skill_sets!$B$1,0,0,COUNTA(enemy_skill_sets!$B:$B),MATCH(M$1,enemy_skill_sets!$1:$1,0)-MATCH($W$1,enemy_skill_sets!$1:$1,0)+2),MATCH(M$1,enemy_skill_sets!$1:$1,0)-MATCH($W$1,enemy_skill_sets!$1:$1,0)+2,FALSE)</f>
        <v>#N/A</v>
      </c>
      <c r="W21" s="116">
        <f ca="1">VLOOKUP($L21,OFFSET([3]enemies!$A$1,0,0,COUNTA([3]enemies!$A:$A),MATCH(W$1,[3]enemies!$1:$1,0)-MATCH($L$1,[3]enemies!$1:$1,0)+1),MATCH(W$1,[3]enemies!$1:$1,0)-MATCH($L$1,[3]enemies!$1:$1,0)+1,FALSE)</f>
        <v>0</v>
      </c>
      <c r="X21" s="124">
        <v>0</v>
      </c>
      <c r="Y21" s="124">
        <v>20</v>
      </c>
      <c r="Z21" s="124">
        <v>0</v>
      </c>
      <c r="AA21" s="120">
        <f ca="1">VLOOKUP($L21,OFFSET([3]enemies!$A$1,0,0,COUNTA([3]enemies!$A:$A),MATCH(AA$1,[3]enemies!$1:$1,0)-MATCH($L$1,[3]enemies!$1:$1,0)+1),MATCH(AA$1,[3]enemies!$1:$1,0)-MATCH($L$1,[3]enemies!$1:$1,0)+1,FALSE)</f>
        <v>3</v>
      </c>
      <c r="AB21" s="126">
        <f t="shared" si="53"/>
        <v>352</v>
      </c>
      <c r="AC21" s="116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21" s="116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116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127">
        <v>10</v>
      </c>
      <c r="AG21" s="126">
        <f t="shared" ca="1" si="54"/>
        <v>2</v>
      </c>
      <c r="AH21" s="128">
        <v>20</v>
      </c>
      <c r="AI21" s="127">
        <v>0</v>
      </c>
      <c r="AJ21" s="127">
        <v>0</v>
      </c>
      <c r="AK21" s="127">
        <v>0</v>
      </c>
      <c r="AL21" s="127">
        <v>0</v>
      </c>
      <c r="AM21" s="127">
        <v>1</v>
      </c>
      <c r="AN21" s="197">
        <v>1</v>
      </c>
    </row>
    <row r="22" spans="1:40" ht="21" customHeight="1" x14ac:dyDescent="0.15">
      <c r="A22" s="13" t="str">
        <f t="shared" ref="A22:A73" si="55">B22&amp;"_"&amp;C22&amp;"-"&amp;G22&amp;"/"&amp;L22&amp;"&lt;lv"&amp;R22&amp;"&gt;s"&amp;AA22</f>
        <v>15030_1-4/86&lt;lv60&gt;s2</v>
      </c>
      <c r="B22" s="90">
        <v>15030</v>
      </c>
      <c r="C22" s="91">
        <v>1</v>
      </c>
      <c r="D22" s="1" t="str">
        <f t="shared" ref="D22:D73" si="56">B22&amp;"_"&amp;C22</f>
        <v>15030_1</v>
      </c>
      <c r="E22" s="3" t="str">
        <f ca="1">VLOOKUP($B22,OFFSET([2]quests!$A$1,0,0,COUNTA([2]quests!$A:$A),MATCH(E$1,[2]quests!$1:$1,0)-MATCH($B$1,[2]quests!$1:$1,0)+1),MATCH(E$1,[2]quests!$1:$1,0)-MATCH($B$1,[2]quests!$1:$1,0)+1,FALSE)</f>
        <v>30. 月夜のオールドシティ</v>
      </c>
      <c r="F22" s="14" t="str">
        <f ca="1">VLOOKUP($D22,OFFSET([2]stages!$A$1,0,0,COUNTA([2]stages!$A:$A),MATCH(F$1,[2]stages!$2:$2,0)-MATCH($D$1,[2]stages!$2:$2,0)+1),MATCH(F$1,[2]stages!$2:$2,0)-MATCH($D$1,[2]stages!$2:$2,0)+1,FALSE)</f>
        <v>30-1. 月夜に煌めく刃</v>
      </c>
      <c r="G22" s="198">
        <v>4</v>
      </c>
      <c r="H22" s="153" t="str">
        <f t="shared" ref="H22:H78" si="57">B22&amp;"_"&amp;C22&amp;"-"&amp;G22</f>
        <v>15030_1-4</v>
      </c>
      <c r="I22" s="182">
        <f ca="1">VLOOKUP($H22,OFFSET(floors!$A$1,0,0,COUNTA(floors!$A:$A),MATCH(I$1,floors!$1:$1,0)-MATCH($H$1,floors!$1:$1,0)+1),MATCH(I$1,floors!$1:$1,0)-MATCH($H$1,floors!$1:$1,0)+1,FALSE)</f>
        <v>60</v>
      </c>
      <c r="J22" s="182">
        <f ca="1">VLOOKUP($H22,OFFSET(floors!$A$1,0,0,COUNTA(floors!$A:$A),MATCH(J$1,floors!$1:$1,0)-MATCH($H$1,floors!$1:$1,0)+1),MATCH(J$1,floors!$1:$1,0)-MATCH($H$1,floors!$1:$1,0)+1,FALSE)</f>
        <v>60</v>
      </c>
      <c r="K22" s="154" t="s">
        <v>210</v>
      </c>
      <c r="L22" s="183">
        <v>86</v>
      </c>
      <c r="M22" s="184" t="str">
        <f ca="1">VLOOKUP($L22,OFFSET([3]enemies!$A$1,0,0,COUNTA([3]enemies!$A:$A),MATCH(M$1,[3]enemies!$1:$1,0)-MATCH($L$1,[3]enemies!$1:$1,0)+1),MATCH(M$1,[3]enemies!$1:$1,0)-MATCH($L$1,[3]enemies!$1:$1,0)+1,FALSE)</f>
        <v>守護者 朱雀</v>
      </c>
      <c r="N22" s="184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84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84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84">
        <f ca="1">VLOOKUP($L22,OFFSET([3]enemies!$A$1,0,0,COUNTA([3]enemies!$A:$A),MATCH(Q$1,[3]enemies!$1:$1,0)-MATCH($L$1,[3]enemies!$1:$1,0)+1),MATCH(Q$1,[3]enemies!$1:$1,0)-MATCH($L$1,[3]enemies!$1:$1,0)+1,FALSE)</f>
        <v>30</v>
      </c>
      <c r="R22" s="185">
        <v>60</v>
      </c>
      <c r="S22" s="186">
        <v>1.1000000000000001</v>
      </c>
      <c r="T22" s="186">
        <v>0.8</v>
      </c>
      <c r="U22" s="185">
        <v>0</v>
      </c>
      <c r="V22" s="199" t="str">
        <f ca="1">VLOOKUP($W22,OFFSET(enemy_skill_sets!$B$1,0,0,COUNTA(enemy_skill_sets!$B:$B),MATCH(M$1,enemy_skill_sets!$1:$1,0)-MATCH($W$1,enemy_skill_sets!$1:$1,0)+2),MATCH(M$1,enemy_skill_sets!$1:$1,0)-MATCH($W$1,enemy_skill_sets!$1:$1,0)+2,FALSE)</f>
        <v>5ターンの間ダメージを与えるウィルス＋全体攻撃</v>
      </c>
      <c r="W22" s="199">
        <v>15030003</v>
      </c>
      <c r="X22" s="188">
        <v>1</v>
      </c>
      <c r="Y22" s="188">
        <v>100</v>
      </c>
      <c r="Z22" s="188">
        <v>0</v>
      </c>
      <c r="AA22" s="200">
        <v>2</v>
      </c>
      <c r="AB22" s="189">
        <f t="shared" ref="AB22:AB73" si="58">L22</f>
        <v>86</v>
      </c>
      <c r="AC22" s="182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守護者 朱雀</v>
      </c>
      <c r="AD22" s="182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182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2" s="149">
        <v>1</v>
      </c>
      <c r="AG22" s="189">
        <f t="shared" ref="AG22:AG73" ca="1" si="59">AD22</f>
        <v>4</v>
      </c>
      <c r="AH22" s="190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1</v>
      </c>
      <c r="AN22" s="191">
        <v>1</v>
      </c>
    </row>
    <row r="23" spans="1:40" s="129" customFormat="1" ht="21" customHeight="1" thickBot="1" x14ac:dyDescent="0.2">
      <c r="A23" s="112" t="str">
        <f t="shared" si="55"/>
        <v>15030_1-4/73&lt;lv60&gt;s4</v>
      </c>
      <c r="B23" s="113">
        <v>15030</v>
      </c>
      <c r="C23" s="114">
        <v>1</v>
      </c>
      <c r="D23" s="115" t="str">
        <f t="shared" si="56"/>
        <v>15030_1</v>
      </c>
      <c r="E23" s="116" t="str">
        <f ca="1">VLOOKUP($B23,OFFSET([2]quests!$A$1,0,0,COUNTA([2]quests!$A:$A),MATCH(E$1,[2]quests!$1:$1,0)-MATCH($B$1,[2]quests!$1:$1,0)+1),MATCH(E$1,[2]quests!$1:$1,0)-MATCH($B$1,[2]quests!$1:$1,0)+1,FALSE)</f>
        <v>30. 月夜のオールドシティ</v>
      </c>
      <c r="F23" s="120" t="str">
        <f ca="1">VLOOKUP($D23,OFFSET([2]stages!$A$1,0,0,COUNTA([2]stages!$A:$A),MATCH(F$1,[2]stages!$2:$2,0)-MATCH($D$1,[2]stages!$2:$2,0)+1),MATCH(F$1,[2]stages!$2:$2,0)-MATCH($D$1,[2]stages!$2:$2,0)+1,FALSE)</f>
        <v>30-1. 月夜に煌めく刃</v>
      </c>
      <c r="G23" s="201">
        <v>4</v>
      </c>
      <c r="H23" s="115" t="str">
        <f t="shared" si="57"/>
        <v>15030_1-4</v>
      </c>
      <c r="I23" s="116">
        <f ca="1">VLOOKUP($H23,OFFSET(floors!$A$1,0,0,COUNTA(floors!$A:$A),MATCH(I$1,floors!$1:$1,0)-MATCH($H$1,floors!$1:$1,0)+1),MATCH(I$1,floors!$1:$1,0)-MATCH($H$1,floors!$1:$1,0)+1,FALSE)</f>
        <v>60</v>
      </c>
      <c r="J23" s="116">
        <f ca="1">VLOOKUP($H23,OFFSET(floors!$A$1,0,0,COUNTA(floors!$A:$A),MATCH(J$1,floors!$1:$1,0)-MATCH($H$1,floors!$1:$1,0)+1),MATCH(J$1,floors!$1:$1,0)-MATCH($H$1,floors!$1:$1,0)+1,FALSE)</f>
        <v>60</v>
      </c>
      <c r="K23" s="118" t="s">
        <v>210</v>
      </c>
      <c r="L23" s="119">
        <v>73</v>
      </c>
      <c r="M23" s="120" t="str">
        <f ca="1">VLOOKUP($L23,OFFSET([3]enemies!$A$1,0,0,COUNTA([3]enemies!$A:$A),MATCH(M$1,[3]enemies!$1:$1,0)-MATCH($L$1,[3]enemies!$1:$1,0)+1),MATCH(M$1,[3]enemies!$1:$1,0)-MATCH($L$1,[3]enemies!$1:$1,0)+1,FALSE)</f>
        <v>自由の探求者 ダックス</v>
      </c>
      <c r="N23" s="120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20" t="str">
        <f ca="1">VLOOKUP($L23,OFFSET([4]characters!$A$1,0,0,COUNTA([4]characters!$A:$A),MATCH(O$1,[4]characters!$1:$1,0)-MATCH($L$1,[4]characters!$1:$1,0)+1),MATCH(O$1,[4]characters!$1:$1,0)-MATCH($L$1,[4]characters!$1:$1,0)+1,FALSE)</f>
        <v>Drop1S</v>
      </c>
      <c r="P23" s="120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20">
        <f ca="1">VLOOKUP($L23,OFFSET([3]enemies!$A$1,0,0,COUNTA([3]enemies!$A:$A),MATCH(Q$1,[3]enemies!$1:$1,0)-MATCH($L$1,[3]enemies!$1:$1,0)+1),MATCH(Q$1,[3]enemies!$1:$1,0)-MATCH($L$1,[3]enemies!$1:$1,0)+1,FALSE)</f>
        <v>30</v>
      </c>
      <c r="R23" s="121">
        <v>60</v>
      </c>
      <c r="S23" s="122">
        <v>1.1000000000000001</v>
      </c>
      <c r="T23" s="122">
        <v>0.8</v>
      </c>
      <c r="U23" s="121">
        <v>0</v>
      </c>
      <c r="V23" s="123" t="str">
        <f ca="1">VLOOKUP($W23,OFFSET(enemy_skill_sets!$B$1,0,0,COUNTA(enemy_skill_sets!$B:$B),MATCH(M$1,enemy_skill_sets!$1:$1,0)-MATCH($W$1,enemy_skill_sets!$1:$1,0)+2),MATCH(M$1,enemy_skill_sets!$1:$1,0)-MATCH($W$1,enemy_skill_sets!$1:$1,0)+2,FALSE)</f>
        <v>この戦闘の間 攻撃頻度が1にUP</v>
      </c>
      <c r="W23" s="123">
        <v>15030004</v>
      </c>
      <c r="X23" s="124">
        <v>1</v>
      </c>
      <c r="Y23" s="124">
        <v>100</v>
      </c>
      <c r="Z23" s="124">
        <v>1</v>
      </c>
      <c r="AA23" s="125">
        <v>4</v>
      </c>
      <c r="AB23" s="126">
        <f t="shared" si="58"/>
        <v>73</v>
      </c>
      <c r="AC23" s="116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23" s="116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116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Drop1S</v>
      </c>
      <c r="AF23" s="127">
        <v>1</v>
      </c>
      <c r="AG23" s="126">
        <f t="shared" ca="1" si="59"/>
        <v>4</v>
      </c>
      <c r="AH23" s="128">
        <v>0</v>
      </c>
      <c r="AI23" s="127">
        <v>0</v>
      </c>
      <c r="AJ23" s="127">
        <v>0</v>
      </c>
      <c r="AK23" s="127">
        <v>0</v>
      </c>
      <c r="AL23" s="127">
        <v>0</v>
      </c>
      <c r="AM23" s="127">
        <v>1</v>
      </c>
      <c r="AN23" s="197">
        <v>1</v>
      </c>
    </row>
    <row r="24" spans="1:40" ht="21" customHeight="1" x14ac:dyDescent="0.15">
      <c r="A24" s="13" t="str">
        <f t="shared" ca="1" si="55"/>
        <v>15030_2-1/370&lt;lv60&gt;s2</v>
      </c>
      <c r="B24" s="90">
        <v>15030</v>
      </c>
      <c r="C24" s="101">
        <v>2</v>
      </c>
      <c r="D24" s="102" t="str">
        <f t="shared" si="56"/>
        <v>15030_2</v>
      </c>
      <c r="E24" s="3" t="str">
        <f ca="1">VLOOKUP($B24,OFFSET([2]quests!$A$1,0,0,COUNTA([2]quests!$A:$A),MATCH(E$1,[2]quests!$1:$1,0)-MATCH($B$1,[2]quests!$1:$1,0)+1),MATCH(E$1,[2]quests!$1:$1,0)-MATCH($B$1,[2]quests!$1:$1,0)+1,FALSE)</f>
        <v>30. 月夜のオールドシティ</v>
      </c>
      <c r="F24" s="14" t="str">
        <f ca="1">VLOOKUP($D24,OFFSET([2]stages!$A$1,0,0,COUNTA([2]stages!$A:$A),MATCH(F$1,[2]stages!$2:$2,0)-MATCH($D$1,[2]stages!$2:$2,0)+1),MATCH(F$1,[2]stages!$2:$2,0)-MATCH($D$1,[2]stages!$2:$2,0)+1,FALSE)</f>
        <v>30-2. 深夜のお茶会</v>
      </c>
      <c r="G24" s="181">
        <v>1</v>
      </c>
      <c r="H24" s="153" t="str">
        <f t="shared" si="57"/>
        <v>15030_2-1</v>
      </c>
      <c r="I24" s="182">
        <f ca="1">VLOOKUP($H24,OFFSET(floors!$A$1,0,0,COUNTA(floors!$A:$A),MATCH(I$1,floors!$1:$1,0)-MATCH($H$1,floors!$1:$1,0)+1),MATCH(I$1,floors!$1:$1,0)-MATCH($H$1,floors!$1:$1,0)+1,FALSE)</f>
        <v>45</v>
      </c>
      <c r="J24" s="182">
        <f ca="1">VLOOKUP($H24,OFFSET(floors!$A$1,0,0,COUNTA(floors!$A:$A),MATCH(J$1,floors!$1:$1,0)-MATCH($H$1,floors!$1:$1,0)+1),MATCH(J$1,floors!$1:$1,0)-MATCH($H$1,floors!$1:$1,0)+1,FALSE)</f>
        <v>60</v>
      </c>
      <c r="K24" s="154" t="s">
        <v>210</v>
      </c>
      <c r="L24" s="183">
        <v>370</v>
      </c>
      <c r="M24" s="184" t="str">
        <f ca="1">VLOOKUP($L24,OFFSET([3]enemies!$A$1,0,0,COUNTA([3]enemies!$A:$A),MATCH(M$1,[3]enemies!$1:$1,0)-MATCH($L$1,[3]enemies!$1:$1,0)+1),MATCH(M$1,[3]enemies!$1:$1,0)-MATCH($L$1,[3]enemies!$1:$1,0)+1,FALSE)</f>
        <v>タイチ</v>
      </c>
      <c r="N24" s="184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184" t="str">
        <f ca="1">VLOOKUP($L24,OFFSET([4]characters!$A$1,0,0,COUNTA([4]characters!$A:$A),MATCH(O$1,[4]characters!$1:$1,0)-MATCH($L$1,[4]characters!$1:$1,0)+1),MATCH(O$1,[4]characters!$1:$1,0)-MATCH($L$1,[4]characters!$1:$1,0)+1,FALSE)</f>
        <v>Drop1S</v>
      </c>
      <c r="P24" s="184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84">
        <f ca="1">VLOOKUP($L24,OFFSET([3]enemies!$A$1,0,0,COUNTA([3]enemies!$A:$A),MATCH(Q$1,[3]enemies!$1:$1,0)-MATCH($L$1,[3]enemies!$1:$1,0)+1),MATCH(Q$1,[3]enemies!$1:$1,0)-MATCH($L$1,[3]enemies!$1:$1,0)+1,FALSE)</f>
        <v>15</v>
      </c>
      <c r="R24" s="185">
        <v>60</v>
      </c>
      <c r="S24" s="186">
        <v>1.3</v>
      </c>
      <c r="T24" s="186">
        <v>0.9</v>
      </c>
      <c r="U24" s="185">
        <v>0</v>
      </c>
      <c r="V24" s="223" t="str">
        <f ca="1">VLOOKUP($W24,OFFSET(enemy_skill_sets!$B$1,0,0,COUNTA(enemy_skill_sets!$B:$B),MATCH(M$1,enemy_skill_sets!$1:$1,0)-MATCH($W$1,enemy_skill_sets!$1:$1,0)+2),MATCH(M$1,enemy_skill_sets!$1:$1,0)-MATCH($W$1,enemy_skill_sets!$1:$1,0)+2,FALSE)</f>
        <v>赤パネルを吸収して全体攻撃</v>
      </c>
      <c r="W24" s="223">
        <v>15030001</v>
      </c>
      <c r="X24" s="188">
        <v>0</v>
      </c>
      <c r="Y24" s="188">
        <v>100</v>
      </c>
      <c r="Z24" s="188">
        <v>0</v>
      </c>
      <c r="AA24" s="184">
        <f ca="1">VLOOKUP($L24,OFFSET([3]enemies!$A$1,0,0,COUNTA([3]enemies!$A:$A),MATCH(AA$1,[3]enemies!$1:$1,0)-MATCH($L$1,[3]enemies!$1:$1,0)+1),MATCH(AA$1,[3]enemies!$1:$1,0)-MATCH($L$1,[3]enemies!$1:$1,0)+1,FALSE)</f>
        <v>2</v>
      </c>
      <c r="AB24" s="189">
        <f t="shared" si="58"/>
        <v>370</v>
      </c>
      <c r="AC24" s="182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24" s="182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182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Drop1S</v>
      </c>
      <c r="AF24" s="149">
        <v>1</v>
      </c>
      <c r="AG24" s="189">
        <f t="shared" ca="1" si="59"/>
        <v>2</v>
      </c>
      <c r="AH24" s="190">
        <v>20</v>
      </c>
      <c r="AI24" s="149">
        <v>0</v>
      </c>
      <c r="AJ24" s="149">
        <v>0</v>
      </c>
      <c r="AK24" s="149">
        <v>0</v>
      </c>
      <c r="AL24" s="149">
        <v>0</v>
      </c>
      <c r="AM24" s="149">
        <v>1</v>
      </c>
      <c r="AN24" s="191">
        <v>1</v>
      </c>
    </row>
    <row r="25" spans="1:40" ht="21" customHeight="1" x14ac:dyDescent="0.15">
      <c r="A25" s="13" t="str">
        <f t="shared" ref="A25:A34" ca="1" si="60">B25&amp;"_"&amp;C25&amp;"-"&amp;G25&amp;"/"&amp;L25&amp;"&lt;lv"&amp;R25&amp;"&gt;s"&amp;AA25</f>
        <v>15030_2-1/374&lt;lv60&gt;s1</v>
      </c>
      <c r="B25" s="90">
        <v>15030</v>
      </c>
      <c r="C25" s="92">
        <v>2</v>
      </c>
      <c r="D25" s="1" t="str">
        <f t="shared" ref="D25:D34" si="61">B25&amp;"_"&amp;C25</f>
        <v>15030_2</v>
      </c>
      <c r="E25" s="3" t="str">
        <f ca="1">VLOOKUP($B25,OFFSET([2]quests!$A$1,0,0,COUNTA([2]quests!$A:$A),MATCH(E$1,[2]quests!$1:$1,0)-MATCH($B$1,[2]quests!$1:$1,0)+1),MATCH(E$1,[2]quests!$1:$1,0)-MATCH($B$1,[2]quests!$1:$1,0)+1,FALSE)</f>
        <v>30. 月夜のオールドシティ</v>
      </c>
      <c r="F25" s="14" t="str">
        <f ca="1">VLOOKUP($D25,OFFSET([2]stages!$A$1,0,0,COUNTA([2]stages!$A:$A),MATCH(F$1,[2]stages!$2:$2,0)-MATCH($D$1,[2]stages!$2:$2,0)+1),MATCH(F$1,[2]stages!$2:$2,0)-MATCH($D$1,[2]stages!$2:$2,0)+1,FALSE)</f>
        <v>30-2. 深夜のお茶会</v>
      </c>
      <c r="G25" s="192">
        <v>1</v>
      </c>
      <c r="H25" s="12" t="str">
        <f t="shared" ref="H25:H34" si="62">B25&amp;"_"&amp;C25&amp;"-"&amp;G25</f>
        <v>15030_2-1</v>
      </c>
      <c r="I25" s="3">
        <f ca="1">VLOOKUP($H25,OFFSET(floors!$A$1,0,0,COUNTA(floors!$A:$A),MATCH(I$1,floors!$1:$1,0)-MATCH($H$1,floors!$1:$1,0)+1),MATCH(I$1,floors!$1:$1,0)-MATCH($H$1,floors!$1:$1,0)+1,FALSE)</f>
        <v>45</v>
      </c>
      <c r="J25" s="3">
        <f ca="1">VLOOKUP($H25,OFFSET(floors!$A$1,0,0,COUNTA(floors!$A:$A),MATCH(J$1,floors!$1:$1,0)-MATCH($H$1,floors!$1:$1,0)+1),MATCH(J$1,floors!$1:$1,0)-MATCH($H$1,floors!$1:$1,0)+1,FALSE)</f>
        <v>60</v>
      </c>
      <c r="K25" s="31" t="s">
        <v>87</v>
      </c>
      <c r="L25" s="95">
        <v>374</v>
      </c>
      <c r="M25" s="14" t="str">
        <f ca="1">VLOOKUP($L25,OFFSET([3]enemies!$A$1,0,0,COUNTA([3]enemies!$A:$A),MATCH(M$1,[3]enemies!$1:$1,0)-MATCH($L$1,[3]enemies!$1:$1,0)+1),MATCH(M$1,[3]enemies!$1:$1,0)-MATCH($L$1,[3]enemies!$1:$1,0)+1,FALSE)</f>
        <v>影丸</v>
      </c>
      <c r="N25" s="14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4" t="str">
        <f ca="1">VLOOKUP($L25,OFFSET([4]characters!$A$1,0,0,COUNTA([4]characters!$A:$A),MATCH(O$1,[4]characters!$1:$1,0)-MATCH($L$1,[4]characters!$1:$1,0)+1),MATCH(O$1,[4]characters!$1:$1,0)-MATCH($L$1,[4]characters!$1:$1,0)+1,FALSE)</f>
        <v>Drop1S</v>
      </c>
      <c r="P25" s="14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4">
        <f ca="1">VLOOKUP($L25,OFFSET([3]enemies!$A$1,0,0,COUNTA([3]enemies!$A:$A),MATCH(Q$1,[3]enemies!$1:$1,0)-MATCH($L$1,[3]enemies!$1:$1,0)+1),MATCH(Q$1,[3]enemies!$1:$1,0)-MATCH($L$1,[3]enemies!$1:$1,0)+1,FALSE)</f>
        <v>15</v>
      </c>
      <c r="R25" s="4">
        <v>60</v>
      </c>
      <c r="S25" s="106">
        <v>1.3</v>
      </c>
      <c r="T25" s="19">
        <v>0.9</v>
      </c>
      <c r="U25" s="4">
        <v>0</v>
      </c>
      <c r="V25" s="97" t="str">
        <f ca="1">VLOOKUP($W25,OFFSET(enemy_skill_sets!$B$1,0,0,COUNTA(enemy_skill_sets!$B:$B),MATCH(M$1,enemy_skill_sets!$1:$1,0)-MATCH($W$1,enemy_skill_sets!$1:$1,0)+2),MATCH(M$1,enemy_skill_sets!$1:$1,0)-MATCH($W$1,enemy_skill_sets!$1:$1,0)+2,FALSE)</f>
        <v>ウィルス状態のユニットに大ダメージの全体攻撃</v>
      </c>
      <c r="W25" s="97">
        <v>15030002</v>
      </c>
      <c r="X25" s="5">
        <v>0</v>
      </c>
      <c r="Y25" s="5">
        <v>100</v>
      </c>
      <c r="Z25" s="5">
        <v>0</v>
      </c>
      <c r="AA25" s="14">
        <f ca="1">VLOOKUP($L25,OFFSET([3]enemies!$A$1,0,0,COUNTA([3]enemies!$A:$A),MATCH(AA$1,[3]enemies!$1:$1,0)-MATCH($L$1,[3]enemies!$1:$1,0)+1),MATCH(AA$1,[3]enemies!$1:$1,0)-MATCH($L$1,[3]enemies!$1:$1,0)+1,FALSE)</f>
        <v>1</v>
      </c>
      <c r="AB25" s="170">
        <f t="shared" ref="AB25:AB34" si="63">L25</f>
        <v>374</v>
      </c>
      <c r="AC25" s="3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影丸</v>
      </c>
      <c r="AD25" s="3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3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Drop1S</v>
      </c>
      <c r="AF25" s="88">
        <v>1</v>
      </c>
      <c r="AG25" s="170">
        <f t="shared" ref="AG25:AG34" ca="1" si="64">AD25</f>
        <v>2</v>
      </c>
      <c r="AH25" s="7">
        <v>20</v>
      </c>
      <c r="AI25" s="88">
        <v>0</v>
      </c>
      <c r="AJ25" s="88">
        <v>0</v>
      </c>
      <c r="AK25" s="88">
        <v>0</v>
      </c>
      <c r="AL25" s="88">
        <v>0</v>
      </c>
      <c r="AM25" s="88">
        <v>1</v>
      </c>
      <c r="AN25" s="193">
        <v>1</v>
      </c>
    </row>
    <row r="26" spans="1:40" ht="21" customHeight="1" x14ac:dyDescent="0.15">
      <c r="A26" s="13" t="str">
        <f t="shared" ca="1" si="60"/>
        <v>15030_2-1/360&lt;lv60&gt;s3</v>
      </c>
      <c r="B26" s="90">
        <v>15030</v>
      </c>
      <c r="C26" s="92">
        <v>2</v>
      </c>
      <c r="D26" s="1" t="str">
        <f t="shared" si="61"/>
        <v>15030_2</v>
      </c>
      <c r="E26" s="3" t="str">
        <f ca="1">VLOOKUP($B26,OFFSET([2]quests!$A$1,0,0,COUNTA([2]quests!$A:$A),MATCH(E$1,[2]quests!$1:$1,0)-MATCH($B$1,[2]quests!$1:$1,0)+1),MATCH(E$1,[2]quests!$1:$1,0)-MATCH($B$1,[2]quests!$1:$1,0)+1,FALSE)</f>
        <v>30. 月夜のオールドシティ</v>
      </c>
      <c r="F26" s="14" t="str">
        <f ca="1">VLOOKUP($D26,OFFSET([2]stages!$A$1,0,0,COUNTA([2]stages!$A:$A),MATCH(F$1,[2]stages!$2:$2,0)-MATCH($D$1,[2]stages!$2:$2,0)+1),MATCH(F$1,[2]stages!$2:$2,0)-MATCH($D$1,[2]stages!$2:$2,0)+1,FALSE)</f>
        <v>30-2. 深夜のお茶会</v>
      </c>
      <c r="G26" s="192">
        <v>1</v>
      </c>
      <c r="H26" s="12" t="str">
        <f t="shared" si="62"/>
        <v>15030_2-1</v>
      </c>
      <c r="I26" s="3">
        <f ca="1">VLOOKUP($H26,OFFSET(floors!$A$1,0,0,COUNTA(floors!$A:$A),MATCH(I$1,floors!$1:$1,0)-MATCH($H$1,floors!$1:$1,0)+1),MATCH(I$1,floors!$1:$1,0)-MATCH($H$1,floors!$1:$1,0)+1,FALSE)</f>
        <v>45</v>
      </c>
      <c r="J26" s="3">
        <f ca="1">VLOOKUP($H26,OFFSET(floors!$A$1,0,0,COUNTA(floors!$A:$A),MATCH(J$1,floors!$1:$1,0)-MATCH($H$1,floors!$1:$1,0)+1),MATCH(J$1,floors!$1:$1,0)-MATCH($H$1,floors!$1:$1,0)+1,FALSE)</f>
        <v>60</v>
      </c>
      <c r="K26" s="31" t="s">
        <v>87</v>
      </c>
      <c r="L26" s="95">
        <v>360</v>
      </c>
      <c r="M26" s="14" t="str">
        <f ca="1">VLOOKUP($L26,OFFSET([3]enemies!$A$1,0,0,COUNTA([3]enemies!$A:$A),MATCH(M$1,[3]enemies!$1:$1,0)-MATCH($L$1,[3]enemies!$1:$1,0)+1),MATCH(M$1,[3]enemies!$1:$1,0)-MATCH($L$1,[3]enemies!$1:$1,0)+1,FALSE)</f>
        <v>ガンテツ</v>
      </c>
      <c r="N26" s="14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14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4" t="str">
        <f ca="1">VLOOKUP($L26,OFFSET([3]enemies!$A$1,0,0,COUNTA([3]enemies!$A:$A),MATCH(P$1,[3]enemies!$1:$1,0)-MATCH($L$1,[3]enemies!$1:$1,0)+1),MATCH(P$1,[3]enemies!$1:$1,0)-MATCH($L$1,[3]enemies!$1:$1,0)+1,FALSE)</f>
        <v>animal</v>
      </c>
      <c r="Q26" s="14">
        <f ca="1">VLOOKUP($L26,OFFSET([3]enemies!$A$1,0,0,COUNTA([3]enemies!$A:$A),MATCH(Q$1,[3]enemies!$1:$1,0)-MATCH($L$1,[3]enemies!$1:$1,0)+1),MATCH(Q$1,[3]enemies!$1:$1,0)-MATCH($L$1,[3]enemies!$1:$1,0)+1,FALSE)</f>
        <v>15</v>
      </c>
      <c r="R26" s="4">
        <v>60</v>
      </c>
      <c r="S26" s="106">
        <v>1.3</v>
      </c>
      <c r="T26" s="19">
        <v>1</v>
      </c>
      <c r="U26" s="4">
        <v>0</v>
      </c>
      <c r="V26" s="98" t="e">
        <f ca="1">VLOOKUP($W26,OFFSET(enemy_skill_sets!$B$1,0,0,COUNTA(enemy_skill_sets!$B:$B),MATCH(M$1,enemy_skill_sets!$1:$1,0)-MATCH($W$1,enemy_skill_sets!$1:$1,0)+2),MATCH(M$1,enemy_skill_sets!$1:$1,0)-MATCH($W$1,enemy_skill_sets!$1:$1,0)+2,FALSE)</f>
        <v>#N/A</v>
      </c>
      <c r="W26" s="3">
        <f ca="1">VLOOKUP($L26,OFFSET([3]enemies!$A$1,0,0,COUNTA([3]enemies!$A:$A),MATCH(W$1,[3]enemies!$1:$1,0)-MATCH($L$1,[3]enemies!$1:$1,0)+1),MATCH(W$1,[3]enemies!$1:$1,0)-MATCH($L$1,[3]enemies!$1:$1,0)+1,FALSE)</f>
        <v>0</v>
      </c>
      <c r="X26" s="5">
        <v>0</v>
      </c>
      <c r="Y26" s="5">
        <v>100</v>
      </c>
      <c r="Z26" s="5">
        <v>0</v>
      </c>
      <c r="AA26" s="14">
        <f ca="1">VLOOKUP($L26,OFFSET([3]enemies!$A$1,0,0,COUNTA([3]enemies!$A:$A),MATCH(AA$1,[3]enemies!$1:$1,0)-MATCH($L$1,[3]enemies!$1:$1,0)+1),MATCH(AA$1,[3]enemies!$1:$1,0)-MATCH($L$1,[3]enemies!$1:$1,0)+1,FALSE)</f>
        <v>3</v>
      </c>
      <c r="AB26" s="170">
        <f t="shared" si="63"/>
        <v>360</v>
      </c>
      <c r="AC26" s="3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26" s="3">
        <f ca="1">VLOOKUP($AB26,OFFSET([4]characters!$A$1,0,0,COUNTA([4]characters!$A:$A),MATCH(AD$1,[4]characters!$1:$1,0)-MATCH("character_id",[4]characters!$1:$1,0)+1),MATCH(AD$1,[4]characters!$1:$1,0)-MATCH("character_id",[4]characters!$1:$1,0)+1,FALSE)</f>
        <v>2</v>
      </c>
      <c r="AE26" s="3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88">
        <v>1</v>
      </c>
      <c r="AG26" s="170">
        <f t="shared" ca="1" si="64"/>
        <v>2</v>
      </c>
      <c r="AH26" s="7">
        <v>20</v>
      </c>
      <c r="AI26" s="88">
        <v>0</v>
      </c>
      <c r="AJ26" s="88">
        <v>0</v>
      </c>
      <c r="AK26" s="88">
        <v>0</v>
      </c>
      <c r="AL26" s="88">
        <v>0</v>
      </c>
      <c r="AM26" s="88">
        <v>1</v>
      </c>
      <c r="AN26" s="193">
        <v>1</v>
      </c>
    </row>
    <row r="27" spans="1:40" ht="21" customHeight="1" x14ac:dyDescent="0.15">
      <c r="A27" s="13" t="str">
        <f t="shared" ca="1" si="60"/>
        <v>15030_2-1/364&lt;lv60&gt;s3</v>
      </c>
      <c r="B27" s="90">
        <v>15030</v>
      </c>
      <c r="C27" s="92">
        <v>2</v>
      </c>
      <c r="D27" s="1" t="str">
        <f t="shared" si="61"/>
        <v>15030_2</v>
      </c>
      <c r="E27" s="3" t="str">
        <f ca="1">VLOOKUP($B27,OFFSET([2]quests!$A$1,0,0,COUNTA([2]quests!$A:$A),MATCH(E$1,[2]quests!$1:$1,0)-MATCH($B$1,[2]quests!$1:$1,0)+1),MATCH(E$1,[2]quests!$1:$1,0)-MATCH($B$1,[2]quests!$1:$1,0)+1,FALSE)</f>
        <v>30. 月夜のオールドシティ</v>
      </c>
      <c r="F27" s="14" t="str">
        <f ca="1">VLOOKUP($D27,OFFSET([2]stages!$A$1,0,0,COUNTA([2]stages!$A:$A),MATCH(F$1,[2]stages!$2:$2,0)-MATCH($D$1,[2]stages!$2:$2,0)+1),MATCH(F$1,[2]stages!$2:$2,0)-MATCH($D$1,[2]stages!$2:$2,0)+1,FALSE)</f>
        <v>30-2. 深夜のお茶会</v>
      </c>
      <c r="G27" s="192">
        <v>1</v>
      </c>
      <c r="H27" s="12" t="str">
        <f t="shared" si="62"/>
        <v>15030_2-1</v>
      </c>
      <c r="I27" s="3">
        <f ca="1">VLOOKUP($H27,OFFSET(floors!$A$1,0,0,COUNTA(floors!$A:$A),MATCH(I$1,floors!$1:$1,0)-MATCH($H$1,floors!$1:$1,0)+1),MATCH(I$1,floors!$1:$1,0)-MATCH($H$1,floors!$1:$1,0)+1,FALSE)</f>
        <v>45</v>
      </c>
      <c r="J27" s="3">
        <f ca="1">VLOOKUP($H27,OFFSET(floors!$A$1,0,0,COUNTA(floors!$A:$A),MATCH(J$1,floors!$1:$1,0)-MATCH($H$1,floors!$1:$1,0)+1),MATCH(J$1,floors!$1:$1,0)-MATCH($H$1,floors!$1:$1,0)+1,FALSE)</f>
        <v>60</v>
      </c>
      <c r="K27" s="31" t="s">
        <v>87</v>
      </c>
      <c r="L27" s="95">
        <v>364</v>
      </c>
      <c r="M27" s="14" t="str">
        <f ca="1">VLOOKUP($L27,OFFSET([3]enemies!$A$1,0,0,COUNTA([3]enemies!$A:$A),MATCH(M$1,[3]enemies!$1:$1,0)-MATCH($L$1,[3]enemies!$1:$1,0)+1),MATCH(M$1,[3]enemies!$1:$1,0)-MATCH($L$1,[3]enemies!$1:$1,0)+1,FALSE)</f>
        <v>ノエル</v>
      </c>
      <c r="N27" s="14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4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14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4">
        <f ca="1">VLOOKUP($L27,OFFSET([3]enemies!$A$1,0,0,COUNTA([3]enemies!$A:$A),MATCH(Q$1,[3]enemies!$1:$1,0)-MATCH($L$1,[3]enemies!$1:$1,0)+1),MATCH(Q$1,[3]enemies!$1:$1,0)-MATCH($L$1,[3]enemies!$1:$1,0)+1,FALSE)</f>
        <v>15</v>
      </c>
      <c r="R27" s="4">
        <v>60</v>
      </c>
      <c r="S27" s="106">
        <v>1.3</v>
      </c>
      <c r="T27" s="19">
        <v>1</v>
      </c>
      <c r="U27" s="4">
        <v>0</v>
      </c>
      <c r="V27" s="98" t="e">
        <f ca="1">VLOOKUP($W27,OFFSET(enemy_skill_sets!$B$1,0,0,COUNTA(enemy_skill_sets!$B:$B),MATCH(M$1,enemy_skill_sets!$1:$1,0)-MATCH($W$1,enemy_skill_sets!$1:$1,0)+2),MATCH(M$1,enemy_skill_sets!$1:$1,0)-MATCH($W$1,enemy_skill_sets!$1:$1,0)+2,FALSE)</f>
        <v>#N/A</v>
      </c>
      <c r="W27" s="3">
        <f ca="1">VLOOKUP($L27,OFFSET([3]enemies!$A$1,0,0,COUNTA([3]enemies!$A:$A),MATCH(W$1,[3]enemies!$1:$1,0)-MATCH($L$1,[3]enemies!$1:$1,0)+1),MATCH(W$1,[3]enemies!$1:$1,0)-MATCH($L$1,[3]enemies!$1:$1,0)+1,FALSE)</f>
        <v>0</v>
      </c>
      <c r="X27" s="5">
        <v>0</v>
      </c>
      <c r="Y27" s="5">
        <v>100</v>
      </c>
      <c r="Z27" s="5">
        <v>0</v>
      </c>
      <c r="AA27" s="14">
        <f ca="1">VLOOKUP($L27,OFFSET([3]enemies!$A$1,0,0,COUNTA([3]enemies!$A:$A),MATCH(AA$1,[3]enemies!$1:$1,0)-MATCH($L$1,[3]enemies!$1:$1,0)+1),MATCH(AA$1,[3]enemies!$1:$1,0)-MATCH($L$1,[3]enemies!$1:$1,0)+1,FALSE)</f>
        <v>3</v>
      </c>
      <c r="AB27" s="170">
        <f t="shared" si="63"/>
        <v>364</v>
      </c>
      <c r="AC27" s="3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27" s="3">
        <f ca="1">VLOOKUP($AB27,OFFSET([4]characters!$A$1,0,0,COUNTA([4]characters!$A:$A),MATCH(AD$1,[4]characters!$1:$1,0)-MATCH("character_id",[4]characters!$1:$1,0)+1),MATCH(AD$1,[4]characters!$1:$1,0)-MATCH("character_id",[4]characters!$1:$1,0)+1,FALSE)</f>
        <v>2</v>
      </c>
      <c r="AE27" s="3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Drop1S</v>
      </c>
      <c r="AF27" s="88">
        <v>1</v>
      </c>
      <c r="AG27" s="170">
        <f t="shared" ca="1" si="64"/>
        <v>2</v>
      </c>
      <c r="AH27" s="7">
        <v>20</v>
      </c>
      <c r="AI27" s="88">
        <v>0</v>
      </c>
      <c r="AJ27" s="88">
        <v>0</v>
      </c>
      <c r="AK27" s="88">
        <v>0</v>
      </c>
      <c r="AL27" s="88">
        <v>0</v>
      </c>
      <c r="AM27" s="88">
        <v>1</v>
      </c>
      <c r="AN27" s="193">
        <v>1</v>
      </c>
    </row>
    <row r="28" spans="1:40" ht="21" customHeight="1" x14ac:dyDescent="0.15">
      <c r="A28" s="13" t="str">
        <f t="shared" ca="1" si="60"/>
        <v>15030_2-1/33&lt;lv60&gt;s2</v>
      </c>
      <c r="B28" s="90">
        <v>15030</v>
      </c>
      <c r="C28" s="92">
        <v>2</v>
      </c>
      <c r="D28" s="1" t="str">
        <f t="shared" si="61"/>
        <v>15030_2</v>
      </c>
      <c r="E28" s="3" t="str">
        <f ca="1">VLOOKUP($B28,OFFSET([2]quests!$A$1,0,0,COUNTA([2]quests!$A:$A),MATCH(E$1,[2]quests!$1:$1,0)-MATCH($B$1,[2]quests!$1:$1,0)+1),MATCH(E$1,[2]quests!$1:$1,0)-MATCH($B$1,[2]quests!$1:$1,0)+1,FALSE)</f>
        <v>30. 月夜のオールドシティ</v>
      </c>
      <c r="F28" s="14" t="str">
        <f ca="1">VLOOKUP($D28,OFFSET([2]stages!$A$1,0,0,COUNTA([2]stages!$A:$A),MATCH(F$1,[2]stages!$2:$2,0)-MATCH($D$1,[2]stages!$2:$2,0)+1),MATCH(F$1,[2]stages!$2:$2,0)-MATCH($D$1,[2]stages!$2:$2,0)+1,FALSE)</f>
        <v>30-2. 深夜のお茶会</v>
      </c>
      <c r="G28" s="192">
        <v>1</v>
      </c>
      <c r="H28" s="12" t="str">
        <f t="shared" si="62"/>
        <v>15030_2-1</v>
      </c>
      <c r="I28" s="3">
        <f ca="1">VLOOKUP($H28,OFFSET(floors!$A$1,0,0,COUNTA(floors!$A:$A),MATCH(I$1,floors!$1:$1,0)-MATCH($H$1,floors!$1:$1,0)+1),MATCH(I$1,floors!$1:$1,0)-MATCH($H$1,floors!$1:$1,0)+1,FALSE)</f>
        <v>45</v>
      </c>
      <c r="J28" s="3">
        <f ca="1">VLOOKUP($H28,OFFSET(floors!$A$1,0,0,COUNTA(floors!$A:$A),MATCH(J$1,floors!$1:$1,0)-MATCH($H$1,floors!$1:$1,0)+1),MATCH(J$1,floors!$1:$1,0)-MATCH($H$1,floors!$1:$1,0)+1,FALSE)</f>
        <v>60</v>
      </c>
      <c r="K28" s="31" t="s">
        <v>87</v>
      </c>
      <c r="L28" s="95">
        <v>33</v>
      </c>
      <c r="M28" s="14" t="str">
        <f ca="1">VLOOKUP($L28,OFFSET([3]enemies!$A$1,0,0,COUNTA([3]enemies!$A:$A),MATCH(M$1,[3]enemies!$1:$1,0)-MATCH($L$1,[3]enemies!$1:$1,0)+1),MATCH(M$1,[3]enemies!$1:$1,0)-MATCH($L$1,[3]enemies!$1:$1,0)+1,FALSE)</f>
        <v>ゴクウ</v>
      </c>
      <c r="N28" s="14" t="str">
        <f ca="1">VLOOKUP($L28,OFFSET([3]enemies!$A$1,0,0,COUNTA([3]enemies!$A:$A),MATCH(N$1,[3]enemies!$1:$1,0)-MATCH($L$1,[3]enemies!$1:$1,0)+1),MATCH(N$1,[3]enemies!$1:$1,0)-MATCH($L$1,[3]enemies!$1:$1,0)+1,FALSE)</f>
        <v>red</v>
      </c>
      <c r="O28" s="14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14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4">
        <f ca="1">VLOOKUP($L28,OFFSET([3]enemies!$A$1,0,0,COUNTA([3]enemies!$A:$A),MATCH(Q$1,[3]enemies!$1:$1,0)-MATCH($L$1,[3]enemies!$1:$1,0)+1),MATCH(Q$1,[3]enemies!$1:$1,0)-MATCH($L$1,[3]enemies!$1:$1,0)+1,FALSE)</f>
        <v>15</v>
      </c>
      <c r="R28" s="4">
        <v>60</v>
      </c>
      <c r="S28" s="106">
        <v>1.3</v>
      </c>
      <c r="T28" s="19">
        <v>1</v>
      </c>
      <c r="U28" s="4">
        <v>0</v>
      </c>
      <c r="V28" s="98" t="e">
        <f ca="1">VLOOKUP($W28,OFFSET(enemy_skill_sets!$B$1,0,0,COUNTA(enemy_skill_sets!$B:$B),MATCH(M$1,enemy_skill_sets!$1:$1,0)-MATCH($W$1,enemy_skill_sets!$1:$1,0)+2),MATCH(M$1,enemy_skill_sets!$1:$1,0)-MATCH($W$1,enemy_skill_sets!$1:$1,0)+2,FALSE)</f>
        <v>#N/A</v>
      </c>
      <c r="W28" s="3">
        <f ca="1">VLOOKUP($L28,OFFSET([3]enemies!$A$1,0,0,COUNTA([3]enemies!$A:$A),MATCH(W$1,[3]enemies!$1:$1,0)-MATCH($L$1,[3]enemies!$1:$1,0)+1),MATCH(W$1,[3]enemies!$1:$1,0)-MATCH($L$1,[3]enemies!$1:$1,0)+1,FALSE)</f>
        <v>33</v>
      </c>
      <c r="X28" s="5">
        <v>0</v>
      </c>
      <c r="Y28" s="5">
        <v>100</v>
      </c>
      <c r="Z28" s="5">
        <v>0</v>
      </c>
      <c r="AA28" s="14">
        <f ca="1">VLOOKUP($L28,OFFSET([3]enemies!$A$1,0,0,COUNTA([3]enemies!$A:$A),MATCH(AA$1,[3]enemies!$1:$1,0)-MATCH($L$1,[3]enemies!$1:$1,0)+1),MATCH(AA$1,[3]enemies!$1:$1,0)-MATCH($L$1,[3]enemies!$1:$1,0)+1,FALSE)</f>
        <v>2</v>
      </c>
      <c r="AB28" s="170">
        <f t="shared" si="63"/>
        <v>33</v>
      </c>
      <c r="AC28" s="3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28" s="3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3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88">
        <v>1</v>
      </c>
      <c r="AG28" s="170">
        <f t="shared" ca="1" si="64"/>
        <v>2</v>
      </c>
      <c r="AH28" s="7">
        <v>20</v>
      </c>
      <c r="AI28" s="88">
        <v>0</v>
      </c>
      <c r="AJ28" s="88">
        <v>0</v>
      </c>
      <c r="AK28" s="88">
        <v>0</v>
      </c>
      <c r="AL28" s="88">
        <v>0</v>
      </c>
      <c r="AM28" s="88">
        <v>1</v>
      </c>
      <c r="AN28" s="193">
        <v>1</v>
      </c>
    </row>
    <row r="29" spans="1:40" ht="21" customHeight="1" x14ac:dyDescent="0.15">
      <c r="A29" s="13" t="str">
        <f t="shared" ca="1" si="60"/>
        <v>15030_2-1/37&lt;lv60&gt;s3</v>
      </c>
      <c r="B29" s="90">
        <v>15030</v>
      </c>
      <c r="C29" s="92">
        <v>2</v>
      </c>
      <c r="D29" s="1" t="str">
        <f t="shared" si="61"/>
        <v>15030_2</v>
      </c>
      <c r="E29" s="3" t="str">
        <f ca="1">VLOOKUP($B29,OFFSET([2]quests!$A$1,0,0,COUNTA([2]quests!$A:$A),MATCH(E$1,[2]quests!$1:$1,0)-MATCH($B$1,[2]quests!$1:$1,0)+1),MATCH(E$1,[2]quests!$1:$1,0)-MATCH($B$1,[2]quests!$1:$1,0)+1,FALSE)</f>
        <v>30. 月夜のオールドシティ</v>
      </c>
      <c r="F29" s="14" t="str">
        <f ca="1">VLOOKUP($D29,OFFSET([2]stages!$A$1,0,0,COUNTA([2]stages!$A:$A),MATCH(F$1,[2]stages!$2:$2,0)-MATCH($D$1,[2]stages!$2:$2,0)+1),MATCH(F$1,[2]stages!$2:$2,0)-MATCH($D$1,[2]stages!$2:$2,0)+1,FALSE)</f>
        <v>30-2. 深夜のお茶会</v>
      </c>
      <c r="G29" s="192">
        <v>1</v>
      </c>
      <c r="H29" s="12" t="str">
        <f t="shared" si="62"/>
        <v>15030_2-1</v>
      </c>
      <c r="I29" s="3">
        <f ca="1">VLOOKUP($H29,OFFSET(floors!$A$1,0,0,COUNTA(floors!$A:$A),MATCH(I$1,floors!$1:$1,0)-MATCH($H$1,floors!$1:$1,0)+1),MATCH(I$1,floors!$1:$1,0)-MATCH($H$1,floors!$1:$1,0)+1,FALSE)</f>
        <v>45</v>
      </c>
      <c r="J29" s="3">
        <f ca="1">VLOOKUP($H29,OFFSET(floors!$A$1,0,0,COUNTA(floors!$A:$A),MATCH(J$1,floors!$1:$1,0)-MATCH($H$1,floors!$1:$1,0)+1),MATCH(J$1,floors!$1:$1,0)-MATCH($H$1,floors!$1:$1,0)+1,FALSE)</f>
        <v>60</v>
      </c>
      <c r="K29" s="31" t="s">
        <v>87</v>
      </c>
      <c r="L29" s="95">
        <v>37</v>
      </c>
      <c r="M29" s="14" t="str">
        <f ca="1">VLOOKUP($L29,OFFSET([3]enemies!$A$1,0,0,COUNTA([3]enemies!$A:$A),MATCH(M$1,[3]enemies!$1:$1,0)-MATCH($L$1,[3]enemies!$1:$1,0)+1),MATCH(M$1,[3]enemies!$1:$1,0)-MATCH($L$1,[3]enemies!$1:$1,0)+1,FALSE)</f>
        <v>ガイル</v>
      </c>
      <c r="N29" s="14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14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4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4">
        <f ca="1">VLOOKUP($L29,OFFSET([3]enemies!$A$1,0,0,COUNTA([3]enemies!$A:$A),MATCH(Q$1,[3]enemies!$1:$1,0)-MATCH($L$1,[3]enemies!$1:$1,0)+1),MATCH(Q$1,[3]enemies!$1:$1,0)-MATCH($L$1,[3]enemies!$1:$1,0)+1,FALSE)</f>
        <v>15</v>
      </c>
      <c r="R29" s="4">
        <v>60</v>
      </c>
      <c r="S29" s="106">
        <v>1.3</v>
      </c>
      <c r="T29" s="19">
        <v>0.9</v>
      </c>
      <c r="U29" s="4">
        <v>0</v>
      </c>
      <c r="V29" s="98" t="e">
        <f ca="1">VLOOKUP($W29,OFFSET(enemy_skill_sets!$B$1,0,0,COUNTA(enemy_skill_sets!$B:$B),MATCH(M$1,enemy_skill_sets!$1:$1,0)-MATCH($W$1,enemy_skill_sets!$1:$1,0)+2),MATCH(M$1,enemy_skill_sets!$1:$1,0)-MATCH($W$1,enemy_skill_sets!$1:$1,0)+2,FALSE)</f>
        <v>#N/A</v>
      </c>
      <c r="W29" s="3">
        <f ca="1">VLOOKUP($L29,OFFSET([3]enemies!$A$1,0,0,COUNTA([3]enemies!$A:$A),MATCH(W$1,[3]enemies!$1:$1,0)-MATCH($L$1,[3]enemies!$1:$1,0)+1),MATCH(W$1,[3]enemies!$1:$1,0)-MATCH($L$1,[3]enemies!$1:$1,0)+1,FALSE)</f>
        <v>37</v>
      </c>
      <c r="X29" s="5">
        <v>0</v>
      </c>
      <c r="Y29" s="5">
        <v>100</v>
      </c>
      <c r="Z29" s="5">
        <v>0</v>
      </c>
      <c r="AA29" s="14">
        <f ca="1">VLOOKUP($L29,OFFSET([3]enemies!$A$1,0,0,COUNTA([3]enemies!$A:$A),MATCH(AA$1,[3]enemies!$1:$1,0)-MATCH($L$1,[3]enemies!$1:$1,0)+1),MATCH(AA$1,[3]enemies!$1:$1,0)-MATCH($L$1,[3]enemies!$1:$1,0)+1,FALSE)</f>
        <v>3</v>
      </c>
      <c r="AB29" s="170">
        <f t="shared" si="63"/>
        <v>37</v>
      </c>
      <c r="AC29" s="3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ガイル</v>
      </c>
      <c r="AD29" s="3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3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29" s="88">
        <v>1</v>
      </c>
      <c r="AG29" s="170">
        <f t="shared" ca="1" si="64"/>
        <v>2</v>
      </c>
      <c r="AH29" s="7">
        <v>20</v>
      </c>
      <c r="AI29" s="88">
        <v>0</v>
      </c>
      <c r="AJ29" s="88">
        <v>0</v>
      </c>
      <c r="AK29" s="88">
        <v>0</v>
      </c>
      <c r="AL29" s="88">
        <v>0</v>
      </c>
      <c r="AM29" s="88">
        <v>1</v>
      </c>
      <c r="AN29" s="193">
        <v>1</v>
      </c>
    </row>
    <row r="30" spans="1:40" ht="21" customHeight="1" x14ac:dyDescent="0.15">
      <c r="A30" s="13" t="str">
        <f t="shared" ca="1" si="60"/>
        <v>15030_2-1/41&lt;lv60&gt;s1</v>
      </c>
      <c r="B30" s="90">
        <v>15030</v>
      </c>
      <c r="C30" s="92">
        <v>2</v>
      </c>
      <c r="D30" s="1" t="str">
        <f t="shared" si="61"/>
        <v>15030_2</v>
      </c>
      <c r="E30" s="3" t="str">
        <f ca="1">VLOOKUP($B30,OFFSET([2]quests!$A$1,0,0,COUNTA([2]quests!$A:$A),MATCH(E$1,[2]quests!$1:$1,0)-MATCH($B$1,[2]quests!$1:$1,0)+1),MATCH(E$1,[2]quests!$1:$1,0)-MATCH($B$1,[2]quests!$1:$1,0)+1,FALSE)</f>
        <v>30. 月夜のオールドシティ</v>
      </c>
      <c r="F30" s="14" t="str">
        <f ca="1">VLOOKUP($D30,OFFSET([2]stages!$A$1,0,0,COUNTA([2]stages!$A:$A),MATCH(F$1,[2]stages!$2:$2,0)-MATCH($D$1,[2]stages!$2:$2,0)+1),MATCH(F$1,[2]stages!$2:$2,0)-MATCH($D$1,[2]stages!$2:$2,0)+1,FALSE)</f>
        <v>30-2. 深夜のお茶会</v>
      </c>
      <c r="G30" s="192">
        <v>1</v>
      </c>
      <c r="H30" s="12" t="str">
        <f t="shared" si="62"/>
        <v>15030_2-1</v>
      </c>
      <c r="I30" s="3">
        <f ca="1">VLOOKUP($H30,OFFSET(floors!$A$1,0,0,COUNTA(floors!$A:$A),MATCH(I$1,floors!$1:$1,0)-MATCH($H$1,floors!$1:$1,0)+1),MATCH(I$1,floors!$1:$1,0)-MATCH($H$1,floors!$1:$1,0)+1,FALSE)</f>
        <v>45</v>
      </c>
      <c r="J30" s="3">
        <f ca="1">VLOOKUP($H30,OFFSET(floors!$A$1,0,0,COUNTA(floors!$A:$A),MATCH(J$1,floors!$1:$1,0)-MATCH($H$1,floors!$1:$1,0)+1),MATCH(J$1,floors!$1:$1,0)-MATCH($H$1,floors!$1:$1,0)+1,FALSE)</f>
        <v>60</v>
      </c>
      <c r="K30" s="31" t="s">
        <v>87</v>
      </c>
      <c r="L30" s="95">
        <v>41</v>
      </c>
      <c r="M30" s="14" t="str">
        <f ca="1">VLOOKUP($L30,OFFSET([3]enemies!$A$1,0,0,COUNTA([3]enemies!$A:$A),MATCH(M$1,[3]enemies!$1:$1,0)-MATCH($L$1,[3]enemies!$1:$1,0)+1),MATCH(M$1,[3]enemies!$1:$1,0)-MATCH($L$1,[3]enemies!$1:$1,0)+1,FALSE)</f>
        <v>ヒュウガ</v>
      </c>
      <c r="N30" s="14" t="str">
        <f ca="1">VLOOKUP($L30,OFFSET([3]enemies!$A$1,0,0,COUNTA([3]enemies!$A:$A),MATCH(N$1,[3]enemies!$1:$1,0)-MATCH($L$1,[3]enemies!$1:$1,0)+1),MATCH(N$1,[3]enemies!$1:$1,0)-MATCH($L$1,[3]enemies!$1:$1,0)+1,FALSE)</f>
        <v>red</v>
      </c>
      <c r="O30" s="14" t="str">
        <f ca="1">VLOOKUP($L30,OFFSET([4]characters!$A$1,0,0,COUNTA([4]characters!$A:$A),MATCH(O$1,[4]characters!$1:$1,0)-MATCH($L$1,[4]characters!$1:$1,0)+1),MATCH(O$1,[4]characters!$1:$1,0)-MATCH($L$1,[4]characters!$1:$1,0)+1,FALSE)</f>
        <v>Drop1N</v>
      </c>
      <c r="P30" s="14" t="str">
        <f ca="1">VLOOKUP($L30,OFFSET([3]enemies!$A$1,0,0,COUNTA([3]enemies!$A:$A),MATCH(P$1,[3]enemies!$1:$1,0)-MATCH($L$1,[3]enemies!$1:$1,0)+1),MATCH(P$1,[3]enemies!$1:$1,0)-MATCH($L$1,[3]enemies!$1:$1,0)+1,FALSE)</f>
        <v>dragon</v>
      </c>
      <c r="Q30" s="14">
        <f ca="1">VLOOKUP($L30,OFFSET([3]enemies!$A$1,0,0,COUNTA([3]enemies!$A:$A),MATCH(Q$1,[3]enemies!$1:$1,0)-MATCH($L$1,[3]enemies!$1:$1,0)+1),MATCH(Q$1,[3]enemies!$1:$1,0)-MATCH($L$1,[3]enemies!$1:$1,0)+1,FALSE)</f>
        <v>15</v>
      </c>
      <c r="R30" s="4">
        <v>60</v>
      </c>
      <c r="S30" s="106">
        <v>1.3</v>
      </c>
      <c r="T30" s="19">
        <v>1</v>
      </c>
      <c r="U30" s="4">
        <v>0</v>
      </c>
      <c r="V30" s="98" t="e">
        <f ca="1">VLOOKUP($W30,OFFSET(enemy_skill_sets!$B$1,0,0,COUNTA(enemy_skill_sets!$B:$B),MATCH(M$1,enemy_skill_sets!$1:$1,0)-MATCH($W$1,enemy_skill_sets!$1:$1,0)+2),MATCH(M$1,enemy_skill_sets!$1:$1,0)-MATCH($W$1,enemy_skill_sets!$1:$1,0)+2,FALSE)</f>
        <v>#N/A</v>
      </c>
      <c r="W30" s="3">
        <f ca="1">VLOOKUP($L30,OFFSET([3]enemies!$A$1,0,0,COUNTA([3]enemies!$A:$A),MATCH(W$1,[3]enemies!$1:$1,0)-MATCH($L$1,[3]enemies!$1:$1,0)+1),MATCH(W$1,[3]enemies!$1:$1,0)-MATCH($L$1,[3]enemies!$1:$1,0)+1,FALSE)</f>
        <v>0</v>
      </c>
      <c r="X30" s="5">
        <v>0</v>
      </c>
      <c r="Y30" s="5">
        <v>100</v>
      </c>
      <c r="Z30" s="5">
        <v>0</v>
      </c>
      <c r="AA30" s="14">
        <f ca="1">VLOOKUP($L30,OFFSET([3]enemies!$A$1,0,0,COUNTA([3]enemies!$A:$A),MATCH(AA$1,[3]enemies!$1:$1,0)-MATCH($L$1,[3]enemies!$1:$1,0)+1),MATCH(AA$1,[3]enemies!$1:$1,0)-MATCH($L$1,[3]enemies!$1:$1,0)+1,FALSE)</f>
        <v>1</v>
      </c>
      <c r="AB30" s="170">
        <f t="shared" si="63"/>
        <v>41</v>
      </c>
      <c r="AC30" s="3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30" s="3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3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Drop1N</v>
      </c>
      <c r="AF30" s="88">
        <v>1</v>
      </c>
      <c r="AG30" s="170">
        <f t="shared" ca="1" si="64"/>
        <v>2</v>
      </c>
      <c r="AH30" s="7">
        <v>20</v>
      </c>
      <c r="AI30" s="88">
        <v>0</v>
      </c>
      <c r="AJ30" s="88">
        <v>0</v>
      </c>
      <c r="AK30" s="88">
        <v>0</v>
      </c>
      <c r="AL30" s="88">
        <v>0</v>
      </c>
      <c r="AM30" s="88">
        <v>1</v>
      </c>
      <c r="AN30" s="193">
        <v>1</v>
      </c>
    </row>
    <row r="31" spans="1:40" ht="21" customHeight="1" x14ac:dyDescent="0.15">
      <c r="A31" s="13" t="str">
        <f t="shared" ca="1" si="60"/>
        <v>15030_2-1/45&lt;lv60&gt;s3</v>
      </c>
      <c r="B31" s="90">
        <v>15030</v>
      </c>
      <c r="C31" s="92">
        <v>2</v>
      </c>
      <c r="D31" s="1" t="str">
        <f t="shared" si="61"/>
        <v>15030_2</v>
      </c>
      <c r="E31" s="3" t="str">
        <f ca="1">VLOOKUP($B31,OFFSET([2]quests!$A$1,0,0,COUNTA([2]quests!$A:$A),MATCH(E$1,[2]quests!$1:$1,0)-MATCH($B$1,[2]quests!$1:$1,0)+1),MATCH(E$1,[2]quests!$1:$1,0)-MATCH($B$1,[2]quests!$1:$1,0)+1,FALSE)</f>
        <v>30. 月夜のオールドシティ</v>
      </c>
      <c r="F31" s="14" t="str">
        <f ca="1">VLOOKUP($D31,OFFSET([2]stages!$A$1,0,0,COUNTA([2]stages!$A:$A),MATCH(F$1,[2]stages!$2:$2,0)-MATCH($D$1,[2]stages!$2:$2,0)+1),MATCH(F$1,[2]stages!$2:$2,0)-MATCH($D$1,[2]stages!$2:$2,0)+1,FALSE)</f>
        <v>30-2. 深夜のお茶会</v>
      </c>
      <c r="G31" s="192">
        <v>1</v>
      </c>
      <c r="H31" s="12" t="str">
        <f t="shared" si="62"/>
        <v>15030_2-1</v>
      </c>
      <c r="I31" s="3">
        <f ca="1">VLOOKUP($H31,OFFSET(floors!$A$1,0,0,COUNTA(floors!$A:$A),MATCH(I$1,floors!$1:$1,0)-MATCH($H$1,floors!$1:$1,0)+1),MATCH(I$1,floors!$1:$1,0)-MATCH($H$1,floors!$1:$1,0)+1,FALSE)</f>
        <v>45</v>
      </c>
      <c r="J31" s="3">
        <f ca="1">VLOOKUP($H31,OFFSET(floors!$A$1,0,0,COUNTA(floors!$A:$A),MATCH(J$1,floors!$1:$1,0)-MATCH($H$1,floors!$1:$1,0)+1),MATCH(J$1,floors!$1:$1,0)-MATCH($H$1,floors!$1:$1,0)+1,FALSE)</f>
        <v>60</v>
      </c>
      <c r="K31" s="31" t="s">
        <v>87</v>
      </c>
      <c r="L31" s="95">
        <v>45</v>
      </c>
      <c r="M31" s="14" t="str">
        <f ca="1">VLOOKUP($L31,OFFSET([3]enemies!$A$1,0,0,COUNTA([3]enemies!$A:$A),MATCH(M$1,[3]enemies!$1:$1,0)-MATCH($L$1,[3]enemies!$1:$1,0)+1),MATCH(M$1,[3]enemies!$1:$1,0)-MATCH($L$1,[3]enemies!$1:$1,0)+1,FALSE)</f>
        <v>ショウイン</v>
      </c>
      <c r="N31" s="14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4" t="str">
        <f ca="1">VLOOKUP($L31,OFFSET([4]characters!$A$1,0,0,COUNTA([4]characters!$A:$A),MATCH(O$1,[4]characters!$1:$1,0)-MATCH($L$1,[4]characters!$1:$1,0)+1),MATCH(O$1,[4]characters!$1:$1,0)-MATCH($L$1,[4]characters!$1:$1,0)+1,FALSE)</f>
        <v>Drop1N</v>
      </c>
      <c r="P31" s="14" t="str">
        <f ca="1">VLOOKUP($L31,OFFSET([3]enemies!$A$1,0,0,COUNTA([3]enemies!$A:$A),MATCH(P$1,[3]enemies!$1:$1,0)-MATCH($L$1,[3]enemies!$1:$1,0)+1),MATCH(P$1,[3]enemies!$1:$1,0)-MATCH($L$1,[3]enemies!$1:$1,0)+1,FALSE)</f>
        <v>animal</v>
      </c>
      <c r="Q31" s="14">
        <f ca="1">VLOOKUP($L31,OFFSET([3]enemies!$A$1,0,0,COUNTA([3]enemies!$A:$A),MATCH(Q$1,[3]enemies!$1:$1,0)-MATCH($L$1,[3]enemies!$1:$1,0)+1),MATCH(Q$1,[3]enemies!$1:$1,0)-MATCH($L$1,[3]enemies!$1:$1,0)+1,FALSE)</f>
        <v>15</v>
      </c>
      <c r="R31" s="4">
        <v>60</v>
      </c>
      <c r="S31" s="106">
        <v>1.3</v>
      </c>
      <c r="T31" s="19">
        <v>1</v>
      </c>
      <c r="U31" s="4">
        <v>0</v>
      </c>
      <c r="V31" s="98" t="e">
        <f ca="1">VLOOKUP($W31,OFFSET(enemy_skill_sets!$B$1,0,0,COUNTA(enemy_skill_sets!$B:$B),MATCH(M$1,enemy_skill_sets!$1:$1,0)-MATCH($W$1,enemy_skill_sets!$1:$1,0)+2),MATCH(M$1,enemy_skill_sets!$1:$1,0)-MATCH($W$1,enemy_skill_sets!$1:$1,0)+2,FALSE)</f>
        <v>#N/A</v>
      </c>
      <c r="W31" s="3">
        <f ca="1">VLOOKUP($L31,OFFSET([3]enemies!$A$1,0,0,COUNTA([3]enemies!$A:$A),MATCH(W$1,[3]enemies!$1:$1,0)-MATCH($L$1,[3]enemies!$1:$1,0)+1),MATCH(W$1,[3]enemies!$1:$1,0)-MATCH($L$1,[3]enemies!$1:$1,0)+1,FALSE)</f>
        <v>0</v>
      </c>
      <c r="X31" s="5">
        <v>0</v>
      </c>
      <c r="Y31" s="5">
        <v>100</v>
      </c>
      <c r="Z31" s="5">
        <v>0</v>
      </c>
      <c r="AA31" s="14">
        <f ca="1">VLOOKUP($L31,OFFSET([3]enemies!$A$1,0,0,COUNTA([3]enemies!$A:$A),MATCH(AA$1,[3]enemies!$1:$1,0)-MATCH($L$1,[3]enemies!$1:$1,0)+1),MATCH(AA$1,[3]enemies!$1:$1,0)-MATCH($L$1,[3]enemies!$1:$1,0)+1,FALSE)</f>
        <v>3</v>
      </c>
      <c r="AB31" s="170">
        <f t="shared" si="63"/>
        <v>45</v>
      </c>
      <c r="AC31" s="3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31" s="3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3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Drop1N</v>
      </c>
      <c r="AF31" s="88">
        <v>1</v>
      </c>
      <c r="AG31" s="170">
        <f t="shared" ca="1" si="64"/>
        <v>2</v>
      </c>
      <c r="AH31" s="7">
        <v>20</v>
      </c>
      <c r="AI31" s="88">
        <v>0</v>
      </c>
      <c r="AJ31" s="88">
        <v>0</v>
      </c>
      <c r="AK31" s="88">
        <v>0</v>
      </c>
      <c r="AL31" s="88">
        <v>0</v>
      </c>
      <c r="AM31" s="88">
        <v>1</v>
      </c>
      <c r="AN31" s="193">
        <v>1</v>
      </c>
    </row>
    <row r="32" spans="1:40" ht="21" customHeight="1" x14ac:dyDescent="0.15">
      <c r="A32" s="13" t="str">
        <f t="shared" ref="A32:A33" ca="1" si="65">B32&amp;"_"&amp;C32&amp;"-"&amp;G32&amp;"/"&amp;L32&amp;"&lt;lv"&amp;R32&amp;"&gt;s"&amp;AA32</f>
        <v>15030_2-1/348&lt;lv60&gt;s3</v>
      </c>
      <c r="B32" s="90">
        <v>15030</v>
      </c>
      <c r="C32" s="92">
        <v>2</v>
      </c>
      <c r="D32" s="1" t="str">
        <f t="shared" ref="D32:D33" si="66">B32&amp;"_"&amp;C32</f>
        <v>15030_2</v>
      </c>
      <c r="E32" s="3" t="str">
        <f ca="1">VLOOKUP($B32,OFFSET([2]quests!$A$1,0,0,COUNTA([2]quests!$A:$A),MATCH(E$1,[2]quests!$1:$1,0)-MATCH($B$1,[2]quests!$1:$1,0)+1),MATCH(E$1,[2]quests!$1:$1,0)-MATCH($B$1,[2]quests!$1:$1,0)+1,FALSE)</f>
        <v>30. 月夜のオールドシティ</v>
      </c>
      <c r="F32" s="14" t="str">
        <f ca="1">VLOOKUP($D32,OFFSET([2]stages!$A$1,0,0,COUNTA([2]stages!$A:$A),MATCH(F$1,[2]stages!$2:$2,0)-MATCH($D$1,[2]stages!$2:$2,0)+1),MATCH(F$1,[2]stages!$2:$2,0)-MATCH($D$1,[2]stages!$2:$2,0)+1,FALSE)</f>
        <v>30-2. 深夜のお茶会</v>
      </c>
      <c r="G32" s="192">
        <v>1</v>
      </c>
      <c r="H32" s="12" t="str">
        <f t="shared" ref="H32:H33" si="67">B32&amp;"_"&amp;C32&amp;"-"&amp;G32</f>
        <v>15030_2-1</v>
      </c>
      <c r="I32" s="3">
        <f ca="1">VLOOKUP($H32,OFFSET(floors!$A$1,0,0,COUNTA(floors!$A:$A),MATCH(I$1,floors!$1:$1,0)-MATCH($H$1,floors!$1:$1,0)+1),MATCH(I$1,floors!$1:$1,0)-MATCH($H$1,floors!$1:$1,0)+1,FALSE)</f>
        <v>45</v>
      </c>
      <c r="J32" s="3">
        <f ca="1">VLOOKUP($H32,OFFSET(floors!$A$1,0,0,COUNTA(floors!$A:$A),MATCH(J$1,floors!$1:$1,0)-MATCH($H$1,floors!$1:$1,0)+1),MATCH(J$1,floors!$1:$1,0)-MATCH($H$1,floors!$1:$1,0)+1,FALSE)</f>
        <v>60</v>
      </c>
      <c r="K32" s="31" t="s">
        <v>87</v>
      </c>
      <c r="L32" s="171">
        <v>348</v>
      </c>
      <c r="M32" s="14" t="str">
        <f ca="1">VLOOKUP($L32,OFFSET([3]enemies!$A$1,0,0,COUNTA([3]enemies!$A:$A),MATCH(M$1,[3]enemies!$1:$1,0)-MATCH($L$1,[3]enemies!$1:$1,0)+1),MATCH(M$1,[3]enemies!$1:$1,0)-MATCH($L$1,[3]enemies!$1:$1,0)+1,FALSE)</f>
        <v>炎のケロケロ</v>
      </c>
      <c r="N32" s="14" t="str">
        <f ca="1">VLOOKUP($L32,OFFSET([3]enemies!$A$1,0,0,COUNTA([3]enemies!$A:$A),MATCH(N$1,[3]enemies!$1:$1,0)-MATCH($L$1,[3]enemies!$1:$1,0)+1),MATCH(N$1,[3]enemies!$1:$1,0)-MATCH($L$1,[3]enemies!$1:$1,0)+1,FALSE)</f>
        <v>red</v>
      </c>
      <c r="O32" s="14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14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4">
        <f ca="1">VLOOKUP($L32,OFFSET([3]enemies!$A$1,0,0,COUNTA([3]enemies!$A:$A),MATCH(Q$1,[3]enemies!$1:$1,0)-MATCH($L$1,[3]enemies!$1:$1,0)+1),MATCH(Q$1,[3]enemies!$1:$1,0)-MATCH($L$1,[3]enemies!$1:$1,0)+1,FALSE)</f>
        <v>15</v>
      </c>
      <c r="R32" s="4">
        <v>60</v>
      </c>
      <c r="S32" s="106">
        <v>1.3</v>
      </c>
      <c r="T32" s="19">
        <v>1</v>
      </c>
      <c r="U32" s="4">
        <v>0</v>
      </c>
      <c r="V32" s="98" t="e">
        <f ca="1">VLOOKUP($W32,OFFSET(enemy_skill_sets!$B$1,0,0,COUNTA(enemy_skill_sets!$B:$B),MATCH(M$1,enemy_skill_sets!$1:$1,0)-MATCH($W$1,enemy_skill_sets!$1:$1,0)+2),MATCH(M$1,enemy_skill_sets!$1:$1,0)-MATCH($W$1,enemy_skill_sets!$1:$1,0)+2,FALSE)</f>
        <v>#N/A</v>
      </c>
      <c r="W32" s="3">
        <f ca="1">VLOOKUP($L32,OFFSET([3]enemies!$A$1,0,0,COUNTA([3]enemies!$A:$A),MATCH(W$1,[3]enemies!$1:$1,0)-MATCH($L$1,[3]enemies!$1:$1,0)+1),MATCH(W$1,[3]enemies!$1:$1,0)-MATCH($L$1,[3]enemies!$1:$1,0)+1,FALSE)</f>
        <v>0</v>
      </c>
      <c r="X32" s="5">
        <v>0</v>
      </c>
      <c r="Y32" s="5">
        <v>20</v>
      </c>
      <c r="Z32" s="5">
        <v>0</v>
      </c>
      <c r="AA32" s="14">
        <f ca="1">VLOOKUP($L32,OFFSET([3]enemies!$A$1,0,0,COUNTA([3]enemies!$A:$A),MATCH(AA$1,[3]enemies!$1:$1,0)-MATCH($L$1,[3]enemies!$1:$1,0)+1),MATCH(AA$1,[3]enemies!$1:$1,0)-MATCH($L$1,[3]enemies!$1:$1,0)+1,FALSE)</f>
        <v>3</v>
      </c>
      <c r="AB32" s="170">
        <f t="shared" ref="AB32:AB33" si="68">L32</f>
        <v>348</v>
      </c>
      <c r="AC32" s="3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32" s="3">
        <f ca="1">VLOOKUP($AB32,OFFSET([4]characters!$A$1,0,0,COUNTA([4]characters!$A:$A),MATCH(AD$1,[4]characters!$1:$1,0)-MATCH("character_id",[4]characters!$1:$1,0)+1),MATCH(AD$1,[4]characters!$1:$1,0)-MATCH("character_id",[4]characters!$1:$1,0)+1,FALSE)</f>
        <v>2</v>
      </c>
      <c r="AE32" s="3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88">
        <v>10</v>
      </c>
      <c r="AG32" s="170">
        <f t="shared" ref="AG32:AG33" ca="1" si="69">AD32</f>
        <v>2</v>
      </c>
      <c r="AH32" s="7">
        <v>20</v>
      </c>
      <c r="AI32" s="88">
        <v>0</v>
      </c>
      <c r="AJ32" s="88">
        <v>0</v>
      </c>
      <c r="AK32" s="88">
        <v>0</v>
      </c>
      <c r="AL32" s="88">
        <v>0</v>
      </c>
      <c r="AM32" s="88">
        <v>1</v>
      </c>
      <c r="AN32" s="193">
        <v>1</v>
      </c>
    </row>
    <row r="33" spans="1:40" ht="21" customHeight="1" thickBot="1" x14ac:dyDescent="0.2">
      <c r="A33" s="13" t="str">
        <f t="shared" ca="1" si="65"/>
        <v>15030_2-1/352&lt;lv60&gt;s3</v>
      </c>
      <c r="B33" s="90">
        <v>15030</v>
      </c>
      <c r="C33" s="92">
        <v>2</v>
      </c>
      <c r="D33" s="1" t="str">
        <f t="shared" si="66"/>
        <v>15030_2</v>
      </c>
      <c r="E33" s="3" t="str">
        <f ca="1">VLOOKUP($B33,OFFSET([2]quests!$A$1,0,0,COUNTA([2]quests!$A:$A),MATCH(E$1,[2]quests!$1:$1,0)-MATCH($B$1,[2]quests!$1:$1,0)+1),MATCH(E$1,[2]quests!$1:$1,0)-MATCH($B$1,[2]quests!$1:$1,0)+1,FALSE)</f>
        <v>30. 月夜のオールドシティ</v>
      </c>
      <c r="F33" s="14" t="str">
        <f ca="1">VLOOKUP($D33,OFFSET([2]stages!$A$1,0,0,COUNTA([2]stages!$A:$A),MATCH(F$1,[2]stages!$2:$2,0)-MATCH($D$1,[2]stages!$2:$2,0)+1),MATCH(F$1,[2]stages!$2:$2,0)-MATCH($D$1,[2]stages!$2:$2,0)+1,FALSE)</f>
        <v>30-2. 深夜のお茶会</v>
      </c>
      <c r="G33" s="224">
        <v>1</v>
      </c>
      <c r="H33" s="115" t="str">
        <f t="shared" si="67"/>
        <v>15030_2-1</v>
      </c>
      <c r="I33" s="116">
        <f ca="1">VLOOKUP($H33,OFFSET(floors!$A$1,0,0,COUNTA(floors!$A:$A),MATCH(I$1,floors!$1:$1,0)-MATCH($H$1,floors!$1:$1,0)+1),MATCH(I$1,floors!$1:$1,0)-MATCH($H$1,floors!$1:$1,0)+1,FALSE)</f>
        <v>45</v>
      </c>
      <c r="J33" s="116">
        <f ca="1">VLOOKUP($H33,OFFSET(floors!$A$1,0,0,COUNTA(floors!$A:$A),MATCH(J$1,floors!$1:$1,0)-MATCH($H$1,floors!$1:$1,0)+1),MATCH(J$1,floors!$1:$1,0)-MATCH($H$1,floors!$1:$1,0)+1,FALSE)</f>
        <v>60</v>
      </c>
      <c r="K33" s="118" t="s">
        <v>87</v>
      </c>
      <c r="L33" s="205">
        <v>352</v>
      </c>
      <c r="M33" s="120" t="str">
        <f ca="1">VLOOKUP($L33,OFFSET([3]enemies!$A$1,0,0,COUNTA([3]enemies!$A:$A),MATCH(M$1,[3]enemies!$1:$1,0)-MATCH($L$1,[3]enemies!$1:$1,0)+1),MATCH(M$1,[3]enemies!$1:$1,0)-MATCH($L$1,[3]enemies!$1:$1,0)+1,FALSE)</f>
        <v>水のケロケロ</v>
      </c>
      <c r="N33" s="120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120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120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20">
        <f ca="1">VLOOKUP($L33,OFFSET([3]enemies!$A$1,0,0,COUNTA([3]enemies!$A:$A),MATCH(Q$1,[3]enemies!$1:$1,0)-MATCH($L$1,[3]enemies!$1:$1,0)+1),MATCH(Q$1,[3]enemies!$1:$1,0)-MATCH($L$1,[3]enemies!$1:$1,0)+1,FALSE)</f>
        <v>15</v>
      </c>
      <c r="R33" s="121">
        <v>60</v>
      </c>
      <c r="S33" s="206">
        <v>1.3</v>
      </c>
      <c r="T33" s="122">
        <v>1</v>
      </c>
      <c r="U33" s="121">
        <v>0</v>
      </c>
      <c r="V33" s="196" t="e">
        <f ca="1">VLOOKUP($W33,OFFSET(enemy_skill_sets!$B$1,0,0,COUNTA(enemy_skill_sets!$B:$B),MATCH(M$1,enemy_skill_sets!$1:$1,0)-MATCH($W$1,enemy_skill_sets!$1:$1,0)+2),MATCH(M$1,enemy_skill_sets!$1:$1,0)-MATCH($W$1,enemy_skill_sets!$1:$1,0)+2,FALSE)</f>
        <v>#N/A</v>
      </c>
      <c r="W33" s="116">
        <f ca="1">VLOOKUP($L33,OFFSET([3]enemies!$A$1,0,0,COUNTA([3]enemies!$A:$A),MATCH(W$1,[3]enemies!$1:$1,0)-MATCH($L$1,[3]enemies!$1:$1,0)+1),MATCH(W$1,[3]enemies!$1:$1,0)-MATCH($L$1,[3]enemies!$1:$1,0)+1,FALSE)</f>
        <v>0</v>
      </c>
      <c r="X33" s="124">
        <v>0</v>
      </c>
      <c r="Y33" s="124">
        <v>20</v>
      </c>
      <c r="Z33" s="124">
        <v>0</v>
      </c>
      <c r="AA33" s="120">
        <f ca="1">VLOOKUP($L33,OFFSET([3]enemies!$A$1,0,0,COUNTA([3]enemies!$A:$A),MATCH(AA$1,[3]enemies!$1:$1,0)-MATCH($L$1,[3]enemies!$1:$1,0)+1),MATCH(AA$1,[3]enemies!$1:$1,0)-MATCH($L$1,[3]enemies!$1:$1,0)+1,FALSE)</f>
        <v>3</v>
      </c>
      <c r="AB33" s="126">
        <f t="shared" si="68"/>
        <v>352</v>
      </c>
      <c r="AC33" s="116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33" s="116">
        <f ca="1">VLOOKUP($AB33,OFFSET([4]characters!$A$1,0,0,COUNTA([4]characters!$A:$A),MATCH(AD$1,[4]characters!$1:$1,0)-MATCH("character_id",[4]characters!$1:$1,0)+1),MATCH(AD$1,[4]characters!$1:$1,0)-MATCH("character_id",[4]characters!$1:$1,0)+1,FALSE)</f>
        <v>2</v>
      </c>
      <c r="AE33" s="116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3" s="127">
        <v>10</v>
      </c>
      <c r="AG33" s="126">
        <f t="shared" ca="1" si="69"/>
        <v>2</v>
      </c>
      <c r="AH33" s="128">
        <v>20</v>
      </c>
      <c r="AI33" s="127">
        <v>0</v>
      </c>
      <c r="AJ33" s="127">
        <v>0</v>
      </c>
      <c r="AK33" s="127">
        <v>0</v>
      </c>
      <c r="AL33" s="127">
        <v>0</v>
      </c>
      <c r="AM33" s="127">
        <v>1</v>
      </c>
      <c r="AN33" s="197">
        <v>1</v>
      </c>
    </row>
    <row r="34" spans="1:40" ht="21" customHeight="1" x14ac:dyDescent="0.15">
      <c r="A34" s="13" t="str">
        <f t="shared" ca="1" si="60"/>
        <v>15030_2-2/370&lt;lv60&gt;s2</v>
      </c>
      <c r="B34" s="90">
        <v>15030</v>
      </c>
      <c r="C34" s="92">
        <v>2</v>
      </c>
      <c r="D34" s="1" t="str">
        <f t="shared" si="61"/>
        <v>15030_2</v>
      </c>
      <c r="E34" s="3" t="str">
        <f ca="1">VLOOKUP($B34,OFFSET([2]quests!$A$1,0,0,COUNTA([2]quests!$A:$A),MATCH(E$1,[2]quests!$1:$1,0)-MATCH($B$1,[2]quests!$1:$1,0)+1),MATCH(E$1,[2]quests!$1:$1,0)-MATCH($B$1,[2]quests!$1:$1,0)+1,FALSE)</f>
        <v>30. 月夜のオールドシティ</v>
      </c>
      <c r="F34" s="14" t="str">
        <f ca="1">VLOOKUP($D34,OFFSET([2]stages!$A$1,0,0,COUNTA([2]stages!$A:$A),MATCH(F$1,[2]stages!$2:$2,0)-MATCH($D$1,[2]stages!$2:$2,0)+1),MATCH(F$1,[2]stages!$2:$2,0)-MATCH($D$1,[2]stages!$2:$2,0)+1,FALSE)</f>
        <v>30-2. 深夜のお茶会</v>
      </c>
      <c r="G34" s="203">
        <v>2</v>
      </c>
      <c r="H34" s="153" t="str">
        <f t="shared" si="62"/>
        <v>15030_2-2</v>
      </c>
      <c r="I34" s="182">
        <f ca="1">VLOOKUP($H34,OFFSET(floors!$A$1,0,0,COUNTA(floors!$A:$A),MATCH(I$1,floors!$1:$1,0)-MATCH($H$1,floors!$1:$1,0)+1),MATCH(I$1,floors!$1:$1,0)-MATCH($H$1,floors!$1:$1,0)+1,FALSE)</f>
        <v>45</v>
      </c>
      <c r="J34" s="182">
        <f ca="1">VLOOKUP($H34,OFFSET(floors!$A$1,0,0,COUNTA(floors!$A:$A),MATCH(J$1,floors!$1:$1,0)-MATCH($H$1,floors!$1:$1,0)+1),MATCH(J$1,floors!$1:$1,0)-MATCH($H$1,floors!$1:$1,0)+1,FALSE)</f>
        <v>60</v>
      </c>
      <c r="K34" s="154" t="s">
        <v>87</v>
      </c>
      <c r="L34" s="183">
        <v>370</v>
      </c>
      <c r="M34" s="184" t="str">
        <f ca="1">VLOOKUP($L34,OFFSET([3]enemies!$A$1,0,0,COUNTA([3]enemies!$A:$A),MATCH(M$1,[3]enemies!$1:$1,0)-MATCH($L$1,[3]enemies!$1:$1,0)+1),MATCH(M$1,[3]enemies!$1:$1,0)-MATCH($L$1,[3]enemies!$1:$1,0)+1,FALSE)</f>
        <v>タイチ</v>
      </c>
      <c r="N34" s="184" t="str">
        <f ca="1">VLOOKUP($L34,OFFSET([3]enemies!$A$1,0,0,COUNTA([3]enemies!$A:$A),MATCH(N$1,[3]enemies!$1:$1,0)-MATCH($L$1,[3]enemies!$1:$1,0)+1),MATCH(N$1,[3]enemies!$1:$1,0)-MATCH($L$1,[3]enemies!$1:$1,0)+1,FALSE)</f>
        <v>red</v>
      </c>
      <c r="O34" s="184" t="str">
        <f ca="1">VLOOKUP($L34,OFFSET([4]characters!$A$1,0,0,COUNTA([4]characters!$A:$A),MATCH(O$1,[4]characters!$1:$1,0)-MATCH($L$1,[4]characters!$1:$1,0)+1),MATCH(O$1,[4]characters!$1:$1,0)-MATCH($L$1,[4]characters!$1:$1,0)+1,FALSE)</f>
        <v>Drop1S</v>
      </c>
      <c r="P34" s="184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184">
        <f ca="1">VLOOKUP($L34,OFFSET([3]enemies!$A$1,0,0,COUNTA([3]enemies!$A:$A),MATCH(Q$1,[3]enemies!$1:$1,0)-MATCH($L$1,[3]enemies!$1:$1,0)+1),MATCH(Q$1,[3]enemies!$1:$1,0)-MATCH($L$1,[3]enemies!$1:$1,0)+1,FALSE)</f>
        <v>15</v>
      </c>
      <c r="R34" s="185">
        <v>60</v>
      </c>
      <c r="S34" s="186">
        <v>1.3</v>
      </c>
      <c r="T34" s="186">
        <v>0.9</v>
      </c>
      <c r="U34" s="185">
        <v>0</v>
      </c>
      <c r="V34" s="223" t="str">
        <f ca="1">VLOOKUP($W34,OFFSET(enemy_skill_sets!$B$1,0,0,COUNTA(enemy_skill_sets!$B:$B),MATCH(M$1,enemy_skill_sets!$1:$1,0)-MATCH($W$1,enemy_skill_sets!$1:$1,0)+2),MATCH(M$1,enemy_skill_sets!$1:$1,0)-MATCH($W$1,enemy_skill_sets!$1:$1,0)+2,FALSE)</f>
        <v>赤パネルを吸収して全体攻撃</v>
      </c>
      <c r="W34" s="223">
        <v>15030001</v>
      </c>
      <c r="X34" s="188">
        <v>1</v>
      </c>
      <c r="Y34" s="188">
        <v>100</v>
      </c>
      <c r="Z34" s="188">
        <v>0</v>
      </c>
      <c r="AA34" s="184">
        <f ca="1">VLOOKUP($L34,OFFSET([3]enemies!$A$1,0,0,COUNTA([3]enemies!$A:$A),MATCH(AA$1,[3]enemies!$1:$1,0)-MATCH($L$1,[3]enemies!$1:$1,0)+1),MATCH(AA$1,[3]enemies!$1:$1,0)-MATCH($L$1,[3]enemies!$1:$1,0)+1,FALSE)</f>
        <v>2</v>
      </c>
      <c r="AB34" s="189">
        <f t="shared" si="63"/>
        <v>370</v>
      </c>
      <c r="AC34" s="182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34" s="182">
        <f ca="1">VLOOKUP($AB34,OFFSET([4]characters!$A$1,0,0,COUNTA([4]characters!$A:$A),MATCH(AD$1,[4]characters!$1:$1,0)-MATCH("character_id",[4]characters!$1:$1,0)+1),MATCH(AD$1,[4]characters!$1:$1,0)-MATCH("character_id",[4]characters!$1:$1,0)+1,FALSE)</f>
        <v>2</v>
      </c>
      <c r="AE34" s="182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Drop1S</v>
      </c>
      <c r="AF34" s="149">
        <v>1</v>
      </c>
      <c r="AG34" s="189">
        <f t="shared" ca="1" si="64"/>
        <v>2</v>
      </c>
      <c r="AH34" s="190">
        <v>20</v>
      </c>
      <c r="AI34" s="149">
        <v>0</v>
      </c>
      <c r="AJ34" s="149">
        <v>0</v>
      </c>
      <c r="AK34" s="149">
        <v>0</v>
      </c>
      <c r="AL34" s="149">
        <v>0</v>
      </c>
      <c r="AM34" s="149">
        <v>1</v>
      </c>
      <c r="AN34" s="191">
        <v>1</v>
      </c>
    </row>
    <row r="35" spans="1:40" ht="21" customHeight="1" x14ac:dyDescent="0.15">
      <c r="A35" s="13" t="str">
        <f t="shared" ca="1" si="55"/>
        <v>15030_2-2/374&lt;lv60&gt;s1</v>
      </c>
      <c r="B35" s="90">
        <v>15030</v>
      </c>
      <c r="C35" s="92">
        <v>2</v>
      </c>
      <c r="D35" s="1" t="str">
        <f t="shared" si="56"/>
        <v>15030_2</v>
      </c>
      <c r="E35" s="3" t="str">
        <f ca="1">VLOOKUP($B35,OFFSET([2]quests!$A$1,0,0,COUNTA([2]quests!$A:$A),MATCH(E$1,[2]quests!$1:$1,0)-MATCH($B$1,[2]quests!$1:$1,0)+1),MATCH(E$1,[2]quests!$1:$1,0)-MATCH($B$1,[2]quests!$1:$1,0)+1,FALSE)</f>
        <v>30. 月夜のオールドシティ</v>
      </c>
      <c r="F35" s="14" t="str">
        <f ca="1">VLOOKUP($D35,OFFSET([2]stages!$A$1,0,0,COUNTA([2]stages!$A:$A),MATCH(F$1,[2]stages!$2:$2,0)-MATCH($D$1,[2]stages!$2:$2,0)+1),MATCH(F$1,[2]stages!$2:$2,0)-MATCH($D$1,[2]stages!$2:$2,0)+1,FALSE)</f>
        <v>30-2. 深夜のお茶会</v>
      </c>
      <c r="G35" s="194">
        <v>2</v>
      </c>
      <c r="H35" s="12" t="str">
        <f t="shared" si="57"/>
        <v>15030_2-2</v>
      </c>
      <c r="I35" s="3">
        <f ca="1">VLOOKUP($H35,OFFSET(floors!$A$1,0,0,COUNTA(floors!$A:$A),MATCH(I$1,floors!$1:$1,0)-MATCH($H$1,floors!$1:$1,0)+1),MATCH(I$1,floors!$1:$1,0)-MATCH($H$1,floors!$1:$1,0)+1,FALSE)</f>
        <v>45</v>
      </c>
      <c r="J35" s="3">
        <f ca="1">VLOOKUP($H35,OFFSET(floors!$A$1,0,0,COUNTA(floors!$A:$A),MATCH(J$1,floors!$1:$1,0)-MATCH($H$1,floors!$1:$1,0)+1),MATCH(J$1,floors!$1:$1,0)-MATCH($H$1,floors!$1:$1,0)+1,FALSE)</f>
        <v>60</v>
      </c>
      <c r="K35" s="31" t="s">
        <v>210</v>
      </c>
      <c r="L35" s="95">
        <v>374</v>
      </c>
      <c r="M35" s="14" t="str">
        <f ca="1">VLOOKUP($L35,OFFSET([3]enemies!$A$1,0,0,COUNTA([3]enemies!$A:$A),MATCH(M$1,[3]enemies!$1:$1,0)-MATCH($L$1,[3]enemies!$1:$1,0)+1),MATCH(M$1,[3]enemies!$1:$1,0)-MATCH($L$1,[3]enemies!$1:$1,0)+1,FALSE)</f>
        <v>影丸</v>
      </c>
      <c r="N35" s="14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14" t="str">
        <f ca="1">VLOOKUP($L35,OFFSET([4]characters!$A$1,0,0,COUNTA([4]characters!$A:$A),MATCH(O$1,[4]characters!$1:$1,0)-MATCH($L$1,[4]characters!$1:$1,0)+1),MATCH(O$1,[4]characters!$1:$1,0)-MATCH($L$1,[4]characters!$1:$1,0)+1,FALSE)</f>
        <v>Drop1S</v>
      </c>
      <c r="P35" s="14" t="str">
        <f ca="1">VLOOKUP($L35,OFFSET([3]enemies!$A$1,0,0,COUNTA([3]enemies!$A:$A),MATCH(P$1,[3]enemies!$1:$1,0)-MATCH($L$1,[3]enemies!$1:$1,0)+1),MATCH(P$1,[3]enemies!$1:$1,0)-MATCH($L$1,[3]enemies!$1:$1,0)+1,FALSE)</f>
        <v>animal</v>
      </c>
      <c r="Q35" s="14">
        <f ca="1">VLOOKUP($L35,OFFSET([3]enemies!$A$1,0,0,COUNTA([3]enemies!$A:$A),MATCH(Q$1,[3]enemies!$1:$1,0)-MATCH($L$1,[3]enemies!$1:$1,0)+1),MATCH(Q$1,[3]enemies!$1:$1,0)-MATCH($L$1,[3]enemies!$1:$1,0)+1,FALSE)</f>
        <v>15</v>
      </c>
      <c r="R35" s="4">
        <v>60</v>
      </c>
      <c r="S35" s="106">
        <v>1.3</v>
      </c>
      <c r="T35" s="19">
        <v>0.9</v>
      </c>
      <c r="U35" s="4">
        <v>0</v>
      </c>
      <c r="V35" s="97" t="str">
        <f ca="1">VLOOKUP($W35,OFFSET(enemy_skill_sets!$B$1,0,0,COUNTA(enemy_skill_sets!$B:$B),MATCH(M$1,enemy_skill_sets!$1:$1,0)-MATCH($W$1,enemy_skill_sets!$1:$1,0)+2),MATCH(M$1,enemy_skill_sets!$1:$1,0)-MATCH($W$1,enemy_skill_sets!$1:$1,0)+2,FALSE)</f>
        <v>ウィルス状態のユニットに大ダメージの全体攻撃</v>
      </c>
      <c r="W35" s="97">
        <v>15030002</v>
      </c>
      <c r="X35" s="5">
        <v>1</v>
      </c>
      <c r="Y35" s="5">
        <v>100</v>
      </c>
      <c r="Z35" s="5">
        <v>0</v>
      </c>
      <c r="AA35" s="14">
        <f ca="1">VLOOKUP($L35,OFFSET([3]enemies!$A$1,0,0,COUNTA([3]enemies!$A:$A),MATCH(AA$1,[3]enemies!$1:$1,0)-MATCH($L$1,[3]enemies!$1:$1,0)+1),MATCH(AA$1,[3]enemies!$1:$1,0)-MATCH($L$1,[3]enemies!$1:$1,0)+1,FALSE)</f>
        <v>1</v>
      </c>
      <c r="AB35" s="170">
        <f t="shared" si="58"/>
        <v>374</v>
      </c>
      <c r="AC35" s="3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影丸</v>
      </c>
      <c r="AD35" s="3">
        <f ca="1">VLOOKUP($AB35,OFFSET([4]characters!$A$1,0,0,COUNTA([4]characters!$A:$A),MATCH(AD$1,[4]characters!$1:$1,0)-MATCH("character_id",[4]characters!$1:$1,0)+1),MATCH(AD$1,[4]characters!$1:$1,0)-MATCH("character_id",[4]characters!$1:$1,0)+1,FALSE)</f>
        <v>2</v>
      </c>
      <c r="AE35" s="3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Drop1S</v>
      </c>
      <c r="AF35" s="88">
        <v>1</v>
      </c>
      <c r="AG35" s="170">
        <f t="shared" ca="1" si="59"/>
        <v>2</v>
      </c>
      <c r="AH35" s="7">
        <v>20</v>
      </c>
      <c r="AI35" s="88">
        <v>0</v>
      </c>
      <c r="AJ35" s="88">
        <v>0</v>
      </c>
      <c r="AK35" s="88">
        <v>0</v>
      </c>
      <c r="AL35" s="88">
        <v>0</v>
      </c>
      <c r="AM35" s="88">
        <v>1</v>
      </c>
      <c r="AN35" s="193">
        <v>1</v>
      </c>
    </row>
    <row r="36" spans="1:40" ht="21" customHeight="1" x14ac:dyDescent="0.15">
      <c r="A36" s="13" t="str">
        <f t="shared" ca="1" si="55"/>
        <v>15030_2-2/348&lt;lv60&gt;s3</v>
      </c>
      <c r="B36" s="90">
        <v>15030</v>
      </c>
      <c r="C36" s="92">
        <v>2</v>
      </c>
      <c r="D36" s="1" t="str">
        <f t="shared" si="56"/>
        <v>15030_2</v>
      </c>
      <c r="E36" s="3" t="str">
        <f ca="1">VLOOKUP($B36,OFFSET([2]quests!$A$1,0,0,COUNTA([2]quests!$A:$A),MATCH(E$1,[2]quests!$1:$1,0)-MATCH($B$1,[2]quests!$1:$1,0)+1),MATCH(E$1,[2]quests!$1:$1,0)-MATCH($B$1,[2]quests!$1:$1,0)+1,FALSE)</f>
        <v>30. 月夜のオールドシティ</v>
      </c>
      <c r="F36" s="14" t="str">
        <f ca="1">VLOOKUP($D36,OFFSET([2]stages!$A$1,0,0,COUNTA([2]stages!$A:$A),MATCH(F$1,[2]stages!$2:$2,0)-MATCH($D$1,[2]stages!$2:$2,0)+1),MATCH(F$1,[2]stages!$2:$2,0)-MATCH($D$1,[2]stages!$2:$2,0)+1,FALSE)</f>
        <v>30-2. 深夜のお茶会</v>
      </c>
      <c r="G36" s="194">
        <v>2</v>
      </c>
      <c r="H36" s="12" t="str">
        <f t="shared" si="57"/>
        <v>15030_2-2</v>
      </c>
      <c r="I36" s="3">
        <f ca="1">VLOOKUP($H36,OFFSET(floors!$A$1,0,0,COUNTA(floors!$A:$A),MATCH(I$1,floors!$1:$1,0)-MATCH($H$1,floors!$1:$1,0)+1),MATCH(I$1,floors!$1:$1,0)-MATCH($H$1,floors!$1:$1,0)+1,FALSE)</f>
        <v>45</v>
      </c>
      <c r="J36" s="3">
        <f ca="1">VLOOKUP($H36,OFFSET(floors!$A$1,0,0,COUNTA(floors!$A:$A),MATCH(J$1,floors!$1:$1,0)-MATCH($H$1,floors!$1:$1,0)+1),MATCH(J$1,floors!$1:$1,0)-MATCH($H$1,floors!$1:$1,0)+1,FALSE)</f>
        <v>60</v>
      </c>
      <c r="K36" s="31" t="s">
        <v>87</v>
      </c>
      <c r="L36" s="95">
        <v>348</v>
      </c>
      <c r="M36" s="14" t="str">
        <f ca="1">VLOOKUP($L36,OFFSET([3]enemies!$A$1,0,0,COUNTA([3]enemies!$A:$A),MATCH(M$1,[3]enemies!$1:$1,0)-MATCH($L$1,[3]enemies!$1:$1,0)+1),MATCH(M$1,[3]enemies!$1:$1,0)-MATCH($L$1,[3]enemies!$1:$1,0)+1,FALSE)</f>
        <v>炎のケロケロ</v>
      </c>
      <c r="N36" s="14" t="str">
        <f ca="1">VLOOKUP($L36,OFFSET([3]enemies!$A$1,0,0,COUNTA([3]enemies!$A:$A),MATCH(N$1,[3]enemies!$1:$1,0)-MATCH($L$1,[3]enemies!$1:$1,0)+1),MATCH(N$1,[3]enemies!$1:$1,0)-MATCH($L$1,[3]enemies!$1:$1,0)+1,FALSE)</f>
        <v>red</v>
      </c>
      <c r="O36" s="14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14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14">
        <f ca="1">VLOOKUP($L36,OFFSET([3]enemies!$A$1,0,0,COUNTA([3]enemies!$A:$A),MATCH(Q$1,[3]enemies!$1:$1,0)-MATCH($L$1,[3]enemies!$1:$1,0)+1),MATCH(Q$1,[3]enemies!$1:$1,0)-MATCH($L$1,[3]enemies!$1:$1,0)+1,FALSE)</f>
        <v>15</v>
      </c>
      <c r="R36" s="4">
        <v>60</v>
      </c>
      <c r="S36" s="106">
        <v>1.5</v>
      </c>
      <c r="T36" s="19">
        <v>1</v>
      </c>
      <c r="U36" s="4">
        <v>0</v>
      </c>
      <c r="V36" s="3" t="e">
        <f ca="1">VLOOKUP($W36,OFFSET(enemy_skill_sets!$B$1,0,0,COUNTA(enemy_skill_sets!$B:$B),MATCH(M$1,enemy_skill_sets!$1:$1,0)-MATCH($W$1,enemy_skill_sets!$1:$1,0)+2),MATCH(M$1,enemy_skill_sets!$1:$1,0)-MATCH($W$1,enemy_skill_sets!$1:$1,0)+2,FALSE)</f>
        <v>#N/A</v>
      </c>
      <c r="W36" s="3">
        <f ca="1">VLOOKUP($L36,OFFSET([3]enemies!$A$1,0,0,COUNTA([3]enemies!$A:$A),MATCH(W$1,[3]enemies!$1:$1,0)-MATCH($L$1,[3]enemies!$1:$1,0)+1),MATCH(W$1,[3]enemies!$1:$1,0)-MATCH($L$1,[3]enemies!$1:$1,0)+1,FALSE)</f>
        <v>0</v>
      </c>
      <c r="X36" s="5">
        <v>0</v>
      </c>
      <c r="Y36" s="5">
        <v>100</v>
      </c>
      <c r="Z36" s="5">
        <v>1</v>
      </c>
      <c r="AA36" s="14">
        <f ca="1">VLOOKUP($L36,OFFSET([3]enemies!$A$1,0,0,COUNTA([3]enemies!$A:$A),MATCH(AA$1,[3]enemies!$1:$1,0)-MATCH($L$1,[3]enemies!$1:$1,0)+1),MATCH(AA$1,[3]enemies!$1:$1,0)-MATCH($L$1,[3]enemies!$1:$1,0)+1,FALSE)</f>
        <v>3</v>
      </c>
      <c r="AB36" s="170">
        <f t="shared" si="58"/>
        <v>348</v>
      </c>
      <c r="AC36" s="3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36" s="3">
        <f ca="1">VLOOKUP($AB36,OFFSET([4]characters!$A$1,0,0,COUNTA([4]characters!$A:$A),MATCH(AD$1,[4]characters!$1:$1,0)-MATCH("character_id",[4]characters!$1:$1,0)+1),MATCH(AD$1,[4]characters!$1:$1,0)-MATCH("character_id",[4]characters!$1:$1,0)+1,FALSE)</f>
        <v>2</v>
      </c>
      <c r="AE36" s="3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88">
        <v>10</v>
      </c>
      <c r="AG36" s="170">
        <f t="shared" ca="1" si="59"/>
        <v>2</v>
      </c>
      <c r="AH36" s="7">
        <v>100</v>
      </c>
      <c r="AI36" s="88">
        <v>0</v>
      </c>
      <c r="AJ36" s="88">
        <v>0</v>
      </c>
      <c r="AK36" s="88">
        <v>0</v>
      </c>
      <c r="AL36" s="88">
        <v>0</v>
      </c>
      <c r="AM36" s="88">
        <v>1</v>
      </c>
      <c r="AN36" s="193">
        <v>1</v>
      </c>
    </row>
    <row r="37" spans="1:40" ht="21" customHeight="1" thickBot="1" x14ac:dyDescent="0.2">
      <c r="A37" s="13" t="str">
        <f t="shared" ref="A37:A41" ca="1" si="70">B37&amp;"_"&amp;C37&amp;"-"&amp;G37&amp;"/"&amp;L37&amp;"&lt;lv"&amp;R37&amp;"&gt;s"&amp;AA37</f>
        <v>15030_2-2/352&lt;lv60&gt;s3</v>
      </c>
      <c r="B37" s="90">
        <v>15030</v>
      </c>
      <c r="C37" s="92">
        <v>2</v>
      </c>
      <c r="D37" s="1" t="str">
        <f t="shared" ref="D37:D41" si="71">B37&amp;"_"&amp;C37</f>
        <v>15030_2</v>
      </c>
      <c r="E37" s="3" t="str">
        <f ca="1">VLOOKUP($B37,OFFSET([2]quests!$A$1,0,0,COUNTA([2]quests!$A:$A),MATCH(E$1,[2]quests!$1:$1,0)-MATCH($B$1,[2]quests!$1:$1,0)+1),MATCH(E$1,[2]quests!$1:$1,0)-MATCH($B$1,[2]quests!$1:$1,0)+1,FALSE)</f>
        <v>30. 月夜のオールドシティ</v>
      </c>
      <c r="F37" s="14" t="str">
        <f ca="1">VLOOKUP($D37,OFFSET([2]stages!$A$1,0,0,COUNTA([2]stages!$A:$A),MATCH(F$1,[2]stages!$2:$2,0)-MATCH($D$1,[2]stages!$2:$2,0)+1),MATCH(F$1,[2]stages!$2:$2,0)-MATCH($D$1,[2]stages!$2:$2,0)+1,FALSE)</f>
        <v>30-2. 深夜のお茶会</v>
      </c>
      <c r="G37" s="195">
        <v>2</v>
      </c>
      <c r="H37" s="115" t="str">
        <f t="shared" ref="H37:H41" si="72">B37&amp;"_"&amp;C37&amp;"-"&amp;G37</f>
        <v>15030_2-2</v>
      </c>
      <c r="I37" s="116">
        <f ca="1">VLOOKUP($H37,OFFSET(floors!$A$1,0,0,COUNTA(floors!$A:$A),MATCH(I$1,floors!$1:$1,0)-MATCH($H$1,floors!$1:$1,0)+1),MATCH(I$1,floors!$1:$1,0)-MATCH($H$1,floors!$1:$1,0)+1,FALSE)</f>
        <v>45</v>
      </c>
      <c r="J37" s="116">
        <f ca="1">VLOOKUP($H37,OFFSET(floors!$A$1,0,0,COUNTA(floors!$A:$A),MATCH(J$1,floors!$1:$1,0)-MATCH($H$1,floors!$1:$1,0)+1),MATCH(J$1,floors!$1:$1,0)-MATCH($H$1,floors!$1:$1,0)+1,FALSE)</f>
        <v>60</v>
      </c>
      <c r="K37" s="118" t="s">
        <v>87</v>
      </c>
      <c r="L37" s="119">
        <v>352</v>
      </c>
      <c r="M37" s="120" t="str">
        <f ca="1">VLOOKUP($L37,OFFSET([3]enemies!$A$1,0,0,COUNTA([3]enemies!$A:$A),MATCH(M$1,[3]enemies!$1:$1,0)-MATCH($L$1,[3]enemies!$1:$1,0)+1),MATCH(M$1,[3]enemies!$1:$1,0)-MATCH($L$1,[3]enemies!$1:$1,0)+1,FALSE)</f>
        <v>水のケロケロ</v>
      </c>
      <c r="N37" s="120" t="str">
        <f ca="1">VLOOKUP($L37,OFFSET([3]enemies!$A$1,0,0,COUNTA([3]enemies!$A:$A),MATCH(N$1,[3]enemies!$1:$1,0)-MATCH($L$1,[3]enemies!$1:$1,0)+1),MATCH(N$1,[3]enemies!$1:$1,0)-MATCH($L$1,[3]enemies!$1:$1,0)+1,FALSE)</f>
        <v>blue</v>
      </c>
      <c r="O37" s="120" t="str">
        <f ca="1">VLOOKUP($L37,OFFSET([4]characters!$A$1,0,0,COUNTA([4]characters!$A:$A),MATCH(O$1,[4]characters!$1:$1,0)-MATCH($L$1,[4]characters!$1:$1,0)+1),MATCH(O$1,[4]characters!$1:$1,0)-MATCH($L$1,[4]characters!$1:$1,0)+1,FALSE)</f>
        <v>Material</v>
      </c>
      <c r="P37" s="120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20">
        <f ca="1">VLOOKUP($L37,OFFSET([3]enemies!$A$1,0,0,COUNTA([3]enemies!$A:$A),MATCH(Q$1,[3]enemies!$1:$1,0)-MATCH($L$1,[3]enemies!$1:$1,0)+1),MATCH(Q$1,[3]enemies!$1:$1,0)-MATCH($L$1,[3]enemies!$1:$1,0)+1,FALSE)</f>
        <v>15</v>
      </c>
      <c r="R37" s="121">
        <v>60</v>
      </c>
      <c r="S37" s="206">
        <v>1.5</v>
      </c>
      <c r="T37" s="122">
        <v>1</v>
      </c>
      <c r="U37" s="121">
        <v>0</v>
      </c>
      <c r="V37" s="116" t="e">
        <f ca="1">VLOOKUP($W37,OFFSET(enemy_skill_sets!$B$1,0,0,COUNTA(enemy_skill_sets!$B:$B),MATCH(M$1,enemy_skill_sets!$1:$1,0)-MATCH($W$1,enemy_skill_sets!$1:$1,0)+2),MATCH(M$1,enemy_skill_sets!$1:$1,0)-MATCH($W$1,enemy_skill_sets!$1:$1,0)+2,FALSE)</f>
        <v>#N/A</v>
      </c>
      <c r="W37" s="116">
        <f ca="1">VLOOKUP($L37,OFFSET([3]enemies!$A$1,0,0,COUNTA([3]enemies!$A:$A),MATCH(W$1,[3]enemies!$1:$1,0)-MATCH($L$1,[3]enemies!$1:$1,0)+1),MATCH(W$1,[3]enemies!$1:$1,0)-MATCH($L$1,[3]enemies!$1:$1,0)+1,FALSE)</f>
        <v>0</v>
      </c>
      <c r="X37" s="124">
        <v>0</v>
      </c>
      <c r="Y37" s="124">
        <v>100</v>
      </c>
      <c r="Z37" s="124">
        <v>1</v>
      </c>
      <c r="AA37" s="120">
        <f ca="1">VLOOKUP($L37,OFFSET([3]enemies!$A$1,0,0,COUNTA([3]enemies!$A:$A),MATCH(AA$1,[3]enemies!$1:$1,0)-MATCH($L$1,[3]enemies!$1:$1,0)+1),MATCH(AA$1,[3]enemies!$1:$1,0)-MATCH($L$1,[3]enemies!$1:$1,0)+1,FALSE)</f>
        <v>3</v>
      </c>
      <c r="AB37" s="126">
        <f t="shared" ref="AB37:AB41" si="73">L37</f>
        <v>352</v>
      </c>
      <c r="AC37" s="116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37" s="116">
        <f ca="1">VLOOKUP($AB37,OFFSET([4]characters!$A$1,0,0,COUNTA([4]characters!$A:$A),MATCH(AD$1,[4]characters!$1:$1,0)-MATCH("character_id",[4]characters!$1:$1,0)+1),MATCH(AD$1,[4]characters!$1:$1,0)-MATCH("character_id",[4]characters!$1:$1,0)+1,FALSE)</f>
        <v>2</v>
      </c>
      <c r="AE37" s="116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7" s="127">
        <v>10</v>
      </c>
      <c r="AG37" s="126">
        <f t="shared" ref="AG37:AG41" ca="1" si="74">AD37</f>
        <v>2</v>
      </c>
      <c r="AH37" s="128">
        <v>100</v>
      </c>
      <c r="AI37" s="127">
        <v>0</v>
      </c>
      <c r="AJ37" s="127">
        <v>0</v>
      </c>
      <c r="AK37" s="127">
        <v>0</v>
      </c>
      <c r="AL37" s="127">
        <v>0</v>
      </c>
      <c r="AM37" s="127">
        <v>1</v>
      </c>
      <c r="AN37" s="197">
        <v>1</v>
      </c>
    </row>
    <row r="38" spans="1:40" ht="21" customHeight="1" x14ac:dyDescent="0.15">
      <c r="A38" s="13" t="str">
        <f t="shared" ca="1" si="70"/>
        <v>15030_2-3/361&lt;lv60&gt;s3</v>
      </c>
      <c r="B38" s="90">
        <v>15030</v>
      </c>
      <c r="C38" s="92">
        <v>2</v>
      </c>
      <c r="D38" s="1" t="str">
        <f t="shared" si="71"/>
        <v>15030_2</v>
      </c>
      <c r="E38" s="3" t="str">
        <f ca="1">VLOOKUP($B38,OFFSET([2]quests!$A$1,0,0,COUNTA([2]quests!$A:$A),MATCH(E$1,[2]quests!$1:$1,0)-MATCH($B$1,[2]quests!$1:$1,0)+1),MATCH(E$1,[2]quests!$1:$1,0)-MATCH($B$1,[2]quests!$1:$1,0)+1,FALSE)</f>
        <v>30. 月夜のオールドシティ</v>
      </c>
      <c r="F38" s="14" t="str">
        <f ca="1">VLOOKUP($D38,OFFSET([2]stages!$A$1,0,0,COUNTA([2]stages!$A:$A),MATCH(F$1,[2]stages!$2:$2,0)-MATCH($D$1,[2]stages!$2:$2,0)+1),MATCH(F$1,[2]stages!$2:$2,0)-MATCH($D$1,[2]stages!$2:$2,0)+1,FALSE)</f>
        <v>30-2. 深夜のお茶会</v>
      </c>
      <c r="G38" s="203">
        <v>3</v>
      </c>
      <c r="H38" s="153" t="str">
        <f t="shared" si="72"/>
        <v>15030_2-3</v>
      </c>
      <c r="I38" s="182">
        <f ca="1">VLOOKUP($H38,OFFSET(floors!$A$1,0,0,COUNTA(floors!$A:$A),MATCH(I$1,floors!$1:$1,0)-MATCH($H$1,floors!$1:$1,0)+1),MATCH(I$1,floors!$1:$1,0)-MATCH($H$1,floors!$1:$1,0)+1,FALSE)</f>
        <v>45</v>
      </c>
      <c r="J38" s="182">
        <f ca="1">VLOOKUP($H38,OFFSET(floors!$A$1,0,0,COUNTA(floors!$A:$A),MATCH(J$1,floors!$1:$1,0)-MATCH($H$1,floors!$1:$1,0)+1),MATCH(J$1,floors!$1:$1,0)-MATCH($H$1,floors!$1:$1,0)+1,FALSE)</f>
        <v>60</v>
      </c>
      <c r="K38" s="154" t="s">
        <v>87</v>
      </c>
      <c r="L38" s="183">
        <v>361</v>
      </c>
      <c r="M38" s="184" t="str">
        <f ca="1">VLOOKUP($L38,OFFSET([3]enemies!$A$1,0,0,COUNTA([3]enemies!$A:$A),MATCH(M$1,[3]enemies!$1:$1,0)-MATCH($L$1,[3]enemies!$1:$1,0)+1),MATCH(M$1,[3]enemies!$1:$1,0)-MATCH($L$1,[3]enemies!$1:$1,0)+1,FALSE)</f>
        <v>灼熱の鉄板 ガンテツ</v>
      </c>
      <c r="N38" s="184" t="str">
        <f ca="1">VLOOKUP($L38,OFFSET([3]enemies!$A$1,0,0,COUNTA([3]enemies!$A:$A),MATCH(N$1,[3]enemies!$1:$1,0)-MATCH($L$1,[3]enemies!$1:$1,0)+1),MATCH(N$1,[3]enemies!$1:$1,0)-MATCH($L$1,[3]enemies!$1:$1,0)+1,FALSE)</f>
        <v>red</v>
      </c>
      <c r="O38" s="184" t="str">
        <f ca="1">VLOOKUP($L38,OFFSET([4]characters!$A$1,0,0,COUNTA([4]characters!$A:$A),MATCH(O$1,[4]characters!$1:$1,0)-MATCH($L$1,[4]characters!$1:$1,0)+1),MATCH(O$1,[4]characters!$1:$1,0)-MATCH($L$1,[4]characters!$1:$1,0)+1,FALSE)</f>
        <v>Drop1S</v>
      </c>
      <c r="P38" s="184" t="str">
        <f ca="1">VLOOKUP($L38,OFFSET([3]enemies!$A$1,0,0,COUNTA([3]enemies!$A:$A),MATCH(P$1,[3]enemies!$1:$1,0)-MATCH($L$1,[3]enemies!$1:$1,0)+1),MATCH(P$1,[3]enemies!$1:$1,0)-MATCH($L$1,[3]enemies!$1:$1,0)+1,FALSE)</f>
        <v>animal</v>
      </c>
      <c r="Q38" s="184">
        <f ca="1">VLOOKUP($L38,OFFSET([3]enemies!$A$1,0,0,COUNTA([3]enemies!$A:$A),MATCH(Q$1,[3]enemies!$1:$1,0)-MATCH($L$1,[3]enemies!$1:$1,0)+1),MATCH(Q$1,[3]enemies!$1:$1,0)-MATCH($L$1,[3]enemies!$1:$1,0)+1,FALSE)</f>
        <v>15</v>
      </c>
      <c r="R38" s="185">
        <v>60</v>
      </c>
      <c r="S38" s="186">
        <v>1.3</v>
      </c>
      <c r="T38" s="186">
        <v>1</v>
      </c>
      <c r="U38" s="185">
        <v>0</v>
      </c>
      <c r="V38" s="187" t="e">
        <f ca="1">VLOOKUP($W38,OFFSET(enemy_skill_sets!$B$1,0,0,COUNTA(enemy_skill_sets!$B:$B),MATCH(M$1,enemy_skill_sets!$1:$1,0)-MATCH($W$1,enemy_skill_sets!$1:$1,0)+2),MATCH(M$1,enemy_skill_sets!$1:$1,0)-MATCH($W$1,enemy_skill_sets!$1:$1,0)+2,FALSE)</f>
        <v>#N/A</v>
      </c>
      <c r="W38" s="182">
        <f ca="1">VLOOKUP($L38,OFFSET([3]enemies!$A$1,0,0,COUNTA([3]enemies!$A:$A),MATCH(W$1,[3]enemies!$1:$1,0)-MATCH($L$1,[3]enemies!$1:$1,0)+1),MATCH(W$1,[3]enemies!$1:$1,0)-MATCH($L$1,[3]enemies!$1:$1,0)+1,FALSE)</f>
        <v>0</v>
      </c>
      <c r="X38" s="188">
        <v>0</v>
      </c>
      <c r="Y38" s="188">
        <v>100</v>
      </c>
      <c r="Z38" s="188">
        <v>0</v>
      </c>
      <c r="AA38" s="184">
        <f ca="1">VLOOKUP($L38,OFFSET([3]enemies!$A$1,0,0,COUNTA([3]enemies!$A:$A),MATCH(AA$1,[3]enemies!$1:$1,0)-MATCH($L$1,[3]enemies!$1:$1,0)+1),MATCH(AA$1,[3]enemies!$1:$1,0)-MATCH($L$1,[3]enemies!$1:$1,0)+1,FALSE)</f>
        <v>3</v>
      </c>
      <c r="AB38" s="189">
        <f t="shared" si="73"/>
        <v>361</v>
      </c>
      <c r="AC38" s="182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38" s="182">
        <f ca="1">VLOOKUP($AB38,OFFSET([4]characters!$A$1,0,0,COUNTA([4]characters!$A:$A),MATCH(AD$1,[4]characters!$1:$1,0)-MATCH("character_id",[4]characters!$1:$1,0)+1),MATCH(AD$1,[4]characters!$1:$1,0)-MATCH("character_id",[4]characters!$1:$1,0)+1,FALSE)</f>
        <v>3</v>
      </c>
      <c r="AE38" s="182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Drop1S</v>
      </c>
      <c r="AF38" s="149">
        <v>1</v>
      </c>
      <c r="AG38" s="189">
        <f t="shared" ca="1" si="74"/>
        <v>3</v>
      </c>
      <c r="AH38" s="190">
        <v>20</v>
      </c>
      <c r="AI38" s="149">
        <v>0</v>
      </c>
      <c r="AJ38" s="149">
        <v>0</v>
      </c>
      <c r="AK38" s="149">
        <v>0</v>
      </c>
      <c r="AL38" s="149">
        <v>0</v>
      </c>
      <c r="AM38" s="149">
        <v>1</v>
      </c>
      <c r="AN38" s="191">
        <v>1</v>
      </c>
    </row>
    <row r="39" spans="1:40" ht="21" customHeight="1" x14ac:dyDescent="0.15">
      <c r="A39" s="13" t="str">
        <f t="shared" ca="1" si="70"/>
        <v>15030_2-3/365&lt;lv60&gt;s3</v>
      </c>
      <c r="B39" s="90">
        <v>15030</v>
      </c>
      <c r="C39" s="92">
        <v>2</v>
      </c>
      <c r="D39" s="1" t="str">
        <f t="shared" si="71"/>
        <v>15030_2</v>
      </c>
      <c r="E39" s="3" t="str">
        <f ca="1">VLOOKUP($B39,OFFSET([2]quests!$A$1,0,0,COUNTA([2]quests!$A:$A),MATCH(E$1,[2]quests!$1:$1,0)-MATCH($B$1,[2]quests!$1:$1,0)+1),MATCH(E$1,[2]quests!$1:$1,0)-MATCH($B$1,[2]quests!$1:$1,0)+1,FALSE)</f>
        <v>30. 月夜のオールドシティ</v>
      </c>
      <c r="F39" s="14" t="str">
        <f ca="1">VLOOKUP($D39,OFFSET([2]stages!$A$1,0,0,COUNTA([2]stages!$A:$A),MATCH(F$1,[2]stages!$2:$2,0)-MATCH($D$1,[2]stages!$2:$2,0)+1),MATCH(F$1,[2]stages!$2:$2,0)-MATCH($D$1,[2]stages!$2:$2,0)+1,FALSE)</f>
        <v>30-2. 深夜のお茶会</v>
      </c>
      <c r="G39" s="194">
        <v>3</v>
      </c>
      <c r="H39" s="12" t="str">
        <f t="shared" si="72"/>
        <v>15030_2-3</v>
      </c>
      <c r="I39" s="3">
        <f ca="1">VLOOKUP($H39,OFFSET(floors!$A$1,0,0,COUNTA(floors!$A:$A),MATCH(I$1,floors!$1:$1,0)-MATCH($H$1,floors!$1:$1,0)+1),MATCH(I$1,floors!$1:$1,0)-MATCH($H$1,floors!$1:$1,0)+1,FALSE)</f>
        <v>45</v>
      </c>
      <c r="J39" s="3">
        <f ca="1">VLOOKUP($H39,OFFSET(floors!$A$1,0,0,COUNTA(floors!$A:$A),MATCH(J$1,floors!$1:$1,0)-MATCH($H$1,floors!$1:$1,0)+1),MATCH(J$1,floors!$1:$1,0)-MATCH($H$1,floors!$1:$1,0)+1,FALSE)</f>
        <v>60</v>
      </c>
      <c r="K39" s="31" t="s">
        <v>87</v>
      </c>
      <c r="L39" s="95">
        <v>365</v>
      </c>
      <c r="M39" s="14" t="str">
        <f ca="1">VLOOKUP($L39,OFFSET([3]enemies!$A$1,0,0,COUNTA([3]enemies!$A:$A),MATCH(M$1,[3]enemies!$1:$1,0)-MATCH($L$1,[3]enemies!$1:$1,0)+1),MATCH(M$1,[3]enemies!$1:$1,0)-MATCH($L$1,[3]enemies!$1:$1,0)+1,FALSE)</f>
        <v>惨劇の人形 ノエル</v>
      </c>
      <c r="N39" s="14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14" t="str">
        <f ca="1">VLOOKUP($L39,OFFSET([4]characters!$A$1,0,0,COUNTA([4]characters!$A:$A),MATCH(O$1,[4]characters!$1:$1,0)-MATCH($L$1,[4]characters!$1:$1,0)+1),MATCH(O$1,[4]characters!$1:$1,0)-MATCH($L$1,[4]characters!$1:$1,0)+1,FALSE)</f>
        <v>Drop1S</v>
      </c>
      <c r="P39" s="14" t="str">
        <f ca="1">VLOOKUP($L39,OFFSET([3]enemies!$A$1,0,0,COUNTA([3]enemies!$A:$A),MATCH(P$1,[3]enemies!$1:$1,0)-MATCH($L$1,[3]enemies!$1:$1,0)+1),MATCH(P$1,[3]enemies!$1:$1,0)-MATCH($L$1,[3]enemies!$1:$1,0)+1,FALSE)</f>
        <v>animal</v>
      </c>
      <c r="Q39" s="14">
        <f ca="1">VLOOKUP($L39,OFFSET([3]enemies!$A$1,0,0,COUNTA([3]enemies!$A:$A),MATCH(Q$1,[3]enemies!$1:$1,0)-MATCH($L$1,[3]enemies!$1:$1,0)+1),MATCH(Q$1,[3]enemies!$1:$1,0)-MATCH($L$1,[3]enemies!$1:$1,0)+1,FALSE)</f>
        <v>15</v>
      </c>
      <c r="R39" s="4">
        <v>60</v>
      </c>
      <c r="S39" s="106">
        <v>1.3</v>
      </c>
      <c r="T39" s="19">
        <v>1</v>
      </c>
      <c r="U39" s="4">
        <v>0</v>
      </c>
      <c r="V39" s="98" t="e">
        <f ca="1">VLOOKUP($W39,OFFSET(enemy_skill_sets!$B$1,0,0,COUNTA(enemy_skill_sets!$B:$B),MATCH(M$1,enemy_skill_sets!$1:$1,0)-MATCH($W$1,enemy_skill_sets!$1:$1,0)+2),MATCH(M$1,enemy_skill_sets!$1:$1,0)-MATCH($W$1,enemy_skill_sets!$1:$1,0)+2,FALSE)</f>
        <v>#N/A</v>
      </c>
      <c r="W39" s="3">
        <f ca="1">VLOOKUP($L39,OFFSET([3]enemies!$A$1,0,0,COUNTA([3]enemies!$A:$A),MATCH(W$1,[3]enemies!$1:$1,0)-MATCH($L$1,[3]enemies!$1:$1,0)+1),MATCH(W$1,[3]enemies!$1:$1,0)-MATCH($L$1,[3]enemies!$1:$1,0)+1,FALSE)</f>
        <v>0</v>
      </c>
      <c r="X39" s="5">
        <v>0</v>
      </c>
      <c r="Y39" s="5">
        <v>100</v>
      </c>
      <c r="Z39" s="5">
        <v>0</v>
      </c>
      <c r="AA39" s="14">
        <f ca="1">VLOOKUP($L39,OFFSET([3]enemies!$A$1,0,0,COUNTA([3]enemies!$A:$A),MATCH(AA$1,[3]enemies!$1:$1,0)-MATCH($L$1,[3]enemies!$1:$1,0)+1),MATCH(AA$1,[3]enemies!$1:$1,0)-MATCH($L$1,[3]enemies!$1:$1,0)+1,FALSE)</f>
        <v>3</v>
      </c>
      <c r="AB39" s="170">
        <f t="shared" si="73"/>
        <v>365</v>
      </c>
      <c r="AC39" s="3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惨劇の人形 ノエル</v>
      </c>
      <c r="AD39" s="3">
        <f ca="1">VLOOKUP($AB39,OFFSET([4]characters!$A$1,0,0,COUNTA([4]characters!$A:$A),MATCH(AD$1,[4]characters!$1:$1,0)-MATCH("character_id",[4]characters!$1:$1,0)+1),MATCH(AD$1,[4]characters!$1:$1,0)-MATCH("character_id",[4]characters!$1:$1,0)+1,FALSE)</f>
        <v>3</v>
      </c>
      <c r="AE39" s="3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Drop1S</v>
      </c>
      <c r="AF39" s="88">
        <v>1</v>
      </c>
      <c r="AG39" s="170">
        <f t="shared" ca="1" si="74"/>
        <v>3</v>
      </c>
      <c r="AH39" s="7">
        <v>20</v>
      </c>
      <c r="AI39" s="88">
        <v>0</v>
      </c>
      <c r="AJ39" s="88">
        <v>0</v>
      </c>
      <c r="AK39" s="88">
        <v>0</v>
      </c>
      <c r="AL39" s="88">
        <v>0</v>
      </c>
      <c r="AM39" s="88">
        <v>1</v>
      </c>
      <c r="AN39" s="193">
        <v>1</v>
      </c>
    </row>
    <row r="40" spans="1:40" ht="21" customHeight="1" x14ac:dyDescent="0.15">
      <c r="A40" s="13" t="str">
        <f t="shared" ca="1" si="70"/>
        <v>15030_2-3/34&lt;lv60&gt;s2</v>
      </c>
      <c r="B40" s="90">
        <v>15030</v>
      </c>
      <c r="C40" s="92">
        <v>2</v>
      </c>
      <c r="D40" s="1" t="str">
        <f t="shared" si="71"/>
        <v>15030_2</v>
      </c>
      <c r="E40" s="3" t="str">
        <f ca="1">VLOOKUP($B40,OFFSET([2]quests!$A$1,0,0,COUNTA([2]quests!$A:$A),MATCH(E$1,[2]quests!$1:$1,0)-MATCH($B$1,[2]quests!$1:$1,0)+1),MATCH(E$1,[2]quests!$1:$1,0)-MATCH($B$1,[2]quests!$1:$1,0)+1,FALSE)</f>
        <v>30. 月夜のオールドシティ</v>
      </c>
      <c r="F40" s="14" t="str">
        <f ca="1">VLOOKUP($D40,OFFSET([2]stages!$A$1,0,0,COUNTA([2]stages!$A:$A),MATCH(F$1,[2]stages!$2:$2,0)-MATCH($D$1,[2]stages!$2:$2,0)+1),MATCH(F$1,[2]stages!$2:$2,0)-MATCH($D$1,[2]stages!$2:$2,0)+1,FALSE)</f>
        <v>30-2. 深夜のお茶会</v>
      </c>
      <c r="G40" s="194">
        <v>3</v>
      </c>
      <c r="H40" s="12" t="str">
        <f t="shared" si="72"/>
        <v>15030_2-3</v>
      </c>
      <c r="I40" s="3">
        <f ca="1">VLOOKUP($H40,OFFSET(floors!$A$1,0,0,COUNTA(floors!$A:$A),MATCH(I$1,floors!$1:$1,0)-MATCH($H$1,floors!$1:$1,0)+1),MATCH(I$1,floors!$1:$1,0)-MATCH($H$1,floors!$1:$1,0)+1,FALSE)</f>
        <v>45</v>
      </c>
      <c r="J40" s="3">
        <f ca="1">VLOOKUP($H40,OFFSET(floors!$A$1,0,0,COUNTA(floors!$A:$A),MATCH(J$1,floors!$1:$1,0)-MATCH($H$1,floors!$1:$1,0)+1),MATCH(J$1,floors!$1:$1,0)-MATCH($H$1,floors!$1:$1,0)+1,FALSE)</f>
        <v>60</v>
      </c>
      <c r="K40" s="31" t="s">
        <v>87</v>
      </c>
      <c r="L40" s="95">
        <v>34</v>
      </c>
      <c r="M40" s="14" t="str">
        <f ca="1">VLOOKUP($L40,OFFSET([3]enemies!$A$1,0,0,COUNTA([3]enemies!$A:$A),MATCH(M$1,[3]enemies!$1:$1,0)-MATCH($L$1,[3]enemies!$1:$1,0)+1),MATCH(M$1,[3]enemies!$1:$1,0)-MATCH($L$1,[3]enemies!$1:$1,0)+1,FALSE)</f>
        <v>斉天大聖 ゴクウ</v>
      </c>
      <c r="N40" s="14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14" t="str">
        <f ca="1">VLOOKUP($L40,OFFSET([4]characters!$A$1,0,0,COUNTA([4]characters!$A:$A),MATCH(O$1,[4]characters!$1:$1,0)-MATCH($L$1,[4]characters!$1:$1,0)+1),MATCH(O$1,[4]characters!$1:$1,0)-MATCH($L$1,[4]characters!$1:$1,0)+1,FALSE)</f>
        <v>Drop1S</v>
      </c>
      <c r="P40" s="14" t="str">
        <f ca="1">VLOOKUP($L40,OFFSET([3]enemies!$A$1,0,0,COUNTA([3]enemies!$A:$A),MATCH(P$1,[3]enemies!$1:$1,0)-MATCH($L$1,[3]enemies!$1:$1,0)+1),MATCH(P$1,[3]enemies!$1:$1,0)-MATCH($L$1,[3]enemies!$1:$1,0)+1,FALSE)</f>
        <v>animal</v>
      </c>
      <c r="Q40" s="14">
        <f ca="1">VLOOKUP($L40,OFFSET([3]enemies!$A$1,0,0,COUNTA([3]enemies!$A:$A),MATCH(Q$1,[3]enemies!$1:$1,0)-MATCH($L$1,[3]enemies!$1:$1,0)+1),MATCH(Q$1,[3]enemies!$1:$1,0)-MATCH($L$1,[3]enemies!$1:$1,0)+1,FALSE)</f>
        <v>20</v>
      </c>
      <c r="R40" s="4">
        <v>60</v>
      </c>
      <c r="S40" s="106">
        <v>1.3</v>
      </c>
      <c r="T40" s="19">
        <v>1</v>
      </c>
      <c r="U40" s="4">
        <v>0</v>
      </c>
      <c r="V40" s="98" t="e">
        <f ca="1">VLOOKUP($W40,OFFSET(enemy_skill_sets!$B$1,0,0,COUNTA(enemy_skill_sets!$B:$B),MATCH(M$1,enemy_skill_sets!$1:$1,0)-MATCH($W$1,enemy_skill_sets!$1:$1,0)+2),MATCH(M$1,enemy_skill_sets!$1:$1,0)-MATCH($W$1,enemy_skill_sets!$1:$1,0)+2,FALSE)</f>
        <v>#N/A</v>
      </c>
      <c r="W40" s="3">
        <f ca="1">VLOOKUP($L40,OFFSET([3]enemies!$A$1,0,0,COUNTA([3]enemies!$A:$A),MATCH(W$1,[3]enemies!$1:$1,0)-MATCH($L$1,[3]enemies!$1:$1,0)+1),MATCH(W$1,[3]enemies!$1:$1,0)-MATCH($L$1,[3]enemies!$1:$1,0)+1,FALSE)</f>
        <v>34</v>
      </c>
      <c r="X40" s="5">
        <v>0</v>
      </c>
      <c r="Y40" s="5">
        <v>100</v>
      </c>
      <c r="Z40" s="5">
        <v>0</v>
      </c>
      <c r="AA40" s="14">
        <f ca="1">VLOOKUP($L40,OFFSET([3]enemies!$A$1,0,0,COUNTA([3]enemies!$A:$A),MATCH(AA$1,[3]enemies!$1:$1,0)-MATCH($L$1,[3]enemies!$1:$1,0)+1),MATCH(AA$1,[3]enemies!$1:$1,0)-MATCH($L$1,[3]enemies!$1:$1,0)+1,FALSE)</f>
        <v>2</v>
      </c>
      <c r="AB40" s="170">
        <f t="shared" si="73"/>
        <v>34</v>
      </c>
      <c r="AC40" s="3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斉天大聖 ゴクウ</v>
      </c>
      <c r="AD40" s="3">
        <f ca="1">VLOOKUP($AB40,OFFSET([4]characters!$A$1,0,0,COUNTA([4]characters!$A:$A),MATCH(AD$1,[4]characters!$1:$1,0)-MATCH("character_id",[4]characters!$1:$1,0)+1),MATCH(AD$1,[4]characters!$1:$1,0)-MATCH("character_id",[4]characters!$1:$1,0)+1,FALSE)</f>
        <v>3</v>
      </c>
      <c r="AE40" s="3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Drop1S</v>
      </c>
      <c r="AF40" s="88">
        <v>1</v>
      </c>
      <c r="AG40" s="170">
        <f t="shared" ca="1" si="74"/>
        <v>3</v>
      </c>
      <c r="AH40" s="7">
        <v>20</v>
      </c>
      <c r="AI40" s="88">
        <v>0</v>
      </c>
      <c r="AJ40" s="88">
        <v>0</v>
      </c>
      <c r="AK40" s="88">
        <v>0</v>
      </c>
      <c r="AL40" s="88">
        <v>0</v>
      </c>
      <c r="AM40" s="88">
        <v>1</v>
      </c>
      <c r="AN40" s="193">
        <v>1</v>
      </c>
    </row>
    <row r="41" spans="1:40" ht="21" customHeight="1" x14ac:dyDescent="0.15">
      <c r="A41" s="13" t="str">
        <f t="shared" ca="1" si="70"/>
        <v>15030_2-3/38&lt;lv60&gt;s3</v>
      </c>
      <c r="B41" s="90">
        <v>15030</v>
      </c>
      <c r="C41" s="92">
        <v>2</v>
      </c>
      <c r="D41" s="1" t="str">
        <f t="shared" si="71"/>
        <v>15030_2</v>
      </c>
      <c r="E41" s="3" t="str">
        <f ca="1">VLOOKUP($B41,OFFSET([2]quests!$A$1,0,0,COUNTA([2]quests!$A:$A),MATCH(E$1,[2]quests!$1:$1,0)-MATCH($B$1,[2]quests!$1:$1,0)+1),MATCH(E$1,[2]quests!$1:$1,0)-MATCH($B$1,[2]quests!$1:$1,0)+1,FALSE)</f>
        <v>30. 月夜のオールドシティ</v>
      </c>
      <c r="F41" s="14" t="str">
        <f ca="1">VLOOKUP($D41,OFFSET([2]stages!$A$1,0,0,COUNTA([2]stages!$A:$A),MATCH(F$1,[2]stages!$2:$2,0)-MATCH($D$1,[2]stages!$2:$2,0)+1),MATCH(F$1,[2]stages!$2:$2,0)-MATCH($D$1,[2]stages!$2:$2,0)+1,FALSE)</f>
        <v>30-2. 深夜のお茶会</v>
      </c>
      <c r="G41" s="194">
        <v>3</v>
      </c>
      <c r="H41" s="12" t="str">
        <f t="shared" si="72"/>
        <v>15030_2-3</v>
      </c>
      <c r="I41" s="3">
        <f ca="1">VLOOKUP($H41,OFFSET(floors!$A$1,0,0,COUNTA(floors!$A:$A),MATCH(I$1,floors!$1:$1,0)-MATCH($H$1,floors!$1:$1,0)+1),MATCH(I$1,floors!$1:$1,0)-MATCH($H$1,floors!$1:$1,0)+1,FALSE)</f>
        <v>45</v>
      </c>
      <c r="J41" s="3">
        <f ca="1">VLOOKUP($H41,OFFSET(floors!$A$1,0,0,COUNTA(floors!$A:$A),MATCH(J$1,floors!$1:$1,0)-MATCH($H$1,floors!$1:$1,0)+1),MATCH(J$1,floors!$1:$1,0)-MATCH($H$1,floors!$1:$1,0)+1,FALSE)</f>
        <v>60</v>
      </c>
      <c r="K41" s="31" t="s">
        <v>87</v>
      </c>
      <c r="L41" s="95">
        <v>38</v>
      </c>
      <c r="M41" s="14" t="str">
        <f ca="1">VLOOKUP($L41,OFFSET([3]enemies!$A$1,0,0,COUNTA([3]enemies!$A:$A),MATCH(M$1,[3]enemies!$1:$1,0)-MATCH($L$1,[3]enemies!$1:$1,0)+1),MATCH(M$1,[3]enemies!$1:$1,0)-MATCH($L$1,[3]enemies!$1:$1,0)+1,FALSE)</f>
        <v>通話対応型 ガイル</v>
      </c>
      <c r="N41" s="14" t="str">
        <f ca="1">VLOOKUP($L41,OFFSET([3]enemies!$A$1,0,0,COUNTA([3]enemies!$A:$A),MATCH(N$1,[3]enemies!$1:$1,0)-MATCH($L$1,[3]enemies!$1:$1,0)+1),MATCH(N$1,[3]enemies!$1:$1,0)-MATCH($L$1,[3]enemies!$1:$1,0)+1,FALSE)</f>
        <v>blue</v>
      </c>
      <c r="O41" s="14" t="str">
        <f ca="1">VLOOKUP($L41,OFFSET([4]characters!$A$1,0,0,COUNTA([4]characters!$A:$A),MATCH(O$1,[4]characters!$1:$1,0)-MATCH($L$1,[4]characters!$1:$1,0)+1),MATCH(O$1,[4]characters!$1:$1,0)-MATCH($L$1,[4]characters!$1:$1,0)+1,FALSE)</f>
        <v>Drop1S</v>
      </c>
      <c r="P41" s="14" t="str">
        <f ca="1">VLOOKUP($L41,OFFSET([3]enemies!$A$1,0,0,COUNTA([3]enemies!$A:$A),MATCH(P$1,[3]enemies!$1:$1,0)-MATCH($L$1,[3]enemies!$1:$1,0)+1),MATCH(P$1,[3]enemies!$1:$1,0)-MATCH($L$1,[3]enemies!$1:$1,0)+1,FALSE)</f>
        <v>animal</v>
      </c>
      <c r="Q41" s="14">
        <f ca="1">VLOOKUP($L41,OFFSET([3]enemies!$A$1,0,0,COUNTA([3]enemies!$A:$A),MATCH(Q$1,[3]enemies!$1:$1,0)-MATCH($L$1,[3]enemies!$1:$1,0)+1),MATCH(Q$1,[3]enemies!$1:$1,0)-MATCH($L$1,[3]enemies!$1:$1,0)+1,FALSE)</f>
        <v>20</v>
      </c>
      <c r="R41" s="4">
        <v>60</v>
      </c>
      <c r="S41" s="106">
        <v>1.3</v>
      </c>
      <c r="T41" s="19">
        <v>0.9</v>
      </c>
      <c r="U41" s="4">
        <v>0</v>
      </c>
      <c r="V41" s="98" t="e">
        <f ca="1">VLOOKUP($W41,OFFSET(enemy_skill_sets!$B$1,0,0,COUNTA(enemy_skill_sets!$B:$B),MATCH(M$1,enemy_skill_sets!$1:$1,0)-MATCH($W$1,enemy_skill_sets!$1:$1,0)+2),MATCH(M$1,enemy_skill_sets!$1:$1,0)-MATCH($W$1,enemy_skill_sets!$1:$1,0)+2,FALSE)</f>
        <v>#N/A</v>
      </c>
      <c r="W41" s="3">
        <f ca="1">VLOOKUP($L41,OFFSET([3]enemies!$A$1,0,0,COUNTA([3]enemies!$A:$A),MATCH(W$1,[3]enemies!$1:$1,0)-MATCH($L$1,[3]enemies!$1:$1,0)+1),MATCH(W$1,[3]enemies!$1:$1,0)-MATCH($L$1,[3]enemies!$1:$1,0)+1,FALSE)</f>
        <v>38</v>
      </c>
      <c r="X41" s="5">
        <v>0</v>
      </c>
      <c r="Y41" s="5">
        <v>100</v>
      </c>
      <c r="Z41" s="5">
        <v>0</v>
      </c>
      <c r="AA41" s="14">
        <f ca="1">VLOOKUP($L41,OFFSET([3]enemies!$A$1,0,0,COUNTA([3]enemies!$A:$A),MATCH(AA$1,[3]enemies!$1:$1,0)-MATCH($L$1,[3]enemies!$1:$1,0)+1),MATCH(AA$1,[3]enemies!$1:$1,0)-MATCH($L$1,[3]enemies!$1:$1,0)+1,FALSE)</f>
        <v>3</v>
      </c>
      <c r="AB41" s="170">
        <f t="shared" si="73"/>
        <v>38</v>
      </c>
      <c r="AC41" s="3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通話対応型 ガイル</v>
      </c>
      <c r="AD41" s="3">
        <f ca="1">VLOOKUP($AB41,OFFSET([4]characters!$A$1,0,0,COUNTA([4]characters!$A:$A),MATCH(AD$1,[4]characters!$1:$1,0)-MATCH("character_id",[4]characters!$1:$1,0)+1),MATCH(AD$1,[4]characters!$1:$1,0)-MATCH("character_id",[4]characters!$1:$1,0)+1,FALSE)</f>
        <v>3</v>
      </c>
      <c r="AE41" s="3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Drop1S</v>
      </c>
      <c r="AF41" s="88">
        <v>1</v>
      </c>
      <c r="AG41" s="170">
        <f t="shared" ca="1" si="74"/>
        <v>3</v>
      </c>
      <c r="AH41" s="7">
        <v>20</v>
      </c>
      <c r="AI41" s="88">
        <v>0</v>
      </c>
      <c r="AJ41" s="88">
        <v>0</v>
      </c>
      <c r="AK41" s="88">
        <v>0</v>
      </c>
      <c r="AL41" s="88">
        <v>0</v>
      </c>
      <c r="AM41" s="88">
        <v>1</v>
      </c>
      <c r="AN41" s="193">
        <v>1</v>
      </c>
    </row>
    <row r="42" spans="1:40" ht="21" customHeight="1" x14ac:dyDescent="0.15">
      <c r="A42" s="13" t="str">
        <f t="shared" ref="A42:A43" ca="1" si="75">B42&amp;"_"&amp;C42&amp;"-"&amp;G42&amp;"/"&amp;L42&amp;"&lt;lv"&amp;R42&amp;"&gt;s"&amp;AA42</f>
        <v>15030_2-3/348&lt;lv60&gt;s3</v>
      </c>
      <c r="B42" s="90">
        <v>15030</v>
      </c>
      <c r="C42" s="92">
        <v>2</v>
      </c>
      <c r="D42" s="1" t="str">
        <f t="shared" ref="D42:D43" si="76">B42&amp;"_"&amp;C42</f>
        <v>15030_2</v>
      </c>
      <c r="E42" s="3" t="str">
        <f ca="1">VLOOKUP($B42,OFFSET([2]quests!$A$1,0,0,COUNTA([2]quests!$A:$A),MATCH(E$1,[2]quests!$1:$1,0)-MATCH($B$1,[2]quests!$1:$1,0)+1),MATCH(E$1,[2]quests!$1:$1,0)-MATCH($B$1,[2]quests!$1:$1,0)+1,FALSE)</f>
        <v>30. 月夜のオールドシティ</v>
      </c>
      <c r="F42" s="14" t="str">
        <f ca="1">VLOOKUP($D42,OFFSET([2]stages!$A$1,0,0,COUNTA([2]stages!$A:$A),MATCH(F$1,[2]stages!$2:$2,0)-MATCH($D$1,[2]stages!$2:$2,0)+1),MATCH(F$1,[2]stages!$2:$2,0)-MATCH($D$1,[2]stages!$2:$2,0)+1,FALSE)</f>
        <v>30-2. 深夜のお茶会</v>
      </c>
      <c r="G42" s="194">
        <v>3</v>
      </c>
      <c r="H42" s="12" t="str">
        <f t="shared" ref="H42:H43" si="77">B42&amp;"_"&amp;C42&amp;"-"&amp;G42</f>
        <v>15030_2-3</v>
      </c>
      <c r="I42" s="3">
        <f ca="1">VLOOKUP($H42,OFFSET(floors!$A$1,0,0,COUNTA(floors!$A:$A),MATCH(I$1,floors!$1:$1,0)-MATCH($H$1,floors!$1:$1,0)+1),MATCH(I$1,floors!$1:$1,0)-MATCH($H$1,floors!$1:$1,0)+1,FALSE)</f>
        <v>45</v>
      </c>
      <c r="J42" s="3">
        <f ca="1">VLOOKUP($H42,OFFSET(floors!$A$1,0,0,COUNTA(floors!$A:$A),MATCH(J$1,floors!$1:$1,0)-MATCH($H$1,floors!$1:$1,0)+1),MATCH(J$1,floors!$1:$1,0)-MATCH($H$1,floors!$1:$1,0)+1,FALSE)</f>
        <v>60</v>
      </c>
      <c r="K42" s="31" t="s">
        <v>87</v>
      </c>
      <c r="L42" s="171">
        <v>348</v>
      </c>
      <c r="M42" s="14" t="str">
        <f ca="1">VLOOKUP($L42,OFFSET([3]enemies!$A$1,0,0,COUNTA([3]enemies!$A:$A),MATCH(M$1,[3]enemies!$1:$1,0)-MATCH($L$1,[3]enemies!$1:$1,0)+1),MATCH(M$1,[3]enemies!$1:$1,0)-MATCH($L$1,[3]enemies!$1:$1,0)+1,FALSE)</f>
        <v>炎のケロケロ</v>
      </c>
      <c r="N42" s="14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14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14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4">
        <f ca="1">VLOOKUP($L42,OFFSET([3]enemies!$A$1,0,0,COUNTA([3]enemies!$A:$A),MATCH(Q$1,[3]enemies!$1:$1,0)-MATCH($L$1,[3]enemies!$1:$1,0)+1),MATCH(Q$1,[3]enemies!$1:$1,0)-MATCH($L$1,[3]enemies!$1:$1,0)+1,FALSE)</f>
        <v>15</v>
      </c>
      <c r="R42" s="4">
        <v>60</v>
      </c>
      <c r="S42" s="106">
        <v>1.3</v>
      </c>
      <c r="T42" s="19">
        <v>0.9</v>
      </c>
      <c r="U42" s="4">
        <v>0</v>
      </c>
      <c r="V42" s="98" t="e">
        <f ca="1">VLOOKUP($W42,OFFSET(enemy_skill_sets!$B$1,0,0,COUNTA(enemy_skill_sets!$B:$B),MATCH(M$1,enemy_skill_sets!$1:$1,0)-MATCH($W$1,enemy_skill_sets!$1:$1,0)+2),MATCH(M$1,enemy_skill_sets!$1:$1,0)-MATCH($W$1,enemy_skill_sets!$1:$1,0)+2,FALSE)</f>
        <v>#N/A</v>
      </c>
      <c r="W42" s="3">
        <f ca="1">VLOOKUP($L42,OFFSET([3]enemies!$A$1,0,0,COUNTA([3]enemies!$A:$A),MATCH(W$1,[3]enemies!$1:$1,0)-MATCH($L$1,[3]enemies!$1:$1,0)+1),MATCH(W$1,[3]enemies!$1:$1,0)-MATCH($L$1,[3]enemies!$1:$1,0)+1,FALSE)</f>
        <v>0</v>
      </c>
      <c r="X42" s="5">
        <v>0</v>
      </c>
      <c r="Y42" s="5">
        <v>20</v>
      </c>
      <c r="Z42" s="5">
        <v>0</v>
      </c>
      <c r="AA42" s="14">
        <f ca="1">VLOOKUP($L42,OFFSET([3]enemies!$A$1,0,0,COUNTA([3]enemies!$A:$A),MATCH(AA$1,[3]enemies!$1:$1,0)-MATCH($L$1,[3]enemies!$1:$1,0)+1),MATCH(AA$1,[3]enemies!$1:$1,0)-MATCH($L$1,[3]enemies!$1:$1,0)+1,FALSE)</f>
        <v>3</v>
      </c>
      <c r="AB42" s="170">
        <f t="shared" ref="AB42:AB43" si="78">L42</f>
        <v>348</v>
      </c>
      <c r="AC42" s="3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42" s="3">
        <f ca="1">VLOOKUP($AB42,OFFSET([4]characters!$A$1,0,0,COUNTA([4]characters!$A:$A),MATCH(AD$1,[4]characters!$1:$1,0)-MATCH("character_id",[4]characters!$1:$1,0)+1),MATCH(AD$1,[4]characters!$1:$1,0)-MATCH("character_id",[4]characters!$1:$1,0)+1,FALSE)</f>
        <v>2</v>
      </c>
      <c r="AE42" s="3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88">
        <v>10</v>
      </c>
      <c r="AG42" s="170">
        <f t="shared" ref="AG42:AG43" ca="1" si="79">AD42</f>
        <v>2</v>
      </c>
      <c r="AH42" s="7">
        <v>20</v>
      </c>
      <c r="AI42" s="88">
        <v>0</v>
      </c>
      <c r="AJ42" s="88">
        <v>0</v>
      </c>
      <c r="AK42" s="88">
        <v>0</v>
      </c>
      <c r="AL42" s="88">
        <v>0</v>
      </c>
      <c r="AM42" s="88">
        <v>1</v>
      </c>
      <c r="AN42" s="193">
        <v>1</v>
      </c>
    </row>
    <row r="43" spans="1:40" ht="21" customHeight="1" thickBot="1" x14ac:dyDescent="0.2">
      <c r="A43" s="13" t="str">
        <f t="shared" ca="1" si="75"/>
        <v>15030_2-3/352&lt;lv60&gt;s3</v>
      </c>
      <c r="B43" s="90">
        <v>15030</v>
      </c>
      <c r="C43" s="92">
        <v>2</v>
      </c>
      <c r="D43" s="1" t="str">
        <f t="shared" si="76"/>
        <v>15030_2</v>
      </c>
      <c r="E43" s="3" t="str">
        <f ca="1">VLOOKUP($B43,OFFSET([2]quests!$A$1,0,0,COUNTA([2]quests!$A:$A),MATCH(E$1,[2]quests!$1:$1,0)-MATCH($B$1,[2]quests!$1:$1,0)+1),MATCH(E$1,[2]quests!$1:$1,0)-MATCH($B$1,[2]quests!$1:$1,0)+1,FALSE)</f>
        <v>30. 月夜のオールドシティ</v>
      </c>
      <c r="F43" s="14" t="str">
        <f ca="1">VLOOKUP($D43,OFFSET([2]stages!$A$1,0,0,COUNTA([2]stages!$A:$A),MATCH(F$1,[2]stages!$2:$2,0)-MATCH($D$1,[2]stages!$2:$2,0)+1),MATCH(F$1,[2]stages!$2:$2,0)-MATCH($D$1,[2]stages!$2:$2,0)+1,FALSE)</f>
        <v>30-2. 深夜のお茶会</v>
      </c>
      <c r="G43" s="225">
        <v>3</v>
      </c>
      <c r="H43" s="144" t="str">
        <f t="shared" si="77"/>
        <v>15030_2-3</v>
      </c>
      <c r="I43" s="172">
        <f ca="1">VLOOKUP($H43,OFFSET(floors!$A$1,0,0,COUNTA(floors!$A:$A),MATCH(I$1,floors!$1:$1,0)-MATCH($H$1,floors!$1:$1,0)+1),MATCH(I$1,floors!$1:$1,0)-MATCH($H$1,floors!$1:$1,0)+1,FALSE)</f>
        <v>45</v>
      </c>
      <c r="J43" s="172">
        <f ca="1">VLOOKUP($H43,OFFSET(floors!$A$1,0,0,COUNTA(floors!$A:$A),MATCH(J$1,floors!$1:$1,0)-MATCH($H$1,floors!$1:$1,0)+1),MATCH(J$1,floors!$1:$1,0)-MATCH($H$1,floors!$1:$1,0)+1,FALSE)</f>
        <v>60</v>
      </c>
      <c r="K43" s="145" t="s">
        <v>87</v>
      </c>
      <c r="L43" s="226">
        <v>352</v>
      </c>
      <c r="M43" s="174" t="str">
        <f ca="1">VLOOKUP($L43,OFFSET([3]enemies!$A$1,0,0,COUNTA([3]enemies!$A:$A),MATCH(M$1,[3]enemies!$1:$1,0)-MATCH($L$1,[3]enemies!$1:$1,0)+1),MATCH(M$1,[3]enemies!$1:$1,0)-MATCH($L$1,[3]enemies!$1:$1,0)+1,FALSE)</f>
        <v>水のケロケロ</v>
      </c>
      <c r="N43" s="174" t="str">
        <f ca="1">VLOOKUP($L43,OFFSET([3]enemies!$A$1,0,0,COUNTA([3]enemies!$A:$A),MATCH(N$1,[3]enemies!$1:$1,0)-MATCH($L$1,[3]enemies!$1:$1,0)+1),MATCH(N$1,[3]enemies!$1:$1,0)-MATCH($L$1,[3]enemies!$1:$1,0)+1,FALSE)</f>
        <v>blue</v>
      </c>
      <c r="O43" s="174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174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74">
        <f ca="1">VLOOKUP($L43,OFFSET([3]enemies!$A$1,0,0,COUNTA([3]enemies!$A:$A),MATCH(Q$1,[3]enemies!$1:$1,0)-MATCH($L$1,[3]enemies!$1:$1,0)+1),MATCH(Q$1,[3]enemies!$1:$1,0)-MATCH($L$1,[3]enemies!$1:$1,0)+1,FALSE)</f>
        <v>15</v>
      </c>
      <c r="R43" s="175">
        <v>60</v>
      </c>
      <c r="S43" s="202">
        <v>1.3</v>
      </c>
      <c r="T43" s="176">
        <v>0.9</v>
      </c>
      <c r="U43" s="175">
        <v>0</v>
      </c>
      <c r="V43" s="177" t="e">
        <f ca="1">VLOOKUP($W43,OFFSET(enemy_skill_sets!$B$1,0,0,COUNTA(enemy_skill_sets!$B:$B),MATCH(M$1,enemy_skill_sets!$1:$1,0)-MATCH($W$1,enemy_skill_sets!$1:$1,0)+2),MATCH(M$1,enemy_skill_sets!$1:$1,0)-MATCH($W$1,enemy_skill_sets!$1:$1,0)+2,FALSE)</f>
        <v>#N/A</v>
      </c>
      <c r="W43" s="172">
        <f ca="1">VLOOKUP($L43,OFFSET([3]enemies!$A$1,0,0,COUNTA([3]enemies!$A:$A),MATCH(W$1,[3]enemies!$1:$1,0)-MATCH($L$1,[3]enemies!$1:$1,0)+1),MATCH(W$1,[3]enemies!$1:$1,0)-MATCH($L$1,[3]enemies!$1:$1,0)+1,FALSE)</f>
        <v>0</v>
      </c>
      <c r="X43" s="178">
        <v>0</v>
      </c>
      <c r="Y43" s="178">
        <v>20</v>
      </c>
      <c r="Z43" s="178">
        <v>0</v>
      </c>
      <c r="AA43" s="174">
        <f ca="1">VLOOKUP($L43,OFFSET([3]enemies!$A$1,0,0,COUNTA([3]enemies!$A:$A),MATCH(AA$1,[3]enemies!$1:$1,0)-MATCH($L$1,[3]enemies!$1:$1,0)+1),MATCH(AA$1,[3]enemies!$1:$1,0)-MATCH($L$1,[3]enemies!$1:$1,0)+1,FALSE)</f>
        <v>3</v>
      </c>
      <c r="AB43" s="179">
        <f t="shared" si="78"/>
        <v>352</v>
      </c>
      <c r="AC43" s="172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43" s="172">
        <f ca="1">VLOOKUP($AB43,OFFSET([4]characters!$A$1,0,0,COUNTA([4]characters!$A:$A),MATCH(AD$1,[4]characters!$1:$1,0)-MATCH("character_id",[4]characters!$1:$1,0)+1),MATCH(AD$1,[4]characters!$1:$1,0)-MATCH("character_id",[4]characters!$1:$1,0)+1,FALSE)</f>
        <v>2</v>
      </c>
      <c r="AE43" s="172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140">
        <v>10</v>
      </c>
      <c r="AG43" s="179">
        <f t="shared" ca="1" si="79"/>
        <v>2</v>
      </c>
      <c r="AH43" s="180">
        <v>20</v>
      </c>
      <c r="AI43" s="140">
        <v>0</v>
      </c>
      <c r="AJ43" s="140">
        <v>0</v>
      </c>
      <c r="AK43" s="140">
        <v>0</v>
      </c>
      <c r="AL43" s="140">
        <v>0</v>
      </c>
      <c r="AM43" s="140">
        <v>1</v>
      </c>
      <c r="AN43" s="227">
        <v>1</v>
      </c>
    </row>
    <row r="44" spans="1:40" ht="21" customHeight="1" x14ac:dyDescent="0.15">
      <c r="A44" s="13" t="str">
        <f t="shared" si="55"/>
        <v>15030_2-4/401&lt;lv60&gt;s2</v>
      </c>
      <c r="B44" s="90">
        <v>15030</v>
      </c>
      <c r="C44" s="92">
        <v>2</v>
      </c>
      <c r="D44" s="1" t="str">
        <f t="shared" si="56"/>
        <v>15030_2</v>
      </c>
      <c r="E44" s="3" t="str">
        <f ca="1">VLOOKUP($B44,OFFSET([2]quests!$A$1,0,0,COUNTA([2]quests!$A:$A),MATCH(E$1,[2]quests!$1:$1,0)-MATCH($B$1,[2]quests!$1:$1,0)+1),MATCH(E$1,[2]quests!$1:$1,0)-MATCH($B$1,[2]quests!$1:$1,0)+1,FALSE)</f>
        <v>30. 月夜のオールドシティ</v>
      </c>
      <c r="F44" s="14" t="str">
        <f ca="1">VLOOKUP($D44,OFFSET([2]stages!$A$1,0,0,COUNTA([2]stages!$A:$A),MATCH(F$1,[2]stages!$2:$2,0)-MATCH($D$1,[2]stages!$2:$2,0)+1),MATCH(F$1,[2]stages!$2:$2,0)-MATCH($D$1,[2]stages!$2:$2,0)+1,FALSE)</f>
        <v>30-2. 深夜のお茶会</v>
      </c>
      <c r="G44" s="198">
        <v>4</v>
      </c>
      <c r="H44" s="153" t="str">
        <f t="shared" si="57"/>
        <v>15030_2-4</v>
      </c>
      <c r="I44" s="182">
        <f ca="1">VLOOKUP($H44,OFFSET(floors!$A$1,0,0,COUNTA(floors!$A:$A),MATCH(I$1,floors!$1:$1,0)-MATCH($H$1,floors!$1:$1,0)+1),MATCH(I$1,floors!$1:$1,0)-MATCH($H$1,floors!$1:$1,0)+1,FALSE)</f>
        <v>60</v>
      </c>
      <c r="J44" s="182">
        <f ca="1">VLOOKUP($H44,OFFSET(floors!$A$1,0,0,COUNTA(floors!$A:$A),MATCH(J$1,floors!$1:$1,0)-MATCH($H$1,floors!$1:$1,0)+1),MATCH(J$1,floors!$1:$1,0)-MATCH($H$1,floors!$1:$1,0)+1,FALSE)</f>
        <v>60</v>
      </c>
      <c r="K44" s="154" t="s">
        <v>210</v>
      </c>
      <c r="L44" s="183">
        <v>401</v>
      </c>
      <c r="M44" s="184" t="str">
        <f ca="1">VLOOKUP($L44,OFFSET([3]enemies!$A$1,0,0,COUNTA([3]enemies!$A:$A),MATCH(M$1,[3]enemies!$1:$1,0)-MATCH($L$1,[3]enemies!$1:$1,0)+1),MATCH(M$1,[3]enemies!$1:$1,0)-MATCH($L$1,[3]enemies!$1:$1,0)+1,FALSE)</f>
        <v>紅銀の孤狼 フェンリル</v>
      </c>
      <c r="N44" s="184" t="str">
        <f ca="1">VLOOKUP($L44,OFFSET([3]enemies!$A$1,0,0,COUNTA([3]enemies!$A:$A),MATCH(N$1,[3]enemies!$1:$1,0)-MATCH($L$1,[3]enemies!$1:$1,0)+1),MATCH(N$1,[3]enemies!$1:$1,0)-MATCH($L$1,[3]enemies!$1:$1,0)+1,FALSE)</f>
        <v>red</v>
      </c>
      <c r="O44" s="184" t="str">
        <f ca="1">VLOOKUP($L44,OFFSET([4]characters!$A$1,0,0,COUNTA([4]characters!$A:$A),MATCH(O$1,[4]characters!$1:$1,0)-MATCH($L$1,[4]characters!$1:$1,0)+1),MATCH(O$1,[4]characters!$1:$1,0)-MATCH($L$1,[4]characters!$1:$1,0)+1,FALSE)</f>
        <v>PremiumS</v>
      </c>
      <c r="P44" s="184" t="str">
        <f ca="1">VLOOKUP($L44,OFFSET([3]enemies!$A$1,0,0,COUNTA([3]enemies!$A:$A),MATCH(P$1,[3]enemies!$1:$1,0)-MATCH($L$1,[3]enemies!$1:$1,0)+1),MATCH(P$1,[3]enemies!$1:$1,0)-MATCH($L$1,[3]enemies!$1:$1,0)+1,FALSE)</f>
        <v>animal</v>
      </c>
      <c r="Q44" s="184">
        <f ca="1">VLOOKUP($L44,OFFSET([3]enemies!$A$1,0,0,COUNTA([3]enemies!$A:$A),MATCH(Q$1,[3]enemies!$1:$1,0)-MATCH($L$1,[3]enemies!$1:$1,0)+1),MATCH(Q$1,[3]enemies!$1:$1,0)-MATCH($L$1,[3]enemies!$1:$1,0)+1,FALSE)</f>
        <v>30</v>
      </c>
      <c r="R44" s="185">
        <v>60</v>
      </c>
      <c r="S44" s="186">
        <v>1.5</v>
      </c>
      <c r="T44" s="186">
        <v>1</v>
      </c>
      <c r="U44" s="185">
        <v>0</v>
      </c>
      <c r="V44" s="199" t="str">
        <f ca="1">VLOOKUP($W44,OFFSET(enemy_skill_sets!$B$1,0,0,COUNTA(enemy_skill_sets!$B:$B),MATCH(M$1,enemy_skill_sets!$1:$1,0)-MATCH($W$1,enemy_skill_sets!$1:$1,0)+2),MATCH(M$1,enemy_skill_sets!$1:$1,0)-MATCH($W$1,enemy_skill_sets!$1:$1,0)+2,FALSE)</f>
        <v>5回連続攻撃</v>
      </c>
      <c r="W44" s="199">
        <v>15030005</v>
      </c>
      <c r="X44" s="188">
        <v>1</v>
      </c>
      <c r="Y44" s="188">
        <v>100</v>
      </c>
      <c r="Z44" s="188">
        <v>0</v>
      </c>
      <c r="AA44" s="200">
        <v>2</v>
      </c>
      <c r="AB44" s="189">
        <f t="shared" si="58"/>
        <v>401</v>
      </c>
      <c r="AC44" s="182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紅銀の孤狼 フェンリル</v>
      </c>
      <c r="AD44" s="182">
        <f ca="1">VLOOKUP($AB44,OFFSET([4]characters!$A$1,0,0,COUNTA([4]characters!$A:$A),MATCH(AD$1,[4]characters!$1:$1,0)-MATCH("character_id",[4]characters!$1:$1,0)+1),MATCH(AD$1,[4]characters!$1:$1,0)-MATCH("character_id",[4]characters!$1:$1,0)+1,FALSE)</f>
        <v>4</v>
      </c>
      <c r="AE44" s="182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4" s="149">
        <v>1</v>
      </c>
      <c r="AG44" s="189">
        <f t="shared" ca="1" si="59"/>
        <v>4</v>
      </c>
      <c r="AH44" s="190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1</v>
      </c>
      <c r="AN44" s="191">
        <v>1</v>
      </c>
    </row>
    <row r="45" spans="1:40" s="129" customFormat="1" ht="21" customHeight="1" thickBot="1" x14ac:dyDescent="0.2">
      <c r="A45" s="112" t="str">
        <f t="shared" ca="1" si="55"/>
        <v>15030_2-4/396&lt;lv60&gt;s3</v>
      </c>
      <c r="B45" s="113">
        <v>15030</v>
      </c>
      <c r="C45" s="131">
        <v>2</v>
      </c>
      <c r="D45" s="115" t="str">
        <f t="shared" si="56"/>
        <v>15030_2</v>
      </c>
      <c r="E45" s="116" t="str">
        <f ca="1">VLOOKUP($B45,OFFSET([2]quests!$A$1,0,0,COUNTA([2]quests!$A:$A),MATCH(E$1,[2]quests!$1:$1,0)-MATCH($B$1,[2]quests!$1:$1,0)+1),MATCH(E$1,[2]quests!$1:$1,0)-MATCH($B$1,[2]quests!$1:$1,0)+1,FALSE)</f>
        <v>30. 月夜のオールドシティ</v>
      </c>
      <c r="F45" s="120" t="str">
        <f ca="1">VLOOKUP($D45,OFFSET([2]stages!$A$1,0,0,COUNTA([2]stages!$A:$A),MATCH(F$1,[2]stages!$2:$2,0)-MATCH($D$1,[2]stages!$2:$2,0)+1),MATCH(F$1,[2]stages!$2:$2,0)-MATCH($D$1,[2]stages!$2:$2,0)+1,FALSE)</f>
        <v>30-2. 深夜のお茶会</v>
      </c>
      <c r="G45" s="201">
        <v>4</v>
      </c>
      <c r="H45" s="115" t="str">
        <f t="shared" si="57"/>
        <v>15030_2-4</v>
      </c>
      <c r="I45" s="116">
        <f ca="1">VLOOKUP($H45,OFFSET(floors!$A$1,0,0,COUNTA(floors!$A:$A),MATCH(I$1,floors!$1:$1,0)-MATCH($H$1,floors!$1:$1,0)+1),MATCH(I$1,floors!$1:$1,0)-MATCH($H$1,floors!$1:$1,0)+1,FALSE)</f>
        <v>60</v>
      </c>
      <c r="J45" s="116">
        <f ca="1">VLOOKUP($H45,OFFSET(floors!$A$1,0,0,COUNTA(floors!$A:$A),MATCH(J$1,floors!$1:$1,0)-MATCH($H$1,floors!$1:$1,0)+1),MATCH(J$1,floors!$1:$1,0)-MATCH($H$1,floors!$1:$1,0)+1,FALSE)</f>
        <v>60</v>
      </c>
      <c r="K45" s="118" t="s">
        <v>210</v>
      </c>
      <c r="L45" s="119">
        <v>396</v>
      </c>
      <c r="M45" s="120" t="str">
        <f ca="1">VLOOKUP($L45,OFFSET([3]enemies!$A$1,0,0,COUNTA([3]enemies!$A:$A),MATCH(M$1,[3]enemies!$1:$1,0)-MATCH($L$1,[3]enemies!$1:$1,0)+1),MATCH(M$1,[3]enemies!$1:$1,0)-MATCH($L$1,[3]enemies!$1:$1,0)+1,FALSE)</f>
        <v>竜宮の水雷 乙姫</v>
      </c>
      <c r="N45" s="120" t="str">
        <f ca="1">VLOOKUP($L45,OFFSET([3]enemies!$A$1,0,0,COUNTA([3]enemies!$A:$A),MATCH(N$1,[3]enemies!$1:$1,0)-MATCH($L$1,[3]enemies!$1:$1,0)+1),MATCH(N$1,[3]enemies!$1:$1,0)-MATCH($L$1,[3]enemies!$1:$1,0)+1,FALSE)</f>
        <v>blue</v>
      </c>
      <c r="O45" s="120" t="str">
        <f ca="1">VLOOKUP($L45,OFFSET([4]characters!$A$1,0,0,COUNTA([4]characters!$A:$A),MATCH(O$1,[4]characters!$1:$1,0)-MATCH($L$1,[4]characters!$1:$1,0)+1),MATCH(O$1,[4]characters!$1:$1,0)-MATCH($L$1,[4]characters!$1:$1,0)+1,FALSE)</f>
        <v>PremiumS</v>
      </c>
      <c r="P45" s="120" t="str">
        <f ca="1">VLOOKUP($L45,OFFSET([3]enemies!$A$1,0,0,COUNTA([3]enemies!$A:$A),MATCH(P$1,[3]enemies!$1:$1,0)-MATCH($L$1,[3]enemies!$1:$1,0)+1),MATCH(P$1,[3]enemies!$1:$1,0)-MATCH($L$1,[3]enemies!$1:$1,0)+1,FALSE)</f>
        <v>human</v>
      </c>
      <c r="Q45" s="120">
        <f ca="1">VLOOKUP($L45,OFFSET([3]enemies!$A$1,0,0,COUNTA([3]enemies!$A:$A),MATCH(Q$1,[3]enemies!$1:$1,0)-MATCH($L$1,[3]enemies!$1:$1,0)+1),MATCH(Q$1,[3]enemies!$1:$1,0)-MATCH($L$1,[3]enemies!$1:$1,0)+1,FALSE)</f>
        <v>30</v>
      </c>
      <c r="R45" s="121">
        <v>60</v>
      </c>
      <c r="S45" s="106">
        <v>1.5</v>
      </c>
      <c r="T45" s="122">
        <v>1</v>
      </c>
      <c r="U45" s="121">
        <v>0</v>
      </c>
      <c r="V45" s="123" t="str">
        <f ca="1">VLOOKUP($W45,OFFSET(enemy_skill_sets!$B$1,0,0,COUNTA(enemy_skill_sets!$B:$B),MATCH(M$1,enemy_skill_sets!$1:$1,0)-MATCH($W$1,enemy_skill_sets!$1:$1,0)+2),MATCH(M$1,enemy_skill_sets!$1:$1,0)-MATCH($W$1,enemy_skill_sets!$1:$1,0)+2,FALSE)</f>
        <v>3ターンの間 攻撃力DOWN</v>
      </c>
      <c r="W45" s="123">
        <v>15030006</v>
      </c>
      <c r="X45" s="124">
        <v>1</v>
      </c>
      <c r="Y45" s="124">
        <v>100</v>
      </c>
      <c r="Z45" s="124">
        <v>1</v>
      </c>
      <c r="AA45" s="125">
        <f ca="1">VLOOKUP($L45,OFFSET([3]enemies!$A$1,0,0,COUNTA([3]enemies!$A:$A),MATCH(AA$1,[3]enemies!$1:$1,0)-MATCH($L$1,[3]enemies!$1:$1,0)+1),MATCH(AA$1,[3]enemies!$1:$1,0)-MATCH($L$1,[3]enemies!$1:$1,0)+1,FALSE)</f>
        <v>3</v>
      </c>
      <c r="AB45" s="126">
        <f t="shared" si="58"/>
        <v>396</v>
      </c>
      <c r="AC45" s="116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竜宮の水雷 乙姫</v>
      </c>
      <c r="AD45" s="116">
        <f ca="1">VLOOKUP($AB45,OFFSET([4]characters!$A$1,0,0,COUNTA([4]characters!$A:$A),MATCH(AD$1,[4]characters!$1:$1,0)-MATCH("character_id",[4]characters!$1:$1,0)+1),MATCH(AD$1,[4]characters!$1:$1,0)-MATCH("character_id",[4]characters!$1:$1,0)+1,FALSE)</f>
        <v>4</v>
      </c>
      <c r="AE45" s="116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5" s="127">
        <v>1</v>
      </c>
      <c r="AG45" s="126">
        <f t="shared" ca="1" si="59"/>
        <v>4</v>
      </c>
      <c r="AH45" s="128">
        <v>0</v>
      </c>
      <c r="AI45" s="127">
        <v>0</v>
      </c>
      <c r="AJ45" s="127">
        <v>0</v>
      </c>
      <c r="AK45" s="127">
        <v>0</v>
      </c>
      <c r="AL45" s="127">
        <v>0</v>
      </c>
      <c r="AM45" s="127">
        <v>1</v>
      </c>
      <c r="AN45" s="197">
        <v>1</v>
      </c>
    </row>
    <row r="46" spans="1:40" ht="21" customHeight="1" x14ac:dyDescent="0.15">
      <c r="A46" s="13" t="str">
        <f t="shared" ca="1" si="55"/>
        <v>15030_3-1/370&lt;lv60&gt;s2</v>
      </c>
      <c r="B46" s="90">
        <v>15030</v>
      </c>
      <c r="C46" s="130">
        <v>3</v>
      </c>
      <c r="D46" s="102" t="str">
        <f t="shared" si="56"/>
        <v>15030_3</v>
      </c>
      <c r="E46" s="3" t="str">
        <f ca="1">VLOOKUP($B46,OFFSET([2]quests!$A$1,0,0,COUNTA([2]quests!$A:$A),MATCH(E$1,[2]quests!$1:$1,0)-MATCH($B$1,[2]quests!$1:$1,0)+1),MATCH(E$1,[2]quests!$1:$1,0)-MATCH($B$1,[2]quests!$1:$1,0)+1,FALSE)</f>
        <v>30. 月夜のオールドシティ</v>
      </c>
      <c r="F46" s="14" t="str">
        <f ca="1">VLOOKUP($D46,OFFSET([2]stages!$A$1,0,0,COUNTA([2]stages!$A:$A),MATCH(F$1,[2]stages!$2:$2,0)-MATCH($D$1,[2]stages!$2:$2,0)+1),MATCH(F$1,[2]stages!$2:$2,0)-MATCH($D$1,[2]stages!$2:$2,0)+1,FALSE)</f>
        <v>30-3. 月影の襲撃者</v>
      </c>
      <c r="G46" s="228">
        <v>1</v>
      </c>
      <c r="H46" s="102" t="str">
        <f t="shared" si="57"/>
        <v>15030_3-1</v>
      </c>
      <c r="I46" s="3">
        <f ca="1">VLOOKUP($H46,OFFSET(floors!$A$1,0,0,COUNTA(floors!$A:$A),MATCH(I$1,floors!$1:$1,0)-MATCH($H$1,floors!$1:$1,0)+1),MATCH(I$1,floors!$1:$1,0)-MATCH($H$1,floors!$1:$1,0)+1,FALSE)</f>
        <v>45</v>
      </c>
      <c r="J46" s="3">
        <f ca="1">VLOOKUP($H46,OFFSET(floors!$A$1,0,0,COUNTA(floors!$A:$A),MATCH(J$1,floors!$1:$1,0)-MATCH($H$1,floors!$1:$1,0)+1),MATCH(J$1,floors!$1:$1,0)-MATCH($H$1,floors!$1:$1,0)+1,FALSE)</f>
        <v>60</v>
      </c>
      <c r="K46" s="103" t="s">
        <v>210</v>
      </c>
      <c r="L46" s="104">
        <v>370</v>
      </c>
      <c r="M46" s="14" t="str">
        <f ca="1">VLOOKUP($L46,OFFSET([3]enemies!$A$1,0,0,COUNTA([3]enemies!$A:$A),MATCH(M$1,[3]enemies!$1:$1,0)-MATCH($L$1,[3]enemies!$1:$1,0)+1),MATCH(M$1,[3]enemies!$1:$1,0)-MATCH($L$1,[3]enemies!$1:$1,0)+1,FALSE)</f>
        <v>タイチ</v>
      </c>
      <c r="N46" s="14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14" t="str">
        <f ca="1">VLOOKUP($L46,OFFSET([4]characters!$A$1,0,0,COUNTA([4]characters!$A:$A),MATCH(O$1,[4]characters!$1:$1,0)-MATCH($L$1,[4]characters!$1:$1,0)+1),MATCH(O$1,[4]characters!$1:$1,0)-MATCH($L$1,[4]characters!$1:$1,0)+1,FALSE)</f>
        <v>Drop1S</v>
      </c>
      <c r="P46" s="14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14">
        <f ca="1">VLOOKUP($L46,OFFSET([3]enemies!$A$1,0,0,COUNTA([3]enemies!$A:$A),MATCH(Q$1,[3]enemies!$1:$1,0)-MATCH($L$1,[3]enemies!$1:$1,0)+1),MATCH(Q$1,[3]enemies!$1:$1,0)-MATCH($L$1,[3]enemies!$1:$1,0)+1,FALSE)</f>
        <v>15</v>
      </c>
      <c r="R46" s="105">
        <v>60</v>
      </c>
      <c r="S46" s="106">
        <v>1.4</v>
      </c>
      <c r="T46" s="106">
        <v>0.9</v>
      </c>
      <c r="U46" s="105">
        <v>0</v>
      </c>
      <c r="V46" s="97" t="str">
        <f ca="1">VLOOKUP($W46,OFFSET(enemy_skill_sets!$B$1,0,0,COUNTA(enemy_skill_sets!$B:$B),MATCH(M$1,enemy_skill_sets!$1:$1,0)-MATCH($W$1,enemy_skill_sets!$1:$1,0)+2),MATCH(M$1,enemy_skill_sets!$1:$1,0)-MATCH($W$1,enemy_skill_sets!$1:$1,0)+2,FALSE)</f>
        <v>赤パネルを吸収して全体攻撃</v>
      </c>
      <c r="W46" s="97">
        <v>15030001</v>
      </c>
      <c r="X46" s="107">
        <v>0</v>
      </c>
      <c r="Y46" s="107">
        <v>100</v>
      </c>
      <c r="Z46" s="107">
        <v>0</v>
      </c>
      <c r="AA46" s="14">
        <f ca="1">VLOOKUP($L46,OFFSET([3]enemies!$A$1,0,0,COUNTA([3]enemies!$A:$A),MATCH(AA$1,[3]enemies!$1:$1,0)-MATCH($L$1,[3]enemies!$1:$1,0)+1),MATCH(AA$1,[3]enemies!$1:$1,0)-MATCH($L$1,[3]enemies!$1:$1,0)+1,FALSE)</f>
        <v>2</v>
      </c>
      <c r="AB46" s="108">
        <f t="shared" si="58"/>
        <v>370</v>
      </c>
      <c r="AC46" s="3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46" s="3">
        <f ca="1">VLOOKUP($AB46,OFFSET([4]characters!$A$1,0,0,COUNTA([4]characters!$A:$A),MATCH(AD$1,[4]characters!$1:$1,0)-MATCH("character_id",[4]characters!$1:$1,0)+1),MATCH(AD$1,[4]characters!$1:$1,0)-MATCH("character_id",[4]characters!$1:$1,0)+1,FALSE)</f>
        <v>2</v>
      </c>
      <c r="AE46" s="3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Drop1S</v>
      </c>
      <c r="AF46" s="109">
        <v>1</v>
      </c>
      <c r="AG46" s="108">
        <f t="shared" ca="1" si="59"/>
        <v>2</v>
      </c>
      <c r="AH46" s="110">
        <v>20</v>
      </c>
      <c r="AI46" s="109">
        <v>0</v>
      </c>
      <c r="AJ46" s="109">
        <v>0</v>
      </c>
      <c r="AK46" s="109">
        <v>0</v>
      </c>
      <c r="AL46" s="109">
        <v>0</v>
      </c>
      <c r="AM46" s="109">
        <v>1</v>
      </c>
      <c r="AN46" s="229">
        <v>1</v>
      </c>
    </row>
    <row r="47" spans="1:40" ht="21" customHeight="1" x14ac:dyDescent="0.15">
      <c r="A47" s="13" t="str">
        <f t="shared" ref="A47:A56" ca="1" si="80">B47&amp;"_"&amp;C47&amp;"-"&amp;G47&amp;"/"&amp;L47&amp;"&lt;lv"&amp;R47&amp;"&gt;s"&amp;AA47</f>
        <v>15030_3-1/374&lt;lv60&gt;s1</v>
      </c>
      <c r="B47" s="90">
        <v>15030</v>
      </c>
      <c r="C47" s="93">
        <v>3</v>
      </c>
      <c r="D47" s="1" t="str">
        <f t="shared" ref="D47:D56" si="81">B47&amp;"_"&amp;C47</f>
        <v>15030_3</v>
      </c>
      <c r="E47" s="3" t="str">
        <f ca="1">VLOOKUP($B47,OFFSET([2]quests!$A$1,0,0,COUNTA([2]quests!$A:$A),MATCH(E$1,[2]quests!$1:$1,0)-MATCH($B$1,[2]quests!$1:$1,0)+1),MATCH(E$1,[2]quests!$1:$1,0)-MATCH($B$1,[2]quests!$1:$1,0)+1,FALSE)</f>
        <v>30. 月夜のオールドシティ</v>
      </c>
      <c r="F47" s="14" t="str">
        <f ca="1">VLOOKUP($D47,OFFSET([2]stages!$A$1,0,0,COUNTA([2]stages!$A:$A),MATCH(F$1,[2]stages!$2:$2,0)-MATCH($D$1,[2]stages!$2:$2,0)+1),MATCH(F$1,[2]stages!$2:$2,0)-MATCH($D$1,[2]stages!$2:$2,0)+1,FALSE)</f>
        <v>30-3. 月影の襲撃者</v>
      </c>
      <c r="G47" s="192">
        <v>1</v>
      </c>
      <c r="H47" s="12" t="str">
        <f t="shared" ref="H47:H56" si="82">B47&amp;"_"&amp;C47&amp;"-"&amp;G47</f>
        <v>15030_3-1</v>
      </c>
      <c r="I47" s="3">
        <f ca="1">VLOOKUP($H47,OFFSET(floors!$A$1,0,0,COUNTA(floors!$A:$A),MATCH(I$1,floors!$1:$1,0)-MATCH($H$1,floors!$1:$1,0)+1),MATCH(I$1,floors!$1:$1,0)-MATCH($H$1,floors!$1:$1,0)+1,FALSE)</f>
        <v>45</v>
      </c>
      <c r="J47" s="3">
        <f ca="1">VLOOKUP($H47,OFFSET(floors!$A$1,0,0,COUNTA(floors!$A:$A),MATCH(J$1,floors!$1:$1,0)-MATCH($H$1,floors!$1:$1,0)+1),MATCH(J$1,floors!$1:$1,0)-MATCH($H$1,floors!$1:$1,0)+1,FALSE)</f>
        <v>60</v>
      </c>
      <c r="K47" s="31" t="s">
        <v>87</v>
      </c>
      <c r="L47" s="95">
        <v>374</v>
      </c>
      <c r="M47" s="14" t="str">
        <f ca="1">VLOOKUP($L47,OFFSET([3]enemies!$A$1,0,0,COUNTA([3]enemies!$A:$A),MATCH(M$1,[3]enemies!$1:$1,0)-MATCH($L$1,[3]enemies!$1:$1,0)+1),MATCH(M$1,[3]enemies!$1:$1,0)-MATCH($L$1,[3]enemies!$1:$1,0)+1,FALSE)</f>
        <v>影丸</v>
      </c>
      <c r="N47" s="14" t="str">
        <f ca="1">VLOOKUP($L47,OFFSET([3]enemies!$A$1,0,0,COUNTA([3]enemies!$A:$A),MATCH(N$1,[3]enemies!$1:$1,0)-MATCH($L$1,[3]enemies!$1:$1,0)+1),MATCH(N$1,[3]enemies!$1:$1,0)-MATCH($L$1,[3]enemies!$1:$1,0)+1,FALSE)</f>
        <v>blue</v>
      </c>
      <c r="O47" s="14" t="str">
        <f ca="1">VLOOKUP($L47,OFFSET([4]characters!$A$1,0,0,COUNTA([4]characters!$A:$A),MATCH(O$1,[4]characters!$1:$1,0)-MATCH($L$1,[4]characters!$1:$1,0)+1),MATCH(O$1,[4]characters!$1:$1,0)-MATCH($L$1,[4]characters!$1:$1,0)+1,FALSE)</f>
        <v>Drop1S</v>
      </c>
      <c r="P47" s="14" t="str">
        <f ca="1">VLOOKUP($L47,OFFSET([3]enemies!$A$1,0,0,COUNTA([3]enemies!$A:$A),MATCH(P$1,[3]enemies!$1:$1,0)-MATCH($L$1,[3]enemies!$1:$1,0)+1),MATCH(P$1,[3]enemies!$1:$1,0)-MATCH($L$1,[3]enemies!$1:$1,0)+1,FALSE)</f>
        <v>animal</v>
      </c>
      <c r="Q47" s="14">
        <f ca="1">VLOOKUP($L47,OFFSET([3]enemies!$A$1,0,0,COUNTA([3]enemies!$A:$A),MATCH(Q$1,[3]enemies!$1:$1,0)-MATCH($L$1,[3]enemies!$1:$1,0)+1),MATCH(Q$1,[3]enemies!$1:$1,0)-MATCH($L$1,[3]enemies!$1:$1,0)+1,FALSE)</f>
        <v>15</v>
      </c>
      <c r="R47" s="4">
        <v>60</v>
      </c>
      <c r="S47" s="106">
        <v>1.4</v>
      </c>
      <c r="T47" s="19">
        <v>0.9</v>
      </c>
      <c r="U47" s="4">
        <v>0</v>
      </c>
      <c r="V47" s="97" t="str">
        <f ca="1">VLOOKUP($W47,OFFSET(enemy_skill_sets!$B$1,0,0,COUNTA(enemy_skill_sets!$B:$B),MATCH(M$1,enemy_skill_sets!$1:$1,0)-MATCH($W$1,enemy_skill_sets!$1:$1,0)+2),MATCH(M$1,enemy_skill_sets!$1:$1,0)-MATCH($W$1,enemy_skill_sets!$1:$1,0)+2,FALSE)</f>
        <v>ウィルス状態のユニットに大ダメージの全体攻撃</v>
      </c>
      <c r="W47" s="97">
        <v>15030002</v>
      </c>
      <c r="X47" s="5">
        <v>0</v>
      </c>
      <c r="Y47" s="5">
        <v>100</v>
      </c>
      <c r="Z47" s="5">
        <v>0</v>
      </c>
      <c r="AA47" s="14">
        <f ca="1">VLOOKUP($L47,OFFSET([3]enemies!$A$1,0,0,COUNTA([3]enemies!$A:$A),MATCH(AA$1,[3]enemies!$1:$1,0)-MATCH($L$1,[3]enemies!$1:$1,0)+1),MATCH(AA$1,[3]enemies!$1:$1,0)-MATCH($L$1,[3]enemies!$1:$1,0)+1,FALSE)</f>
        <v>1</v>
      </c>
      <c r="AB47" s="170">
        <f t="shared" ref="AB47:AB56" si="83">L47</f>
        <v>374</v>
      </c>
      <c r="AC47" s="3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影丸</v>
      </c>
      <c r="AD47" s="3">
        <f ca="1">VLOOKUP($AB47,OFFSET([4]characters!$A$1,0,0,COUNTA([4]characters!$A:$A),MATCH(AD$1,[4]characters!$1:$1,0)-MATCH("character_id",[4]characters!$1:$1,0)+1),MATCH(AD$1,[4]characters!$1:$1,0)-MATCH("character_id",[4]characters!$1:$1,0)+1,FALSE)</f>
        <v>2</v>
      </c>
      <c r="AE47" s="3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Drop1S</v>
      </c>
      <c r="AF47" s="88">
        <v>1</v>
      </c>
      <c r="AG47" s="170">
        <f t="shared" ref="AG47:AG56" ca="1" si="84">AD47</f>
        <v>2</v>
      </c>
      <c r="AH47" s="7">
        <v>20</v>
      </c>
      <c r="AI47" s="88">
        <v>0</v>
      </c>
      <c r="AJ47" s="88">
        <v>0</v>
      </c>
      <c r="AK47" s="88">
        <v>0</v>
      </c>
      <c r="AL47" s="88">
        <v>0</v>
      </c>
      <c r="AM47" s="88">
        <v>1</v>
      </c>
      <c r="AN47" s="193">
        <v>1</v>
      </c>
    </row>
    <row r="48" spans="1:40" ht="21" customHeight="1" x14ac:dyDescent="0.15">
      <c r="A48" s="13" t="str">
        <f t="shared" ca="1" si="80"/>
        <v>15030_3-1/348&lt;lv60&gt;s3</v>
      </c>
      <c r="B48" s="90">
        <v>15030</v>
      </c>
      <c r="C48" s="93">
        <v>3</v>
      </c>
      <c r="D48" s="1" t="str">
        <f t="shared" si="81"/>
        <v>15030_3</v>
      </c>
      <c r="E48" s="3" t="str">
        <f ca="1">VLOOKUP($B48,OFFSET([2]quests!$A$1,0,0,COUNTA([2]quests!$A:$A),MATCH(E$1,[2]quests!$1:$1,0)-MATCH($B$1,[2]quests!$1:$1,0)+1),MATCH(E$1,[2]quests!$1:$1,0)-MATCH($B$1,[2]quests!$1:$1,0)+1,FALSE)</f>
        <v>30. 月夜のオールドシティ</v>
      </c>
      <c r="F48" s="14" t="str">
        <f ca="1">VLOOKUP($D48,OFFSET([2]stages!$A$1,0,0,COUNTA([2]stages!$A:$A),MATCH(F$1,[2]stages!$2:$2,0)-MATCH($D$1,[2]stages!$2:$2,0)+1),MATCH(F$1,[2]stages!$2:$2,0)-MATCH($D$1,[2]stages!$2:$2,0)+1,FALSE)</f>
        <v>30-3. 月影の襲撃者</v>
      </c>
      <c r="G48" s="192">
        <v>1</v>
      </c>
      <c r="H48" s="12" t="str">
        <f t="shared" si="82"/>
        <v>15030_3-1</v>
      </c>
      <c r="I48" s="3">
        <f ca="1">VLOOKUP($H48,OFFSET(floors!$A$1,0,0,COUNTA(floors!$A:$A),MATCH(I$1,floors!$1:$1,0)-MATCH($H$1,floors!$1:$1,0)+1),MATCH(I$1,floors!$1:$1,0)-MATCH($H$1,floors!$1:$1,0)+1,FALSE)</f>
        <v>45</v>
      </c>
      <c r="J48" s="3">
        <f ca="1">VLOOKUP($H48,OFFSET(floors!$A$1,0,0,COUNTA(floors!$A:$A),MATCH(J$1,floors!$1:$1,0)-MATCH($H$1,floors!$1:$1,0)+1),MATCH(J$1,floors!$1:$1,0)-MATCH($H$1,floors!$1:$1,0)+1,FALSE)</f>
        <v>60</v>
      </c>
      <c r="K48" s="31" t="s">
        <v>210</v>
      </c>
      <c r="L48" s="95">
        <v>348</v>
      </c>
      <c r="M48" s="14" t="str">
        <f ca="1">VLOOKUP($L48,OFFSET([3]enemies!$A$1,0,0,COUNTA([3]enemies!$A:$A),MATCH(M$1,[3]enemies!$1:$1,0)-MATCH($L$1,[3]enemies!$1:$1,0)+1),MATCH(M$1,[3]enemies!$1:$1,0)-MATCH($L$1,[3]enemies!$1:$1,0)+1,FALSE)</f>
        <v>炎のケロケロ</v>
      </c>
      <c r="N48" s="14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14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14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4">
        <f ca="1">VLOOKUP($L48,OFFSET([3]enemies!$A$1,0,0,COUNTA([3]enemies!$A:$A),MATCH(Q$1,[3]enemies!$1:$1,0)-MATCH($L$1,[3]enemies!$1:$1,0)+1),MATCH(Q$1,[3]enemies!$1:$1,0)-MATCH($L$1,[3]enemies!$1:$1,0)+1,FALSE)</f>
        <v>15</v>
      </c>
      <c r="R48" s="4">
        <v>60</v>
      </c>
      <c r="S48" s="106">
        <v>1.5</v>
      </c>
      <c r="T48" s="19">
        <v>1</v>
      </c>
      <c r="U48" s="4">
        <v>0</v>
      </c>
      <c r="V48" s="3" t="e">
        <f ca="1">VLOOKUP($W48,OFFSET(enemy_skill_sets!$B$1,0,0,COUNTA(enemy_skill_sets!$B:$B),MATCH(M$1,enemy_skill_sets!$1:$1,0)-MATCH($W$1,enemy_skill_sets!$1:$1,0)+2),MATCH(M$1,enemy_skill_sets!$1:$1,0)-MATCH($W$1,enemy_skill_sets!$1:$1,0)+2,FALSE)</f>
        <v>#N/A</v>
      </c>
      <c r="W48" s="3">
        <f ca="1">VLOOKUP($L48,OFFSET([3]enemies!$A$1,0,0,COUNTA([3]enemies!$A:$A),MATCH(W$1,[3]enemies!$1:$1,0)-MATCH($L$1,[3]enemies!$1:$1,0)+1),MATCH(W$1,[3]enemies!$1:$1,0)-MATCH($L$1,[3]enemies!$1:$1,0)+1,FALSE)</f>
        <v>0</v>
      </c>
      <c r="X48" s="5">
        <v>0</v>
      </c>
      <c r="Y48" s="5">
        <v>20</v>
      </c>
      <c r="Z48" s="5">
        <v>1</v>
      </c>
      <c r="AA48" s="14">
        <f ca="1">VLOOKUP($L48,OFFSET([3]enemies!$A$1,0,0,COUNTA([3]enemies!$A:$A),MATCH(AA$1,[3]enemies!$1:$1,0)-MATCH($L$1,[3]enemies!$1:$1,0)+1),MATCH(AA$1,[3]enemies!$1:$1,0)-MATCH($L$1,[3]enemies!$1:$1,0)+1,FALSE)</f>
        <v>3</v>
      </c>
      <c r="AB48" s="170">
        <f t="shared" si="83"/>
        <v>348</v>
      </c>
      <c r="AC48" s="3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48" s="3">
        <f ca="1">VLOOKUP($AB48,OFFSET([4]characters!$A$1,0,0,COUNTA([4]characters!$A:$A),MATCH(AD$1,[4]characters!$1:$1,0)-MATCH("character_id",[4]characters!$1:$1,0)+1),MATCH(AD$1,[4]characters!$1:$1,0)-MATCH("character_id",[4]characters!$1:$1,0)+1,FALSE)</f>
        <v>2</v>
      </c>
      <c r="AE48" s="3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88">
        <v>10</v>
      </c>
      <c r="AG48" s="170">
        <f t="shared" ca="1" si="84"/>
        <v>2</v>
      </c>
      <c r="AH48" s="7">
        <v>20</v>
      </c>
      <c r="AI48" s="88">
        <v>0</v>
      </c>
      <c r="AJ48" s="88">
        <v>0</v>
      </c>
      <c r="AK48" s="88">
        <v>0</v>
      </c>
      <c r="AL48" s="88">
        <v>0</v>
      </c>
      <c r="AM48" s="88">
        <v>1</v>
      </c>
      <c r="AN48" s="193">
        <v>1</v>
      </c>
    </row>
    <row r="49" spans="1:40" ht="21" customHeight="1" x14ac:dyDescent="0.15">
      <c r="A49" s="13" t="str">
        <f t="shared" ref="A49:A55" ca="1" si="85">B49&amp;"_"&amp;C49&amp;"-"&amp;G49&amp;"/"&amp;L49&amp;"&lt;lv"&amp;R49&amp;"&gt;s"&amp;AA49</f>
        <v>15030_3-1/352&lt;lv60&gt;s3</v>
      </c>
      <c r="B49" s="90">
        <v>15030</v>
      </c>
      <c r="C49" s="93">
        <v>3</v>
      </c>
      <c r="D49" s="1" t="str">
        <f t="shared" ref="D49:D55" si="86">B49&amp;"_"&amp;C49</f>
        <v>15030_3</v>
      </c>
      <c r="E49" s="3" t="str">
        <f ca="1">VLOOKUP($B49,OFFSET([2]quests!$A$1,0,0,COUNTA([2]quests!$A:$A),MATCH(E$1,[2]quests!$1:$1,0)-MATCH($B$1,[2]quests!$1:$1,0)+1),MATCH(E$1,[2]quests!$1:$1,0)-MATCH($B$1,[2]quests!$1:$1,0)+1,FALSE)</f>
        <v>30. 月夜のオールドシティ</v>
      </c>
      <c r="F49" s="14" t="str">
        <f ca="1">VLOOKUP($D49,OFFSET([2]stages!$A$1,0,0,COUNTA([2]stages!$A:$A),MATCH(F$1,[2]stages!$2:$2,0)-MATCH($D$1,[2]stages!$2:$2,0)+1),MATCH(F$1,[2]stages!$2:$2,0)-MATCH($D$1,[2]stages!$2:$2,0)+1,FALSE)</f>
        <v>30-3. 月影の襲撃者</v>
      </c>
      <c r="G49" s="192">
        <v>1</v>
      </c>
      <c r="H49" s="12" t="str">
        <f t="shared" ref="H49:H55" si="87">B49&amp;"_"&amp;C49&amp;"-"&amp;G49</f>
        <v>15030_3-1</v>
      </c>
      <c r="I49" s="3">
        <f ca="1">VLOOKUP($H49,OFFSET(floors!$A$1,0,0,COUNTA(floors!$A:$A),MATCH(I$1,floors!$1:$1,0)-MATCH($H$1,floors!$1:$1,0)+1),MATCH(I$1,floors!$1:$1,0)-MATCH($H$1,floors!$1:$1,0)+1,FALSE)</f>
        <v>45</v>
      </c>
      <c r="J49" s="3">
        <f ca="1">VLOOKUP($H49,OFFSET(floors!$A$1,0,0,COUNTA(floors!$A:$A),MATCH(J$1,floors!$1:$1,0)-MATCH($H$1,floors!$1:$1,0)+1),MATCH(J$1,floors!$1:$1,0)-MATCH($H$1,floors!$1:$1,0)+1,FALSE)</f>
        <v>60</v>
      </c>
      <c r="K49" s="31" t="s">
        <v>87</v>
      </c>
      <c r="L49" s="95">
        <v>352</v>
      </c>
      <c r="M49" s="14" t="str">
        <f ca="1">VLOOKUP($L49,OFFSET([3]enemies!$A$1,0,0,COUNTA([3]enemies!$A:$A),MATCH(M$1,[3]enemies!$1:$1,0)-MATCH($L$1,[3]enemies!$1:$1,0)+1),MATCH(M$1,[3]enemies!$1:$1,0)-MATCH($L$1,[3]enemies!$1:$1,0)+1,FALSE)</f>
        <v>水のケロケロ</v>
      </c>
      <c r="N49" s="14" t="str">
        <f ca="1">VLOOKUP($L49,OFFSET([3]enemies!$A$1,0,0,COUNTA([3]enemies!$A:$A),MATCH(N$1,[3]enemies!$1:$1,0)-MATCH($L$1,[3]enemies!$1:$1,0)+1),MATCH(N$1,[3]enemies!$1:$1,0)-MATCH($L$1,[3]enemies!$1:$1,0)+1,FALSE)</f>
        <v>blue</v>
      </c>
      <c r="O49" s="14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14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4">
        <f ca="1">VLOOKUP($L49,OFFSET([3]enemies!$A$1,0,0,COUNTA([3]enemies!$A:$A),MATCH(Q$1,[3]enemies!$1:$1,0)-MATCH($L$1,[3]enemies!$1:$1,0)+1),MATCH(Q$1,[3]enemies!$1:$1,0)-MATCH($L$1,[3]enemies!$1:$1,0)+1,FALSE)</f>
        <v>15</v>
      </c>
      <c r="R49" s="4">
        <v>60</v>
      </c>
      <c r="S49" s="106">
        <v>1.5</v>
      </c>
      <c r="T49" s="19">
        <v>1</v>
      </c>
      <c r="U49" s="4">
        <v>0</v>
      </c>
      <c r="V49" s="3" t="e">
        <f ca="1">VLOOKUP($W49,OFFSET(enemy_skill_sets!$B$1,0,0,COUNTA(enemy_skill_sets!$B:$B),MATCH(M$1,enemy_skill_sets!$1:$1,0)-MATCH($W$1,enemy_skill_sets!$1:$1,0)+2),MATCH(M$1,enemy_skill_sets!$1:$1,0)-MATCH($W$1,enemy_skill_sets!$1:$1,0)+2,FALSE)</f>
        <v>#N/A</v>
      </c>
      <c r="W49" s="3">
        <f ca="1">VLOOKUP($L49,OFFSET([3]enemies!$A$1,0,0,COUNTA([3]enemies!$A:$A),MATCH(W$1,[3]enemies!$1:$1,0)-MATCH($L$1,[3]enemies!$1:$1,0)+1),MATCH(W$1,[3]enemies!$1:$1,0)-MATCH($L$1,[3]enemies!$1:$1,0)+1,FALSE)</f>
        <v>0</v>
      </c>
      <c r="X49" s="5">
        <v>0</v>
      </c>
      <c r="Y49" s="5">
        <v>20</v>
      </c>
      <c r="Z49" s="5">
        <v>1</v>
      </c>
      <c r="AA49" s="14">
        <f ca="1">VLOOKUP($L49,OFFSET([3]enemies!$A$1,0,0,COUNTA([3]enemies!$A:$A),MATCH(AA$1,[3]enemies!$1:$1,0)-MATCH($L$1,[3]enemies!$1:$1,0)+1),MATCH(AA$1,[3]enemies!$1:$1,0)-MATCH($L$1,[3]enemies!$1:$1,0)+1,FALSE)</f>
        <v>3</v>
      </c>
      <c r="AB49" s="170">
        <f t="shared" ref="AB49:AB55" si="88">L49</f>
        <v>352</v>
      </c>
      <c r="AC49" s="3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49" s="3">
        <f ca="1">VLOOKUP($AB49,OFFSET([4]characters!$A$1,0,0,COUNTA([4]characters!$A:$A),MATCH(AD$1,[4]characters!$1:$1,0)-MATCH("character_id",[4]characters!$1:$1,0)+1),MATCH(AD$1,[4]characters!$1:$1,0)-MATCH("character_id",[4]characters!$1:$1,0)+1,FALSE)</f>
        <v>2</v>
      </c>
      <c r="AE49" s="3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9" s="88">
        <v>10</v>
      </c>
      <c r="AG49" s="170">
        <f t="shared" ref="AG49:AG55" ca="1" si="89">AD49</f>
        <v>2</v>
      </c>
      <c r="AH49" s="7">
        <v>20</v>
      </c>
      <c r="AI49" s="88">
        <v>0</v>
      </c>
      <c r="AJ49" s="88">
        <v>0</v>
      </c>
      <c r="AK49" s="88">
        <v>0</v>
      </c>
      <c r="AL49" s="88">
        <v>0</v>
      </c>
      <c r="AM49" s="88">
        <v>1</v>
      </c>
      <c r="AN49" s="193">
        <v>1</v>
      </c>
    </row>
    <row r="50" spans="1:40" ht="21" customHeight="1" x14ac:dyDescent="0.15">
      <c r="A50" s="13" t="str">
        <f t="shared" ca="1" si="85"/>
        <v>15030_3-1/360&lt;lv60&gt;s3</v>
      </c>
      <c r="B50" s="90">
        <v>15030</v>
      </c>
      <c r="C50" s="93">
        <v>3</v>
      </c>
      <c r="D50" s="1" t="str">
        <f t="shared" si="86"/>
        <v>15030_3</v>
      </c>
      <c r="E50" s="3" t="str">
        <f ca="1">VLOOKUP($B50,OFFSET([2]quests!$A$1,0,0,COUNTA([2]quests!$A:$A),MATCH(E$1,[2]quests!$1:$1,0)-MATCH($B$1,[2]quests!$1:$1,0)+1),MATCH(E$1,[2]quests!$1:$1,0)-MATCH($B$1,[2]quests!$1:$1,0)+1,FALSE)</f>
        <v>30. 月夜のオールドシティ</v>
      </c>
      <c r="F50" s="14" t="str">
        <f ca="1">VLOOKUP($D50,OFFSET([2]stages!$A$1,0,0,COUNTA([2]stages!$A:$A),MATCH(F$1,[2]stages!$2:$2,0)-MATCH($D$1,[2]stages!$2:$2,0)+1),MATCH(F$1,[2]stages!$2:$2,0)-MATCH($D$1,[2]stages!$2:$2,0)+1,FALSE)</f>
        <v>30-3. 月影の襲撃者</v>
      </c>
      <c r="G50" s="192">
        <v>1</v>
      </c>
      <c r="H50" s="12" t="str">
        <f t="shared" si="87"/>
        <v>15030_3-1</v>
      </c>
      <c r="I50" s="3">
        <f ca="1">VLOOKUP($H50,OFFSET(floors!$A$1,0,0,COUNTA(floors!$A:$A),MATCH(I$1,floors!$1:$1,0)-MATCH($H$1,floors!$1:$1,0)+1),MATCH(I$1,floors!$1:$1,0)-MATCH($H$1,floors!$1:$1,0)+1,FALSE)</f>
        <v>45</v>
      </c>
      <c r="J50" s="3">
        <f ca="1">VLOOKUP($H50,OFFSET(floors!$A$1,0,0,COUNTA(floors!$A:$A),MATCH(J$1,floors!$1:$1,0)-MATCH($H$1,floors!$1:$1,0)+1),MATCH(J$1,floors!$1:$1,0)-MATCH($H$1,floors!$1:$1,0)+1,FALSE)</f>
        <v>60</v>
      </c>
      <c r="K50" s="31" t="s">
        <v>87</v>
      </c>
      <c r="L50" s="95">
        <v>360</v>
      </c>
      <c r="M50" s="14" t="str">
        <f ca="1">VLOOKUP($L50,OFFSET([3]enemies!$A$1,0,0,COUNTA([3]enemies!$A:$A),MATCH(M$1,[3]enemies!$1:$1,0)-MATCH($L$1,[3]enemies!$1:$1,0)+1),MATCH(M$1,[3]enemies!$1:$1,0)-MATCH($L$1,[3]enemies!$1:$1,0)+1,FALSE)</f>
        <v>ガンテツ</v>
      </c>
      <c r="N50" s="14" t="str">
        <f ca="1">VLOOKUP($L50,OFFSET([3]enemies!$A$1,0,0,COUNTA([3]enemies!$A:$A),MATCH(N$1,[3]enemies!$1:$1,0)-MATCH($L$1,[3]enemies!$1:$1,0)+1),MATCH(N$1,[3]enemies!$1:$1,0)-MATCH($L$1,[3]enemies!$1:$1,0)+1,FALSE)</f>
        <v>red</v>
      </c>
      <c r="O50" s="14" t="str">
        <f ca="1">VLOOKUP($L50,OFFSET([4]characters!$A$1,0,0,COUNTA([4]characters!$A:$A),MATCH(O$1,[4]characters!$1:$1,0)-MATCH($L$1,[4]characters!$1:$1,0)+1),MATCH(O$1,[4]characters!$1:$1,0)-MATCH($L$1,[4]characters!$1:$1,0)+1,FALSE)</f>
        <v>Drop1S</v>
      </c>
      <c r="P50" s="14" t="str">
        <f ca="1">VLOOKUP($L50,OFFSET([3]enemies!$A$1,0,0,COUNTA([3]enemies!$A:$A),MATCH(P$1,[3]enemies!$1:$1,0)-MATCH($L$1,[3]enemies!$1:$1,0)+1),MATCH(P$1,[3]enemies!$1:$1,0)-MATCH($L$1,[3]enemies!$1:$1,0)+1,FALSE)</f>
        <v>animal</v>
      </c>
      <c r="Q50" s="14">
        <f ca="1">VLOOKUP($L50,OFFSET([3]enemies!$A$1,0,0,COUNTA([3]enemies!$A:$A),MATCH(Q$1,[3]enemies!$1:$1,0)-MATCH($L$1,[3]enemies!$1:$1,0)+1),MATCH(Q$1,[3]enemies!$1:$1,0)-MATCH($L$1,[3]enemies!$1:$1,0)+1,FALSE)</f>
        <v>15</v>
      </c>
      <c r="R50" s="4">
        <v>60</v>
      </c>
      <c r="S50" s="106">
        <v>1.4</v>
      </c>
      <c r="T50" s="19">
        <v>1</v>
      </c>
      <c r="U50" s="4">
        <v>0</v>
      </c>
      <c r="V50" s="98" t="e">
        <f ca="1">VLOOKUP($W50,OFFSET(enemy_skill_sets!$B$1,0,0,COUNTA(enemy_skill_sets!$B:$B),MATCH(M$1,enemy_skill_sets!$1:$1,0)-MATCH($W$1,enemy_skill_sets!$1:$1,0)+2),MATCH(M$1,enemy_skill_sets!$1:$1,0)-MATCH($W$1,enemy_skill_sets!$1:$1,0)+2,FALSE)</f>
        <v>#N/A</v>
      </c>
      <c r="W50" s="3">
        <f ca="1">VLOOKUP($L50,OFFSET([3]enemies!$A$1,0,0,COUNTA([3]enemies!$A:$A),MATCH(W$1,[3]enemies!$1:$1,0)-MATCH($L$1,[3]enemies!$1:$1,0)+1),MATCH(W$1,[3]enemies!$1:$1,0)-MATCH($L$1,[3]enemies!$1:$1,0)+1,FALSE)</f>
        <v>0</v>
      </c>
      <c r="X50" s="5">
        <v>0</v>
      </c>
      <c r="Y50" s="5">
        <v>100</v>
      </c>
      <c r="Z50" s="5">
        <v>0</v>
      </c>
      <c r="AA50" s="14">
        <f ca="1">VLOOKUP($L50,OFFSET([3]enemies!$A$1,0,0,COUNTA([3]enemies!$A:$A),MATCH(AA$1,[3]enemies!$1:$1,0)-MATCH($L$1,[3]enemies!$1:$1,0)+1),MATCH(AA$1,[3]enemies!$1:$1,0)-MATCH($L$1,[3]enemies!$1:$1,0)+1,FALSE)</f>
        <v>3</v>
      </c>
      <c r="AB50" s="170">
        <f t="shared" si="88"/>
        <v>360</v>
      </c>
      <c r="AC50" s="3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50" s="3">
        <f ca="1">VLOOKUP($AB50,OFFSET([4]characters!$A$1,0,0,COUNTA([4]characters!$A:$A),MATCH(AD$1,[4]characters!$1:$1,0)-MATCH("character_id",[4]characters!$1:$1,0)+1),MATCH(AD$1,[4]characters!$1:$1,0)-MATCH("character_id",[4]characters!$1:$1,0)+1,FALSE)</f>
        <v>2</v>
      </c>
      <c r="AE50" s="3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Drop1S</v>
      </c>
      <c r="AF50" s="88">
        <v>1</v>
      </c>
      <c r="AG50" s="170">
        <f t="shared" ca="1" si="89"/>
        <v>2</v>
      </c>
      <c r="AH50" s="7">
        <v>20</v>
      </c>
      <c r="AI50" s="88">
        <v>0</v>
      </c>
      <c r="AJ50" s="88">
        <v>0</v>
      </c>
      <c r="AK50" s="88">
        <v>0</v>
      </c>
      <c r="AL50" s="88">
        <v>0</v>
      </c>
      <c r="AM50" s="88">
        <v>1</v>
      </c>
      <c r="AN50" s="193">
        <v>1</v>
      </c>
    </row>
    <row r="51" spans="1:40" ht="21" customHeight="1" x14ac:dyDescent="0.15">
      <c r="A51" s="13" t="str">
        <f t="shared" ca="1" si="85"/>
        <v>15030_3-1/364&lt;lv60&gt;s3</v>
      </c>
      <c r="B51" s="90">
        <v>15030</v>
      </c>
      <c r="C51" s="93">
        <v>3</v>
      </c>
      <c r="D51" s="1" t="str">
        <f t="shared" si="86"/>
        <v>15030_3</v>
      </c>
      <c r="E51" s="3" t="str">
        <f ca="1">VLOOKUP($B51,OFFSET([2]quests!$A$1,0,0,COUNTA([2]quests!$A:$A),MATCH(E$1,[2]quests!$1:$1,0)-MATCH($B$1,[2]quests!$1:$1,0)+1),MATCH(E$1,[2]quests!$1:$1,0)-MATCH($B$1,[2]quests!$1:$1,0)+1,FALSE)</f>
        <v>30. 月夜のオールドシティ</v>
      </c>
      <c r="F51" s="14" t="str">
        <f ca="1">VLOOKUP($D51,OFFSET([2]stages!$A$1,0,0,COUNTA([2]stages!$A:$A),MATCH(F$1,[2]stages!$2:$2,0)-MATCH($D$1,[2]stages!$2:$2,0)+1),MATCH(F$1,[2]stages!$2:$2,0)-MATCH($D$1,[2]stages!$2:$2,0)+1,FALSE)</f>
        <v>30-3. 月影の襲撃者</v>
      </c>
      <c r="G51" s="192">
        <v>1</v>
      </c>
      <c r="H51" s="12" t="str">
        <f t="shared" si="87"/>
        <v>15030_3-1</v>
      </c>
      <c r="I51" s="3">
        <f ca="1">VLOOKUP($H51,OFFSET(floors!$A$1,0,0,COUNTA(floors!$A:$A),MATCH(I$1,floors!$1:$1,0)-MATCH($H$1,floors!$1:$1,0)+1),MATCH(I$1,floors!$1:$1,0)-MATCH($H$1,floors!$1:$1,0)+1,FALSE)</f>
        <v>45</v>
      </c>
      <c r="J51" s="3">
        <f ca="1">VLOOKUP($H51,OFFSET(floors!$A$1,0,0,COUNTA(floors!$A:$A),MATCH(J$1,floors!$1:$1,0)-MATCH($H$1,floors!$1:$1,0)+1),MATCH(J$1,floors!$1:$1,0)-MATCH($H$1,floors!$1:$1,0)+1,FALSE)</f>
        <v>60</v>
      </c>
      <c r="K51" s="31" t="s">
        <v>87</v>
      </c>
      <c r="L51" s="95">
        <v>364</v>
      </c>
      <c r="M51" s="14" t="str">
        <f ca="1">VLOOKUP($L51,OFFSET([3]enemies!$A$1,0,0,COUNTA([3]enemies!$A:$A),MATCH(M$1,[3]enemies!$1:$1,0)-MATCH($L$1,[3]enemies!$1:$1,0)+1),MATCH(M$1,[3]enemies!$1:$1,0)-MATCH($L$1,[3]enemies!$1:$1,0)+1,FALSE)</f>
        <v>ノエル</v>
      </c>
      <c r="N51" s="14" t="str">
        <f ca="1">VLOOKUP($L51,OFFSET([3]enemies!$A$1,0,0,COUNTA([3]enemies!$A:$A),MATCH(N$1,[3]enemies!$1:$1,0)-MATCH($L$1,[3]enemies!$1:$1,0)+1),MATCH(N$1,[3]enemies!$1:$1,0)-MATCH($L$1,[3]enemies!$1:$1,0)+1,FALSE)</f>
        <v>blue</v>
      </c>
      <c r="O51" s="14" t="str">
        <f ca="1">VLOOKUP($L51,OFFSET([4]characters!$A$1,0,0,COUNTA([4]characters!$A:$A),MATCH(O$1,[4]characters!$1:$1,0)-MATCH($L$1,[4]characters!$1:$1,0)+1),MATCH(O$1,[4]characters!$1:$1,0)-MATCH($L$1,[4]characters!$1:$1,0)+1,FALSE)</f>
        <v>Drop1S</v>
      </c>
      <c r="P51" s="14" t="str">
        <f ca="1">VLOOKUP($L51,OFFSET([3]enemies!$A$1,0,0,COUNTA([3]enemies!$A:$A),MATCH(P$1,[3]enemies!$1:$1,0)-MATCH($L$1,[3]enemies!$1:$1,0)+1),MATCH(P$1,[3]enemies!$1:$1,0)-MATCH($L$1,[3]enemies!$1:$1,0)+1,FALSE)</f>
        <v>animal</v>
      </c>
      <c r="Q51" s="14">
        <f ca="1">VLOOKUP($L51,OFFSET([3]enemies!$A$1,0,0,COUNTA([3]enemies!$A:$A),MATCH(Q$1,[3]enemies!$1:$1,0)-MATCH($L$1,[3]enemies!$1:$1,0)+1),MATCH(Q$1,[3]enemies!$1:$1,0)-MATCH($L$1,[3]enemies!$1:$1,0)+1,FALSE)</f>
        <v>15</v>
      </c>
      <c r="R51" s="4">
        <v>60</v>
      </c>
      <c r="S51" s="106">
        <v>1.4</v>
      </c>
      <c r="T51" s="19">
        <v>1</v>
      </c>
      <c r="U51" s="4">
        <v>0</v>
      </c>
      <c r="V51" s="98" t="e">
        <f ca="1">VLOOKUP($W51,OFFSET(enemy_skill_sets!$B$1,0,0,COUNTA(enemy_skill_sets!$B:$B),MATCH(M$1,enemy_skill_sets!$1:$1,0)-MATCH($W$1,enemy_skill_sets!$1:$1,0)+2),MATCH(M$1,enemy_skill_sets!$1:$1,0)-MATCH($W$1,enemy_skill_sets!$1:$1,0)+2,FALSE)</f>
        <v>#N/A</v>
      </c>
      <c r="W51" s="3">
        <f ca="1">VLOOKUP($L51,OFFSET([3]enemies!$A$1,0,0,COUNTA([3]enemies!$A:$A),MATCH(W$1,[3]enemies!$1:$1,0)-MATCH($L$1,[3]enemies!$1:$1,0)+1),MATCH(W$1,[3]enemies!$1:$1,0)-MATCH($L$1,[3]enemies!$1:$1,0)+1,FALSE)</f>
        <v>0</v>
      </c>
      <c r="X51" s="5">
        <v>0</v>
      </c>
      <c r="Y51" s="5">
        <v>100</v>
      </c>
      <c r="Z51" s="5">
        <v>0</v>
      </c>
      <c r="AA51" s="14">
        <f ca="1">VLOOKUP($L51,OFFSET([3]enemies!$A$1,0,0,COUNTA([3]enemies!$A:$A),MATCH(AA$1,[3]enemies!$1:$1,0)-MATCH($L$1,[3]enemies!$1:$1,0)+1),MATCH(AA$1,[3]enemies!$1:$1,0)-MATCH($L$1,[3]enemies!$1:$1,0)+1,FALSE)</f>
        <v>3</v>
      </c>
      <c r="AB51" s="170">
        <f t="shared" si="88"/>
        <v>364</v>
      </c>
      <c r="AC51" s="3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51" s="3">
        <f ca="1">VLOOKUP($AB51,OFFSET([4]characters!$A$1,0,0,COUNTA([4]characters!$A:$A),MATCH(AD$1,[4]characters!$1:$1,0)-MATCH("character_id",[4]characters!$1:$1,0)+1),MATCH(AD$1,[4]characters!$1:$1,0)-MATCH("character_id",[4]characters!$1:$1,0)+1,FALSE)</f>
        <v>2</v>
      </c>
      <c r="AE51" s="3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Drop1S</v>
      </c>
      <c r="AF51" s="88">
        <v>1</v>
      </c>
      <c r="AG51" s="170">
        <f t="shared" ca="1" si="89"/>
        <v>2</v>
      </c>
      <c r="AH51" s="7">
        <v>20</v>
      </c>
      <c r="AI51" s="88">
        <v>0</v>
      </c>
      <c r="AJ51" s="88">
        <v>0</v>
      </c>
      <c r="AK51" s="88">
        <v>0</v>
      </c>
      <c r="AL51" s="88">
        <v>0</v>
      </c>
      <c r="AM51" s="88">
        <v>1</v>
      </c>
      <c r="AN51" s="193">
        <v>1</v>
      </c>
    </row>
    <row r="52" spans="1:40" ht="21" customHeight="1" x14ac:dyDescent="0.15">
      <c r="A52" s="13" t="str">
        <f t="shared" ca="1" si="85"/>
        <v>15030_3-1/33&lt;lv60&gt;s2</v>
      </c>
      <c r="B52" s="90">
        <v>15030</v>
      </c>
      <c r="C52" s="93">
        <v>3</v>
      </c>
      <c r="D52" s="1" t="str">
        <f t="shared" si="86"/>
        <v>15030_3</v>
      </c>
      <c r="E52" s="3" t="str">
        <f ca="1">VLOOKUP($B52,OFFSET([2]quests!$A$1,0,0,COUNTA([2]quests!$A:$A),MATCH(E$1,[2]quests!$1:$1,0)-MATCH($B$1,[2]quests!$1:$1,0)+1),MATCH(E$1,[2]quests!$1:$1,0)-MATCH($B$1,[2]quests!$1:$1,0)+1,FALSE)</f>
        <v>30. 月夜のオールドシティ</v>
      </c>
      <c r="F52" s="14" t="str">
        <f ca="1">VLOOKUP($D52,OFFSET([2]stages!$A$1,0,0,COUNTA([2]stages!$A:$A),MATCH(F$1,[2]stages!$2:$2,0)-MATCH($D$1,[2]stages!$2:$2,0)+1),MATCH(F$1,[2]stages!$2:$2,0)-MATCH($D$1,[2]stages!$2:$2,0)+1,FALSE)</f>
        <v>30-3. 月影の襲撃者</v>
      </c>
      <c r="G52" s="192">
        <v>1</v>
      </c>
      <c r="H52" s="12" t="str">
        <f t="shared" si="87"/>
        <v>15030_3-1</v>
      </c>
      <c r="I52" s="3">
        <f ca="1">VLOOKUP($H52,OFFSET(floors!$A$1,0,0,COUNTA(floors!$A:$A),MATCH(I$1,floors!$1:$1,0)-MATCH($H$1,floors!$1:$1,0)+1),MATCH(I$1,floors!$1:$1,0)-MATCH($H$1,floors!$1:$1,0)+1,FALSE)</f>
        <v>45</v>
      </c>
      <c r="J52" s="3">
        <f ca="1">VLOOKUP($H52,OFFSET(floors!$A$1,0,0,COUNTA(floors!$A:$A),MATCH(J$1,floors!$1:$1,0)-MATCH($H$1,floors!$1:$1,0)+1),MATCH(J$1,floors!$1:$1,0)-MATCH($H$1,floors!$1:$1,0)+1,FALSE)</f>
        <v>60</v>
      </c>
      <c r="K52" s="31" t="s">
        <v>87</v>
      </c>
      <c r="L52" s="95">
        <v>33</v>
      </c>
      <c r="M52" s="14" t="str">
        <f ca="1">VLOOKUP($L52,OFFSET([3]enemies!$A$1,0,0,COUNTA([3]enemies!$A:$A),MATCH(M$1,[3]enemies!$1:$1,0)-MATCH($L$1,[3]enemies!$1:$1,0)+1),MATCH(M$1,[3]enemies!$1:$1,0)-MATCH($L$1,[3]enemies!$1:$1,0)+1,FALSE)</f>
        <v>ゴクウ</v>
      </c>
      <c r="N52" s="14" t="str">
        <f ca="1">VLOOKUP($L52,OFFSET([3]enemies!$A$1,0,0,COUNTA([3]enemies!$A:$A),MATCH(N$1,[3]enemies!$1:$1,0)-MATCH($L$1,[3]enemies!$1:$1,0)+1),MATCH(N$1,[3]enemies!$1:$1,0)-MATCH($L$1,[3]enemies!$1:$1,0)+1,FALSE)</f>
        <v>red</v>
      </c>
      <c r="O52" s="14" t="str">
        <f ca="1">VLOOKUP($L52,OFFSET([4]characters!$A$1,0,0,COUNTA([4]characters!$A:$A),MATCH(O$1,[4]characters!$1:$1,0)-MATCH($L$1,[4]characters!$1:$1,0)+1),MATCH(O$1,[4]characters!$1:$1,0)-MATCH($L$1,[4]characters!$1:$1,0)+1,FALSE)</f>
        <v>Drop1S</v>
      </c>
      <c r="P52" s="14" t="str">
        <f ca="1">VLOOKUP($L52,OFFSET([3]enemies!$A$1,0,0,COUNTA([3]enemies!$A:$A),MATCH(P$1,[3]enemies!$1:$1,0)-MATCH($L$1,[3]enemies!$1:$1,0)+1),MATCH(P$1,[3]enemies!$1:$1,0)-MATCH($L$1,[3]enemies!$1:$1,0)+1,FALSE)</f>
        <v>animal</v>
      </c>
      <c r="Q52" s="14">
        <f ca="1">VLOOKUP($L52,OFFSET([3]enemies!$A$1,0,0,COUNTA([3]enemies!$A:$A),MATCH(Q$1,[3]enemies!$1:$1,0)-MATCH($L$1,[3]enemies!$1:$1,0)+1),MATCH(Q$1,[3]enemies!$1:$1,0)-MATCH($L$1,[3]enemies!$1:$1,0)+1,FALSE)</f>
        <v>15</v>
      </c>
      <c r="R52" s="4">
        <v>60</v>
      </c>
      <c r="S52" s="106">
        <v>1.4</v>
      </c>
      <c r="T52" s="19">
        <v>1</v>
      </c>
      <c r="U52" s="4">
        <v>0</v>
      </c>
      <c r="V52" s="98" t="e">
        <f ca="1">VLOOKUP($W52,OFFSET(enemy_skill_sets!$B$1,0,0,COUNTA(enemy_skill_sets!$B:$B),MATCH(M$1,enemy_skill_sets!$1:$1,0)-MATCH($W$1,enemy_skill_sets!$1:$1,0)+2),MATCH(M$1,enemy_skill_sets!$1:$1,0)-MATCH($W$1,enemy_skill_sets!$1:$1,0)+2,FALSE)</f>
        <v>#N/A</v>
      </c>
      <c r="W52" s="3">
        <f ca="1">VLOOKUP($L52,OFFSET([3]enemies!$A$1,0,0,COUNTA([3]enemies!$A:$A),MATCH(W$1,[3]enemies!$1:$1,0)-MATCH($L$1,[3]enemies!$1:$1,0)+1),MATCH(W$1,[3]enemies!$1:$1,0)-MATCH($L$1,[3]enemies!$1:$1,0)+1,FALSE)</f>
        <v>33</v>
      </c>
      <c r="X52" s="5">
        <v>0</v>
      </c>
      <c r="Y52" s="5">
        <v>100</v>
      </c>
      <c r="Z52" s="5">
        <v>0</v>
      </c>
      <c r="AA52" s="14">
        <f ca="1">VLOOKUP($L52,OFFSET([3]enemies!$A$1,0,0,COUNTA([3]enemies!$A:$A),MATCH(AA$1,[3]enemies!$1:$1,0)-MATCH($L$1,[3]enemies!$1:$1,0)+1),MATCH(AA$1,[3]enemies!$1:$1,0)-MATCH($L$1,[3]enemies!$1:$1,0)+1,FALSE)</f>
        <v>2</v>
      </c>
      <c r="AB52" s="170">
        <f t="shared" si="88"/>
        <v>33</v>
      </c>
      <c r="AC52" s="3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52" s="3">
        <f ca="1">VLOOKUP($AB52,OFFSET([4]characters!$A$1,0,0,COUNTA([4]characters!$A:$A),MATCH(AD$1,[4]characters!$1:$1,0)-MATCH("character_id",[4]characters!$1:$1,0)+1),MATCH(AD$1,[4]characters!$1:$1,0)-MATCH("character_id",[4]characters!$1:$1,0)+1,FALSE)</f>
        <v>2</v>
      </c>
      <c r="AE52" s="3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Drop1S</v>
      </c>
      <c r="AF52" s="88">
        <v>1</v>
      </c>
      <c r="AG52" s="170">
        <f t="shared" ca="1" si="89"/>
        <v>2</v>
      </c>
      <c r="AH52" s="7">
        <v>20</v>
      </c>
      <c r="AI52" s="88">
        <v>0</v>
      </c>
      <c r="AJ52" s="88">
        <v>0</v>
      </c>
      <c r="AK52" s="88">
        <v>0</v>
      </c>
      <c r="AL52" s="88">
        <v>0</v>
      </c>
      <c r="AM52" s="88">
        <v>1</v>
      </c>
      <c r="AN52" s="193">
        <v>1</v>
      </c>
    </row>
    <row r="53" spans="1:40" ht="21" customHeight="1" x14ac:dyDescent="0.15">
      <c r="A53" s="13" t="str">
        <f t="shared" ca="1" si="85"/>
        <v>15030_3-1/37&lt;lv60&gt;s3</v>
      </c>
      <c r="B53" s="90">
        <v>15030</v>
      </c>
      <c r="C53" s="93">
        <v>3</v>
      </c>
      <c r="D53" s="1" t="str">
        <f t="shared" si="86"/>
        <v>15030_3</v>
      </c>
      <c r="E53" s="3" t="str">
        <f ca="1">VLOOKUP($B53,OFFSET([2]quests!$A$1,0,0,COUNTA([2]quests!$A:$A),MATCH(E$1,[2]quests!$1:$1,0)-MATCH($B$1,[2]quests!$1:$1,0)+1),MATCH(E$1,[2]quests!$1:$1,0)-MATCH($B$1,[2]quests!$1:$1,0)+1,FALSE)</f>
        <v>30. 月夜のオールドシティ</v>
      </c>
      <c r="F53" s="14" t="str">
        <f ca="1">VLOOKUP($D53,OFFSET([2]stages!$A$1,0,0,COUNTA([2]stages!$A:$A),MATCH(F$1,[2]stages!$2:$2,0)-MATCH($D$1,[2]stages!$2:$2,0)+1),MATCH(F$1,[2]stages!$2:$2,0)-MATCH($D$1,[2]stages!$2:$2,0)+1,FALSE)</f>
        <v>30-3. 月影の襲撃者</v>
      </c>
      <c r="G53" s="192">
        <v>1</v>
      </c>
      <c r="H53" s="12" t="str">
        <f t="shared" si="87"/>
        <v>15030_3-1</v>
      </c>
      <c r="I53" s="3">
        <f ca="1">VLOOKUP($H53,OFFSET(floors!$A$1,0,0,COUNTA(floors!$A:$A),MATCH(I$1,floors!$1:$1,0)-MATCH($H$1,floors!$1:$1,0)+1),MATCH(I$1,floors!$1:$1,0)-MATCH($H$1,floors!$1:$1,0)+1,FALSE)</f>
        <v>45</v>
      </c>
      <c r="J53" s="3">
        <f ca="1">VLOOKUP($H53,OFFSET(floors!$A$1,0,0,COUNTA(floors!$A:$A),MATCH(J$1,floors!$1:$1,0)-MATCH($H$1,floors!$1:$1,0)+1),MATCH(J$1,floors!$1:$1,0)-MATCH($H$1,floors!$1:$1,0)+1,FALSE)</f>
        <v>60</v>
      </c>
      <c r="K53" s="31" t="s">
        <v>87</v>
      </c>
      <c r="L53" s="95">
        <v>37</v>
      </c>
      <c r="M53" s="14" t="str">
        <f ca="1">VLOOKUP($L53,OFFSET([3]enemies!$A$1,0,0,COUNTA([3]enemies!$A:$A),MATCH(M$1,[3]enemies!$1:$1,0)-MATCH($L$1,[3]enemies!$1:$1,0)+1),MATCH(M$1,[3]enemies!$1:$1,0)-MATCH($L$1,[3]enemies!$1:$1,0)+1,FALSE)</f>
        <v>ガイル</v>
      </c>
      <c r="N53" s="14" t="str">
        <f ca="1">VLOOKUP($L53,OFFSET([3]enemies!$A$1,0,0,COUNTA([3]enemies!$A:$A),MATCH(N$1,[3]enemies!$1:$1,0)-MATCH($L$1,[3]enemies!$1:$1,0)+1),MATCH(N$1,[3]enemies!$1:$1,0)-MATCH($L$1,[3]enemies!$1:$1,0)+1,FALSE)</f>
        <v>blue</v>
      </c>
      <c r="O53" s="14" t="str">
        <f ca="1">VLOOKUP($L53,OFFSET([4]characters!$A$1,0,0,COUNTA([4]characters!$A:$A),MATCH(O$1,[4]characters!$1:$1,0)-MATCH($L$1,[4]characters!$1:$1,0)+1),MATCH(O$1,[4]characters!$1:$1,0)-MATCH($L$1,[4]characters!$1:$1,0)+1,FALSE)</f>
        <v>Drop1S</v>
      </c>
      <c r="P53" s="14" t="str">
        <f ca="1">VLOOKUP($L53,OFFSET([3]enemies!$A$1,0,0,COUNTA([3]enemies!$A:$A),MATCH(P$1,[3]enemies!$1:$1,0)-MATCH($L$1,[3]enemies!$1:$1,0)+1),MATCH(P$1,[3]enemies!$1:$1,0)-MATCH($L$1,[3]enemies!$1:$1,0)+1,FALSE)</f>
        <v>animal</v>
      </c>
      <c r="Q53" s="14">
        <f ca="1">VLOOKUP($L53,OFFSET([3]enemies!$A$1,0,0,COUNTA([3]enemies!$A:$A),MATCH(Q$1,[3]enemies!$1:$1,0)-MATCH($L$1,[3]enemies!$1:$1,0)+1),MATCH(Q$1,[3]enemies!$1:$1,0)-MATCH($L$1,[3]enemies!$1:$1,0)+1,FALSE)</f>
        <v>15</v>
      </c>
      <c r="R53" s="4">
        <v>60</v>
      </c>
      <c r="S53" s="106">
        <v>1.4</v>
      </c>
      <c r="T53" s="19">
        <v>0.9</v>
      </c>
      <c r="U53" s="4">
        <v>0</v>
      </c>
      <c r="V53" s="98" t="e">
        <f ca="1">VLOOKUP($W53,OFFSET(enemy_skill_sets!$B$1,0,0,COUNTA(enemy_skill_sets!$B:$B),MATCH(M$1,enemy_skill_sets!$1:$1,0)-MATCH($W$1,enemy_skill_sets!$1:$1,0)+2),MATCH(M$1,enemy_skill_sets!$1:$1,0)-MATCH($W$1,enemy_skill_sets!$1:$1,0)+2,FALSE)</f>
        <v>#N/A</v>
      </c>
      <c r="W53" s="3">
        <f ca="1">VLOOKUP($L53,OFFSET([3]enemies!$A$1,0,0,COUNTA([3]enemies!$A:$A),MATCH(W$1,[3]enemies!$1:$1,0)-MATCH($L$1,[3]enemies!$1:$1,0)+1),MATCH(W$1,[3]enemies!$1:$1,0)-MATCH($L$1,[3]enemies!$1:$1,0)+1,FALSE)</f>
        <v>37</v>
      </c>
      <c r="X53" s="5">
        <v>0</v>
      </c>
      <c r="Y53" s="5">
        <v>100</v>
      </c>
      <c r="Z53" s="5">
        <v>0</v>
      </c>
      <c r="AA53" s="14">
        <f ca="1">VLOOKUP($L53,OFFSET([3]enemies!$A$1,0,0,COUNTA([3]enemies!$A:$A),MATCH(AA$1,[3]enemies!$1:$1,0)-MATCH($L$1,[3]enemies!$1:$1,0)+1),MATCH(AA$1,[3]enemies!$1:$1,0)-MATCH($L$1,[3]enemies!$1:$1,0)+1,FALSE)</f>
        <v>3</v>
      </c>
      <c r="AB53" s="170">
        <f t="shared" si="88"/>
        <v>37</v>
      </c>
      <c r="AC53" s="3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ガイル</v>
      </c>
      <c r="AD53" s="3">
        <f ca="1">VLOOKUP($AB53,OFFSET([4]characters!$A$1,0,0,COUNTA([4]characters!$A:$A),MATCH(AD$1,[4]characters!$1:$1,0)-MATCH("character_id",[4]characters!$1:$1,0)+1),MATCH(AD$1,[4]characters!$1:$1,0)-MATCH("character_id",[4]characters!$1:$1,0)+1,FALSE)</f>
        <v>2</v>
      </c>
      <c r="AE53" s="3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Drop1S</v>
      </c>
      <c r="AF53" s="88">
        <v>1</v>
      </c>
      <c r="AG53" s="170">
        <f t="shared" ca="1" si="89"/>
        <v>2</v>
      </c>
      <c r="AH53" s="7">
        <v>20</v>
      </c>
      <c r="AI53" s="88">
        <v>0</v>
      </c>
      <c r="AJ53" s="88">
        <v>0</v>
      </c>
      <c r="AK53" s="88">
        <v>0</v>
      </c>
      <c r="AL53" s="88">
        <v>0</v>
      </c>
      <c r="AM53" s="88">
        <v>1</v>
      </c>
      <c r="AN53" s="193">
        <v>1</v>
      </c>
    </row>
    <row r="54" spans="1:40" ht="21" customHeight="1" x14ac:dyDescent="0.15">
      <c r="A54" s="13" t="str">
        <f t="shared" ca="1" si="85"/>
        <v>15030_3-1/41&lt;lv60&gt;s1</v>
      </c>
      <c r="B54" s="90">
        <v>15030</v>
      </c>
      <c r="C54" s="93">
        <v>3</v>
      </c>
      <c r="D54" s="1" t="str">
        <f t="shared" si="86"/>
        <v>15030_3</v>
      </c>
      <c r="E54" s="3" t="str">
        <f ca="1">VLOOKUP($B54,OFFSET([2]quests!$A$1,0,0,COUNTA([2]quests!$A:$A),MATCH(E$1,[2]quests!$1:$1,0)-MATCH($B$1,[2]quests!$1:$1,0)+1),MATCH(E$1,[2]quests!$1:$1,0)-MATCH($B$1,[2]quests!$1:$1,0)+1,FALSE)</f>
        <v>30. 月夜のオールドシティ</v>
      </c>
      <c r="F54" s="14" t="str">
        <f ca="1">VLOOKUP($D54,OFFSET([2]stages!$A$1,0,0,COUNTA([2]stages!$A:$A),MATCH(F$1,[2]stages!$2:$2,0)-MATCH($D$1,[2]stages!$2:$2,0)+1),MATCH(F$1,[2]stages!$2:$2,0)-MATCH($D$1,[2]stages!$2:$2,0)+1,FALSE)</f>
        <v>30-3. 月影の襲撃者</v>
      </c>
      <c r="G54" s="192">
        <v>1</v>
      </c>
      <c r="H54" s="12" t="str">
        <f t="shared" si="87"/>
        <v>15030_3-1</v>
      </c>
      <c r="I54" s="3">
        <f ca="1">VLOOKUP($H54,OFFSET(floors!$A$1,0,0,COUNTA(floors!$A:$A),MATCH(I$1,floors!$1:$1,0)-MATCH($H$1,floors!$1:$1,0)+1),MATCH(I$1,floors!$1:$1,0)-MATCH($H$1,floors!$1:$1,0)+1,FALSE)</f>
        <v>45</v>
      </c>
      <c r="J54" s="3">
        <f ca="1">VLOOKUP($H54,OFFSET(floors!$A$1,0,0,COUNTA(floors!$A:$A),MATCH(J$1,floors!$1:$1,0)-MATCH($H$1,floors!$1:$1,0)+1),MATCH(J$1,floors!$1:$1,0)-MATCH($H$1,floors!$1:$1,0)+1,FALSE)</f>
        <v>60</v>
      </c>
      <c r="K54" s="31" t="s">
        <v>87</v>
      </c>
      <c r="L54" s="95">
        <v>41</v>
      </c>
      <c r="M54" s="14" t="str">
        <f ca="1">VLOOKUP($L54,OFFSET([3]enemies!$A$1,0,0,COUNTA([3]enemies!$A:$A),MATCH(M$1,[3]enemies!$1:$1,0)-MATCH($L$1,[3]enemies!$1:$1,0)+1),MATCH(M$1,[3]enemies!$1:$1,0)-MATCH($L$1,[3]enemies!$1:$1,0)+1,FALSE)</f>
        <v>ヒュウガ</v>
      </c>
      <c r="N54" s="14" t="str">
        <f ca="1">VLOOKUP($L54,OFFSET([3]enemies!$A$1,0,0,COUNTA([3]enemies!$A:$A),MATCH(N$1,[3]enemies!$1:$1,0)-MATCH($L$1,[3]enemies!$1:$1,0)+1),MATCH(N$1,[3]enemies!$1:$1,0)-MATCH($L$1,[3]enemies!$1:$1,0)+1,FALSE)</f>
        <v>red</v>
      </c>
      <c r="O54" s="14" t="str">
        <f ca="1">VLOOKUP($L54,OFFSET([4]characters!$A$1,0,0,COUNTA([4]characters!$A:$A),MATCH(O$1,[4]characters!$1:$1,0)-MATCH($L$1,[4]characters!$1:$1,0)+1),MATCH(O$1,[4]characters!$1:$1,0)-MATCH($L$1,[4]characters!$1:$1,0)+1,FALSE)</f>
        <v>Drop1N</v>
      </c>
      <c r="P54" s="14" t="str">
        <f ca="1">VLOOKUP($L54,OFFSET([3]enemies!$A$1,0,0,COUNTA([3]enemies!$A:$A),MATCH(P$1,[3]enemies!$1:$1,0)-MATCH($L$1,[3]enemies!$1:$1,0)+1),MATCH(P$1,[3]enemies!$1:$1,0)-MATCH($L$1,[3]enemies!$1:$1,0)+1,FALSE)</f>
        <v>dragon</v>
      </c>
      <c r="Q54" s="14">
        <f ca="1">VLOOKUP($L54,OFFSET([3]enemies!$A$1,0,0,COUNTA([3]enemies!$A:$A),MATCH(Q$1,[3]enemies!$1:$1,0)-MATCH($L$1,[3]enemies!$1:$1,0)+1),MATCH(Q$1,[3]enemies!$1:$1,0)-MATCH($L$1,[3]enemies!$1:$1,0)+1,FALSE)</f>
        <v>15</v>
      </c>
      <c r="R54" s="4">
        <v>60</v>
      </c>
      <c r="S54" s="106">
        <v>1.4</v>
      </c>
      <c r="T54" s="19">
        <v>1</v>
      </c>
      <c r="U54" s="4">
        <v>0</v>
      </c>
      <c r="V54" s="98" t="e">
        <f ca="1">VLOOKUP($W54,OFFSET(enemy_skill_sets!$B$1,0,0,COUNTA(enemy_skill_sets!$B:$B),MATCH(M$1,enemy_skill_sets!$1:$1,0)-MATCH($W$1,enemy_skill_sets!$1:$1,0)+2),MATCH(M$1,enemy_skill_sets!$1:$1,0)-MATCH($W$1,enemy_skill_sets!$1:$1,0)+2,FALSE)</f>
        <v>#N/A</v>
      </c>
      <c r="W54" s="3">
        <f ca="1">VLOOKUP($L54,OFFSET([3]enemies!$A$1,0,0,COUNTA([3]enemies!$A:$A),MATCH(W$1,[3]enemies!$1:$1,0)-MATCH($L$1,[3]enemies!$1:$1,0)+1),MATCH(W$1,[3]enemies!$1:$1,0)-MATCH($L$1,[3]enemies!$1:$1,0)+1,FALSE)</f>
        <v>0</v>
      </c>
      <c r="X54" s="5">
        <v>0</v>
      </c>
      <c r="Y54" s="5">
        <v>100</v>
      </c>
      <c r="Z54" s="5">
        <v>0</v>
      </c>
      <c r="AA54" s="14">
        <f ca="1">VLOOKUP($L54,OFFSET([3]enemies!$A$1,0,0,COUNTA([3]enemies!$A:$A),MATCH(AA$1,[3]enemies!$1:$1,0)-MATCH($L$1,[3]enemies!$1:$1,0)+1),MATCH(AA$1,[3]enemies!$1:$1,0)-MATCH($L$1,[3]enemies!$1:$1,0)+1,FALSE)</f>
        <v>1</v>
      </c>
      <c r="AB54" s="170">
        <f t="shared" si="88"/>
        <v>41</v>
      </c>
      <c r="AC54" s="3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54" s="3">
        <f ca="1">VLOOKUP($AB54,OFFSET([4]characters!$A$1,0,0,COUNTA([4]characters!$A:$A),MATCH(AD$1,[4]characters!$1:$1,0)-MATCH("character_id",[4]characters!$1:$1,0)+1),MATCH(AD$1,[4]characters!$1:$1,0)-MATCH("character_id",[4]characters!$1:$1,0)+1,FALSE)</f>
        <v>2</v>
      </c>
      <c r="AE54" s="3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Drop1N</v>
      </c>
      <c r="AF54" s="88">
        <v>1</v>
      </c>
      <c r="AG54" s="170">
        <f t="shared" ca="1" si="89"/>
        <v>2</v>
      </c>
      <c r="AH54" s="7">
        <v>20</v>
      </c>
      <c r="AI54" s="88">
        <v>0</v>
      </c>
      <c r="AJ54" s="88">
        <v>0</v>
      </c>
      <c r="AK54" s="88">
        <v>0</v>
      </c>
      <c r="AL54" s="88">
        <v>0</v>
      </c>
      <c r="AM54" s="88">
        <v>1</v>
      </c>
      <c r="AN54" s="193">
        <v>1</v>
      </c>
    </row>
    <row r="55" spans="1:40" ht="21" customHeight="1" thickBot="1" x14ac:dyDescent="0.2">
      <c r="A55" s="13" t="str">
        <f t="shared" ca="1" si="85"/>
        <v>15030_3-1/45&lt;lv60&gt;s3</v>
      </c>
      <c r="B55" s="90">
        <v>15030</v>
      </c>
      <c r="C55" s="93">
        <v>3</v>
      </c>
      <c r="D55" s="1" t="str">
        <f t="shared" si="86"/>
        <v>15030_3</v>
      </c>
      <c r="E55" s="3" t="str">
        <f ca="1">VLOOKUP($B55,OFFSET([2]quests!$A$1,0,0,COUNTA([2]quests!$A:$A),MATCH(E$1,[2]quests!$1:$1,0)-MATCH($B$1,[2]quests!$1:$1,0)+1),MATCH(E$1,[2]quests!$1:$1,0)-MATCH($B$1,[2]quests!$1:$1,0)+1,FALSE)</f>
        <v>30. 月夜のオールドシティ</v>
      </c>
      <c r="F55" s="14" t="str">
        <f ca="1">VLOOKUP($D55,OFFSET([2]stages!$A$1,0,0,COUNTA([2]stages!$A:$A),MATCH(F$1,[2]stages!$2:$2,0)-MATCH($D$1,[2]stages!$2:$2,0)+1),MATCH(F$1,[2]stages!$2:$2,0)-MATCH($D$1,[2]stages!$2:$2,0)+1,FALSE)</f>
        <v>30-3. 月影の襲撃者</v>
      </c>
      <c r="G55" s="224">
        <v>1</v>
      </c>
      <c r="H55" s="115" t="str">
        <f t="shared" si="87"/>
        <v>15030_3-1</v>
      </c>
      <c r="I55" s="116">
        <f ca="1">VLOOKUP($H55,OFFSET(floors!$A$1,0,0,COUNTA(floors!$A:$A),MATCH(I$1,floors!$1:$1,0)-MATCH($H$1,floors!$1:$1,0)+1),MATCH(I$1,floors!$1:$1,0)-MATCH($H$1,floors!$1:$1,0)+1,FALSE)</f>
        <v>45</v>
      </c>
      <c r="J55" s="116">
        <f ca="1">VLOOKUP($H55,OFFSET(floors!$A$1,0,0,COUNTA(floors!$A:$A),MATCH(J$1,floors!$1:$1,0)-MATCH($H$1,floors!$1:$1,0)+1),MATCH(J$1,floors!$1:$1,0)-MATCH($H$1,floors!$1:$1,0)+1,FALSE)</f>
        <v>60</v>
      </c>
      <c r="K55" s="118" t="s">
        <v>87</v>
      </c>
      <c r="L55" s="119">
        <v>45</v>
      </c>
      <c r="M55" s="120" t="str">
        <f ca="1">VLOOKUP($L55,OFFSET([3]enemies!$A$1,0,0,COUNTA([3]enemies!$A:$A),MATCH(M$1,[3]enemies!$1:$1,0)-MATCH($L$1,[3]enemies!$1:$1,0)+1),MATCH(M$1,[3]enemies!$1:$1,0)-MATCH($L$1,[3]enemies!$1:$1,0)+1,FALSE)</f>
        <v>ショウイン</v>
      </c>
      <c r="N55" s="120" t="str">
        <f ca="1">VLOOKUP($L55,OFFSET([3]enemies!$A$1,0,0,COUNTA([3]enemies!$A:$A),MATCH(N$1,[3]enemies!$1:$1,0)-MATCH($L$1,[3]enemies!$1:$1,0)+1),MATCH(N$1,[3]enemies!$1:$1,0)-MATCH($L$1,[3]enemies!$1:$1,0)+1,FALSE)</f>
        <v>blue</v>
      </c>
      <c r="O55" s="120" t="str">
        <f ca="1">VLOOKUP($L55,OFFSET([4]characters!$A$1,0,0,COUNTA([4]characters!$A:$A),MATCH(O$1,[4]characters!$1:$1,0)-MATCH($L$1,[4]characters!$1:$1,0)+1),MATCH(O$1,[4]characters!$1:$1,0)-MATCH($L$1,[4]characters!$1:$1,0)+1,FALSE)</f>
        <v>Drop1N</v>
      </c>
      <c r="P55" s="120" t="str">
        <f ca="1">VLOOKUP($L55,OFFSET([3]enemies!$A$1,0,0,COUNTA([3]enemies!$A:$A),MATCH(P$1,[3]enemies!$1:$1,0)-MATCH($L$1,[3]enemies!$1:$1,0)+1),MATCH(P$1,[3]enemies!$1:$1,0)-MATCH($L$1,[3]enemies!$1:$1,0)+1,FALSE)</f>
        <v>animal</v>
      </c>
      <c r="Q55" s="120">
        <f ca="1">VLOOKUP($L55,OFFSET([3]enemies!$A$1,0,0,COUNTA([3]enemies!$A:$A),MATCH(Q$1,[3]enemies!$1:$1,0)-MATCH($L$1,[3]enemies!$1:$1,0)+1),MATCH(Q$1,[3]enemies!$1:$1,0)-MATCH($L$1,[3]enemies!$1:$1,0)+1,FALSE)</f>
        <v>15</v>
      </c>
      <c r="R55" s="121">
        <v>60</v>
      </c>
      <c r="S55" s="206">
        <v>1.4</v>
      </c>
      <c r="T55" s="122">
        <v>1</v>
      </c>
      <c r="U55" s="121">
        <v>0</v>
      </c>
      <c r="V55" s="196" t="e">
        <f ca="1">VLOOKUP($W55,OFFSET(enemy_skill_sets!$B$1,0,0,COUNTA(enemy_skill_sets!$B:$B),MATCH(M$1,enemy_skill_sets!$1:$1,0)-MATCH($W$1,enemy_skill_sets!$1:$1,0)+2),MATCH(M$1,enemy_skill_sets!$1:$1,0)-MATCH($W$1,enemy_skill_sets!$1:$1,0)+2,FALSE)</f>
        <v>#N/A</v>
      </c>
      <c r="W55" s="116">
        <f ca="1">VLOOKUP($L55,OFFSET([3]enemies!$A$1,0,0,COUNTA([3]enemies!$A:$A),MATCH(W$1,[3]enemies!$1:$1,0)-MATCH($L$1,[3]enemies!$1:$1,0)+1),MATCH(W$1,[3]enemies!$1:$1,0)-MATCH($L$1,[3]enemies!$1:$1,0)+1,FALSE)</f>
        <v>0</v>
      </c>
      <c r="X55" s="124">
        <v>0</v>
      </c>
      <c r="Y55" s="124">
        <v>100</v>
      </c>
      <c r="Z55" s="124">
        <v>0</v>
      </c>
      <c r="AA55" s="120">
        <f ca="1">VLOOKUP($L55,OFFSET([3]enemies!$A$1,0,0,COUNTA([3]enemies!$A:$A),MATCH(AA$1,[3]enemies!$1:$1,0)-MATCH($L$1,[3]enemies!$1:$1,0)+1),MATCH(AA$1,[3]enemies!$1:$1,0)-MATCH($L$1,[3]enemies!$1:$1,0)+1,FALSE)</f>
        <v>3</v>
      </c>
      <c r="AB55" s="126">
        <f t="shared" si="88"/>
        <v>45</v>
      </c>
      <c r="AC55" s="116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55" s="116">
        <f ca="1">VLOOKUP($AB55,OFFSET([4]characters!$A$1,0,0,COUNTA([4]characters!$A:$A),MATCH(AD$1,[4]characters!$1:$1,0)-MATCH("character_id",[4]characters!$1:$1,0)+1),MATCH(AD$1,[4]characters!$1:$1,0)-MATCH("character_id",[4]characters!$1:$1,0)+1,FALSE)</f>
        <v>2</v>
      </c>
      <c r="AE55" s="116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5" s="127">
        <v>1</v>
      </c>
      <c r="AG55" s="126">
        <f t="shared" ca="1" si="89"/>
        <v>2</v>
      </c>
      <c r="AH55" s="128">
        <v>20</v>
      </c>
      <c r="AI55" s="127">
        <v>0</v>
      </c>
      <c r="AJ55" s="127">
        <v>0</v>
      </c>
      <c r="AK55" s="127">
        <v>0</v>
      </c>
      <c r="AL55" s="127">
        <v>0</v>
      </c>
      <c r="AM55" s="127">
        <v>1</v>
      </c>
      <c r="AN55" s="197">
        <v>1</v>
      </c>
    </row>
    <row r="56" spans="1:40" ht="21" customHeight="1" x14ac:dyDescent="0.15">
      <c r="A56" s="13" t="str">
        <f t="shared" ca="1" si="80"/>
        <v>15030_3-2/371&lt;lv60&gt;s2</v>
      </c>
      <c r="B56" s="90">
        <v>15030</v>
      </c>
      <c r="C56" s="93">
        <v>3</v>
      </c>
      <c r="D56" s="1" t="str">
        <f t="shared" si="81"/>
        <v>15030_3</v>
      </c>
      <c r="E56" s="3" t="str">
        <f ca="1">VLOOKUP($B56,OFFSET([2]quests!$A$1,0,0,COUNTA([2]quests!$A:$A),MATCH(E$1,[2]quests!$1:$1,0)-MATCH($B$1,[2]quests!$1:$1,0)+1),MATCH(E$1,[2]quests!$1:$1,0)-MATCH($B$1,[2]quests!$1:$1,0)+1,FALSE)</f>
        <v>30. 月夜のオールドシティ</v>
      </c>
      <c r="F56" s="14" t="str">
        <f ca="1">VLOOKUP($D56,OFFSET([2]stages!$A$1,0,0,COUNTA([2]stages!$A:$A),MATCH(F$1,[2]stages!$2:$2,0)-MATCH($D$1,[2]stages!$2:$2,0)+1),MATCH(F$1,[2]stages!$2:$2,0)-MATCH($D$1,[2]stages!$2:$2,0)+1,FALSE)</f>
        <v>30-3. 月影の襲撃者</v>
      </c>
      <c r="G56" s="203">
        <v>2</v>
      </c>
      <c r="H56" s="153" t="str">
        <f t="shared" si="82"/>
        <v>15030_3-2</v>
      </c>
      <c r="I56" s="182">
        <f ca="1">VLOOKUP($H56,OFFSET(floors!$A$1,0,0,COUNTA(floors!$A:$A),MATCH(I$1,floors!$1:$1,0)-MATCH($H$1,floors!$1:$1,0)+1),MATCH(I$1,floors!$1:$1,0)-MATCH($H$1,floors!$1:$1,0)+1,FALSE)</f>
        <v>45</v>
      </c>
      <c r="J56" s="182">
        <f ca="1">VLOOKUP($H56,OFFSET(floors!$A$1,0,0,COUNTA(floors!$A:$A),MATCH(J$1,floors!$1:$1,0)-MATCH($H$1,floors!$1:$1,0)+1),MATCH(J$1,floors!$1:$1,0)-MATCH($H$1,floors!$1:$1,0)+1,FALSE)</f>
        <v>60</v>
      </c>
      <c r="K56" s="154" t="s">
        <v>87</v>
      </c>
      <c r="L56" s="183">
        <v>371</v>
      </c>
      <c r="M56" s="184" t="str">
        <f ca="1">VLOOKUP($L56,OFFSET([3]enemies!$A$1,0,0,COUNTA([3]enemies!$A:$A),MATCH(M$1,[3]enemies!$1:$1,0)-MATCH($L$1,[3]enemies!$1:$1,0)+1),MATCH(M$1,[3]enemies!$1:$1,0)-MATCH($L$1,[3]enemies!$1:$1,0)+1,FALSE)</f>
        <v>行灯達磨 タイチ</v>
      </c>
      <c r="N56" s="184" t="str">
        <f ca="1">VLOOKUP($L56,OFFSET([3]enemies!$A$1,0,0,COUNTA([3]enemies!$A:$A),MATCH(N$1,[3]enemies!$1:$1,0)-MATCH($L$1,[3]enemies!$1:$1,0)+1),MATCH(N$1,[3]enemies!$1:$1,0)-MATCH($L$1,[3]enemies!$1:$1,0)+1,FALSE)</f>
        <v>red</v>
      </c>
      <c r="O56" s="184" t="str">
        <f ca="1">VLOOKUP($L56,OFFSET([4]characters!$A$1,0,0,COUNTA([4]characters!$A:$A),MATCH(O$1,[4]characters!$1:$1,0)-MATCH($L$1,[4]characters!$1:$1,0)+1),MATCH(O$1,[4]characters!$1:$1,0)-MATCH($L$1,[4]characters!$1:$1,0)+1,FALSE)</f>
        <v>Drop1S</v>
      </c>
      <c r="P56" s="184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184">
        <f ca="1">VLOOKUP($L56,OFFSET([3]enemies!$A$1,0,0,COUNTA([3]enemies!$A:$A),MATCH(Q$1,[3]enemies!$1:$1,0)-MATCH($L$1,[3]enemies!$1:$1,0)+1),MATCH(Q$1,[3]enemies!$1:$1,0)-MATCH($L$1,[3]enemies!$1:$1,0)+1,FALSE)</f>
        <v>20</v>
      </c>
      <c r="R56" s="185">
        <v>60</v>
      </c>
      <c r="S56" s="186">
        <v>1.4</v>
      </c>
      <c r="T56" s="186">
        <v>1</v>
      </c>
      <c r="U56" s="185">
        <v>0</v>
      </c>
      <c r="V56" s="204" t="str">
        <f ca="1">VLOOKUP($W56,OFFSET(enemy_skill_sets!$B$1,0,0,COUNTA(enemy_skill_sets!$B:$B),MATCH(M$1,enemy_skill_sets!$1:$1,0)-MATCH($W$1,enemy_skill_sets!$1:$1,0)+2),MATCH(M$1,enemy_skill_sets!$1:$1,0)-MATCH($W$1,enemy_skill_sets!$1:$1,0)+2,FALSE)</f>
        <v>青パネルを最大5個赤パネルに変換</v>
      </c>
      <c r="W56" s="204">
        <v>15030009</v>
      </c>
      <c r="X56" s="188">
        <v>1</v>
      </c>
      <c r="Y56" s="188">
        <v>100</v>
      </c>
      <c r="Z56" s="188">
        <v>0</v>
      </c>
      <c r="AA56" s="184">
        <f ca="1">VLOOKUP($L56,OFFSET([3]enemies!$A$1,0,0,COUNTA([3]enemies!$A:$A),MATCH(AA$1,[3]enemies!$1:$1,0)-MATCH($L$1,[3]enemies!$1:$1,0)+1),MATCH(AA$1,[3]enemies!$1:$1,0)-MATCH($L$1,[3]enemies!$1:$1,0)+1,FALSE)</f>
        <v>2</v>
      </c>
      <c r="AB56" s="189">
        <f t="shared" si="83"/>
        <v>371</v>
      </c>
      <c r="AC56" s="182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行灯達磨 タイチ</v>
      </c>
      <c r="AD56" s="182">
        <f ca="1">VLOOKUP($AB56,OFFSET([4]characters!$A$1,0,0,COUNTA([4]characters!$A:$A),MATCH(AD$1,[4]characters!$1:$1,0)-MATCH("character_id",[4]characters!$1:$1,0)+1),MATCH(AD$1,[4]characters!$1:$1,0)-MATCH("character_id",[4]characters!$1:$1,0)+1,FALSE)</f>
        <v>3</v>
      </c>
      <c r="AE56" s="182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Drop1S</v>
      </c>
      <c r="AF56" s="149">
        <v>1</v>
      </c>
      <c r="AG56" s="189">
        <f t="shared" ca="1" si="84"/>
        <v>3</v>
      </c>
      <c r="AH56" s="190">
        <v>0</v>
      </c>
      <c r="AI56" s="149">
        <v>0</v>
      </c>
      <c r="AJ56" s="149">
        <v>0</v>
      </c>
      <c r="AK56" s="149">
        <v>0</v>
      </c>
      <c r="AL56" s="149">
        <v>0</v>
      </c>
      <c r="AM56" s="149">
        <v>1</v>
      </c>
      <c r="AN56" s="191">
        <v>1</v>
      </c>
    </row>
    <row r="57" spans="1:40" ht="21" customHeight="1" x14ac:dyDescent="0.15">
      <c r="A57" s="13" t="str">
        <f t="shared" ca="1" si="55"/>
        <v>15030_3-2/375&lt;lv60&gt;s1</v>
      </c>
      <c r="B57" s="90">
        <v>15030</v>
      </c>
      <c r="C57" s="93">
        <v>3</v>
      </c>
      <c r="D57" s="1" t="str">
        <f t="shared" si="56"/>
        <v>15030_3</v>
      </c>
      <c r="E57" s="3" t="str">
        <f ca="1">VLOOKUP($B57,OFFSET([2]quests!$A$1,0,0,COUNTA([2]quests!$A:$A),MATCH(E$1,[2]quests!$1:$1,0)-MATCH($B$1,[2]quests!$1:$1,0)+1),MATCH(E$1,[2]quests!$1:$1,0)-MATCH($B$1,[2]quests!$1:$1,0)+1,FALSE)</f>
        <v>30. 月夜のオールドシティ</v>
      </c>
      <c r="F57" s="14" t="str">
        <f ca="1">VLOOKUP($D57,OFFSET([2]stages!$A$1,0,0,COUNTA([2]stages!$A:$A),MATCH(F$1,[2]stages!$2:$2,0)-MATCH($D$1,[2]stages!$2:$2,0)+1),MATCH(F$1,[2]stages!$2:$2,0)-MATCH($D$1,[2]stages!$2:$2,0)+1,FALSE)</f>
        <v>30-3. 月影の襲撃者</v>
      </c>
      <c r="G57" s="194">
        <v>2</v>
      </c>
      <c r="H57" s="12" t="str">
        <f t="shared" si="57"/>
        <v>15030_3-2</v>
      </c>
      <c r="I57" s="3">
        <f ca="1">VLOOKUP($H57,OFFSET(floors!$A$1,0,0,COUNTA(floors!$A:$A),MATCH(I$1,floors!$1:$1,0)-MATCH($H$1,floors!$1:$1,0)+1),MATCH(I$1,floors!$1:$1,0)-MATCH($H$1,floors!$1:$1,0)+1,FALSE)</f>
        <v>45</v>
      </c>
      <c r="J57" s="3">
        <f ca="1">VLOOKUP($H57,OFFSET(floors!$A$1,0,0,COUNTA(floors!$A:$A),MATCH(J$1,floors!$1:$1,0)-MATCH($H$1,floors!$1:$1,0)+1),MATCH(J$1,floors!$1:$1,0)-MATCH($H$1,floors!$1:$1,0)+1,FALSE)</f>
        <v>60</v>
      </c>
      <c r="K57" s="31" t="s">
        <v>210</v>
      </c>
      <c r="L57" s="95">
        <v>375</v>
      </c>
      <c r="M57" s="14" t="str">
        <f ca="1">VLOOKUP($L57,OFFSET([3]enemies!$A$1,0,0,COUNTA([3]enemies!$A:$A),MATCH(M$1,[3]enemies!$1:$1,0)-MATCH($L$1,[3]enemies!$1:$1,0)+1),MATCH(M$1,[3]enemies!$1:$1,0)-MATCH($L$1,[3]enemies!$1:$1,0)+1,FALSE)</f>
        <v>蒼術兎忍 影丸</v>
      </c>
      <c r="N57" s="14" t="str">
        <f ca="1">VLOOKUP($L57,OFFSET([3]enemies!$A$1,0,0,COUNTA([3]enemies!$A:$A),MATCH(N$1,[3]enemies!$1:$1,0)-MATCH($L$1,[3]enemies!$1:$1,0)+1),MATCH(N$1,[3]enemies!$1:$1,0)-MATCH($L$1,[3]enemies!$1:$1,0)+1,FALSE)</f>
        <v>blue</v>
      </c>
      <c r="O57" s="14" t="str">
        <f ca="1">VLOOKUP($L57,OFFSET([4]characters!$A$1,0,0,COUNTA([4]characters!$A:$A),MATCH(O$1,[4]characters!$1:$1,0)-MATCH($L$1,[4]characters!$1:$1,0)+1),MATCH(O$1,[4]characters!$1:$1,0)-MATCH($L$1,[4]characters!$1:$1,0)+1,FALSE)</f>
        <v>Drop1S</v>
      </c>
      <c r="P57" s="14" t="str">
        <f ca="1">VLOOKUP($L57,OFFSET([3]enemies!$A$1,0,0,COUNTA([3]enemies!$A:$A),MATCH(P$1,[3]enemies!$1:$1,0)-MATCH($L$1,[3]enemies!$1:$1,0)+1),MATCH(P$1,[3]enemies!$1:$1,0)-MATCH($L$1,[3]enemies!$1:$1,0)+1,FALSE)</f>
        <v>animal</v>
      </c>
      <c r="Q57" s="14">
        <f ca="1">VLOOKUP($L57,OFFSET([3]enemies!$A$1,0,0,COUNTA([3]enemies!$A:$A),MATCH(Q$1,[3]enemies!$1:$1,0)-MATCH($L$1,[3]enemies!$1:$1,0)+1),MATCH(Q$1,[3]enemies!$1:$1,0)-MATCH($L$1,[3]enemies!$1:$1,0)+1,FALSE)</f>
        <v>20</v>
      </c>
      <c r="R57" s="4">
        <v>60</v>
      </c>
      <c r="S57" s="106">
        <v>1.4</v>
      </c>
      <c r="T57" s="19">
        <v>1</v>
      </c>
      <c r="U57" s="4">
        <v>0</v>
      </c>
      <c r="V57" s="100" t="str">
        <f ca="1">VLOOKUP($W57,OFFSET(enemy_skill_sets!$B$1,0,0,COUNTA(enemy_skill_sets!$B:$B),MATCH(M$1,enemy_skill_sets!$1:$1,0)-MATCH($W$1,enemy_skill_sets!$1:$1,0)+2),MATCH(M$1,enemy_skill_sets!$1:$1,0)-MATCH($W$1,enemy_skill_sets!$1:$1,0)+2,FALSE)</f>
        <v>それぞれ一定確率で3ターンの間_x000D_ウィルス、睡眠、スキルバインド</v>
      </c>
      <c r="W57" s="100">
        <v>15030010</v>
      </c>
      <c r="X57" s="5">
        <v>1</v>
      </c>
      <c r="Y57" s="5">
        <v>100</v>
      </c>
      <c r="Z57" s="5">
        <v>0</v>
      </c>
      <c r="AA57" s="14">
        <f ca="1">VLOOKUP($L57,OFFSET([3]enemies!$A$1,0,0,COUNTA([3]enemies!$A:$A),MATCH(AA$1,[3]enemies!$1:$1,0)-MATCH($L$1,[3]enemies!$1:$1,0)+1),MATCH(AA$1,[3]enemies!$1:$1,0)-MATCH($L$1,[3]enemies!$1:$1,0)+1,FALSE)</f>
        <v>1</v>
      </c>
      <c r="AB57" s="170">
        <f t="shared" si="58"/>
        <v>375</v>
      </c>
      <c r="AC57" s="3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蒼術兎忍 影丸</v>
      </c>
      <c r="AD57" s="3">
        <f ca="1">VLOOKUP($AB57,OFFSET([4]characters!$A$1,0,0,COUNTA([4]characters!$A:$A),MATCH(AD$1,[4]characters!$1:$1,0)-MATCH("character_id",[4]characters!$1:$1,0)+1),MATCH(AD$1,[4]characters!$1:$1,0)-MATCH("character_id",[4]characters!$1:$1,0)+1,FALSE)</f>
        <v>3</v>
      </c>
      <c r="AE57" s="3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Drop1S</v>
      </c>
      <c r="AF57" s="88">
        <v>1</v>
      </c>
      <c r="AG57" s="170">
        <f t="shared" ca="1" si="59"/>
        <v>3</v>
      </c>
      <c r="AH57" s="7">
        <v>0</v>
      </c>
      <c r="AI57" s="88">
        <v>0</v>
      </c>
      <c r="AJ57" s="88">
        <v>0</v>
      </c>
      <c r="AK57" s="88">
        <v>0</v>
      </c>
      <c r="AL57" s="88">
        <v>0</v>
      </c>
      <c r="AM57" s="88">
        <v>1</v>
      </c>
      <c r="AN57" s="193">
        <v>1</v>
      </c>
    </row>
    <row r="58" spans="1:40" ht="21" customHeight="1" x14ac:dyDescent="0.15">
      <c r="A58" s="13" t="str">
        <f t="shared" ref="A58:A59" ca="1" si="90">B58&amp;"_"&amp;C58&amp;"-"&amp;G58&amp;"/"&amp;L58&amp;"&lt;lv"&amp;R58&amp;"&gt;s"&amp;AA58</f>
        <v>15030_3-2/348&lt;lv60&gt;s3</v>
      </c>
      <c r="B58" s="90">
        <v>15030</v>
      </c>
      <c r="C58" s="93">
        <v>3</v>
      </c>
      <c r="D58" s="1" t="str">
        <f t="shared" ref="D58:D59" si="91">B58&amp;"_"&amp;C58</f>
        <v>15030_3</v>
      </c>
      <c r="E58" s="3" t="str">
        <f ca="1">VLOOKUP($B58,OFFSET([2]quests!$A$1,0,0,COUNTA([2]quests!$A:$A),MATCH(E$1,[2]quests!$1:$1,0)-MATCH($B$1,[2]quests!$1:$1,0)+1),MATCH(E$1,[2]quests!$1:$1,0)-MATCH($B$1,[2]quests!$1:$1,0)+1,FALSE)</f>
        <v>30. 月夜のオールドシティ</v>
      </c>
      <c r="F58" s="14" t="str">
        <f ca="1">VLOOKUP($D58,OFFSET([2]stages!$A$1,0,0,COUNTA([2]stages!$A:$A),MATCH(F$1,[2]stages!$2:$2,0)-MATCH($D$1,[2]stages!$2:$2,0)+1),MATCH(F$1,[2]stages!$2:$2,0)-MATCH($D$1,[2]stages!$2:$2,0)+1,FALSE)</f>
        <v>30-3. 月影の襲撃者</v>
      </c>
      <c r="G58" s="194">
        <v>2</v>
      </c>
      <c r="H58" s="12" t="str">
        <f t="shared" ref="H58:H59" si="92">B58&amp;"_"&amp;C58&amp;"-"&amp;G58</f>
        <v>15030_3-2</v>
      </c>
      <c r="I58" s="3">
        <f ca="1">VLOOKUP($H58,OFFSET(floors!$A$1,0,0,COUNTA(floors!$A:$A),MATCH(I$1,floors!$1:$1,0)-MATCH($H$1,floors!$1:$1,0)+1),MATCH(I$1,floors!$1:$1,0)-MATCH($H$1,floors!$1:$1,0)+1,FALSE)</f>
        <v>45</v>
      </c>
      <c r="J58" s="3">
        <f ca="1">VLOOKUP($H58,OFFSET(floors!$A$1,0,0,COUNTA(floors!$A:$A),MATCH(J$1,floors!$1:$1,0)-MATCH($H$1,floors!$1:$1,0)+1),MATCH(J$1,floors!$1:$1,0)-MATCH($H$1,floors!$1:$1,0)+1,FALSE)</f>
        <v>60</v>
      </c>
      <c r="K58" s="31" t="s">
        <v>210</v>
      </c>
      <c r="L58" s="171">
        <v>348</v>
      </c>
      <c r="M58" s="14" t="str">
        <f ca="1">VLOOKUP($L58,OFFSET([3]enemies!$A$1,0,0,COUNTA([3]enemies!$A:$A),MATCH(M$1,[3]enemies!$1:$1,0)-MATCH($L$1,[3]enemies!$1:$1,0)+1),MATCH(M$1,[3]enemies!$1:$1,0)-MATCH($L$1,[3]enemies!$1:$1,0)+1,FALSE)</f>
        <v>炎のケロケロ</v>
      </c>
      <c r="N58" s="14" t="str">
        <f ca="1">VLOOKUP($L58,OFFSET([3]enemies!$A$1,0,0,COUNTA([3]enemies!$A:$A),MATCH(N$1,[3]enemies!$1:$1,0)-MATCH($L$1,[3]enemies!$1:$1,0)+1),MATCH(N$1,[3]enemies!$1:$1,0)-MATCH($L$1,[3]enemies!$1:$1,0)+1,FALSE)</f>
        <v>red</v>
      </c>
      <c r="O58" s="14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14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14">
        <f ca="1">VLOOKUP($L58,OFFSET([3]enemies!$A$1,0,0,COUNTA([3]enemies!$A:$A),MATCH(Q$1,[3]enemies!$1:$1,0)-MATCH($L$1,[3]enemies!$1:$1,0)+1),MATCH(Q$1,[3]enemies!$1:$1,0)-MATCH($L$1,[3]enemies!$1:$1,0)+1,FALSE)</f>
        <v>15</v>
      </c>
      <c r="R58" s="4">
        <v>60</v>
      </c>
      <c r="S58" s="106">
        <v>1.4</v>
      </c>
      <c r="T58" s="19">
        <v>1</v>
      </c>
      <c r="U58" s="4">
        <v>0</v>
      </c>
      <c r="V58" s="100" t="e">
        <f ca="1">VLOOKUP($W58,OFFSET(enemy_skill_sets!$B$1,0,0,COUNTA(enemy_skill_sets!$B:$B),MATCH(M$1,enemy_skill_sets!$1:$1,0)-MATCH($W$1,enemy_skill_sets!$1:$1,0)+2),MATCH(M$1,enemy_skill_sets!$1:$1,0)-MATCH($W$1,enemy_skill_sets!$1:$1,0)+2,FALSE)</f>
        <v>#N/A</v>
      </c>
      <c r="W58" s="100">
        <v>0</v>
      </c>
      <c r="X58" s="5">
        <v>0</v>
      </c>
      <c r="Y58" s="5">
        <v>20</v>
      </c>
      <c r="Z58" s="5">
        <v>1</v>
      </c>
      <c r="AA58" s="14">
        <f ca="1">VLOOKUP($L58,OFFSET([3]enemies!$A$1,0,0,COUNTA([3]enemies!$A:$A),MATCH(AA$1,[3]enemies!$1:$1,0)-MATCH($L$1,[3]enemies!$1:$1,0)+1),MATCH(AA$1,[3]enemies!$1:$1,0)-MATCH($L$1,[3]enemies!$1:$1,0)+1,FALSE)</f>
        <v>3</v>
      </c>
      <c r="AB58" s="170">
        <f t="shared" ref="AB58:AB59" si="93">L58</f>
        <v>348</v>
      </c>
      <c r="AC58" s="3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58" s="3">
        <f ca="1">VLOOKUP($AB58,OFFSET([4]characters!$A$1,0,0,COUNTA([4]characters!$A:$A),MATCH(AD$1,[4]characters!$1:$1,0)-MATCH("character_id",[4]characters!$1:$1,0)+1),MATCH(AD$1,[4]characters!$1:$1,0)-MATCH("character_id",[4]characters!$1:$1,0)+1,FALSE)</f>
        <v>2</v>
      </c>
      <c r="AE58" s="3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8" s="88">
        <v>10</v>
      </c>
      <c r="AG58" s="170">
        <f t="shared" ref="AG58:AG59" ca="1" si="94">AD58</f>
        <v>2</v>
      </c>
      <c r="AH58" s="7">
        <v>0</v>
      </c>
      <c r="AI58" s="88">
        <v>0</v>
      </c>
      <c r="AJ58" s="88">
        <v>0</v>
      </c>
      <c r="AK58" s="88">
        <v>0</v>
      </c>
      <c r="AL58" s="88">
        <v>0</v>
      </c>
      <c r="AM58" s="88">
        <v>1</v>
      </c>
      <c r="AN58" s="193">
        <v>1</v>
      </c>
    </row>
    <row r="59" spans="1:40" ht="21" customHeight="1" thickBot="1" x14ac:dyDescent="0.2">
      <c r="A59" s="13" t="str">
        <f t="shared" ca="1" si="90"/>
        <v>15030_3-2/352&lt;lv60&gt;s3</v>
      </c>
      <c r="B59" s="90">
        <v>15030</v>
      </c>
      <c r="C59" s="93">
        <v>3</v>
      </c>
      <c r="D59" s="1" t="str">
        <f t="shared" si="91"/>
        <v>15030_3</v>
      </c>
      <c r="E59" s="3" t="str">
        <f ca="1">VLOOKUP($B59,OFFSET([2]quests!$A$1,0,0,COUNTA([2]quests!$A:$A),MATCH(E$1,[2]quests!$1:$1,0)-MATCH($B$1,[2]quests!$1:$1,0)+1),MATCH(E$1,[2]quests!$1:$1,0)-MATCH($B$1,[2]quests!$1:$1,0)+1,FALSE)</f>
        <v>30. 月夜のオールドシティ</v>
      </c>
      <c r="F59" s="14" t="str">
        <f ca="1">VLOOKUP($D59,OFFSET([2]stages!$A$1,0,0,COUNTA([2]stages!$A:$A),MATCH(F$1,[2]stages!$2:$2,0)-MATCH($D$1,[2]stages!$2:$2,0)+1),MATCH(F$1,[2]stages!$2:$2,0)-MATCH($D$1,[2]stages!$2:$2,0)+1,FALSE)</f>
        <v>30-3. 月影の襲撃者</v>
      </c>
      <c r="G59" s="195">
        <v>2</v>
      </c>
      <c r="H59" s="115" t="str">
        <f t="shared" si="92"/>
        <v>15030_3-2</v>
      </c>
      <c r="I59" s="116">
        <f ca="1">VLOOKUP($H59,OFFSET(floors!$A$1,0,0,COUNTA(floors!$A:$A),MATCH(I$1,floors!$1:$1,0)-MATCH($H$1,floors!$1:$1,0)+1),MATCH(I$1,floors!$1:$1,0)-MATCH($H$1,floors!$1:$1,0)+1,FALSE)</f>
        <v>45</v>
      </c>
      <c r="J59" s="116">
        <f ca="1">VLOOKUP($H59,OFFSET(floors!$A$1,0,0,COUNTA(floors!$A:$A),MATCH(J$1,floors!$1:$1,0)-MATCH($H$1,floors!$1:$1,0)+1),MATCH(J$1,floors!$1:$1,0)-MATCH($H$1,floors!$1:$1,0)+1,FALSE)</f>
        <v>60</v>
      </c>
      <c r="K59" s="118" t="s">
        <v>210</v>
      </c>
      <c r="L59" s="205">
        <v>352</v>
      </c>
      <c r="M59" s="120" t="str">
        <f ca="1">VLOOKUP($L59,OFFSET([3]enemies!$A$1,0,0,COUNTA([3]enemies!$A:$A),MATCH(M$1,[3]enemies!$1:$1,0)-MATCH($L$1,[3]enemies!$1:$1,0)+1),MATCH(M$1,[3]enemies!$1:$1,0)-MATCH($L$1,[3]enemies!$1:$1,0)+1,FALSE)</f>
        <v>水のケロケロ</v>
      </c>
      <c r="N59" s="120" t="str">
        <f ca="1">VLOOKUP($L59,OFFSET([3]enemies!$A$1,0,0,COUNTA([3]enemies!$A:$A),MATCH(N$1,[3]enemies!$1:$1,0)-MATCH($L$1,[3]enemies!$1:$1,0)+1),MATCH(N$1,[3]enemies!$1:$1,0)-MATCH($L$1,[3]enemies!$1:$1,0)+1,FALSE)</f>
        <v>blue</v>
      </c>
      <c r="O59" s="120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120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120">
        <f ca="1">VLOOKUP($L59,OFFSET([3]enemies!$A$1,0,0,COUNTA([3]enemies!$A:$A),MATCH(Q$1,[3]enemies!$1:$1,0)-MATCH($L$1,[3]enemies!$1:$1,0)+1),MATCH(Q$1,[3]enemies!$1:$1,0)-MATCH($L$1,[3]enemies!$1:$1,0)+1,FALSE)</f>
        <v>15</v>
      </c>
      <c r="R59" s="121">
        <v>60</v>
      </c>
      <c r="S59" s="206">
        <v>1.4</v>
      </c>
      <c r="T59" s="122">
        <v>1</v>
      </c>
      <c r="U59" s="121">
        <v>0</v>
      </c>
      <c r="V59" s="207" t="e">
        <f ca="1">VLOOKUP($W59,OFFSET(enemy_skill_sets!$B$1,0,0,COUNTA(enemy_skill_sets!$B:$B),MATCH(M$1,enemy_skill_sets!$1:$1,0)-MATCH($W$1,enemy_skill_sets!$1:$1,0)+2),MATCH(M$1,enemy_skill_sets!$1:$1,0)-MATCH($W$1,enemy_skill_sets!$1:$1,0)+2,FALSE)</f>
        <v>#N/A</v>
      </c>
      <c r="W59" s="207">
        <v>0</v>
      </c>
      <c r="X59" s="124">
        <v>0</v>
      </c>
      <c r="Y59" s="124">
        <v>20</v>
      </c>
      <c r="Z59" s="124">
        <v>1</v>
      </c>
      <c r="AA59" s="120">
        <f ca="1">VLOOKUP($L59,OFFSET([3]enemies!$A$1,0,0,COUNTA([3]enemies!$A:$A),MATCH(AA$1,[3]enemies!$1:$1,0)-MATCH($L$1,[3]enemies!$1:$1,0)+1),MATCH(AA$1,[3]enemies!$1:$1,0)-MATCH($L$1,[3]enemies!$1:$1,0)+1,FALSE)</f>
        <v>3</v>
      </c>
      <c r="AB59" s="126">
        <f t="shared" si="93"/>
        <v>352</v>
      </c>
      <c r="AC59" s="116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59" s="116">
        <f ca="1">VLOOKUP($AB59,OFFSET([4]characters!$A$1,0,0,COUNTA([4]characters!$A:$A),MATCH(AD$1,[4]characters!$1:$1,0)-MATCH("character_id",[4]characters!$1:$1,0)+1),MATCH(AD$1,[4]characters!$1:$1,0)-MATCH("character_id",[4]characters!$1:$1,0)+1,FALSE)</f>
        <v>2</v>
      </c>
      <c r="AE59" s="116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9" s="127">
        <v>10</v>
      </c>
      <c r="AG59" s="126">
        <f t="shared" ca="1" si="94"/>
        <v>2</v>
      </c>
      <c r="AH59" s="128">
        <v>0</v>
      </c>
      <c r="AI59" s="127">
        <v>0</v>
      </c>
      <c r="AJ59" s="127">
        <v>0</v>
      </c>
      <c r="AK59" s="127">
        <v>0</v>
      </c>
      <c r="AL59" s="127">
        <v>0</v>
      </c>
      <c r="AM59" s="127">
        <v>1</v>
      </c>
      <c r="AN59" s="197">
        <v>1</v>
      </c>
    </row>
    <row r="60" spans="1:40" ht="21" customHeight="1" x14ac:dyDescent="0.15">
      <c r="A60" s="13" t="str">
        <f t="shared" ref="A60" ca="1" si="95">B60&amp;"_"&amp;C60&amp;"-"&amp;G60&amp;"/"&amp;L60&amp;"&lt;lv"&amp;R60&amp;"&gt;s"&amp;AA60</f>
        <v>15030_3-3/370&lt;lv60&gt;s2</v>
      </c>
      <c r="B60" s="90">
        <v>15030</v>
      </c>
      <c r="C60" s="93">
        <v>3</v>
      </c>
      <c r="D60" s="1" t="str">
        <f t="shared" ref="D60" si="96">B60&amp;"_"&amp;C60</f>
        <v>15030_3</v>
      </c>
      <c r="E60" s="3" t="str">
        <f ca="1">VLOOKUP($B60,OFFSET([2]quests!$A$1,0,0,COUNTA([2]quests!$A:$A),MATCH(E$1,[2]quests!$1:$1,0)-MATCH($B$1,[2]quests!$1:$1,0)+1),MATCH(E$1,[2]quests!$1:$1,0)-MATCH($B$1,[2]quests!$1:$1,0)+1,FALSE)</f>
        <v>30. 月夜のオールドシティ</v>
      </c>
      <c r="F60" s="14" t="str">
        <f ca="1">VLOOKUP($D60,OFFSET([2]stages!$A$1,0,0,COUNTA([2]stages!$A:$A),MATCH(F$1,[2]stages!$2:$2,0)-MATCH($D$1,[2]stages!$2:$2,0)+1),MATCH(F$1,[2]stages!$2:$2,0)-MATCH($D$1,[2]stages!$2:$2,0)+1,FALSE)</f>
        <v>30-3. 月影の襲撃者</v>
      </c>
      <c r="G60" s="198">
        <v>3</v>
      </c>
      <c r="H60" s="153" t="str">
        <f t="shared" ref="H60" si="97">B60&amp;"_"&amp;C60&amp;"-"&amp;G60</f>
        <v>15030_3-3</v>
      </c>
      <c r="I60" s="182">
        <f ca="1">VLOOKUP($H60,OFFSET(floors!$A$1,0,0,COUNTA(floors!$A:$A),MATCH(I$1,floors!$1:$1,0)-MATCH($H$1,floors!$1:$1,0)+1),MATCH(I$1,floors!$1:$1,0)-MATCH($H$1,floors!$1:$1,0)+1,FALSE)</f>
        <v>45</v>
      </c>
      <c r="J60" s="182">
        <f ca="1">VLOOKUP($H60,OFFSET(floors!$A$1,0,0,COUNTA(floors!$A:$A),MATCH(J$1,floors!$1:$1,0)-MATCH($H$1,floors!$1:$1,0)+1),MATCH(J$1,floors!$1:$1,0)-MATCH($H$1,floors!$1:$1,0)+1,FALSE)</f>
        <v>60</v>
      </c>
      <c r="K60" s="154" t="s">
        <v>87</v>
      </c>
      <c r="L60" s="183">
        <v>370</v>
      </c>
      <c r="M60" s="184" t="str">
        <f ca="1">VLOOKUP($L60,OFFSET([3]enemies!$A$1,0,0,COUNTA([3]enemies!$A:$A),MATCH(M$1,[3]enemies!$1:$1,0)-MATCH($L$1,[3]enemies!$1:$1,0)+1),MATCH(M$1,[3]enemies!$1:$1,0)-MATCH($L$1,[3]enemies!$1:$1,0)+1,FALSE)</f>
        <v>タイチ</v>
      </c>
      <c r="N60" s="184" t="str">
        <f ca="1">VLOOKUP($L60,OFFSET([3]enemies!$A$1,0,0,COUNTA([3]enemies!$A:$A),MATCH(N$1,[3]enemies!$1:$1,0)-MATCH($L$1,[3]enemies!$1:$1,0)+1),MATCH(N$1,[3]enemies!$1:$1,0)-MATCH($L$1,[3]enemies!$1:$1,0)+1,FALSE)</f>
        <v>red</v>
      </c>
      <c r="O60" s="184" t="str">
        <f ca="1">VLOOKUP($L60,OFFSET([4]characters!$A$1,0,0,COUNTA([4]characters!$A:$A),MATCH(O$1,[4]characters!$1:$1,0)-MATCH($L$1,[4]characters!$1:$1,0)+1),MATCH(O$1,[4]characters!$1:$1,0)-MATCH($L$1,[4]characters!$1:$1,0)+1,FALSE)</f>
        <v>Drop1S</v>
      </c>
      <c r="P60" s="184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184">
        <f ca="1">VLOOKUP($L60,OFFSET([3]enemies!$A$1,0,0,COUNTA([3]enemies!$A:$A),MATCH(Q$1,[3]enemies!$1:$1,0)-MATCH($L$1,[3]enemies!$1:$1,0)+1),MATCH(Q$1,[3]enemies!$1:$1,0)-MATCH($L$1,[3]enemies!$1:$1,0)+1,FALSE)</f>
        <v>15</v>
      </c>
      <c r="R60" s="185">
        <v>60</v>
      </c>
      <c r="S60" s="186">
        <v>1.4</v>
      </c>
      <c r="T60" s="186">
        <v>1</v>
      </c>
      <c r="U60" s="185">
        <v>0</v>
      </c>
      <c r="V60" s="223" t="str">
        <f ca="1">VLOOKUP($W60,OFFSET(enemy_skill_sets!$B$1,0,0,COUNTA(enemy_skill_sets!$B:$B),MATCH(M$1,enemy_skill_sets!$1:$1,0)-MATCH($W$1,enemy_skill_sets!$1:$1,0)+2),MATCH(M$1,enemy_skill_sets!$1:$1,0)-MATCH($W$1,enemy_skill_sets!$1:$1,0)+2,FALSE)</f>
        <v>赤パネルを吸収して全体攻撃</v>
      </c>
      <c r="W60" s="223">
        <v>15030001</v>
      </c>
      <c r="X60" s="188">
        <v>0</v>
      </c>
      <c r="Y60" s="188">
        <v>100</v>
      </c>
      <c r="Z60" s="188">
        <v>0</v>
      </c>
      <c r="AA60" s="184">
        <f ca="1">VLOOKUP($L60,OFFSET([3]enemies!$A$1,0,0,COUNTA([3]enemies!$A:$A),MATCH(AA$1,[3]enemies!$1:$1,0)-MATCH($L$1,[3]enemies!$1:$1,0)+1),MATCH(AA$1,[3]enemies!$1:$1,0)-MATCH($L$1,[3]enemies!$1:$1,0)+1,FALSE)</f>
        <v>2</v>
      </c>
      <c r="AB60" s="189">
        <f t="shared" ref="AB60" si="98">L60</f>
        <v>370</v>
      </c>
      <c r="AC60" s="182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60" s="182">
        <f ca="1">VLOOKUP($AB60,OFFSET([4]characters!$A$1,0,0,COUNTA([4]characters!$A:$A),MATCH(AD$1,[4]characters!$1:$1,0)-MATCH("character_id",[4]characters!$1:$1,0)+1),MATCH(AD$1,[4]characters!$1:$1,0)-MATCH("character_id",[4]characters!$1:$1,0)+1,FALSE)</f>
        <v>2</v>
      </c>
      <c r="AE60" s="182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Drop1S</v>
      </c>
      <c r="AF60" s="149">
        <v>1</v>
      </c>
      <c r="AG60" s="189">
        <f t="shared" ref="AG60" ca="1" si="99">AD60</f>
        <v>2</v>
      </c>
      <c r="AH60" s="190">
        <v>20</v>
      </c>
      <c r="AI60" s="149">
        <v>0</v>
      </c>
      <c r="AJ60" s="149">
        <v>0</v>
      </c>
      <c r="AK60" s="149">
        <v>0</v>
      </c>
      <c r="AL60" s="149">
        <v>0</v>
      </c>
      <c r="AM60" s="149">
        <v>1</v>
      </c>
      <c r="AN60" s="191">
        <v>1</v>
      </c>
    </row>
    <row r="61" spans="1:40" ht="21" customHeight="1" x14ac:dyDescent="0.15">
      <c r="A61" s="13" t="str">
        <f t="shared" ca="1" si="55"/>
        <v>15030_3-3/374&lt;lv60&gt;s1</v>
      </c>
      <c r="B61" s="90">
        <v>15030</v>
      </c>
      <c r="C61" s="93">
        <v>3</v>
      </c>
      <c r="D61" s="1" t="str">
        <f t="shared" si="56"/>
        <v>15030_3</v>
      </c>
      <c r="E61" s="3" t="str">
        <f ca="1">VLOOKUP($B61,OFFSET([2]quests!$A$1,0,0,COUNTA([2]quests!$A:$A),MATCH(E$1,[2]quests!$1:$1,0)-MATCH($B$1,[2]quests!$1:$1,0)+1),MATCH(E$1,[2]quests!$1:$1,0)-MATCH($B$1,[2]quests!$1:$1,0)+1,FALSE)</f>
        <v>30. 月夜のオールドシティ</v>
      </c>
      <c r="F61" s="14" t="str">
        <f ca="1">VLOOKUP($D61,OFFSET([2]stages!$A$1,0,0,COUNTA([2]stages!$A:$A),MATCH(F$1,[2]stages!$2:$2,0)-MATCH($D$1,[2]stages!$2:$2,0)+1),MATCH(F$1,[2]stages!$2:$2,0)-MATCH($D$1,[2]stages!$2:$2,0)+1,FALSE)</f>
        <v>30-3. 月影の襲撃者</v>
      </c>
      <c r="G61" s="230">
        <v>3</v>
      </c>
      <c r="H61" s="12" t="str">
        <f t="shared" si="57"/>
        <v>15030_3-3</v>
      </c>
      <c r="I61" s="3">
        <f ca="1">VLOOKUP($H61,OFFSET(floors!$A$1,0,0,COUNTA(floors!$A:$A),MATCH(I$1,floors!$1:$1,0)-MATCH($H$1,floors!$1:$1,0)+1),MATCH(I$1,floors!$1:$1,0)-MATCH($H$1,floors!$1:$1,0)+1,FALSE)</f>
        <v>45</v>
      </c>
      <c r="J61" s="3">
        <f ca="1">VLOOKUP($H61,OFFSET(floors!$A$1,0,0,COUNTA(floors!$A:$A),MATCH(J$1,floors!$1:$1,0)-MATCH($H$1,floors!$1:$1,0)+1),MATCH(J$1,floors!$1:$1,0)-MATCH($H$1,floors!$1:$1,0)+1,FALSE)</f>
        <v>60</v>
      </c>
      <c r="K61" s="31" t="s">
        <v>210</v>
      </c>
      <c r="L61" s="95">
        <v>374</v>
      </c>
      <c r="M61" s="14" t="str">
        <f ca="1">VLOOKUP($L61,OFFSET([3]enemies!$A$1,0,0,COUNTA([3]enemies!$A:$A),MATCH(M$1,[3]enemies!$1:$1,0)-MATCH($L$1,[3]enemies!$1:$1,0)+1),MATCH(M$1,[3]enemies!$1:$1,0)-MATCH($L$1,[3]enemies!$1:$1,0)+1,FALSE)</f>
        <v>影丸</v>
      </c>
      <c r="N61" s="14" t="str">
        <f ca="1">VLOOKUP($L61,OFFSET([3]enemies!$A$1,0,0,COUNTA([3]enemies!$A:$A),MATCH(N$1,[3]enemies!$1:$1,0)-MATCH($L$1,[3]enemies!$1:$1,0)+1),MATCH(N$1,[3]enemies!$1:$1,0)-MATCH($L$1,[3]enemies!$1:$1,0)+1,FALSE)</f>
        <v>blue</v>
      </c>
      <c r="O61" s="14" t="str">
        <f ca="1">VLOOKUP($L61,OFFSET([4]characters!$A$1,0,0,COUNTA([4]characters!$A:$A),MATCH(O$1,[4]characters!$1:$1,0)-MATCH($L$1,[4]characters!$1:$1,0)+1),MATCH(O$1,[4]characters!$1:$1,0)-MATCH($L$1,[4]characters!$1:$1,0)+1,FALSE)</f>
        <v>Drop1S</v>
      </c>
      <c r="P61" s="14" t="str">
        <f ca="1">VLOOKUP($L61,OFFSET([3]enemies!$A$1,0,0,COUNTA([3]enemies!$A:$A),MATCH(P$1,[3]enemies!$1:$1,0)-MATCH($L$1,[3]enemies!$1:$1,0)+1),MATCH(P$1,[3]enemies!$1:$1,0)-MATCH($L$1,[3]enemies!$1:$1,0)+1,FALSE)</f>
        <v>animal</v>
      </c>
      <c r="Q61" s="14">
        <f ca="1">VLOOKUP($L61,OFFSET([3]enemies!$A$1,0,0,COUNTA([3]enemies!$A:$A),MATCH(Q$1,[3]enemies!$1:$1,0)-MATCH($L$1,[3]enemies!$1:$1,0)+1),MATCH(Q$1,[3]enemies!$1:$1,0)-MATCH($L$1,[3]enemies!$1:$1,0)+1,FALSE)</f>
        <v>15</v>
      </c>
      <c r="R61" s="4">
        <v>60</v>
      </c>
      <c r="S61" s="106">
        <v>1.4</v>
      </c>
      <c r="T61" s="19">
        <v>1</v>
      </c>
      <c r="U61" s="4">
        <v>0</v>
      </c>
      <c r="V61" s="97" t="str">
        <f ca="1">VLOOKUP($W61,OFFSET(enemy_skill_sets!$B$1,0,0,COUNTA(enemy_skill_sets!$B:$B),MATCH(M$1,enemy_skill_sets!$1:$1,0)-MATCH($W$1,enemy_skill_sets!$1:$1,0)+2),MATCH(M$1,enemy_skill_sets!$1:$1,0)-MATCH($W$1,enemy_skill_sets!$1:$1,0)+2,FALSE)</f>
        <v>ウィルス状態のユニットに大ダメージの全体攻撃</v>
      </c>
      <c r="W61" s="97">
        <v>15030002</v>
      </c>
      <c r="X61" s="5">
        <v>0</v>
      </c>
      <c r="Y61" s="5">
        <v>100</v>
      </c>
      <c r="Z61" s="5">
        <v>0</v>
      </c>
      <c r="AA61" s="14">
        <f ca="1">VLOOKUP($L61,OFFSET([3]enemies!$A$1,0,0,COUNTA([3]enemies!$A:$A),MATCH(AA$1,[3]enemies!$1:$1,0)-MATCH($L$1,[3]enemies!$1:$1,0)+1),MATCH(AA$1,[3]enemies!$1:$1,0)-MATCH($L$1,[3]enemies!$1:$1,0)+1,FALSE)</f>
        <v>1</v>
      </c>
      <c r="AB61" s="170">
        <f t="shared" si="58"/>
        <v>374</v>
      </c>
      <c r="AC61" s="3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影丸</v>
      </c>
      <c r="AD61" s="3">
        <f ca="1">VLOOKUP($AB61,OFFSET([4]characters!$A$1,0,0,COUNTA([4]characters!$A:$A),MATCH(AD$1,[4]characters!$1:$1,0)-MATCH("character_id",[4]characters!$1:$1,0)+1),MATCH(AD$1,[4]characters!$1:$1,0)-MATCH("character_id",[4]characters!$1:$1,0)+1,FALSE)</f>
        <v>2</v>
      </c>
      <c r="AE61" s="3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Drop1S</v>
      </c>
      <c r="AF61" s="88">
        <v>1</v>
      </c>
      <c r="AG61" s="170">
        <f t="shared" ca="1" si="59"/>
        <v>2</v>
      </c>
      <c r="AH61" s="7">
        <v>20</v>
      </c>
      <c r="AI61" s="88">
        <v>0</v>
      </c>
      <c r="AJ61" s="88">
        <v>0</v>
      </c>
      <c r="AK61" s="88">
        <v>0</v>
      </c>
      <c r="AL61" s="88">
        <v>0</v>
      </c>
      <c r="AM61" s="88">
        <v>1</v>
      </c>
      <c r="AN61" s="193">
        <v>1</v>
      </c>
    </row>
    <row r="62" spans="1:40" ht="21" customHeight="1" x14ac:dyDescent="0.15">
      <c r="A62" s="13" t="str">
        <f t="shared" ca="1" si="55"/>
        <v>15030_3-3/348&lt;lv60&gt;s3</v>
      </c>
      <c r="B62" s="90">
        <v>15030</v>
      </c>
      <c r="C62" s="93">
        <v>3</v>
      </c>
      <c r="D62" s="1" t="str">
        <f t="shared" si="56"/>
        <v>15030_3</v>
      </c>
      <c r="E62" s="3" t="str">
        <f ca="1">VLOOKUP($B62,OFFSET([2]quests!$A$1,0,0,COUNTA([2]quests!$A:$A),MATCH(E$1,[2]quests!$1:$1,0)-MATCH($B$1,[2]quests!$1:$1,0)+1),MATCH(E$1,[2]quests!$1:$1,0)-MATCH($B$1,[2]quests!$1:$1,0)+1,FALSE)</f>
        <v>30. 月夜のオールドシティ</v>
      </c>
      <c r="F62" s="14" t="str">
        <f ca="1">VLOOKUP($D62,OFFSET([2]stages!$A$1,0,0,COUNTA([2]stages!$A:$A),MATCH(F$1,[2]stages!$2:$2,0)-MATCH($D$1,[2]stages!$2:$2,0)+1),MATCH(F$1,[2]stages!$2:$2,0)-MATCH($D$1,[2]stages!$2:$2,0)+1,FALSE)</f>
        <v>30-3. 月影の襲撃者</v>
      </c>
      <c r="G62" s="230">
        <v>3</v>
      </c>
      <c r="H62" s="12" t="str">
        <f t="shared" si="57"/>
        <v>15030_3-3</v>
      </c>
      <c r="I62" s="3">
        <f ca="1">VLOOKUP($H62,OFFSET(floors!$A$1,0,0,COUNTA(floors!$A:$A),MATCH(I$1,floors!$1:$1,0)-MATCH($H$1,floors!$1:$1,0)+1),MATCH(I$1,floors!$1:$1,0)-MATCH($H$1,floors!$1:$1,0)+1,FALSE)</f>
        <v>45</v>
      </c>
      <c r="J62" s="3">
        <f ca="1">VLOOKUP($H62,OFFSET(floors!$A$1,0,0,COUNTA(floors!$A:$A),MATCH(J$1,floors!$1:$1,0)-MATCH($H$1,floors!$1:$1,0)+1),MATCH(J$1,floors!$1:$1,0)-MATCH($H$1,floors!$1:$1,0)+1,FALSE)</f>
        <v>60</v>
      </c>
      <c r="K62" s="31" t="s">
        <v>87</v>
      </c>
      <c r="L62" s="95">
        <v>348</v>
      </c>
      <c r="M62" s="14" t="str">
        <f ca="1">VLOOKUP($L62,OFFSET([3]enemies!$A$1,0,0,COUNTA([3]enemies!$A:$A),MATCH(M$1,[3]enemies!$1:$1,0)-MATCH($L$1,[3]enemies!$1:$1,0)+1),MATCH(M$1,[3]enemies!$1:$1,0)-MATCH($L$1,[3]enemies!$1:$1,0)+1,FALSE)</f>
        <v>炎のケロケロ</v>
      </c>
      <c r="N62" s="14" t="str">
        <f ca="1">VLOOKUP($L62,OFFSET([3]enemies!$A$1,0,0,COUNTA([3]enemies!$A:$A),MATCH(N$1,[3]enemies!$1:$1,0)-MATCH($L$1,[3]enemies!$1:$1,0)+1),MATCH(N$1,[3]enemies!$1:$1,0)-MATCH($L$1,[3]enemies!$1:$1,0)+1,FALSE)</f>
        <v>red</v>
      </c>
      <c r="O62" s="14" t="str">
        <f ca="1">VLOOKUP($L62,OFFSET([4]characters!$A$1,0,0,COUNTA([4]characters!$A:$A),MATCH(O$1,[4]characters!$1:$1,0)-MATCH($L$1,[4]characters!$1:$1,0)+1),MATCH(O$1,[4]characters!$1:$1,0)-MATCH($L$1,[4]characters!$1:$1,0)+1,FALSE)</f>
        <v>Material</v>
      </c>
      <c r="P62" s="14" t="str">
        <f ca="1">VLOOKUP($L62,OFFSET([3]enemies!$A$1,0,0,COUNTA([3]enemies!$A:$A),MATCH(P$1,[3]enemies!$1:$1,0)-MATCH($L$1,[3]enemies!$1:$1,0)+1),MATCH(P$1,[3]enemies!$1:$1,0)-MATCH($L$1,[3]enemies!$1:$1,0)+1,FALSE)</f>
        <v>unknown</v>
      </c>
      <c r="Q62" s="14">
        <f ca="1">VLOOKUP($L62,OFFSET([3]enemies!$A$1,0,0,COUNTA([3]enemies!$A:$A),MATCH(Q$1,[3]enemies!$1:$1,0)-MATCH($L$1,[3]enemies!$1:$1,0)+1),MATCH(Q$1,[3]enemies!$1:$1,0)-MATCH($L$1,[3]enemies!$1:$1,0)+1,FALSE)</f>
        <v>15</v>
      </c>
      <c r="R62" s="4">
        <v>60</v>
      </c>
      <c r="S62" s="106">
        <v>1.5</v>
      </c>
      <c r="T62" s="19">
        <v>1</v>
      </c>
      <c r="U62" s="4">
        <v>0</v>
      </c>
      <c r="V62" s="3" t="e">
        <f ca="1">VLOOKUP($W62,OFFSET(enemy_skill_sets!$B$1,0,0,COUNTA(enemy_skill_sets!$B:$B),MATCH(M$1,enemy_skill_sets!$1:$1,0)-MATCH($W$1,enemy_skill_sets!$1:$1,0)+2),MATCH(M$1,enemy_skill_sets!$1:$1,0)-MATCH($W$1,enemy_skill_sets!$1:$1,0)+2,FALSE)</f>
        <v>#N/A</v>
      </c>
      <c r="W62" s="3">
        <f ca="1">VLOOKUP($L62,OFFSET([3]enemies!$A$1,0,0,COUNTA([3]enemies!$A:$A),MATCH(W$1,[3]enemies!$1:$1,0)-MATCH($L$1,[3]enemies!$1:$1,0)+1),MATCH(W$1,[3]enemies!$1:$1,0)-MATCH($L$1,[3]enemies!$1:$1,0)+1,FALSE)</f>
        <v>0</v>
      </c>
      <c r="X62" s="5">
        <v>0</v>
      </c>
      <c r="Y62" s="5">
        <v>100</v>
      </c>
      <c r="Z62" s="5">
        <v>1</v>
      </c>
      <c r="AA62" s="14">
        <f ca="1">VLOOKUP($L62,OFFSET([3]enemies!$A$1,0,0,COUNTA([3]enemies!$A:$A),MATCH(AA$1,[3]enemies!$1:$1,0)-MATCH($L$1,[3]enemies!$1:$1,0)+1),MATCH(AA$1,[3]enemies!$1:$1,0)-MATCH($L$1,[3]enemies!$1:$1,0)+1,FALSE)</f>
        <v>3</v>
      </c>
      <c r="AB62" s="170">
        <f t="shared" si="58"/>
        <v>348</v>
      </c>
      <c r="AC62" s="3" t="str">
        <f ca="1">VLOOKUP($AB62,OFFSET([4]characters!$A$1,0,0,COUNTA([4]characters!$A:$A),MATCH(AC$1,[4]characters!$1:$1,0)-MATCH("character_id",[4]characters!$1:$1,0)+1),MATCH(AC$1,[4]characters!$1:$1,0)-MATCH("character_id",[4]characters!$1:$1,0)+1,FALSE)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62" s="3">
        <f ca="1">VLOOKUP($AB62,OFFSET([4]characters!$A$1,0,0,COUNTA([4]characters!$A:$A),MATCH(AD$1,[4]characters!$1:$1,0)-MATCH("character_id",[4]characters!$1:$1,0)+1),MATCH(AD$1,[4]characters!$1:$1,0)-MATCH("character_id",[4]characters!$1:$1,0)+1,FALSE)</f>
        <v>2</v>
      </c>
      <c r="AE62" s="3" t="str">
        <f ca="1">VLOOKUP($AB62,OFFSET([4]characters!$A$1,0,0,COUNTA([4]characters!$A:$A),MATCH(AE$1,[4]characters!$1:$1,0)-MATCH("character_id",[4]characters!$1:$1,0)+1),MATCH(AE$1,[4]characters!$1:$1,0)-MATCH("character_id",[4]characters!$1:$1,0)+1,FALSE)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2" s="88">
        <v>10</v>
      </c>
      <c r="AG62" s="170">
        <f t="shared" ca="1" si="59"/>
        <v>2</v>
      </c>
      <c r="AH62" s="7">
        <v>100</v>
      </c>
      <c r="AI62" s="88">
        <v>0</v>
      </c>
      <c r="AJ62" s="88">
        <v>0</v>
      </c>
      <c r="AK62" s="88">
        <v>0</v>
      </c>
      <c r="AL62" s="88">
        <v>0</v>
      </c>
      <c r="AM62" s="88">
        <v>1</v>
      </c>
      <c r="AN62" s="193">
        <v>1</v>
      </c>
    </row>
    <row r="63" spans="1:40" ht="21" customHeight="1" x14ac:dyDescent="0.15">
      <c r="A63" s="13" t="str">
        <f t="shared" ref="A63:A67" ca="1" si="100">B63&amp;"_"&amp;C63&amp;"-"&amp;G63&amp;"/"&amp;L63&amp;"&lt;lv"&amp;R63&amp;"&gt;s"&amp;AA63</f>
        <v>15030_3-3/352&lt;lv60&gt;s3</v>
      </c>
      <c r="B63" s="90">
        <v>15030</v>
      </c>
      <c r="C63" s="93">
        <v>3</v>
      </c>
      <c r="D63" s="1" t="str">
        <f t="shared" ref="D63:D67" si="101">B63&amp;"_"&amp;C63</f>
        <v>15030_3</v>
      </c>
      <c r="E63" s="3" t="str">
        <f ca="1">VLOOKUP($B63,OFFSET([2]quests!$A$1,0,0,COUNTA([2]quests!$A:$A),MATCH(E$1,[2]quests!$1:$1,0)-MATCH($B$1,[2]quests!$1:$1,0)+1),MATCH(E$1,[2]quests!$1:$1,0)-MATCH($B$1,[2]quests!$1:$1,0)+1,FALSE)</f>
        <v>30. 月夜のオールドシティ</v>
      </c>
      <c r="F63" s="14" t="str">
        <f ca="1">VLOOKUP($D63,OFFSET([2]stages!$A$1,0,0,COUNTA([2]stages!$A:$A),MATCH(F$1,[2]stages!$2:$2,0)-MATCH($D$1,[2]stages!$2:$2,0)+1),MATCH(F$1,[2]stages!$2:$2,0)-MATCH($D$1,[2]stages!$2:$2,0)+1,FALSE)</f>
        <v>30-3. 月影の襲撃者</v>
      </c>
      <c r="G63" s="230">
        <v>3</v>
      </c>
      <c r="H63" s="12" t="str">
        <f t="shared" ref="H63:H67" si="102">B63&amp;"_"&amp;C63&amp;"-"&amp;G63</f>
        <v>15030_3-3</v>
      </c>
      <c r="I63" s="3">
        <f ca="1">VLOOKUP($H63,OFFSET(floors!$A$1,0,0,COUNTA(floors!$A:$A),MATCH(I$1,floors!$1:$1,0)-MATCH($H$1,floors!$1:$1,0)+1),MATCH(I$1,floors!$1:$1,0)-MATCH($H$1,floors!$1:$1,0)+1,FALSE)</f>
        <v>45</v>
      </c>
      <c r="J63" s="3">
        <f ca="1">VLOOKUP($H63,OFFSET(floors!$A$1,0,0,COUNTA(floors!$A:$A),MATCH(J$1,floors!$1:$1,0)-MATCH($H$1,floors!$1:$1,0)+1),MATCH(J$1,floors!$1:$1,0)-MATCH($H$1,floors!$1:$1,0)+1,FALSE)</f>
        <v>60</v>
      </c>
      <c r="K63" s="31" t="s">
        <v>210</v>
      </c>
      <c r="L63" s="95">
        <v>352</v>
      </c>
      <c r="M63" s="14" t="str">
        <f ca="1">VLOOKUP($L63,OFFSET([3]enemies!$A$1,0,0,COUNTA([3]enemies!$A:$A),MATCH(M$1,[3]enemies!$1:$1,0)-MATCH($L$1,[3]enemies!$1:$1,0)+1),MATCH(M$1,[3]enemies!$1:$1,0)-MATCH($L$1,[3]enemies!$1:$1,0)+1,FALSE)</f>
        <v>水のケロケロ</v>
      </c>
      <c r="N63" s="14" t="str">
        <f ca="1">VLOOKUP($L63,OFFSET([3]enemies!$A$1,0,0,COUNTA([3]enemies!$A:$A),MATCH(N$1,[3]enemies!$1:$1,0)-MATCH($L$1,[3]enemies!$1:$1,0)+1),MATCH(N$1,[3]enemies!$1:$1,0)-MATCH($L$1,[3]enemies!$1:$1,0)+1,FALSE)</f>
        <v>blue</v>
      </c>
      <c r="O63" s="14" t="str">
        <f ca="1">VLOOKUP($L63,OFFSET([4]characters!$A$1,0,0,COUNTA([4]characters!$A:$A),MATCH(O$1,[4]characters!$1:$1,0)-MATCH($L$1,[4]characters!$1:$1,0)+1),MATCH(O$1,[4]characters!$1:$1,0)-MATCH($L$1,[4]characters!$1:$1,0)+1,FALSE)</f>
        <v>Material</v>
      </c>
      <c r="P63" s="14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14">
        <f ca="1">VLOOKUP($L63,OFFSET([3]enemies!$A$1,0,0,COUNTA([3]enemies!$A:$A),MATCH(Q$1,[3]enemies!$1:$1,0)-MATCH($L$1,[3]enemies!$1:$1,0)+1),MATCH(Q$1,[3]enemies!$1:$1,0)-MATCH($L$1,[3]enemies!$1:$1,0)+1,FALSE)</f>
        <v>15</v>
      </c>
      <c r="R63" s="4">
        <v>60</v>
      </c>
      <c r="S63" s="106">
        <v>1.5</v>
      </c>
      <c r="T63" s="19">
        <v>1</v>
      </c>
      <c r="U63" s="4">
        <v>0</v>
      </c>
      <c r="V63" s="3" t="e">
        <f ca="1">VLOOKUP($W63,OFFSET(enemy_skill_sets!$B$1,0,0,COUNTA(enemy_skill_sets!$B:$B),MATCH(M$1,enemy_skill_sets!$1:$1,0)-MATCH($W$1,enemy_skill_sets!$1:$1,0)+2),MATCH(M$1,enemy_skill_sets!$1:$1,0)-MATCH($W$1,enemy_skill_sets!$1:$1,0)+2,FALSE)</f>
        <v>#N/A</v>
      </c>
      <c r="W63" s="3">
        <f ca="1">VLOOKUP($L63,OFFSET([3]enemies!$A$1,0,0,COUNTA([3]enemies!$A:$A),MATCH(W$1,[3]enemies!$1:$1,0)-MATCH($L$1,[3]enemies!$1:$1,0)+1),MATCH(W$1,[3]enemies!$1:$1,0)-MATCH($L$1,[3]enemies!$1:$1,0)+1,FALSE)</f>
        <v>0</v>
      </c>
      <c r="X63" s="5">
        <v>0</v>
      </c>
      <c r="Y63" s="5">
        <v>100</v>
      </c>
      <c r="Z63" s="5">
        <v>1</v>
      </c>
      <c r="AA63" s="14">
        <f ca="1">VLOOKUP($L63,OFFSET([3]enemies!$A$1,0,0,COUNTA([3]enemies!$A:$A),MATCH(AA$1,[3]enemies!$1:$1,0)-MATCH($L$1,[3]enemies!$1:$1,0)+1),MATCH(AA$1,[3]enemies!$1:$1,0)-MATCH($L$1,[3]enemies!$1:$1,0)+1,FALSE)</f>
        <v>3</v>
      </c>
      <c r="AB63" s="170">
        <f t="shared" ref="AB63:AB67" si="103">L63</f>
        <v>352</v>
      </c>
      <c r="AC63" s="3" t="str">
        <f ca="1">VLOOKUP($AB63,OFFSET([4]characters!$A$1,0,0,COUNTA([4]characters!$A:$A),MATCH(AC$1,[4]characters!$1:$1,0)-MATCH("character_id",[4]characters!$1:$1,0)+1),MATCH(AC$1,[4]characters!$1:$1,0)-MATCH("character_id",[4]characters!$1:$1,0)+1,FALSE)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63" s="3">
        <f ca="1">VLOOKUP($AB63,OFFSET([4]characters!$A$1,0,0,COUNTA([4]characters!$A:$A),MATCH(AD$1,[4]characters!$1:$1,0)-MATCH("character_id",[4]characters!$1:$1,0)+1),MATCH(AD$1,[4]characters!$1:$1,0)-MATCH("character_id",[4]characters!$1:$1,0)+1,FALSE)</f>
        <v>2</v>
      </c>
      <c r="AE63" s="3" t="str">
        <f ca="1">VLOOKUP($AB63,OFFSET([4]characters!$A$1,0,0,COUNTA([4]characters!$A:$A),MATCH(AE$1,[4]characters!$1:$1,0)-MATCH("character_id",[4]characters!$1:$1,0)+1),MATCH(AE$1,[4]characters!$1:$1,0)-MATCH("character_id",[4]characters!$1:$1,0)+1,FALSE)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3" s="88">
        <v>10</v>
      </c>
      <c r="AG63" s="170">
        <f t="shared" ref="AG63:AG67" ca="1" si="104">AD63</f>
        <v>2</v>
      </c>
      <c r="AH63" s="7">
        <v>100</v>
      </c>
      <c r="AI63" s="88">
        <v>0</v>
      </c>
      <c r="AJ63" s="88">
        <v>0</v>
      </c>
      <c r="AK63" s="88">
        <v>0</v>
      </c>
      <c r="AL63" s="88">
        <v>0</v>
      </c>
      <c r="AM63" s="88">
        <v>1</v>
      </c>
      <c r="AN63" s="193">
        <v>1</v>
      </c>
    </row>
    <row r="64" spans="1:40" ht="21" customHeight="1" x14ac:dyDescent="0.15">
      <c r="A64" s="13" t="str">
        <f t="shared" ca="1" si="100"/>
        <v>15030_3-3/361&lt;lv60&gt;s3</v>
      </c>
      <c r="B64" s="90">
        <v>15030</v>
      </c>
      <c r="C64" s="93">
        <v>3</v>
      </c>
      <c r="D64" s="1" t="str">
        <f t="shared" si="101"/>
        <v>15030_3</v>
      </c>
      <c r="E64" s="3" t="str">
        <f ca="1">VLOOKUP($B64,OFFSET([2]quests!$A$1,0,0,COUNTA([2]quests!$A:$A),MATCH(E$1,[2]quests!$1:$1,0)-MATCH($B$1,[2]quests!$1:$1,0)+1),MATCH(E$1,[2]quests!$1:$1,0)-MATCH($B$1,[2]quests!$1:$1,0)+1,FALSE)</f>
        <v>30. 月夜のオールドシティ</v>
      </c>
      <c r="F64" s="14" t="str">
        <f ca="1">VLOOKUP($D64,OFFSET([2]stages!$A$1,0,0,COUNTA([2]stages!$A:$A),MATCH(F$1,[2]stages!$2:$2,0)-MATCH($D$1,[2]stages!$2:$2,0)+1),MATCH(F$1,[2]stages!$2:$2,0)-MATCH($D$1,[2]stages!$2:$2,0)+1,FALSE)</f>
        <v>30-3. 月影の襲撃者</v>
      </c>
      <c r="G64" s="230">
        <v>3</v>
      </c>
      <c r="H64" s="12" t="str">
        <f t="shared" si="102"/>
        <v>15030_3-3</v>
      </c>
      <c r="I64" s="3">
        <f ca="1">VLOOKUP($H64,OFFSET(floors!$A$1,0,0,COUNTA(floors!$A:$A),MATCH(I$1,floors!$1:$1,0)-MATCH($H$1,floors!$1:$1,0)+1),MATCH(I$1,floors!$1:$1,0)-MATCH($H$1,floors!$1:$1,0)+1,FALSE)</f>
        <v>45</v>
      </c>
      <c r="J64" s="3">
        <f ca="1">VLOOKUP($H64,OFFSET(floors!$A$1,0,0,COUNTA(floors!$A:$A),MATCH(J$1,floors!$1:$1,0)-MATCH($H$1,floors!$1:$1,0)+1),MATCH(J$1,floors!$1:$1,0)-MATCH($H$1,floors!$1:$1,0)+1,FALSE)</f>
        <v>60</v>
      </c>
      <c r="K64" s="31" t="s">
        <v>87</v>
      </c>
      <c r="L64" s="95">
        <v>361</v>
      </c>
      <c r="M64" s="14" t="str">
        <f ca="1">VLOOKUP($L64,OFFSET([3]enemies!$A$1,0,0,COUNTA([3]enemies!$A:$A),MATCH(M$1,[3]enemies!$1:$1,0)-MATCH($L$1,[3]enemies!$1:$1,0)+1),MATCH(M$1,[3]enemies!$1:$1,0)-MATCH($L$1,[3]enemies!$1:$1,0)+1,FALSE)</f>
        <v>灼熱の鉄板 ガンテツ</v>
      </c>
      <c r="N64" s="14" t="str">
        <f ca="1">VLOOKUP($L64,OFFSET([3]enemies!$A$1,0,0,COUNTA([3]enemies!$A:$A),MATCH(N$1,[3]enemies!$1:$1,0)-MATCH($L$1,[3]enemies!$1:$1,0)+1),MATCH(N$1,[3]enemies!$1:$1,0)-MATCH($L$1,[3]enemies!$1:$1,0)+1,FALSE)</f>
        <v>red</v>
      </c>
      <c r="O64" s="14" t="str">
        <f ca="1">VLOOKUP($L64,OFFSET([4]characters!$A$1,0,0,COUNTA([4]characters!$A:$A),MATCH(O$1,[4]characters!$1:$1,0)-MATCH($L$1,[4]characters!$1:$1,0)+1),MATCH(O$1,[4]characters!$1:$1,0)-MATCH($L$1,[4]characters!$1:$1,0)+1,FALSE)</f>
        <v>Drop1S</v>
      </c>
      <c r="P64" s="14" t="str">
        <f ca="1">VLOOKUP($L64,OFFSET([3]enemies!$A$1,0,0,COUNTA([3]enemies!$A:$A),MATCH(P$1,[3]enemies!$1:$1,0)-MATCH($L$1,[3]enemies!$1:$1,0)+1),MATCH(P$1,[3]enemies!$1:$1,0)-MATCH($L$1,[3]enemies!$1:$1,0)+1,FALSE)</f>
        <v>animal</v>
      </c>
      <c r="Q64" s="14">
        <f ca="1">VLOOKUP($L64,OFFSET([3]enemies!$A$1,0,0,COUNTA([3]enemies!$A:$A),MATCH(Q$1,[3]enemies!$1:$1,0)-MATCH($L$1,[3]enemies!$1:$1,0)+1),MATCH(Q$1,[3]enemies!$1:$1,0)-MATCH($L$1,[3]enemies!$1:$1,0)+1,FALSE)</f>
        <v>15</v>
      </c>
      <c r="R64" s="4">
        <v>60</v>
      </c>
      <c r="S64" s="106">
        <v>1.4</v>
      </c>
      <c r="T64" s="19">
        <v>1</v>
      </c>
      <c r="U64" s="4">
        <v>0</v>
      </c>
      <c r="V64" s="98" t="e">
        <f ca="1">VLOOKUP($W64,OFFSET(enemy_skill_sets!$B$1,0,0,COUNTA(enemy_skill_sets!$B:$B),MATCH(M$1,enemy_skill_sets!$1:$1,0)-MATCH($W$1,enemy_skill_sets!$1:$1,0)+2),MATCH(M$1,enemy_skill_sets!$1:$1,0)-MATCH($W$1,enemy_skill_sets!$1:$1,0)+2,FALSE)</f>
        <v>#N/A</v>
      </c>
      <c r="W64" s="3">
        <f ca="1">VLOOKUP($L64,OFFSET([3]enemies!$A$1,0,0,COUNTA([3]enemies!$A:$A),MATCH(W$1,[3]enemies!$1:$1,0)-MATCH($L$1,[3]enemies!$1:$1,0)+1),MATCH(W$1,[3]enemies!$1:$1,0)-MATCH($L$1,[3]enemies!$1:$1,0)+1,FALSE)</f>
        <v>0</v>
      </c>
      <c r="X64" s="5">
        <v>0</v>
      </c>
      <c r="Y64" s="5">
        <v>100</v>
      </c>
      <c r="Z64" s="5">
        <v>0</v>
      </c>
      <c r="AA64" s="14">
        <f ca="1">VLOOKUP($L64,OFFSET([3]enemies!$A$1,0,0,COUNTA([3]enemies!$A:$A),MATCH(AA$1,[3]enemies!$1:$1,0)-MATCH($L$1,[3]enemies!$1:$1,0)+1),MATCH(AA$1,[3]enemies!$1:$1,0)-MATCH($L$1,[3]enemies!$1:$1,0)+1,FALSE)</f>
        <v>3</v>
      </c>
      <c r="AB64" s="170">
        <f t="shared" si="103"/>
        <v>361</v>
      </c>
      <c r="AC64" s="3" t="str">
        <f ca="1">VLOOKUP($AB64,OFFSET([4]characters!$A$1,0,0,COUNTA([4]characters!$A:$A),MATCH(AC$1,[4]characters!$1:$1,0)-MATCH("character_id",[4]characters!$1:$1,0)+1),MATCH(AC$1,[4]characters!$1:$1,0)-MATCH("character_id",[4]characters!$1:$1,0)+1,FALSE)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64" s="3">
        <f ca="1">VLOOKUP($AB64,OFFSET([4]characters!$A$1,0,0,COUNTA([4]characters!$A:$A),MATCH(AD$1,[4]characters!$1:$1,0)-MATCH("character_id",[4]characters!$1:$1,0)+1),MATCH(AD$1,[4]characters!$1:$1,0)-MATCH("character_id",[4]characters!$1:$1,0)+1,FALSE)</f>
        <v>3</v>
      </c>
      <c r="AE64" s="3" t="str">
        <f ca="1">VLOOKUP($AB64,OFFSET([4]characters!$A$1,0,0,COUNTA([4]characters!$A:$A),MATCH(AE$1,[4]characters!$1:$1,0)-MATCH("character_id",[4]characters!$1:$1,0)+1),MATCH(AE$1,[4]characters!$1:$1,0)-MATCH("character_id",[4]characters!$1:$1,0)+1,FALSE)</f>
        <v>Drop1S</v>
      </c>
      <c r="AF64" s="88">
        <v>1</v>
      </c>
      <c r="AG64" s="170">
        <f t="shared" ca="1" si="104"/>
        <v>3</v>
      </c>
      <c r="AH64" s="7">
        <v>20</v>
      </c>
      <c r="AI64" s="88">
        <v>0</v>
      </c>
      <c r="AJ64" s="88">
        <v>0</v>
      </c>
      <c r="AK64" s="88">
        <v>0</v>
      </c>
      <c r="AL64" s="88">
        <v>0</v>
      </c>
      <c r="AM64" s="88">
        <v>1</v>
      </c>
      <c r="AN64" s="193">
        <v>1</v>
      </c>
    </row>
    <row r="65" spans="1:40" ht="21" customHeight="1" x14ac:dyDescent="0.15">
      <c r="A65" s="13" t="str">
        <f t="shared" ca="1" si="100"/>
        <v>15030_3-3/365&lt;lv60&gt;s3</v>
      </c>
      <c r="B65" s="90">
        <v>15030</v>
      </c>
      <c r="C65" s="93">
        <v>3</v>
      </c>
      <c r="D65" s="1" t="str">
        <f t="shared" si="101"/>
        <v>15030_3</v>
      </c>
      <c r="E65" s="3" t="str">
        <f ca="1">VLOOKUP($B65,OFFSET([2]quests!$A$1,0,0,COUNTA([2]quests!$A:$A),MATCH(E$1,[2]quests!$1:$1,0)-MATCH($B$1,[2]quests!$1:$1,0)+1),MATCH(E$1,[2]quests!$1:$1,0)-MATCH($B$1,[2]quests!$1:$1,0)+1,FALSE)</f>
        <v>30. 月夜のオールドシティ</v>
      </c>
      <c r="F65" s="14" t="str">
        <f ca="1">VLOOKUP($D65,OFFSET([2]stages!$A$1,0,0,COUNTA([2]stages!$A:$A),MATCH(F$1,[2]stages!$2:$2,0)-MATCH($D$1,[2]stages!$2:$2,0)+1),MATCH(F$1,[2]stages!$2:$2,0)-MATCH($D$1,[2]stages!$2:$2,0)+1,FALSE)</f>
        <v>30-3. 月影の襲撃者</v>
      </c>
      <c r="G65" s="230">
        <v>3</v>
      </c>
      <c r="H65" s="12" t="str">
        <f t="shared" si="102"/>
        <v>15030_3-3</v>
      </c>
      <c r="I65" s="3">
        <f ca="1">VLOOKUP($H65,OFFSET(floors!$A$1,0,0,COUNTA(floors!$A:$A),MATCH(I$1,floors!$1:$1,0)-MATCH($H$1,floors!$1:$1,0)+1),MATCH(I$1,floors!$1:$1,0)-MATCH($H$1,floors!$1:$1,0)+1,FALSE)</f>
        <v>45</v>
      </c>
      <c r="J65" s="3">
        <f ca="1">VLOOKUP($H65,OFFSET(floors!$A$1,0,0,COUNTA(floors!$A:$A),MATCH(J$1,floors!$1:$1,0)-MATCH($H$1,floors!$1:$1,0)+1),MATCH(J$1,floors!$1:$1,0)-MATCH($H$1,floors!$1:$1,0)+1,FALSE)</f>
        <v>60</v>
      </c>
      <c r="K65" s="31" t="s">
        <v>87</v>
      </c>
      <c r="L65" s="95">
        <v>365</v>
      </c>
      <c r="M65" s="14" t="str">
        <f ca="1">VLOOKUP($L65,OFFSET([3]enemies!$A$1,0,0,COUNTA([3]enemies!$A:$A),MATCH(M$1,[3]enemies!$1:$1,0)-MATCH($L$1,[3]enemies!$1:$1,0)+1),MATCH(M$1,[3]enemies!$1:$1,0)-MATCH($L$1,[3]enemies!$1:$1,0)+1,FALSE)</f>
        <v>惨劇の人形 ノエル</v>
      </c>
      <c r="N65" s="14" t="str">
        <f ca="1">VLOOKUP($L65,OFFSET([3]enemies!$A$1,0,0,COUNTA([3]enemies!$A:$A),MATCH(N$1,[3]enemies!$1:$1,0)-MATCH($L$1,[3]enemies!$1:$1,0)+1),MATCH(N$1,[3]enemies!$1:$1,0)-MATCH($L$1,[3]enemies!$1:$1,0)+1,FALSE)</f>
        <v>blue</v>
      </c>
      <c r="O65" s="14" t="str">
        <f ca="1">VLOOKUP($L65,OFFSET([4]characters!$A$1,0,0,COUNTA([4]characters!$A:$A),MATCH(O$1,[4]characters!$1:$1,0)-MATCH($L$1,[4]characters!$1:$1,0)+1),MATCH(O$1,[4]characters!$1:$1,0)-MATCH($L$1,[4]characters!$1:$1,0)+1,FALSE)</f>
        <v>Drop1S</v>
      </c>
      <c r="P65" s="14" t="str">
        <f ca="1">VLOOKUP($L65,OFFSET([3]enemies!$A$1,0,0,COUNTA([3]enemies!$A:$A),MATCH(P$1,[3]enemies!$1:$1,0)-MATCH($L$1,[3]enemies!$1:$1,0)+1),MATCH(P$1,[3]enemies!$1:$1,0)-MATCH($L$1,[3]enemies!$1:$1,0)+1,FALSE)</f>
        <v>animal</v>
      </c>
      <c r="Q65" s="14">
        <f ca="1">VLOOKUP($L65,OFFSET([3]enemies!$A$1,0,0,COUNTA([3]enemies!$A:$A),MATCH(Q$1,[3]enemies!$1:$1,0)-MATCH($L$1,[3]enemies!$1:$1,0)+1),MATCH(Q$1,[3]enemies!$1:$1,0)-MATCH($L$1,[3]enemies!$1:$1,0)+1,FALSE)</f>
        <v>15</v>
      </c>
      <c r="R65" s="4">
        <v>60</v>
      </c>
      <c r="S65" s="106">
        <v>1.4</v>
      </c>
      <c r="T65" s="19">
        <v>1</v>
      </c>
      <c r="U65" s="4">
        <v>0</v>
      </c>
      <c r="V65" s="98" t="e">
        <f ca="1">VLOOKUP($W65,OFFSET(enemy_skill_sets!$B$1,0,0,COUNTA(enemy_skill_sets!$B:$B),MATCH(M$1,enemy_skill_sets!$1:$1,0)-MATCH($W$1,enemy_skill_sets!$1:$1,0)+2),MATCH(M$1,enemy_skill_sets!$1:$1,0)-MATCH($W$1,enemy_skill_sets!$1:$1,0)+2,FALSE)</f>
        <v>#N/A</v>
      </c>
      <c r="W65" s="3">
        <f ca="1">VLOOKUP($L65,OFFSET([3]enemies!$A$1,0,0,COUNTA([3]enemies!$A:$A),MATCH(W$1,[3]enemies!$1:$1,0)-MATCH($L$1,[3]enemies!$1:$1,0)+1),MATCH(W$1,[3]enemies!$1:$1,0)-MATCH($L$1,[3]enemies!$1:$1,0)+1,FALSE)</f>
        <v>0</v>
      </c>
      <c r="X65" s="5">
        <v>0</v>
      </c>
      <c r="Y65" s="5">
        <v>100</v>
      </c>
      <c r="Z65" s="5">
        <v>0</v>
      </c>
      <c r="AA65" s="14">
        <f ca="1">VLOOKUP($L65,OFFSET([3]enemies!$A$1,0,0,COUNTA([3]enemies!$A:$A),MATCH(AA$1,[3]enemies!$1:$1,0)-MATCH($L$1,[3]enemies!$1:$1,0)+1),MATCH(AA$1,[3]enemies!$1:$1,0)-MATCH($L$1,[3]enemies!$1:$1,0)+1,FALSE)</f>
        <v>3</v>
      </c>
      <c r="AB65" s="170">
        <f t="shared" si="103"/>
        <v>365</v>
      </c>
      <c r="AC65" s="3" t="str">
        <f ca="1">VLOOKUP($AB65,OFFSET([4]characters!$A$1,0,0,COUNTA([4]characters!$A:$A),MATCH(AC$1,[4]characters!$1:$1,0)-MATCH("character_id",[4]characters!$1:$1,0)+1),MATCH(AC$1,[4]characters!$1:$1,0)-MATCH("character_id",[4]characters!$1:$1,0)+1,FALSE)</f>
        <v>惨劇の人形 ノエル</v>
      </c>
      <c r="AD65" s="3">
        <f ca="1">VLOOKUP($AB65,OFFSET([4]characters!$A$1,0,0,COUNTA([4]characters!$A:$A),MATCH(AD$1,[4]characters!$1:$1,0)-MATCH("character_id",[4]characters!$1:$1,0)+1),MATCH(AD$1,[4]characters!$1:$1,0)-MATCH("character_id",[4]characters!$1:$1,0)+1,FALSE)</f>
        <v>3</v>
      </c>
      <c r="AE65" s="3" t="str">
        <f ca="1">VLOOKUP($AB65,OFFSET([4]characters!$A$1,0,0,COUNTA([4]characters!$A:$A),MATCH(AE$1,[4]characters!$1:$1,0)-MATCH("character_id",[4]characters!$1:$1,0)+1),MATCH(AE$1,[4]characters!$1:$1,0)-MATCH("character_id",[4]characters!$1:$1,0)+1,FALSE)</f>
        <v>Drop1S</v>
      </c>
      <c r="AF65" s="88">
        <v>1</v>
      </c>
      <c r="AG65" s="170">
        <f t="shared" ca="1" si="104"/>
        <v>3</v>
      </c>
      <c r="AH65" s="7">
        <v>20</v>
      </c>
      <c r="AI65" s="88">
        <v>0</v>
      </c>
      <c r="AJ65" s="88">
        <v>0</v>
      </c>
      <c r="AK65" s="88">
        <v>0</v>
      </c>
      <c r="AL65" s="88">
        <v>0</v>
      </c>
      <c r="AM65" s="88">
        <v>1</v>
      </c>
      <c r="AN65" s="193">
        <v>1</v>
      </c>
    </row>
    <row r="66" spans="1:40" ht="21" customHeight="1" x14ac:dyDescent="0.15">
      <c r="A66" s="13" t="str">
        <f t="shared" ca="1" si="100"/>
        <v>15030_3-3/34&lt;lv60&gt;s2</v>
      </c>
      <c r="B66" s="90">
        <v>15030</v>
      </c>
      <c r="C66" s="93">
        <v>3</v>
      </c>
      <c r="D66" s="1" t="str">
        <f t="shared" si="101"/>
        <v>15030_3</v>
      </c>
      <c r="E66" s="3" t="str">
        <f ca="1">VLOOKUP($B66,OFFSET([2]quests!$A$1,0,0,COUNTA([2]quests!$A:$A),MATCH(E$1,[2]quests!$1:$1,0)-MATCH($B$1,[2]quests!$1:$1,0)+1),MATCH(E$1,[2]quests!$1:$1,0)-MATCH($B$1,[2]quests!$1:$1,0)+1,FALSE)</f>
        <v>30. 月夜のオールドシティ</v>
      </c>
      <c r="F66" s="14" t="str">
        <f ca="1">VLOOKUP($D66,OFFSET([2]stages!$A$1,0,0,COUNTA([2]stages!$A:$A),MATCH(F$1,[2]stages!$2:$2,0)-MATCH($D$1,[2]stages!$2:$2,0)+1),MATCH(F$1,[2]stages!$2:$2,0)-MATCH($D$1,[2]stages!$2:$2,0)+1,FALSE)</f>
        <v>30-3. 月影の襲撃者</v>
      </c>
      <c r="G66" s="230">
        <v>3</v>
      </c>
      <c r="H66" s="12" t="str">
        <f t="shared" si="102"/>
        <v>15030_3-3</v>
      </c>
      <c r="I66" s="3">
        <f ca="1">VLOOKUP($H66,OFFSET(floors!$A$1,0,0,COUNTA(floors!$A:$A),MATCH(I$1,floors!$1:$1,0)-MATCH($H$1,floors!$1:$1,0)+1),MATCH(I$1,floors!$1:$1,0)-MATCH($H$1,floors!$1:$1,0)+1,FALSE)</f>
        <v>45</v>
      </c>
      <c r="J66" s="3">
        <f ca="1">VLOOKUP($H66,OFFSET(floors!$A$1,0,0,COUNTA(floors!$A:$A),MATCH(J$1,floors!$1:$1,0)-MATCH($H$1,floors!$1:$1,0)+1),MATCH(J$1,floors!$1:$1,0)-MATCH($H$1,floors!$1:$1,0)+1,FALSE)</f>
        <v>60</v>
      </c>
      <c r="K66" s="31" t="s">
        <v>87</v>
      </c>
      <c r="L66" s="95">
        <v>34</v>
      </c>
      <c r="M66" s="14" t="str">
        <f ca="1">VLOOKUP($L66,OFFSET([3]enemies!$A$1,0,0,COUNTA([3]enemies!$A:$A),MATCH(M$1,[3]enemies!$1:$1,0)-MATCH($L$1,[3]enemies!$1:$1,0)+1),MATCH(M$1,[3]enemies!$1:$1,0)-MATCH($L$1,[3]enemies!$1:$1,0)+1,FALSE)</f>
        <v>斉天大聖 ゴクウ</v>
      </c>
      <c r="N66" s="14" t="str">
        <f ca="1">VLOOKUP($L66,OFFSET([3]enemies!$A$1,0,0,COUNTA([3]enemies!$A:$A),MATCH(N$1,[3]enemies!$1:$1,0)-MATCH($L$1,[3]enemies!$1:$1,0)+1),MATCH(N$1,[3]enemies!$1:$1,0)-MATCH($L$1,[3]enemies!$1:$1,0)+1,FALSE)</f>
        <v>red</v>
      </c>
      <c r="O66" s="14" t="str">
        <f ca="1">VLOOKUP($L66,OFFSET([4]characters!$A$1,0,0,COUNTA([4]characters!$A:$A),MATCH(O$1,[4]characters!$1:$1,0)-MATCH($L$1,[4]characters!$1:$1,0)+1),MATCH(O$1,[4]characters!$1:$1,0)-MATCH($L$1,[4]characters!$1:$1,0)+1,FALSE)</f>
        <v>Drop1S</v>
      </c>
      <c r="P66" s="14" t="str">
        <f ca="1">VLOOKUP($L66,OFFSET([3]enemies!$A$1,0,0,COUNTA([3]enemies!$A:$A),MATCH(P$1,[3]enemies!$1:$1,0)-MATCH($L$1,[3]enemies!$1:$1,0)+1),MATCH(P$1,[3]enemies!$1:$1,0)-MATCH($L$1,[3]enemies!$1:$1,0)+1,FALSE)</f>
        <v>animal</v>
      </c>
      <c r="Q66" s="14">
        <f ca="1">VLOOKUP($L66,OFFSET([3]enemies!$A$1,0,0,COUNTA([3]enemies!$A:$A),MATCH(Q$1,[3]enemies!$1:$1,0)-MATCH($L$1,[3]enemies!$1:$1,0)+1),MATCH(Q$1,[3]enemies!$1:$1,0)-MATCH($L$1,[3]enemies!$1:$1,0)+1,FALSE)</f>
        <v>20</v>
      </c>
      <c r="R66" s="4">
        <v>60</v>
      </c>
      <c r="S66" s="106">
        <v>1.4</v>
      </c>
      <c r="T66" s="19">
        <v>1</v>
      </c>
      <c r="U66" s="4">
        <v>0</v>
      </c>
      <c r="V66" s="98" t="e">
        <f ca="1">VLOOKUP($W66,OFFSET(enemy_skill_sets!$B$1,0,0,COUNTA(enemy_skill_sets!$B:$B),MATCH(M$1,enemy_skill_sets!$1:$1,0)-MATCH($W$1,enemy_skill_sets!$1:$1,0)+2),MATCH(M$1,enemy_skill_sets!$1:$1,0)-MATCH($W$1,enemy_skill_sets!$1:$1,0)+2,FALSE)</f>
        <v>#N/A</v>
      </c>
      <c r="W66" s="3">
        <f ca="1">VLOOKUP($L66,OFFSET([3]enemies!$A$1,0,0,COUNTA([3]enemies!$A:$A),MATCH(W$1,[3]enemies!$1:$1,0)-MATCH($L$1,[3]enemies!$1:$1,0)+1),MATCH(W$1,[3]enemies!$1:$1,0)-MATCH($L$1,[3]enemies!$1:$1,0)+1,FALSE)</f>
        <v>34</v>
      </c>
      <c r="X66" s="5">
        <v>0</v>
      </c>
      <c r="Y66" s="5">
        <v>100</v>
      </c>
      <c r="Z66" s="5">
        <v>0</v>
      </c>
      <c r="AA66" s="14">
        <f ca="1">VLOOKUP($L66,OFFSET([3]enemies!$A$1,0,0,COUNTA([3]enemies!$A:$A),MATCH(AA$1,[3]enemies!$1:$1,0)-MATCH($L$1,[3]enemies!$1:$1,0)+1),MATCH(AA$1,[3]enemies!$1:$1,0)-MATCH($L$1,[3]enemies!$1:$1,0)+1,FALSE)</f>
        <v>2</v>
      </c>
      <c r="AB66" s="170">
        <f t="shared" si="103"/>
        <v>34</v>
      </c>
      <c r="AC66" s="3" t="str">
        <f ca="1">VLOOKUP($AB66,OFFSET([4]characters!$A$1,0,0,COUNTA([4]characters!$A:$A),MATCH(AC$1,[4]characters!$1:$1,0)-MATCH("character_id",[4]characters!$1:$1,0)+1),MATCH(AC$1,[4]characters!$1:$1,0)-MATCH("character_id",[4]characters!$1:$1,0)+1,FALSE)</f>
        <v>斉天大聖 ゴクウ</v>
      </c>
      <c r="AD66" s="3">
        <f ca="1">VLOOKUP($AB66,OFFSET([4]characters!$A$1,0,0,COUNTA([4]characters!$A:$A),MATCH(AD$1,[4]characters!$1:$1,0)-MATCH("character_id",[4]characters!$1:$1,0)+1),MATCH(AD$1,[4]characters!$1:$1,0)-MATCH("character_id",[4]characters!$1:$1,0)+1,FALSE)</f>
        <v>3</v>
      </c>
      <c r="AE66" s="3" t="str">
        <f ca="1">VLOOKUP($AB66,OFFSET([4]characters!$A$1,0,0,COUNTA([4]characters!$A:$A),MATCH(AE$1,[4]characters!$1:$1,0)-MATCH("character_id",[4]characters!$1:$1,0)+1),MATCH(AE$1,[4]characters!$1:$1,0)-MATCH("character_id",[4]characters!$1:$1,0)+1,FALSE)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6" s="88">
        <v>1</v>
      </c>
      <c r="AG66" s="170">
        <f t="shared" ca="1" si="104"/>
        <v>3</v>
      </c>
      <c r="AH66" s="7">
        <v>20</v>
      </c>
      <c r="AI66" s="88">
        <v>0</v>
      </c>
      <c r="AJ66" s="88">
        <v>0</v>
      </c>
      <c r="AK66" s="88">
        <v>0</v>
      </c>
      <c r="AL66" s="88">
        <v>0</v>
      </c>
      <c r="AM66" s="88">
        <v>1</v>
      </c>
      <c r="AN66" s="193">
        <v>1</v>
      </c>
    </row>
    <row r="67" spans="1:40" ht="21" customHeight="1" thickBot="1" x14ac:dyDescent="0.2">
      <c r="A67" s="13" t="str">
        <f t="shared" ca="1" si="100"/>
        <v>15030_3-3/38&lt;lv60&gt;s3</v>
      </c>
      <c r="B67" s="90">
        <v>15030</v>
      </c>
      <c r="C67" s="93">
        <v>3</v>
      </c>
      <c r="D67" s="1" t="str">
        <f t="shared" si="101"/>
        <v>15030_3</v>
      </c>
      <c r="E67" s="3" t="str">
        <f ca="1">VLOOKUP($B67,OFFSET([2]quests!$A$1,0,0,COUNTA([2]quests!$A:$A),MATCH(E$1,[2]quests!$1:$1,0)-MATCH($B$1,[2]quests!$1:$1,0)+1),MATCH(E$1,[2]quests!$1:$1,0)-MATCH($B$1,[2]quests!$1:$1,0)+1,FALSE)</f>
        <v>30. 月夜のオールドシティ</v>
      </c>
      <c r="F67" s="14" t="str">
        <f ca="1">VLOOKUP($D67,OFFSET([2]stages!$A$1,0,0,COUNTA([2]stages!$A:$A),MATCH(F$1,[2]stages!$2:$2,0)-MATCH($D$1,[2]stages!$2:$2,0)+1),MATCH(F$1,[2]stages!$2:$2,0)-MATCH($D$1,[2]stages!$2:$2,0)+1,FALSE)</f>
        <v>30-3. 月影の襲撃者</v>
      </c>
      <c r="G67" s="201">
        <v>3</v>
      </c>
      <c r="H67" s="115" t="str">
        <f t="shared" si="102"/>
        <v>15030_3-3</v>
      </c>
      <c r="I67" s="116">
        <f ca="1">VLOOKUP($H67,OFFSET(floors!$A$1,0,0,COUNTA(floors!$A:$A),MATCH(I$1,floors!$1:$1,0)-MATCH($H$1,floors!$1:$1,0)+1),MATCH(I$1,floors!$1:$1,0)-MATCH($H$1,floors!$1:$1,0)+1,FALSE)</f>
        <v>45</v>
      </c>
      <c r="J67" s="116">
        <f ca="1">VLOOKUP($H67,OFFSET(floors!$A$1,0,0,COUNTA(floors!$A:$A),MATCH(J$1,floors!$1:$1,0)-MATCH($H$1,floors!$1:$1,0)+1),MATCH(J$1,floors!$1:$1,0)-MATCH($H$1,floors!$1:$1,0)+1,FALSE)</f>
        <v>60</v>
      </c>
      <c r="K67" s="118" t="s">
        <v>87</v>
      </c>
      <c r="L67" s="119">
        <v>38</v>
      </c>
      <c r="M67" s="120" t="str">
        <f ca="1">VLOOKUP($L67,OFFSET([3]enemies!$A$1,0,0,COUNTA([3]enemies!$A:$A),MATCH(M$1,[3]enemies!$1:$1,0)-MATCH($L$1,[3]enemies!$1:$1,0)+1),MATCH(M$1,[3]enemies!$1:$1,0)-MATCH($L$1,[3]enemies!$1:$1,0)+1,FALSE)</f>
        <v>通話対応型 ガイル</v>
      </c>
      <c r="N67" s="120" t="str">
        <f ca="1">VLOOKUP($L67,OFFSET([3]enemies!$A$1,0,0,COUNTA([3]enemies!$A:$A),MATCH(N$1,[3]enemies!$1:$1,0)-MATCH($L$1,[3]enemies!$1:$1,0)+1),MATCH(N$1,[3]enemies!$1:$1,0)-MATCH($L$1,[3]enemies!$1:$1,0)+1,FALSE)</f>
        <v>blue</v>
      </c>
      <c r="O67" s="120" t="str">
        <f ca="1">VLOOKUP($L67,OFFSET([4]characters!$A$1,0,0,COUNTA([4]characters!$A:$A),MATCH(O$1,[4]characters!$1:$1,0)-MATCH($L$1,[4]characters!$1:$1,0)+1),MATCH(O$1,[4]characters!$1:$1,0)-MATCH($L$1,[4]characters!$1:$1,0)+1,FALSE)</f>
        <v>Drop1S</v>
      </c>
      <c r="P67" s="120" t="str">
        <f ca="1">VLOOKUP($L67,OFFSET([3]enemies!$A$1,0,0,COUNTA([3]enemies!$A:$A),MATCH(P$1,[3]enemies!$1:$1,0)-MATCH($L$1,[3]enemies!$1:$1,0)+1),MATCH(P$1,[3]enemies!$1:$1,0)-MATCH($L$1,[3]enemies!$1:$1,0)+1,FALSE)</f>
        <v>animal</v>
      </c>
      <c r="Q67" s="120">
        <f ca="1">VLOOKUP($L67,OFFSET([3]enemies!$A$1,0,0,COUNTA([3]enemies!$A:$A),MATCH(Q$1,[3]enemies!$1:$1,0)-MATCH($L$1,[3]enemies!$1:$1,0)+1),MATCH(Q$1,[3]enemies!$1:$1,0)-MATCH($L$1,[3]enemies!$1:$1,0)+1,FALSE)</f>
        <v>20</v>
      </c>
      <c r="R67" s="121">
        <v>60</v>
      </c>
      <c r="S67" s="206">
        <v>1.4</v>
      </c>
      <c r="T67" s="122">
        <v>1</v>
      </c>
      <c r="U67" s="121">
        <v>0</v>
      </c>
      <c r="V67" s="196" t="e">
        <f ca="1">VLOOKUP($W67,OFFSET(enemy_skill_sets!$B$1,0,0,COUNTA(enemy_skill_sets!$B:$B),MATCH(M$1,enemy_skill_sets!$1:$1,0)-MATCH($W$1,enemy_skill_sets!$1:$1,0)+2),MATCH(M$1,enemy_skill_sets!$1:$1,0)-MATCH($W$1,enemy_skill_sets!$1:$1,0)+2,FALSE)</f>
        <v>#N/A</v>
      </c>
      <c r="W67" s="116">
        <f ca="1">VLOOKUP($L67,OFFSET([3]enemies!$A$1,0,0,COUNTA([3]enemies!$A:$A),MATCH(W$1,[3]enemies!$1:$1,0)-MATCH($L$1,[3]enemies!$1:$1,0)+1),MATCH(W$1,[3]enemies!$1:$1,0)-MATCH($L$1,[3]enemies!$1:$1,0)+1,FALSE)</f>
        <v>38</v>
      </c>
      <c r="X67" s="124">
        <v>0</v>
      </c>
      <c r="Y67" s="124">
        <v>100</v>
      </c>
      <c r="Z67" s="124">
        <v>0</v>
      </c>
      <c r="AA67" s="120">
        <f ca="1">VLOOKUP($L67,OFFSET([3]enemies!$A$1,0,0,COUNTA([3]enemies!$A:$A),MATCH(AA$1,[3]enemies!$1:$1,0)-MATCH($L$1,[3]enemies!$1:$1,0)+1),MATCH(AA$1,[3]enemies!$1:$1,0)-MATCH($L$1,[3]enemies!$1:$1,0)+1,FALSE)</f>
        <v>3</v>
      </c>
      <c r="AB67" s="126">
        <f t="shared" si="103"/>
        <v>38</v>
      </c>
      <c r="AC67" s="116" t="str">
        <f ca="1">VLOOKUP($AB67,OFFSET([4]characters!$A$1,0,0,COUNTA([4]characters!$A:$A),MATCH(AC$1,[4]characters!$1:$1,0)-MATCH("character_id",[4]characters!$1:$1,0)+1),MATCH(AC$1,[4]characters!$1:$1,0)-MATCH("character_id",[4]characters!$1:$1,0)+1,FALSE)</f>
        <v>通話対応型 ガイル</v>
      </c>
      <c r="AD67" s="116">
        <f ca="1">VLOOKUP($AB67,OFFSET([4]characters!$A$1,0,0,COUNTA([4]characters!$A:$A),MATCH(AD$1,[4]characters!$1:$1,0)-MATCH("character_id",[4]characters!$1:$1,0)+1),MATCH(AD$1,[4]characters!$1:$1,0)-MATCH("character_id",[4]characters!$1:$1,0)+1,FALSE)</f>
        <v>3</v>
      </c>
      <c r="AE67" s="116" t="str">
        <f ca="1">VLOOKUP($AB67,OFFSET([4]characters!$A$1,0,0,COUNTA([4]characters!$A:$A),MATCH(AE$1,[4]characters!$1:$1,0)-MATCH("character_id",[4]characters!$1:$1,0)+1),MATCH(AE$1,[4]characters!$1:$1,0)-MATCH("character_id",[4]characters!$1:$1,0)+1,FALSE)</f>
        <v>Drop1S</v>
      </c>
      <c r="AF67" s="127">
        <v>1</v>
      </c>
      <c r="AG67" s="126">
        <f t="shared" ca="1" si="104"/>
        <v>3</v>
      </c>
      <c r="AH67" s="128">
        <v>20</v>
      </c>
      <c r="AI67" s="127">
        <v>0</v>
      </c>
      <c r="AJ67" s="127">
        <v>0</v>
      </c>
      <c r="AK67" s="127">
        <v>0</v>
      </c>
      <c r="AL67" s="127">
        <v>0</v>
      </c>
      <c r="AM67" s="127">
        <v>1</v>
      </c>
      <c r="AN67" s="197">
        <v>1</v>
      </c>
    </row>
    <row r="68" spans="1:40" s="129" customFormat="1" ht="21" customHeight="1" thickBot="1" x14ac:dyDescent="0.2">
      <c r="A68" s="112" t="str">
        <f t="shared" si="55"/>
        <v>15030_3-4/435&lt;lv60&gt;s2</v>
      </c>
      <c r="B68" s="113">
        <v>15030</v>
      </c>
      <c r="C68" s="117">
        <v>3</v>
      </c>
      <c r="D68" s="115" t="str">
        <f t="shared" si="56"/>
        <v>15030_3</v>
      </c>
      <c r="E68" s="116" t="str">
        <f ca="1">VLOOKUP($B68,OFFSET([2]quests!$A$1,0,0,COUNTA([2]quests!$A:$A),MATCH(E$1,[2]quests!$1:$1,0)-MATCH($B$1,[2]quests!$1:$1,0)+1),MATCH(E$1,[2]quests!$1:$1,0)-MATCH($B$1,[2]quests!$1:$1,0)+1,FALSE)</f>
        <v>30. 月夜のオールドシティ</v>
      </c>
      <c r="F68" s="120" t="str">
        <f ca="1">VLOOKUP($D68,OFFSET([2]stages!$A$1,0,0,COUNTA([2]stages!$A:$A),MATCH(F$1,[2]stages!$2:$2,0)-MATCH($D$1,[2]stages!$2:$2,0)+1),MATCH(F$1,[2]stages!$2:$2,0)-MATCH($D$1,[2]stages!$2:$2,0)+1,FALSE)</f>
        <v>30-3. 月影の襲撃者</v>
      </c>
      <c r="G68" s="208">
        <v>4</v>
      </c>
      <c r="H68" s="209" t="str">
        <f t="shared" si="57"/>
        <v>15030_3-4</v>
      </c>
      <c r="I68" s="210">
        <f ca="1">VLOOKUP($H68,OFFSET(floors!$A$1,0,0,COUNTA(floors!$A:$A),MATCH(I$1,floors!$1:$1,0)-MATCH($H$1,floors!$1:$1,0)+1),MATCH(I$1,floors!$1:$1,0)-MATCH($H$1,floors!$1:$1,0)+1,FALSE)</f>
        <v>45</v>
      </c>
      <c r="J68" s="210">
        <f ca="1">VLOOKUP($H68,OFFSET(floors!$A$1,0,0,COUNTA(floors!$A:$A),MATCH(J$1,floors!$1:$1,0)-MATCH($H$1,floors!$1:$1,0)+1),MATCH(J$1,floors!$1:$1,0)-MATCH($H$1,floors!$1:$1,0)+1,FALSE)</f>
        <v>60</v>
      </c>
      <c r="K68" s="211">
        <v>1</v>
      </c>
      <c r="L68" s="212">
        <v>435</v>
      </c>
      <c r="M68" s="213" t="str">
        <f ca="1">VLOOKUP($L68,OFFSET([3]enemies!$A$1,0,0,COUNTA([3]enemies!$A:$A),MATCH(M$1,[3]enemies!$1:$1,0)-MATCH($L$1,[3]enemies!$1:$1,0)+1),MATCH(M$1,[3]enemies!$1:$1,0)-MATCH($L$1,[3]enemies!$1:$1,0)+1,FALSE)</f>
        <v>曝弾の密偵 D.R.T.H.</v>
      </c>
      <c r="N68" s="213" t="str">
        <f ca="1">VLOOKUP($L68,OFFSET([3]enemies!$A$1,0,0,COUNTA([3]enemies!$A:$A),MATCH(N$1,[3]enemies!$1:$1,0)-MATCH($L$1,[3]enemies!$1:$1,0)+1),MATCH(N$1,[3]enemies!$1:$1,0)-MATCH($L$1,[3]enemies!$1:$1,0)+1,FALSE)</f>
        <v>red</v>
      </c>
      <c r="O68" s="213" t="str">
        <f ca="1">VLOOKUP($L68,OFFSET([4]characters!$A$1,0,0,COUNTA([4]characters!$A:$A),MATCH(O$1,[4]characters!$1:$1,0)-MATCH($L$1,[4]characters!$1:$1,0)+1),MATCH(O$1,[4]characters!$1:$1,0)-MATCH($L$1,[4]characters!$1:$1,0)+1,FALSE)</f>
        <v>PremiumSS</v>
      </c>
      <c r="P68" s="213" t="str">
        <f ca="1">VLOOKUP($L68,OFFSET([3]enemies!$A$1,0,0,COUNTA([3]enemies!$A:$A),MATCH(P$1,[3]enemies!$1:$1,0)-MATCH($L$1,[3]enemies!$1:$1,0)+1),MATCH(P$1,[3]enemies!$1:$1,0)-MATCH($L$1,[3]enemies!$1:$1,0)+1,FALSE)</f>
        <v>human</v>
      </c>
      <c r="Q68" s="213">
        <f ca="1">VLOOKUP($L68,OFFSET([3]enemies!$A$1,0,0,COUNTA([3]enemies!$A:$A),MATCH(Q$1,[3]enemies!$1:$1,0)-MATCH($L$1,[3]enemies!$1:$1,0)+1),MATCH(Q$1,[3]enemies!$1:$1,0)-MATCH($L$1,[3]enemies!$1:$1,0)+1,FALSE)</f>
        <v>60</v>
      </c>
      <c r="R68" s="214">
        <v>60</v>
      </c>
      <c r="S68" s="215">
        <v>1.5</v>
      </c>
      <c r="T68" s="215">
        <v>1.2</v>
      </c>
      <c r="U68" s="214">
        <v>0</v>
      </c>
      <c r="V68" s="216" t="str">
        <f ca="1">VLOOKUP($W68,OFFSET(enemy_skill_sets!$B$1,0,0,COUNTA(enemy_skill_sets!$B:$B),MATCH(M$1,enemy_skill_sets!$1:$1,0)-MATCH($W$1,enemy_skill_sets!$1:$1,0)+2),MATCH(M$1,enemy_skill_sets!$1:$1,0)-MATCH($W$1,enemy_skill_sets!$1:$1,0)+2,FALSE)</f>
        <v>赤パネル吸収量が多いほど攻撃力上昇</v>
      </c>
      <c r="W68" s="216">
        <v>15030007</v>
      </c>
      <c r="X68" s="217">
        <v>1</v>
      </c>
      <c r="Y68" s="217">
        <v>100</v>
      </c>
      <c r="Z68" s="217">
        <v>1</v>
      </c>
      <c r="AA68" s="218">
        <v>2</v>
      </c>
      <c r="AB68" s="219">
        <f t="shared" si="58"/>
        <v>435</v>
      </c>
      <c r="AC68" s="210" t="str">
        <f ca="1">VLOOKUP($AB68,OFFSET([4]characters!$A$1,0,0,COUNTA([4]characters!$A:$A),MATCH(AC$1,[4]characters!$1:$1,0)-MATCH("character_id",[4]characters!$1:$1,0)+1),MATCH(AC$1,[4]characters!$1:$1,0)-MATCH("character_id",[4]characters!$1:$1,0)+1,FALSE)</f>
        <v>曝弾の密偵 D.R.T.H.</v>
      </c>
      <c r="AD68" s="210">
        <f ca="1">VLOOKUP($AB68,OFFSET([4]characters!$A$1,0,0,COUNTA([4]characters!$A:$A),MATCH(AD$1,[4]characters!$1:$1,0)-MATCH("character_id",[4]characters!$1:$1,0)+1),MATCH(AD$1,[4]characters!$1:$1,0)-MATCH("character_id",[4]characters!$1:$1,0)+1,FALSE)</f>
        <v>5</v>
      </c>
      <c r="AE68" s="210" t="str">
        <f ca="1">VLOOKUP($AB68,OFFSET([4]characters!$A$1,0,0,COUNTA([4]characters!$A:$A),MATCH(AE$1,[4]characters!$1:$1,0)-MATCH("character_id",[4]characters!$1:$1,0)+1),MATCH(AE$1,[4]characters!$1:$1,0)-MATCH("character_id",[4]characters!$1:$1,0)+1,FALSE)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8" s="220">
        <v>1</v>
      </c>
      <c r="AG68" s="219">
        <f t="shared" ca="1" si="59"/>
        <v>5</v>
      </c>
      <c r="AH68" s="221">
        <v>0</v>
      </c>
      <c r="AI68" s="220">
        <v>0</v>
      </c>
      <c r="AJ68" s="220">
        <v>0</v>
      </c>
      <c r="AK68" s="220">
        <v>0</v>
      </c>
      <c r="AL68" s="220">
        <v>0</v>
      </c>
      <c r="AM68" s="220">
        <v>1</v>
      </c>
      <c r="AN68" s="222">
        <v>1</v>
      </c>
    </row>
    <row r="69" spans="1:40" ht="21" customHeight="1" x14ac:dyDescent="0.15">
      <c r="A69" s="13" t="str">
        <f t="shared" ca="1" si="55"/>
        <v>15030_4-1/342&lt;lv1&gt;s3</v>
      </c>
      <c r="B69" s="90">
        <v>15030</v>
      </c>
      <c r="C69" s="132">
        <v>4</v>
      </c>
      <c r="D69" s="102" t="str">
        <f t="shared" si="56"/>
        <v>15030_4</v>
      </c>
      <c r="E69" s="3" t="str">
        <f ca="1">VLOOKUP($B69,OFFSET([2]quests!$A$1,0,0,COUNTA([2]quests!$A:$A),MATCH(E$1,[2]quests!$1:$1,0)-MATCH($B$1,[2]quests!$1:$1,0)+1),MATCH(E$1,[2]quests!$1:$1,0)-MATCH($B$1,[2]quests!$1:$1,0)+1,FALSE)</f>
        <v>30. 月夜のオールドシティ</v>
      </c>
      <c r="F69" s="3" t="str">
        <f ca="1">VLOOKUP($D69,OFFSET([2]stages!$A$1,0,0,COUNTA([2]stages!$A:$A),MATCH(F$1,[2]stages!$2:$2,0)-MATCH($D$1,[2]stages!$2:$2,0)+1),MATCH(F$1,[2]stages!$2:$2,0)-MATCH($D$1,[2]stages!$2:$2,0)+1,FALSE)</f>
        <v>30-4. 【1回のみ】ボーナスステージ</v>
      </c>
      <c r="G69" s="132">
        <v>1</v>
      </c>
      <c r="H69" s="102" t="str">
        <f t="shared" si="57"/>
        <v>15030_4-1</v>
      </c>
      <c r="I69" s="138" t="e">
        <v>#VALUE!</v>
      </c>
      <c r="J69" s="138" t="e">
        <v>#VALUE!</v>
      </c>
      <c r="K69" s="103" t="s">
        <v>87</v>
      </c>
      <c r="L69" s="104">
        <v>342</v>
      </c>
      <c r="M69" s="14" t="str">
        <f ca="1">VLOOKUP($L69,OFFSET([3]enemies!$A$1,0,0,COUNTA([3]enemies!$A:$A),MATCH(M$1,[3]enemies!$1:$1,0)-MATCH($L$1,[3]enemies!$1:$1,0)+1),MATCH(M$1,[3]enemies!$1:$1,0)-MATCH($L$1,[3]enemies!$1:$1,0)+1,FALSE)</f>
        <v>水のメタルダック</v>
      </c>
      <c r="N69" s="14" t="str">
        <f ca="1">VLOOKUP($L69,OFFSET([3]enemies!$A$1,0,0,COUNTA([3]enemies!$A:$A),MATCH(N$1,[3]enemies!$1:$1,0)-MATCH($L$1,[3]enemies!$1:$1,0)+1),MATCH(N$1,[3]enemies!$1:$1,0)-MATCH($L$1,[3]enemies!$1:$1,0)+1,FALSE)</f>
        <v>blue</v>
      </c>
      <c r="O69" s="14" t="str">
        <f ca="1">VLOOKUP($L69,OFFSET([4]characters!$A$1,0,0,COUNTA([4]characters!$A:$A),MATCH(O$1,[4]characters!$1:$1,0)-MATCH($L$1,[4]characters!$1:$1,0)+1),MATCH(O$1,[4]characters!$1:$1,0)-MATCH($L$1,[4]characters!$1:$1,0)+1,FALSE)</f>
        <v>Material</v>
      </c>
      <c r="P69" s="14" t="str">
        <f ca="1">VLOOKUP($L69,OFFSET([3]enemies!$A$1,0,0,COUNTA([3]enemies!$A:$A),MATCH(P$1,[3]enemies!$1:$1,0)-MATCH($L$1,[3]enemies!$1:$1,0)+1),MATCH(P$1,[3]enemies!$1:$1,0)-MATCH($L$1,[3]enemies!$1:$1,0)+1,FALSE)</f>
        <v>unknown</v>
      </c>
      <c r="Q69" s="14">
        <f ca="1">VLOOKUP($L69,OFFSET([3]enemies!$A$1,0,0,COUNTA([3]enemies!$A:$A),MATCH(Q$1,[3]enemies!$1:$1,0)-MATCH($L$1,[3]enemies!$1:$1,0)+1),MATCH(Q$1,[3]enemies!$1:$1,0)-MATCH($L$1,[3]enemies!$1:$1,0)+1,FALSE)</f>
        <v>20</v>
      </c>
      <c r="R69" s="105">
        <v>1</v>
      </c>
      <c r="S69" s="106">
        <v>1</v>
      </c>
      <c r="T69" s="106">
        <v>1</v>
      </c>
      <c r="U69" s="105">
        <v>-5000</v>
      </c>
      <c r="V69" s="3" t="e">
        <f ca="1">VLOOKUP($W69,OFFSET(enemy_skill_sets!$B$1,0,0,COUNTA(enemy_skill_sets!$B:$B),MATCH(M$1,enemy_skill_sets!$1:$1,0)-MATCH($W$1,enemy_skill_sets!$1:$1,0)+2),MATCH(M$1,enemy_skill_sets!$1:$1,0)-MATCH($W$1,enemy_skill_sets!$1:$1,0)+2,FALSE)</f>
        <v>#N/A</v>
      </c>
      <c r="W69" s="3">
        <f ca="1">VLOOKUP($L69,OFFSET([3]enemies!$A$1,0,0,COUNTA([3]enemies!$A:$A),MATCH(W$1,[3]enemies!$1:$1,0)-MATCH($L$1,[3]enemies!$1:$1,0)+1),MATCH(W$1,[3]enemies!$1:$1,0)-MATCH($L$1,[3]enemies!$1:$1,0)+1,FALSE)</f>
        <v>0</v>
      </c>
      <c r="X69" s="107">
        <v>0</v>
      </c>
      <c r="Y69" s="107">
        <v>100</v>
      </c>
      <c r="Z69" s="107">
        <v>0</v>
      </c>
      <c r="AA69" s="14">
        <f ca="1">VLOOKUP($L69,OFFSET([3]enemies!$A$1,0,0,COUNTA([3]enemies!$A:$A),MATCH(AA$1,[3]enemies!$1:$1,0)-MATCH($L$1,[3]enemies!$1:$1,0)+1),MATCH(AA$1,[3]enemies!$1:$1,0)-MATCH($L$1,[3]enemies!$1:$1,0)+1,FALSE)</f>
        <v>3</v>
      </c>
      <c r="AB69" s="108">
        <f t="shared" si="58"/>
        <v>342</v>
      </c>
      <c r="AC69" s="3" t="str">
        <f ca="1">VLOOKUP($AB69,OFFSET([4]characters!$A$1,0,0,COUNTA([4]characters!$A:$A),MATCH(AC$1,[4]characters!$1:$1,0)-MATCH("character_id",[4]characters!$1:$1,0)+1),MATCH(AC$1,[4]characters!$1:$1,0)-MATCH("character_id",[4]characters!$1:$1,0)+1,FALSE)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69" s="3">
        <f ca="1">VLOOKUP($AB69,OFFSET([4]characters!$A$1,0,0,COUNTA([4]characters!$A:$A),MATCH(AD$1,[4]characters!$1:$1,0)-MATCH("character_id",[4]characters!$1:$1,0)+1),MATCH(AD$1,[4]characters!$1:$1,0)-MATCH("character_id",[4]characters!$1:$1,0)+1,FALSE)</f>
        <v>5</v>
      </c>
      <c r="AE69" s="3" t="str">
        <f ca="1">VLOOKUP($AB69,OFFSET([4]characters!$A$1,0,0,COUNTA([4]characters!$A:$A),MATCH(AE$1,[4]characters!$1:$1,0)-MATCH("character_id",[4]characters!$1:$1,0)+1),MATCH(AE$1,[4]characters!$1:$1,0)-MATCH("character_id",[4]characters!$1:$1,0)+1,FALSE)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9" s="109">
        <v>1</v>
      </c>
      <c r="AG69" s="108">
        <f t="shared" ca="1" si="59"/>
        <v>5</v>
      </c>
      <c r="AH69" s="111">
        <v>100</v>
      </c>
      <c r="AI69" s="109">
        <v>0</v>
      </c>
      <c r="AJ69" s="109">
        <v>0</v>
      </c>
      <c r="AK69" s="109">
        <v>0</v>
      </c>
      <c r="AL69" s="109">
        <v>0</v>
      </c>
      <c r="AM69" s="109">
        <v>1</v>
      </c>
      <c r="AN69" s="111">
        <v>1</v>
      </c>
    </row>
    <row r="70" spans="1:40" ht="21" customHeight="1" x14ac:dyDescent="0.15">
      <c r="A70" s="13" t="str">
        <f t="shared" ca="1" si="55"/>
        <v>15030_4-1/334&lt;lv1&gt;s3</v>
      </c>
      <c r="B70" s="90">
        <v>15030</v>
      </c>
      <c r="C70" s="89">
        <v>4</v>
      </c>
      <c r="D70" s="1" t="str">
        <f t="shared" si="56"/>
        <v>15030_4</v>
      </c>
      <c r="E70" s="3" t="str">
        <f ca="1">VLOOKUP($B70,OFFSET([2]quests!$A$1,0,0,COUNTA([2]quests!$A:$A),MATCH(E$1,[2]quests!$1:$1,0)-MATCH($B$1,[2]quests!$1:$1,0)+1),MATCH(E$1,[2]quests!$1:$1,0)-MATCH($B$1,[2]quests!$1:$1,0)+1,FALSE)</f>
        <v>30. 月夜のオールドシティ</v>
      </c>
      <c r="F70" s="3" t="str">
        <f ca="1">VLOOKUP($D70,OFFSET([2]stages!$A$1,0,0,COUNTA([2]stages!$A:$A),MATCH(F$1,[2]stages!$2:$2,0)-MATCH($D$1,[2]stages!$2:$2,0)+1),MATCH(F$1,[2]stages!$2:$2,0)-MATCH($D$1,[2]stages!$2:$2,0)+1,FALSE)</f>
        <v>30-4. 【1回のみ】ボーナスステージ</v>
      </c>
      <c r="G70" s="132">
        <v>1</v>
      </c>
      <c r="H70" s="102" t="str">
        <f t="shared" si="57"/>
        <v>15030_4-1</v>
      </c>
      <c r="I70" s="138" t="e">
        <v>#VALUE!</v>
      </c>
      <c r="J70" s="138" t="e">
        <v>#VALUE!</v>
      </c>
      <c r="K70" s="103" t="s">
        <v>273</v>
      </c>
      <c r="L70" s="104">
        <v>334</v>
      </c>
      <c r="M70" s="14" t="str">
        <f ca="1">VLOOKUP($L70,OFFSET([3]enemies!$A$1,0,0,COUNTA([3]enemies!$A:$A),MATCH(M$1,[3]enemies!$1:$1,0)-MATCH($L$1,[3]enemies!$1:$1,0)+1),MATCH(M$1,[3]enemies!$1:$1,0)-MATCH($L$1,[3]enemies!$1:$1,0)+1,FALSE)</f>
        <v>炎のメタルダック</v>
      </c>
      <c r="N70" s="14" t="str">
        <f ca="1">VLOOKUP($L70,OFFSET([3]enemies!$A$1,0,0,COUNTA([3]enemies!$A:$A),MATCH(N$1,[3]enemies!$1:$1,0)-MATCH($L$1,[3]enemies!$1:$1,0)+1),MATCH(N$1,[3]enemies!$1:$1,0)-MATCH($L$1,[3]enemies!$1:$1,0)+1,FALSE)</f>
        <v>red</v>
      </c>
      <c r="O70" s="14" t="str">
        <f ca="1">VLOOKUP($L70,OFFSET([4]characters!$A$1,0,0,COUNTA([4]characters!$A:$A),MATCH(O$1,[4]characters!$1:$1,0)-MATCH($L$1,[4]characters!$1:$1,0)+1),MATCH(O$1,[4]characters!$1:$1,0)-MATCH($L$1,[4]characters!$1:$1,0)+1,FALSE)</f>
        <v>Material</v>
      </c>
      <c r="P70" s="14" t="str">
        <f ca="1">VLOOKUP($L70,OFFSET([3]enemies!$A$1,0,0,COUNTA([3]enemies!$A:$A),MATCH(P$1,[3]enemies!$1:$1,0)-MATCH($L$1,[3]enemies!$1:$1,0)+1),MATCH(P$1,[3]enemies!$1:$1,0)-MATCH($L$1,[3]enemies!$1:$1,0)+1,FALSE)</f>
        <v>unknown</v>
      </c>
      <c r="Q70" s="14">
        <f ca="1">VLOOKUP($L70,OFFSET([3]enemies!$A$1,0,0,COUNTA([3]enemies!$A:$A),MATCH(Q$1,[3]enemies!$1:$1,0)-MATCH($L$1,[3]enemies!$1:$1,0)+1),MATCH(Q$1,[3]enemies!$1:$1,0)-MATCH($L$1,[3]enemies!$1:$1,0)+1,FALSE)</f>
        <v>20</v>
      </c>
      <c r="R70" s="4">
        <v>1</v>
      </c>
      <c r="S70" s="19">
        <v>1</v>
      </c>
      <c r="T70" s="19">
        <v>1</v>
      </c>
      <c r="U70" s="4">
        <v>-5000</v>
      </c>
      <c r="V70" s="3" t="e">
        <f ca="1">VLOOKUP($W70,OFFSET(enemy_skill_sets!$B$1,0,0,COUNTA(enemy_skill_sets!$B:$B),MATCH(M$1,enemy_skill_sets!$1:$1,0)-MATCH($W$1,enemy_skill_sets!$1:$1,0)+2),MATCH(M$1,enemy_skill_sets!$1:$1,0)-MATCH($W$1,enemy_skill_sets!$1:$1,0)+2,FALSE)</f>
        <v>#N/A</v>
      </c>
      <c r="W70" s="3">
        <f ca="1">VLOOKUP($L70,OFFSET([3]enemies!$A$1,0,0,COUNTA([3]enemies!$A:$A),MATCH(W$1,[3]enemies!$1:$1,0)-MATCH($L$1,[3]enemies!$1:$1,0)+1),MATCH(W$1,[3]enemies!$1:$1,0)-MATCH($L$1,[3]enemies!$1:$1,0)+1,FALSE)</f>
        <v>0</v>
      </c>
      <c r="X70" s="5">
        <v>0</v>
      </c>
      <c r="Y70" s="5">
        <v>100</v>
      </c>
      <c r="Z70" s="5">
        <v>0</v>
      </c>
      <c r="AA70" s="14">
        <f ca="1">VLOOKUP($L70,OFFSET([3]enemies!$A$1,0,0,COUNTA([3]enemies!$A:$A),MATCH(AA$1,[3]enemies!$1:$1,0)-MATCH($L$1,[3]enemies!$1:$1,0)+1),MATCH(AA$1,[3]enemies!$1:$1,0)-MATCH($L$1,[3]enemies!$1:$1,0)+1,FALSE)</f>
        <v>3</v>
      </c>
      <c r="AB70" s="18">
        <f t="shared" si="58"/>
        <v>334</v>
      </c>
      <c r="AC70" s="3" t="str">
        <f ca="1">VLOOKUP($AB70,OFFSET([4]characters!$A$1,0,0,COUNTA([4]characters!$A:$A),MATCH(AC$1,[4]characters!$1:$1,0)-MATCH("character_id",[4]characters!$1:$1,0)+1),MATCH(AC$1,[4]characters!$1:$1,0)-MATCH("character_id",[4]characters!$1:$1,0)+1,FALSE)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70" s="3">
        <f ca="1">VLOOKUP($AB70,OFFSET([4]characters!$A$1,0,0,COUNTA([4]characters!$A:$A),MATCH(AD$1,[4]characters!$1:$1,0)-MATCH("character_id",[4]characters!$1:$1,0)+1),MATCH(AD$1,[4]characters!$1:$1,0)-MATCH("character_id",[4]characters!$1:$1,0)+1,FALSE)</f>
        <v>5</v>
      </c>
      <c r="AE70" s="3" t="str">
        <f ca="1">VLOOKUP($AB70,OFFSET([4]characters!$A$1,0,0,COUNTA([4]characters!$A:$A),MATCH(AE$1,[4]characters!$1:$1,0)-MATCH("character_id",[4]characters!$1:$1,0)+1),MATCH(AE$1,[4]characters!$1:$1,0)-MATCH("character_id",[4]characters!$1:$1,0)+1,FALSE)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0" s="6">
        <v>1</v>
      </c>
      <c r="AG70" s="18">
        <f t="shared" ca="1" si="59"/>
        <v>5</v>
      </c>
      <c r="AH70" s="111">
        <v>100</v>
      </c>
      <c r="AI70" s="88">
        <v>0</v>
      </c>
      <c r="AJ70" s="88">
        <v>0</v>
      </c>
      <c r="AK70" s="88">
        <v>0</v>
      </c>
      <c r="AL70" s="88">
        <v>0</v>
      </c>
      <c r="AM70" s="88">
        <v>1</v>
      </c>
      <c r="AN70" s="62">
        <v>1</v>
      </c>
    </row>
    <row r="71" spans="1:40" ht="21" customHeight="1" x14ac:dyDescent="0.15">
      <c r="A71" s="13" t="str">
        <f t="shared" ca="1" si="55"/>
        <v>15030_4-2/343&lt;lv1&gt;s4</v>
      </c>
      <c r="B71" s="90">
        <v>15030</v>
      </c>
      <c r="C71" s="89">
        <v>4</v>
      </c>
      <c r="D71" s="1" t="str">
        <f t="shared" si="56"/>
        <v>15030_4</v>
      </c>
      <c r="E71" s="3" t="str">
        <f ca="1">VLOOKUP($B71,OFFSET([2]quests!$A$1,0,0,COUNTA([2]quests!$A:$A),MATCH(E$1,[2]quests!$1:$1,0)-MATCH($B$1,[2]quests!$1:$1,0)+1),MATCH(E$1,[2]quests!$1:$1,0)-MATCH($B$1,[2]quests!$1:$1,0)+1,FALSE)</f>
        <v>30. 月夜のオールドシティ</v>
      </c>
      <c r="F71" s="3" t="str">
        <f ca="1">VLOOKUP($D71,OFFSET([2]stages!$A$1,0,0,COUNTA([2]stages!$A:$A),MATCH(F$1,[2]stages!$2:$2,0)-MATCH($D$1,[2]stages!$2:$2,0)+1),MATCH(F$1,[2]stages!$2:$2,0)-MATCH($D$1,[2]stages!$2:$2,0)+1,FALSE)</f>
        <v>30-4. 【1回のみ】ボーナスステージ</v>
      </c>
      <c r="G71" s="89">
        <v>2</v>
      </c>
      <c r="H71" s="12" t="str">
        <f t="shared" si="57"/>
        <v>15030_4-2</v>
      </c>
      <c r="I71" s="15" t="e">
        <v>#VALUE!</v>
      </c>
      <c r="J71" s="15" t="e">
        <v>#VALUE!</v>
      </c>
      <c r="K71" s="31" t="s">
        <v>273</v>
      </c>
      <c r="L71" s="95">
        <v>343</v>
      </c>
      <c r="M71" s="14" t="str">
        <f ca="1">VLOOKUP($L71,OFFSET([3]enemies!$A$1,0,0,COUNTA([3]enemies!$A:$A),MATCH(M$1,[3]enemies!$1:$1,0)-MATCH($L$1,[3]enemies!$1:$1,0)+1),MATCH(M$1,[3]enemies!$1:$1,0)-MATCH($L$1,[3]enemies!$1:$1,0)+1,FALSE)</f>
        <v>水のメタルジェントル</v>
      </c>
      <c r="N71" s="14" t="str">
        <f ca="1">VLOOKUP($L71,OFFSET([3]enemies!$A$1,0,0,COUNTA([3]enemies!$A:$A),MATCH(N$1,[3]enemies!$1:$1,0)-MATCH($L$1,[3]enemies!$1:$1,0)+1),MATCH(N$1,[3]enemies!$1:$1,0)-MATCH($L$1,[3]enemies!$1:$1,0)+1,FALSE)</f>
        <v>blue</v>
      </c>
      <c r="O71" s="14" t="str">
        <f ca="1">VLOOKUP($L71,OFFSET([4]characters!$A$1,0,0,COUNTA([4]characters!$A:$A),MATCH(O$1,[4]characters!$1:$1,0)-MATCH($L$1,[4]characters!$1:$1,0)+1),MATCH(O$1,[4]characters!$1:$1,0)-MATCH($L$1,[4]characters!$1:$1,0)+1,FALSE)</f>
        <v>Material</v>
      </c>
      <c r="P71" s="14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14">
        <f ca="1">VLOOKUP($L71,OFFSET([3]enemies!$A$1,0,0,COUNTA([3]enemies!$A:$A),MATCH(Q$1,[3]enemies!$1:$1,0)-MATCH($L$1,[3]enemies!$1:$1,0)+1),MATCH(Q$1,[3]enemies!$1:$1,0)-MATCH($L$1,[3]enemies!$1:$1,0)+1,FALSE)</f>
        <v>20</v>
      </c>
      <c r="R71" s="4">
        <v>1</v>
      </c>
      <c r="S71" s="19">
        <v>1</v>
      </c>
      <c r="T71" s="19">
        <v>1</v>
      </c>
      <c r="U71" s="4">
        <v>-5000</v>
      </c>
      <c r="V71" s="3" t="e">
        <f ca="1">VLOOKUP($W71,OFFSET(enemy_skill_sets!$B$1,0,0,COUNTA(enemy_skill_sets!$B:$B),MATCH(M$1,enemy_skill_sets!$1:$1,0)-MATCH($W$1,enemy_skill_sets!$1:$1,0)+2),MATCH(M$1,enemy_skill_sets!$1:$1,0)-MATCH($W$1,enemy_skill_sets!$1:$1,0)+2,FALSE)</f>
        <v>#N/A</v>
      </c>
      <c r="W71" s="3">
        <f ca="1">VLOOKUP($L71,OFFSET([3]enemies!$A$1,0,0,COUNTA([3]enemies!$A:$A),MATCH(W$1,[3]enemies!$1:$1,0)-MATCH($L$1,[3]enemies!$1:$1,0)+1),MATCH(W$1,[3]enemies!$1:$1,0)-MATCH($L$1,[3]enemies!$1:$1,0)+1,FALSE)</f>
        <v>0</v>
      </c>
      <c r="X71" s="5">
        <v>1</v>
      </c>
      <c r="Y71" s="5">
        <v>100</v>
      </c>
      <c r="Z71" s="5">
        <v>0</v>
      </c>
      <c r="AA71" s="14">
        <f ca="1">VLOOKUP($L71,OFFSET([3]enemies!$A$1,0,0,COUNTA([3]enemies!$A:$A),MATCH(AA$1,[3]enemies!$1:$1,0)-MATCH($L$1,[3]enemies!$1:$1,0)+1),MATCH(AA$1,[3]enemies!$1:$1,0)-MATCH($L$1,[3]enemies!$1:$1,0)+1,FALSE)</f>
        <v>4</v>
      </c>
      <c r="AB71" s="18">
        <f t="shared" si="58"/>
        <v>343</v>
      </c>
      <c r="AC71" s="3" t="str">
        <f ca="1">VLOOKUP($AB71,OFFSET([4]characters!$A$1,0,0,COUNTA([4]characters!$A:$A),MATCH(AC$1,[4]characters!$1:$1,0)-MATCH("character_id",[4]characters!$1:$1,0)+1),MATCH(AC$1,[4]characters!$1:$1,0)-MATCH("character_id",[4]characters!$1:$1,0)+1,FALSE)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71" s="3">
        <f ca="1">VLOOKUP($AB71,OFFSET([4]characters!$A$1,0,0,COUNTA([4]characters!$A:$A),MATCH(AD$1,[4]characters!$1:$1,0)-MATCH("character_id",[4]characters!$1:$1,0)+1),MATCH(AD$1,[4]characters!$1:$1,0)-MATCH("character_id",[4]characters!$1:$1,0)+1,FALSE)</f>
        <v>6</v>
      </c>
      <c r="AE71" s="3" t="str">
        <f ca="1">VLOOKUP($AB71,OFFSET([4]characters!$A$1,0,0,COUNTA([4]characters!$A:$A),MATCH(AE$1,[4]characters!$1:$1,0)-MATCH("character_id",[4]characters!$1:$1,0)+1),MATCH(AE$1,[4]characters!$1:$1,0)-MATCH("character_id",[4]characters!$1:$1,0)+1,FALSE)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1" s="6">
        <v>1</v>
      </c>
      <c r="AG71" s="18">
        <f t="shared" ca="1" si="59"/>
        <v>6</v>
      </c>
      <c r="AH71" s="62">
        <v>100</v>
      </c>
      <c r="AI71" s="88">
        <v>0</v>
      </c>
      <c r="AJ71" s="88">
        <v>0</v>
      </c>
      <c r="AK71" s="88">
        <v>0</v>
      </c>
      <c r="AL71" s="88">
        <v>0</v>
      </c>
      <c r="AM71" s="88">
        <v>1</v>
      </c>
      <c r="AN71" s="62">
        <v>1</v>
      </c>
    </row>
    <row r="72" spans="1:40" ht="21" customHeight="1" x14ac:dyDescent="0.15">
      <c r="A72" s="13" t="str">
        <f t="shared" ca="1" si="55"/>
        <v>15030_4-2/335&lt;lv1&gt;s4</v>
      </c>
      <c r="B72" s="90">
        <v>15030</v>
      </c>
      <c r="C72" s="89">
        <v>4</v>
      </c>
      <c r="D72" s="1" t="str">
        <f t="shared" si="56"/>
        <v>15030_4</v>
      </c>
      <c r="E72" s="3" t="str">
        <f ca="1">VLOOKUP($B72,OFFSET([2]quests!$A$1,0,0,COUNTA([2]quests!$A:$A),MATCH(E$1,[2]quests!$1:$1,0)-MATCH($B$1,[2]quests!$1:$1,0)+1),MATCH(E$1,[2]quests!$1:$1,0)-MATCH($B$1,[2]quests!$1:$1,0)+1,FALSE)</f>
        <v>30. 月夜のオールドシティ</v>
      </c>
      <c r="F72" s="3" t="str">
        <f ca="1">VLOOKUP($D72,OFFSET([2]stages!$A$1,0,0,COUNTA([2]stages!$A:$A),MATCH(F$1,[2]stages!$2:$2,0)-MATCH($D$1,[2]stages!$2:$2,0)+1),MATCH(F$1,[2]stages!$2:$2,0)-MATCH($D$1,[2]stages!$2:$2,0)+1,FALSE)</f>
        <v>30-4. 【1回のみ】ボーナスステージ</v>
      </c>
      <c r="G72" s="132">
        <v>2</v>
      </c>
      <c r="H72" s="102" t="str">
        <f t="shared" si="57"/>
        <v>15030_4-2</v>
      </c>
      <c r="I72" s="138" t="e">
        <v>#VALUE!</v>
      </c>
      <c r="J72" s="138" t="e">
        <v>#VALUE!</v>
      </c>
      <c r="K72" s="103" t="s">
        <v>273</v>
      </c>
      <c r="L72" s="104">
        <v>335</v>
      </c>
      <c r="M72" s="14" t="str">
        <f ca="1">VLOOKUP($L72,OFFSET([3]enemies!$A$1,0,0,COUNTA([3]enemies!$A:$A),MATCH(M$1,[3]enemies!$1:$1,0)-MATCH($L$1,[3]enemies!$1:$1,0)+1),MATCH(M$1,[3]enemies!$1:$1,0)-MATCH($L$1,[3]enemies!$1:$1,0)+1,FALSE)</f>
        <v>炎のメタルジェントル</v>
      </c>
      <c r="N72" s="14" t="str">
        <f ca="1">VLOOKUP($L72,OFFSET([3]enemies!$A$1,0,0,COUNTA([3]enemies!$A:$A),MATCH(N$1,[3]enemies!$1:$1,0)-MATCH($L$1,[3]enemies!$1:$1,0)+1),MATCH(N$1,[3]enemies!$1:$1,0)-MATCH($L$1,[3]enemies!$1:$1,0)+1,FALSE)</f>
        <v>red</v>
      </c>
      <c r="O72" s="14" t="str">
        <f ca="1">VLOOKUP($L72,OFFSET([4]characters!$A$1,0,0,COUNTA([4]characters!$A:$A),MATCH(O$1,[4]characters!$1:$1,0)-MATCH($L$1,[4]characters!$1:$1,0)+1),MATCH(O$1,[4]characters!$1:$1,0)-MATCH($L$1,[4]characters!$1:$1,0)+1,FALSE)</f>
        <v>Material</v>
      </c>
      <c r="P72" s="14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14">
        <f ca="1">VLOOKUP($L72,OFFSET([3]enemies!$A$1,0,0,COUNTA([3]enemies!$A:$A),MATCH(Q$1,[3]enemies!$1:$1,0)-MATCH($L$1,[3]enemies!$1:$1,0)+1),MATCH(Q$1,[3]enemies!$1:$1,0)-MATCH($L$1,[3]enemies!$1:$1,0)+1,FALSE)</f>
        <v>20</v>
      </c>
      <c r="R72" s="4">
        <v>1</v>
      </c>
      <c r="S72" s="19">
        <v>1</v>
      </c>
      <c r="T72" s="19">
        <v>1</v>
      </c>
      <c r="U72" s="4">
        <v>-5000</v>
      </c>
      <c r="V72" s="3" t="e">
        <f ca="1">VLOOKUP($W72,OFFSET(enemy_skill_sets!$B$1,0,0,COUNTA(enemy_skill_sets!$B:$B),MATCH(M$1,enemy_skill_sets!$1:$1,0)-MATCH($W$1,enemy_skill_sets!$1:$1,0)+2),MATCH(M$1,enemy_skill_sets!$1:$1,0)-MATCH($W$1,enemy_skill_sets!$1:$1,0)+2,FALSE)</f>
        <v>#N/A</v>
      </c>
      <c r="W72" s="3">
        <f ca="1">VLOOKUP($L72,OFFSET([3]enemies!$A$1,0,0,COUNTA([3]enemies!$A:$A),MATCH(W$1,[3]enemies!$1:$1,0)-MATCH($L$1,[3]enemies!$1:$1,0)+1),MATCH(W$1,[3]enemies!$1:$1,0)-MATCH($L$1,[3]enemies!$1:$1,0)+1,FALSE)</f>
        <v>0</v>
      </c>
      <c r="X72" s="5">
        <v>0</v>
      </c>
      <c r="Y72" s="5">
        <v>100</v>
      </c>
      <c r="Z72" s="5">
        <v>0</v>
      </c>
      <c r="AA72" s="14">
        <f ca="1">VLOOKUP($L72,OFFSET([3]enemies!$A$1,0,0,COUNTA([3]enemies!$A:$A),MATCH(AA$1,[3]enemies!$1:$1,0)-MATCH($L$1,[3]enemies!$1:$1,0)+1),MATCH(AA$1,[3]enemies!$1:$1,0)-MATCH($L$1,[3]enemies!$1:$1,0)+1,FALSE)</f>
        <v>4</v>
      </c>
      <c r="AB72" s="18">
        <f t="shared" si="58"/>
        <v>335</v>
      </c>
      <c r="AC72" s="3" t="str">
        <f ca="1">VLOOKUP($AB72,OFFSET([4]characters!$A$1,0,0,COUNTA([4]characters!$A:$A),MATCH(AC$1,[4]characters!$1:$1,0)-MATCH("character_id",[4]characters!$1:$1,0)+1),MATCH(AC$1,[4]characters!$1:$1,0)-MATCH("character_id",[4]characters!$1:$1,0)+1,FALSE)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72" s="3">
        <f ca="1">VLOOKUP($AB72,OFFSET([4]characters!$A$1,0,0,COUNTA([4]characters!$A:$A),MATCH(AD$1,[4]characters!$1:$1,0)-MATCH("character_id",[4]characters!$1:$1,0)+1),MATCH(AD$1,[4]characters!$1:$1,0)-MATCH("character_id",[4]characters!$1:$1,0)+1,FALSE)</f>
        <v>6</v>
      </c>
      <c r="AE72" s="3" t="str">
        <f ca="1">VLOOKUP($AB72,OFFSET([4]characters!$A$1,0,0,COUNTA([4]characters!$A:$A),MATCH(AE$1,[4]characters!$1:$1,0)-MATCH("character_id",[4]characters!$1:$1,0)+1),MATCH(AE$1,[4]characters!$1:$1,0)-MATCH("character_id",[4]characters!$1:$1,0)+1,FALSE)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2" s="6">
        <v>1</v>
      </c>
      <c r="AG72" s="18">
        <f t="shared" ca="1" si="59"/>
        <v>6</v>
      </c>
      <c r="AH72" s="111">
        <v>0</v>
      </c>
      <c r="AI72" s="88">
        <v>0</v>
      </c>
      <c r="AJ72" s="88">
        <v>0</v>
      </c>
      <c r="AK72" s="88">
        <v>0</v>
      </c>
      <c r="AL72" s="88">
        <v>0</v>
      </c>
      <c r="AM72" s="88">
        <v>1</v>
      </c>
      <c r="AN72" s="62">
        <v>1</v>
      </c>
    </row>
    <row r="73" spans="1:40" ht="21" customHeight="1" x14ac:dyDescent="0.15">
      <c r="A73" s="13" t="str">
        <f t="shared" ca="1" si="55"/>
        <v>15030_4-3/120&lt;lv30&gt;s4</v>
      </c>
      <c r="B73" s="90">
        <v>15030</v>
      </c>
      <c r="C73" s="89">
        <v>4</v>
      </c>
      <c r="D73" s="1" t="str">
        <f t="shared" si="56"/>
        <v>15030_4</v>
      </c>
      <c r="E73" s="3" t="str">
        <f ca="1">VLOOKUP($B73,OFFSET([2]quests!$A$1,0,0,COUNTA([2]quests!$A:$A),MATCH(E$1,[2]quests!$1:$1,0)-MATCH($B$1,[2]quests!$1:$1,0)+1),MATCH(E$1,[2]quests!$1:$1,0)-MATCH($B$1,[2]quests!$1:$1,0)+1,FALSE)</f>
        <v>30. 月夜のオールドシティ</v>
      </c>
      <c r="F73" s="3" t="str">
        <f ca="1">VLOOKUP($D73,OFFSET([2]stages!$A$1,0,0,COUNTA([2]stages!$A:$A),MATCH(F$1,[2]stages!$2:$2,0)-MATCH($D$1,[2]stages!$2:$2,0)+1),MATCH(F$1,[2]stages!$2:$2,0)-MATCH($D$1,[2]stages!$2:$2,0)+1,FALSE)</f>
        <v>30-4. 【1回のみ】ボーナスステージ</v>
      </c>
      <c r="G73" s="89">
        <v>3</v>
      </c>
      <c r="H73" s="12" t="str">
        <f t="shared" si="57"/>
        <v>15030_4-3</v>
      </c>
      <c r="I73" s="15" t="e">
        <v>#VALUE!</v>
      </c>
      <c r="J73" s="15" t="e">
        <v>#VALUE!</v>
      </c>
      <c r="K73" s="31" t="s">
        <v>273</v>
      </c>
      <c r="L73" s="95">
        <v>120</v>
      </c>
      <c r="M73" s="14" t="str">
        <f ca="1">VLOOKUP($L73,OFFSET([3]enemies!$A$1,0,0,COUNTA([3]enemies!$A:$A),MATCH(M$1,[3]enemies!$1:$1,0)-MATCH($L$1,[3]enemies!$1:$1,0)+1),MATCH(M$1,[3]enemies!$1:$1,0)-MATCH($L$1,[3]enemies!$1:$1,0)+1,FALSE)</f>
        <v>ゴールドキング</v>
      </c>
      <c r="N73" s="14" t="str">
        <f ca="1">VLOOKUP($L73,OFFSET([3]enemies!$A$1,0,0,COUNTA([3]enemies!$A:$A),MATCH(N$1,[3]enemies!$1:$1,0)-MATCH($L$1,[3]enemies!$1:$1,0)+1),MATCH(N$1,[3]enemies!$1:$1,0)-MATCH($L$1,[3]enemies!$1:$1,0)+1,FALSE)</f>
        <v>yellow</v>
      </c>
      <c r="O73" s="14" t="str">
        <f ca="1">VLOOKUP($L73,OFFSET([4]characters!$A$1,0,0,COUNTA([4]characters!$A:$A),MATCH(O$1,[4]characters!$1:$1,0)-MATCH($L$1,[4]characters!$1:$1,0)+1),MATCH(O$1,[4]characters!$1:$1,0)-MATCH($L$1,[4]characters!$1:$1,0)+1,FALSE)</f>
        <v>Material</v>
      </c>
      <c r="P73" s="14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14">
        <f ca="1">VLOOKUP($L73,OFFSET([3]enemies!$A$1,0,0,COUNTA([3]enemies!$A:$A),MATCH(Q$1,[3]enemies!$1:$1,0)-MATCH($L$1,[3]enemies!$1:$1,0)+1),MATCH(Q$1,[3]enemies!$1:$1,0)-MATCH($L$1,[3]enemies!$1:$1,0)+1,FALSE)</f>
        <v>20</v>
      </c>
      <c r="R73" s="4">
        <v>30</v>
      </c>
      <c r="S73" s="19">
        <v>1.5</v>
      </c>
      <c r="T73" s="19">
        <v>1</v>
      </c>
      <c r="U73" s="4">
        <v>0</v>
      </c>
      <c r="V73" s="3" t="e">
        <f ca="1">VLOOKUP($W73,OFFSET(enemy_skill_sets!$B$1,0,0,COUNTA(enemy_skill_sets!$B:$B),MATCH(M$1,enemy_skill_sets!$1:$1,0)-MATCH($W$1,enemy_skill_sets!$1:$1,0)+2),MATCH(M$1,enemy_skill_sets!$1:$1,0)-MATCH($W$1,enemy_skill_sets!$1:$1,0)+2,FALSE)</f>
        <v>#N/A</v>
      </c>
      <c r="W73" s="3">
        <f ca="1">VLOOKUP($L73,OFFSET([3]enemies!$A$1,0,0,COUNTA([3]enemies!$A:$A),MATCH(W$1,[3]enemies!$1:$1,0)-MATCH($L$1,[3]enemies!$1:$1,0)+1),MATCH(W$1,[3]enemies!$1:$1,0)-MATCH($L$1,[3]enemies!$1:$1,0)+1,FALSE)</f>
        <v>0</v>
      </c>
      <c r="X73" s="5">
        <v>0</v>
      </c>
      <c r="Y73" s="5">
        <v>100</v>
      </c>
      <c r="Z73" s="5">
        <v>0</v>
      </c>
      <c r="AA73" s="14">
        <f ca="1">VLOOKUP($L73,OFFSET([3]enemies!$A$1,0,0,COUNTA([3]enemies!$A:$A),MATCH(AA$1,[3]enemies!$1:$1,0)-MATCH($L$1,[3]enemies!$1:$1,0)+1),MATCH(AA$1,[3]enemies!$1:$1,0)-MATCH($L$1,[3]enemies!$1:$1,0)+1,FALSE)</f>
        <v>4</v>
      </c>
      <c r="AB73" s="18">
        <f t="shared" si="58"/>
        <v>120</v>
      </c>
      <c r="AC73" s="3" t="str">
        <f ca="1">VLOOKUP($AB73,OFFSET([4]characters!$A$1,0,0,COUNTA([4]characters!$A:$A),MATCH(AC$1,[4]characters!$1:$1,0)-MATCH("character_id",[4]characters!$1:$1,0)+1),MATCH(AC$1,[4]characters!$1:$1,0)-MATCH("character_id",[4]characters!$1:$1,0)+1,FALSE)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73" s="3">
        <f ca="1">VLOOKUP($AB73,OFFSET([4]characters!$A$1,0,0,COUNTA([4]characters!$A:$A),MATCH(AD$1,[4]characters!$1:$1,0)-MATCH("character_id",[4]characters!$1:$1,0)+1),MATCH(AD$1,[4]characters!$1:$1,0)-MATCH("character_id",[4]characters!$1:$1,0)+1,FALSE)</f>
        <v>6</v>
      </c>
      <c r="AE73" s="3" t="str">
        <f ca="1">VLOOKUP($AB73,OFFSET([4]characters!$A$1,0,0,COUNTA([4]characters!$A:$A),MATCH(AE$1,[4]characters!$1:$1,0)-MATCH("character_id",[4]characters!$1:$1,0)+1),MATCH(AE$1,[4]characters!$1:$1,0)-MATCH("character_id",[4]characters!$1:$1,0)+1,FALSE)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3" s="6">
        <v>1</v>
      </c>
      <c r="AG73" s="18">
        <f t="shared" ca="1" si="59"/>
        <v>6</v>
      </c>
      <c r="AH73" s="62">
        <v>100</v>
      </c>
      <c r="AI73" s="88">
        <v>0</v>
      </c>
      <c r="AJ73" s="88">
        <v>0</v>
      </c>
      <c r="AK73" s="88">
        <v>0</v>
      </c>
      <c r="AL73" s="88">
        <v>0</v>
      </c>
      <c r="AM73" s="88">
        <v>1</v>
      </c>
      <c r="AN73" s="62">
        <v>1</v>
      </c>
    </row>
    <row r="74" spans="1:40" ht="21" customHeight="1" x14ac:dyDescent="0.15">
      <c r="A74" s="13" t="str">
        <f t="shared" ref="A74:A78" ca="1" si="105">B74&amp;"_"&amp;C74&amp;"-"&amp;G74&amp;"/"&amp;L74&amp;"&lt;lv"&amp;R74&amp;"&gt;s"&amp;AA74</f>
        <v>15030_4-4/343&lt;lv1&gt;s4</v>
      </c>
      <c r="B74" s="90">
        <v>15030</v>
      </c>
      <c r="C74" s="89">
        <v>4</v>
      </c>
      <c r="D74" s="1" t="str">
        <f t="shared" ref="D74:D78" si="106">B74&amp;"_"&amp;C74</f>
        <v>15030_4</v>
      </c>
      <c r="E74" s="3" t="str">
        <f ca="1">VLOOKUP($B74,OFFSET([2]quests!$A$1,0,0,COUNTA([2]quests!$A:$A),MATCH(E$1,[2]quests!$1:$1,0)-MATCH($B$1,[2]quests!$1:$1,0)+1),MATCH(E$1,[2]quests!$1:$1,0)-MATCH($B$1,[2]quests!$1:$1,0)+1,FALSE)</f>
        <v>30. 月夜のオールドシティ</v>
      </c>
      <c r="F74" s="3" t="str">
        <f ca="1">VLOOKUP($D74,OFFSET([2]stages!$A$1,0,0,COUNTA([2]stages!$A:$A),MATCH(F$1,[2]stages!$2:$2,0)-MATCH($D$1,[2]stages!$2:$2,0)+1),MATCH(F$1,[2]stages!$2:$2,0)-MATCH($D$1,[2]stages!$2:$2,0)+1,FALSE)</f>
        <v>30-4. 【1回のみ】ボーナスステージ</v>
      </c>
      <c r="G74" s="89">
        <v>4</v>
      </c>
      <c r="H74" s="12" t="str">
        <f t="shared" si="57"/>
        <v>15030_4-4</v>
      </c>
      <c r="I74" s="15" t="e">
        <v>#VALUE!</v>
      </c>
      <c r="J74" s="15" t="e">
        <v>#VALUE!</v>
      </c>
      <c r="K74" s="31" t="s">
        <v>273</v>
      </c>
      <c r="L74" s="95">
        <v>343</v>
      </c>
      <c r="M74" s="14" t="str">
        <f ca="1">VLOOKUP($L74,OFFSET([3]enemies!$A$1,0,0,COUNTA([3]enemies!$A:$A),MATCH(M$1,[3]enemies!$1:$1,0)-MATCH($L$1,[3]enemies!$1:$1,0)+1),MATCH(M$1,[3]enemies!$1:$1,0)-MATCH($L$1,[3]enemies!$1:$1,0)+1,FALSE)</f>
        <v>水のメタルジェントル</v>
      </c>
      <c r="N74" s="14" t="str">
        <f ca="1">VLOOKUP($L74,OFFSET([3]enemies!$A$1,0,0,COUNTA([3]enemies!$A:$A),MATCH(N$1,[3]enemies!$1:$1,0)-MATCH($L$1,[3]enemies!$1:$1,0)+1),MATCH(N$1,[3]enemies!$1:$1,0)-MATCH($L$1,[3]enemies!$1:$1,0)+1,FALSE)</f>
        <v>blue</v>
      </c>
      <c r="O74" s="14" t="str">
        <f ca="1">VLOOKUP($L74,OFFSET([4]characters!$A$1,0,0,COUNTA([4]characters!$A:$A),MATCH(O$1,[4]characters!$1:$1,0)-MATCH($L$1,[4]characters!$1:$1,0)+1),MATCH(O$1,[4]characters!$1:$1,0)-MATCH($L$1,[4]characters!$1:$1,0)+1,FALSE)</f>
        <v>Material</v>
      </c>
      <c r="P74" s="14" t="str">
        <f ca="1">VLOOKUP($L74,OFFSET([3]enemies!$A$1,0,0,COUNTA([3]enemies!$A:$A),MATCH(P$1,[3]enemies!$1:$1,0)-MATCH($L$1,[3]enemies!$1:$1,0)+1),MATCH(P$1,[3]enemies!$1:$1,0)-MATCH($L$1,[3]enemies!$1:$1,0)+1,FALSE)</f>
        <v>unknown</v>
      </c>
      <c r="Q74" s="14">
        <f ca="1">VLOOKUP($L74,OFFSET([3]enemies!$A$1,0,0,COUNTA([3]enemies!$A:$A),MATCH(Q$1,[3]enemies!$1:$1,0)-MATCH($L$1,[3]enemies!$1:$1,0)+1),MATCH(Q$1,[3]enemies!$1:$1,0)-MATCH($L$1,[3]enemies!$1:$1,0)+1,FALSE)</f>
        <v>20</v>
      </c>
      <c r="R74" s="4">
        <v>1</v>
      </c>
      <c r="S74" s="19">
        <v>1</v>
      </c>
      <c r="T74" s="19">
        <v>1</v>
      </c>
      <c r="U74" s="4">
        <v>-5000</v>
      </c>
      <c r="V74" s="3" t="e">
        <f ca="1">VLOOKUP($W74,OFFSET(enemy_skill_sets!$B$1,0,0,COUNTA(enemy_skill_sets!$B:$B),MATCH(M$1,enemy_skill_sets!$1:$1,0)-MATCH($W$1,enemy_skill_sets!$1:$1,0)+2),MATCH(M$1,enemy_skill_sets!$1:$1,0)-MATCH($W$1,enemy_skill_sets!$1:$1,0)+2,FALSE)</f>
        <v>#N/A</v>
      </c>
      <c r="W74" s="3">
        <f ca="1">VLOOKUP($L74,OFFSET([3]enemies!$A$1,0,0,COUNTA([3]enemies!$A:$A),MATCH(W$1,[3]enemies!$1:$1,0)-MATCH($L$1,[3]enemies!$1:$1,0)+1),MATCH(W$1,[3]enemies!$1:$1,0)-MATCH($L$1,[3]enemies!$1:$1,0)+1,FALSE)</f>
        <v>0</v>
      </c>
      <c r="X74" s="5">
        <v>0</v>
      </c>
      <c r="Y74" s="5">
        <v>100</v>
      </c>
      <c r="Z74" s="5">
        <v>0</v>
      </c>
      <c r="AA74" s="14">
        <f ca="1">VLOOKUP($L74,OFFSET([3]enemies!$A$1,0,0,COUNTA([3]enemies!$A:$A),MATCH(AA$1,[3]enemies!$1:$1,0)-MATCH($L$1,[3]enemies!$1:$1,0)+1),MATCH(AA$1,[3]enemies!$1:$1,0)-MATCH($L$1,[3]enemies!$1:$1,0)+1,FALSE)</f>
        <v>4</v>
      </c>
      <c r="AB74" s="18">
        <f t="shared" ref="AB74:AB78" si="107">L74</f>
        <v>343</v>
      </c>
      <c r="AC74" s="3" t="str">
        <f ca="1">VLOOKUP($AB74,OFFSET([4]characters!$A$1,0,0,COUNTA([4]characters!$A:$A),MATCH(AC$1,[4]characters!$1:$1,0)-MATCH("character_id",[4]characters!$1:$1,0)+1),MATCH(AC$1,[4]characters!$1:$1,0)-MATCH("character_id",[4]characters!$1:$1,0)+1,FALSE)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74" s="3">
        <f ca="1">VLOOKUP($AB74,OFFSET([4]characters!$A$1,0,0,COUNTA([4]characters!$A:$A),MATCH(AD$1,[4]characters!$1:$1,0)-MATCH("character_id",[4]characters!$1:$1,0)+1),MATCH(AD$1,[4]characters!$1:$1,0)-MATCH("character_id",[4]characters!$1:$1,0)+1,FALSE)</f>
        <v>6</v>
      </c>
      <c r="AE74" s="3" t="str">
        <f ca="1">VLOOKUP($AB74,OFFSET([4]characters!$A$1,0,0,COUNTA([4]characters!$A:$A),MATCH(AE$1,[4]characters!$1:$1,0)-MATCH("character_id",[4]characters!$1:$1,0)+1),MATCH(AE$1,[4]characters!$1:$1,0)-MATCH("character_id",[4]characters!$1:$1,0)+1,FALSE)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4" s="6">
        <v>1</v>
      </c>
      <c r="AG74" s="18">
        <f t="shared" ref="AG74:AG78" ca="1" si="108">AD74</f>
        <v>6</v>
      </c>
      <c r="AH74" s="62">
        <v>0</v>
      </c>
      <c r="AI74" s="88">
        <v>0</v>
      </c>
      <c r="AJ74" s="88">
        <v>0</v>
      </c>
      <c r="AK74" s="88">
        <v>0</v>
      </c>
      <c r="AL74" s="88">
        <v>0</v>
      </c>
      <c r="AM74" s="88">
        <v>1</v>
      </c>
      <c r="AN74" s="62">
        <v>1</v>
      </c>
    </row>
    <row r="75" spans="1:40" ht="21" customHeight="1" x14ac:dyDescent="0.15">
      <c r="A75" s="13" t="str">
        <f t="shared" ca="1" si="105"/>
        <v>15030_4-4/335&lt;lv1&gt;s4</v>
      </c>
      <c r="B75" s="90">
        <v>15030</v>
      </c>
      <c r="C75" s="89">
        <v>4</v>
      </c>
      <c r="D75" s="1" t="str">
        <f t="shared" si="106"/>
        <v>15030_4</v>
      </c>
      <c r="E75" s="3" t="str">
        <f ca="1">VLOOKUP($B75,OFFSET([2]quests!$A$1,0,0,COUNTA([2]quests!$A:$A),MATCH(E$1,[2]quests!$1:$1,0)-MATCH($B$1,[2]quests!$1:$1,0)+1),MATCH(E$1,[2]quests!$1:$1,0)-MATCH($B$1,[2]quests!$1:$1,0)+1,FALSE)</f>
        <v>30. 月夜のオールドシティ</v>
      </c>
      <c r="F75" s="3" t="str">
        <f ca="1">VLOOKUP($D75,OFFSET([2]stages!$A$1,0,0,COUNTA([2]stages!$A:$A),MATCH(F$1,[2]stages!$2:$2,0)-MATCH($D$1,[2]stages!$2:$2,0)+1),MATCH(F$1,[2]stages!$2:$2,0)-MATCH($D$1,[2]stages!$2:$2,0)+1,FALSE)</f>
        <v>30-4. 【1回のみ】ボーナスステージ</v>
      </c>
      <c r="G75" s="132">
        <v>4</v>
      </c>
      <c r="H75" s="102" t="str">
        <f t="shared" si="57"/>
        <v>15030_4-4</v>
      </c>
      <c r="I75" s="138" t="e">
        <v>#VALUE!</v>
      </c>
      <c r="J75" s="138" t="e">
        <v>#VALUE!</v>
      </c>
      <c r="K75" s="103" t="s">
        <v>273</v>
      </c>
      <c r="L75" s="104">
        <v>335</v>
      </c>
      <c r="M75" s="14" t="str">
        <f ca="1">VLOOKUP($L75,OFFSET([3]enemies!$A$1,0,0,COUNTA([3]enemies!$A:$A),MATCH(M$1,[3]enemies!$1:$1,0)-MATCH($L$1,[3]enemies!$1:$1,0)+1),MATCH(M$1,[3]enemies!$1:$1,0)-MATCH($L$1,[3]enemies!$1:$1,0)+1,FALSE)</f>
        <v>炎のメタルジェントル</v>
      </c>
      <c r="N75" s="14" t="str">
        <f ca="1">VLOOKUP($L75,OFFSET([3]enemies!$A$1,0,0,COUNTA([3]enemies!$A:$A),MATCH(N$1,[3]enemies!$1:$1,0)-MATCH($L$1,[3]enemies!$1:$1,0)+1),MATCH(N$1,[3]enemies!$1:$1,0)-MATCH($L$1,[3]enemies!$1:$1,0)+1,FALSE)</f>
        <v>red</v>
      </c>
      <c r="O75" s="14" t="str">
        <f ca="1">VLOOKUP($L75,OFFSET([4]characters!$A$1,0,0,COUNTA([4]characters!$A:$A),MATCH(O$1,[4]characters!$1:$1,0)-MATCH($L$1,[4]characters!$1:$1,0)+1),MATCH(O$1,[4]characters!$1:$1,0)-MATCH($L$1,[4]characters!$1:$1,0)+1,FALSE)</f>
        <v>Material</v>
      </c>
      <c r="P75" s="14" t="str">
        <f ca="1">VLOOKUP($L75,OFFSET([3]enemies!$A$1,0,0,COUNTA([3]enemies!$A:$A),MATCH(P$1,[3]enemies!$1:$1,0)-MATCH($L$1,[3]enemies!$1:$1,0)+1),MATCH(P$1,[3]enemies!$1:$1,0)-MATCH($L$1,[3]enemies!$1:$1,0)+1,FALSE)</f>
        <v>unknown</v>
      </c>
      <c r="Q75" s="14">
        <f ca="1">VLOOKUP($L75,OFFSET([3]enemies!$A$1,0,0,COUNTA([3]enemies!$A:$A),MATCH(Q$1,[3]enemies!$1:$1,0)-MATCH($L$1,[3]enemies!$1:$1,0)+1),MATCH(Q$1,[3]enemies!$1:$1,0)-MATCH($L$1,[3]enemies!$1:$1,0)+1,FALSE)</f>
        <v>20</v>
      </c>
      <c r="R75" s="4">
        <v>1</v>
      </c>
      <c r="S75" s="19">
        <v>1</v>
      </c>
      <c r="T75" s="19">
        <v>1</v>
      </c>
      <c r="U75" s="4">
        <v>-5000</v>
      </c>
      <c r="V75" s="3" t="e">
        <f ca="1">VLOOKUP($W75,OFFSET(enemy_skill_sets!$B$1,0,0,COUNTA(enemy_skill_sets!$B:$B),MATCH(M$1,enemy_skill_sets!$1:$1,0)-MATCH($W$1,enemy_skill_sets!$1:$1,0)+2),MATCH(M$1,enemy_skill_sets!$1:$1,0)-MATCH($W$1,enemy_skill_sets!$1:$1,0)+2,FALSE)</f>
        <v>#N/A</v>
      </c>
      <c r="W75" s="3">
        <f ca="1">VLOOKUP($L75,OFFSET([3]enemies!$A$1,0,0,COUNTA([3]enemies!$A:$A),MATCH(W$1,[3]enemies!$1:$1,0)-MATCH($L$1,[3]enemies!$1:$1,0)+1),MATCH(W$1,[3]enemies!$1:$1,0)-MATCH($L$1,[3]enemies!$1:$1,0)+1,FALSE)</f>
        <v>0</v>
      </c>
      <c r="X75" s="5">
        <v>1</v>
      </c>
      <c r="Y75" s="5">
        <v>100</v>
      </c>
      <c r="Z75" s="5">
        <v>0</v>
      </c>
      <c r="AA75" s="14">
        <f ca="1">VLOOKUP($L75,OFFSET([3]enemies!$A$1,0,0,COUNTA([3]enemies!$A:$A),MATCH(AA$1,[3]enemies!$1:$1,0)-MATCH($L$1,[3]enemies!$1:$1,0)+1),MATCH(AA$1,[3]enemies!$1:$1,0)-MATCH($L$1,[3]enemies!$1:$1,0)+1,FALSE)</f>
        <v>4</v>
      </c>
      <c r="AB75" s="18">
        <f t="shared" si="107"/>
        <v>335</v>
      </c>
      <c r="AC75" s="3" t="str">
        <f ca="1">VLOOKUP($AB75,OFFSET([4]characters!$A$1,0,0,COUNTA([4]characters!$A:$A),MATCH(AC$1,[4]characters!$1:$1,0)-MATCH("character_id",[4]characters!$1:$1,0)+1),MATCH(AC$1,[4]characters!$1:$1,0)-MATCH("character_id",[4]characters!$1:$1,0)+1,FALSE)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75" s="3">
        <f ca="1">VLOOKUP($AB75,OFFSET([4]characters!$A$1,0,0,COUNTA([4]characters!$A:$A),MATCH(AD$1,[4]characters!$1:$1,0)-MATCH("character_id",[4]characters!$1:$1,0)+1),MATCH(AD$1,[4]characters!$1:$1,0)-MATCH("character_id",[4]characters!$1:$1,0)+1,FALSE)</f>
        <v>6</v>
      </c>
      <c r="AE75" s="3" t="str">
        <f ca="1">VLOOKUP($AB75,OFFSET([4]characters!$A$1,0,0,COUNTA([4]characters!$A:$A),MATCH(AE$1,[4]characters!$1:$1,0)-MATCH("character_id",[4]characters!$1:$1,0)+1),MATCH(AE$1,[4]characters!$1:$1,0)-MATCH("character_id",[4]characters!$1:$1,0)+1,FALSE)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5" s="6">
        <v>1</v>
      </c>
      <c r="AG75" s="18">
        <f t="shared" ca="1" si="108"/>
        <v>6</v>
      </c>
      <c r="AH75" s="111">
        <v>100</v>
      </c>
      <c r="AI75" s="88">
        <v>0</v>
      </c>
      <c r="AJ75" s="88">
        <v>0</v>
      </c>
      <c r="AK75" s="88">
        <v>0</v>
      </c>
      <c r="AL75" s="88">
        <v>0</v>
      </c>
      <c r="AM75" s="88">
        <v>1</v>
      </c>
      <c r="AN75" s="62">
        <v>1</v>
      </c>
    </row>
    <row r="76" spans="1:40" ht="21" customHeight="1" x14ac:dyDescent="0.15">
      <c r="A76" s="13" t="str">
        <f t="shared" ca="1" si="105"/>
        <v>15030_4-5/120&lt;lv30&gt;s4</v>
      </c>
      <c r="B76" s="90">
        <v>15030</v>
      </c>
      <c r="C76" s="89">
        <v>4</v>
      </c>
      <c r="D76" s="1" t="str">
        <f t="shared" si="106"/>
        <v>15030_4</v>
      </c>
      <c r="E76" s="3" t="str">
        <f ca="1">VLOOKUP($B76,OFFSET([2]quests!$A$1,0,0,COUNTA([2]quests!$A:$A),MATCH(E$1,[2]quests!$1:$1,0)-MATCH($B$1,[2]quests!$1:$1,0)+1),MATCH(E$1,[2]quests!$1:$1,0)-MATCH($B$1,[2]quests!$1:$1,0)+1,FALSE)</f>
        <v>30. 月夜のオールドシティ</v>
      </c>
      <c r="F76" s="3" t="str">
        <f ca="1">VLOOKUP($D76,OFFSET([2]stages!$A$1,0,0,COUNTA([2]stages!$A:$A),MATCH(F$1,[2]stages!$2:$2,0)-MATCH($D$1,[2]stages!$2:$2,0)+1),MATCH(F$1,[2]stages!$2:$2,0)-MATCH($D$1,[2]stages!$2:$2,0)+1,FALSE)</f>
        <v>30-4. 【1回のみ】ボーナスステージ</v>
      </c>
      <c r="G76" s="89">
        <v>5</v>
      </c>
      <c r="H76" s="12" t="str">
        <f t="shared" si="57"/>
        <v>15030_4-5</v>
      </c>
      <c r="I76" s="15" t="e">
        <v>#VALUE!</v>
      </c>
      <c r="J76" s="15" t="e">
        <v>#VALUE!</v>
      </c>
      <c r="K76" s="31" t="s">
        <v>87</v>
      </c>
      <c r="L76" s="95">
        <v>120</v>
      </c>
      <c r="M76" s="14" t="str">
        <f ca="1">VLOOKUP($L76,OFFSET([3]enemies!$A$1,0,0,COUNTA([3]enemies!$A:$A),MATCH(M$1,[3]enemies!$1:$1,0)-MATCH($L$1,[3]enemies!$1:$1,0)+1),MATCH(M$1,[3]enemies!$1:$1,0)-MATCH($L$1,[3]enemies!$1:$1,0)+1,FALSE)</f>
        <v>ゴールドキング</v>
      </c>
      <c r="N76" s="14" t="str">
        <f ca="1">VLOOKUP($L76,OFFSET([3]enemies!$A$1,0,0,COUNTA([3]enemies!$A:$A),MATCH(N$1,[3]enemies!$1:$1,0)-MATCH($L$1,[3]enemies!$1:$1,0)+1),MATCH(N$1,[3]enemies!$1:$1,0)-MATCH($L$1,[3]enemies!$1:$1,0)+1,FALSE)</f>
        <v>yellow</v>
      </c>
      <c r="O76" s="14" t="str">
        <f ca="1">VLOOKUP($L76,OFFSET([4]characters!$A$1,0,0,COUNTA([4]characters!$A:$A),MATCH(O$1,[4]characters!$1:$1,0)-MATCH($L$1,[4]characters!$1:$1,0)+1),MATCH(O$1,[4]characters!$1:$1,0)-MATCH($L$1,[4]characters!$1:$1,0)+1,FALSE)</f>
        <v>Material</v>
      </c>
      <c r="P76" s="14" t="str">
        <f ca="1">VLOOKUP($L76,OFFSET([3]enemies!$A$1,0,0,COUNTA([3]enemies!$A:$A),MATCH(P$1,[3]enemies!$1:$1,0)-MATCH($L$1,[3]enemies!$1:$1,0)+1),MATCH(P$1,[3]enemies!$1:$1,0)-MATCH($L$1,[3]enemies!$1:$1,0)+1,FALSE)</f>
        <v>unknown</v>
      </c>
      <c r="Q76" s="14">
        <f ca="1">VLOOKUP($L76,OFFSET([3]enemies!$A$1,0,0,COUNTA([3]enemies!$A:$A),MATCH(Q$1,[3]enemies!$1:$1,0)-MATCH($L$1,[3]enemies!$1:$1,0)+1),MATCH(Q$1,[3]enemies!$1:$1,0)-MATCH($L$1,[3]enemies!$1:$1,0)+1,FALSE)</f>
        <v>20</v>
      </c>
      <c r="R76" s="4">
        <v>30</v>
      </c>
      <c r="S76" s="19">
        <v>2</v>
      </c>
      <c r="T76" s="19">
        <v>1</v>
      </c>
      <c r="U76" s="4">
        <v>0</v>
      </c>
      <c r="V76" s="3" t="e">
        <f ca="1">VLOOKUP($W76,OFFSET(enemy_skill_sets!$B$1,0,0,COUNTA(enemy_skill_sets!$B:$B),MATCH(M$1,enemy_skill_sets!$1:$1,0)-MATCH($W$1,enemy_skill_sets!$1:$1,0)+2),MATCH(M$1,enemy_skill_sets!$1:$1,0)-MATCH($W$1,enemy_skill_sets!$1:$1,0)+2,FALSE)</f>
        <v>#N/A</v>
      </c>
      <c r="W76" s="3">
        <f ca="1">VLOOKUP($L76,OFFSET([3]enemies!$A$1,0,0,COUNTA([3]enemies!$A:$A),MATCH(W$1,[3]enemies!$1:$1,0)-MATCH($L$1,[3]enemies!$1:$1,0)+1),MATCH(W$1,[3]enemies!$1:$1,0)-MATCH($L$1,[3]enemies!$1:$1,0)+1,FALSE)</f>
        <v>0</v>
      </c>
      <c r="X76" s="5">
        <v>1</v>
      </c>
      <c r="Y76" s="5">
        <v>100</v>
      </c>
      <c r="Z76" s="5">
        <v>1</v>
      </c>
      <c r="AA76" s="14">
        <f ca="1">VLOOKUP($L76,OFFSET([3]enemies!$A$1,0,0,COUNTA([3]enemies!$A:$A),MATCH(AA$1,[3]enemies!$1:$1,0)-MATCH($L$1,[3]enemies!$1:$1,0)+1),MATCH(AA$1,[3]enemies!$1:$1,0)-MATCH($L$1,[3]enemies!$1:$1,0)+1,FALSE)</f>
        <v>4</v>
      </c>
      <c r="AB76" s="18">
        <f t="shared" si="107"/>
        <v>120</v>
      </c>
      <c r="AC76" s="3" t="str">
        <f ca="1">VLOOKUP($AB76,OFFSET([4]characters!$A$1,0,0,COUNTA([4]characters!$A:$A),MATCH(AC$1,[4]characters!$1:$1,0)-MATCH("character_id",[4]characters!$1:$1,0)+1),MATCH(AC$1,[4]characters!$1:$1,0)-MATCH("character_id",[4]characters!$1:$1,0)+1,FALSE)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76" s="3">
        <f ca="1">VLOOKUP($AB76,OFFSET([4]characters!$A$1,0,0,COUNTA([4]characters!$A:$A),MATCH(AD$1,[4]characters!$1:$1,0)-MATCH("character_id",[4]characters!$1:$1,0)+1),MATCH(AD$1,[4]characters!$1:$1,0)-MATCH("character_id",[4]characters!$1:$1,0)+1,FALSE)</f>
        <v>6</v>
      </c>
      <c r="AE76" s="3" t="str">
        <f ca="1">VLOOKUP($AB76,OFFSET([4]characters!$A$1,0,0,COUNTA([4]characters!$A:$A),MATCH(AE$1,[4]characters!$1:$1,0)-MATCH("character_id",[4]characters!$1:$1,0)+1),MATCH(AE$1,[4]characters!$1:$1,0)-MATCH("character_id",[4]characters!$1:$1,0)+1,FALSE)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6" s="6">
        <v>1</v>
      </c>
      <c r="AG76" s="18">
        <f t="shared" ca="1" si="108"/>
        <v>6</v>
      </c>
      <c r="AH76" s="62">
        <v>100</v>
      </c>
      <c r="AI76" s="88">
        <v>0</v>
      </c>
      <c r="AJ76" s="88">
        <v>0</v>
      </c>
      <c r="AK76" s="88">
        <v>0</v>
      </c>
      <c r="AL76" s="88">
        <v>0</v>
      </c>
      <c r="AM76" s="88">
        <v>1</v>
      </c>
      <c r="AN76" s="62">
        <v>1</v>
      </c>
    </row>
    <row r="77" spans="1:40" ht="21" customHeight="1" x14ac:dyDescent="0.15">
      <c r="A77" s="13" t="str">
        <f t="shared" ca="1" si="105"/>
        <v>15030_4-5/342&lt;lv1&gt;s3</v>
      </c>
      <c r="B77" s="90">
        <v>15030</v>
      </c>
      <c r="C77" s="89">
        <v>4</v>
      </c>
      <c r="D77" s="1" t="str">
        <f t="shared" si="106"/>
        <v>15030_4</v>
      </c>
      <c r="E77" s="3" t="str">
        <f ca="1">VLOOKUP($B77,OFFSET([2]quests!$A$1,0,0,COUNTA([2]quests!$A:$A),MATCH(E$1,[2]quests!$1:$1,0)-MATCH($B$1,[2]quests!$1:$1,0)+1),MATCH(E$1,[2]quests!$1:$1,0)-MATCH($B$1,[2]quests!$1:$1,0)+1,FALSE)</f>
        <v>30. 月夜のオールドシティ</v>
      </c>
      <c r="F77" s="3" t="str">
        <f ca="1">VLOOKUP($D77,OFFSET([2]stages!$A$1,0,0,COUNTA([2]stages!$A:$A),MATCH(F$1,[2]stages!$2:$2,0)-MATCH($D$1,[2]stages!$2:$2,0)+1),MATCH(F$1,[2]stages!$2:$2,0)-MATCH($D$1,[2]stages!$2:$2,0)+1,FALSE)</f>
        <v>30-4. 【1回のみ】ボーナスステージ</v>
      </c>
      <c r="G77" s="89">
        <v>5</v>
      </c>
      <c r="H77" s="12" t="str">
        <f t="shared" si="57"/>
        <v>15030_4-5</v>
      </c>
      <c r="I77" s="15" t="e">
        <v>#VALUE!</v>
      </c>
      <c r="J77" s="15" t="e">
        <v>#VALUE!</v>
      </c>
      <c r="K77" s="31" t="s">
        <v>87</v>
      </c>
      <c r="L77" s="95">
        <v>342</v>
      </c>
      <c r="M77" s="14" t="str">
        <f ca="1">VLOOKUP($L77,OFFSET([3]enemies!$A$1,0,0,COUNTA([3]enemies!$A:$A),MATCH(M$1,[3]enemies!$1:$1,0)-MATCH($L$1,[3]enemies!$1:$1,0)+1),MATCH(M$1,[3]enemies!$1:$1,0)-MATCH($L$1,[3]enemies!$1:$1,0)+1,FALSE)</f>
        <v>水のメタルダック</v>
      </c>
      <c r="N77" s="14" t="str">
        <f ca="1">VLOOKUP($L77,OFFSET([3]enemies!$A$1,0,0,COUNTA([3]enemies!$A:$A),MATCH(N$1,[3]enemies!$1:$1,0)-MATCH($L$1,[3]enemies!$1:$1,0)+1),MATCH(N$1,[3]enemies!$1:$1,0)-MATCH($L$1,[3]enemies!$1:$1,0)+1,FALSE)</f>
        <v>blue</v>
      </c>
      <c r="O77" s="14" t="str">
        <f ca="1">VLOOKUP($L77,OFFSET([4]characters!$A$1,0,0,COUNTA([4]characters!$A:$A),MATCH(O$1,[4]characters!$1:$1,0)-MATCH($L$1,[4]characters!$1:$1,0)+1),MATCH(O$1,[4]characters!$1:$1,0)-MATCH($L$1,[4]characters!$1:$1,0)+1,FALSE)</f>
        <v>Material</v>
      </c>
      <c r="P77" s="14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14">
        <f ca="1">VLOOKUP($L77,OFFSET([3]enemies!$A$1,0,0,COUNTA([3]enemies!$A:$A),MATCH(Q$1,[3]enemies!$1:$1,0)-MATCH($L$1,[3]enemies!$1:$1,0)+1),MATCH(Q$1,[3]enemies!$1:$1,0)-MATCH($L$1,[3]enemies!$1:$1,0)+1,FALSE)</f>
        <v>20</v>
      </c>
      <c r="R77" s="4">
        <v>1</v>
      </c>
      <c r="S77" s="19">
        <v>1</v>
      </c>
      <c r="T77" s="19">
        <v>1</v>
      </c>
      <c r="U77" s="4">
        <v>-5000</v>
      </c>
      <c r="V77" s="3" t="e">
        <f ca="1">VLOOKUP($W77,OFFSET(enemy_skill_sets!$B$1,0,0,COUNTA(enemy_skill_sets!$B:$B),MATCH(M$1,enemy_skill_sets!$1:$1,0)-MATCH($W$1,enemy_skill_sets!$1:$1,0)+2),MATCH(M$1,enemy_skill_sets!$1:$1,0)-MATCH($W$1,enemy_skill_sets!$1:$1,0)+2,FALSE)</f>
        <v>#N/A</v>
      </c>
      <c r="W77" s="3">
        <f ca="1">VLOOKUP($L77,OFFSET([3]enemies!$A$1,0,0,COUNTA([3]enemies!$A:$A),MATCH(W$1,[3]enemies!$1:$1,0)-MATCH($L$1,[3]enemies!$1:$1,0)+1),MATCH(W$1,[3]enemies!$1:$1,0)-MATCH($L$1,[3]enemies!$1:$1,0)+1,FALSE)</f>
        <v>0</v>
      </c>
      <c r="X77" s="5">
        <v>1</v>
      </c>
      <c r="Y77" s="5">
        <v>100</v>
      </c>
      <c r="Z77" s="5">
        <v>0</v>
      </c>
      <c r="AA77" s="14">
        <f ca="1">VLOOKUP($L77,OFFSET([3]enemies!$A$1,0,0,COUNTA([3]enemies!$A:$A),MATCH(AA$1,[3]enemies!$1:$1,0)-MATCH($L$1,[3]enemies!$1:$1,0)+1),MATCH(AA$1,[3]enemies!$1:$1,0)-MATCH($L$1,[3]enemies!$1:$1,0)+1,FALSE)</f>
        <v>3</v>
      </c>
      <c r="AB77" s="18">
        <f t="shared" si="107"/>
        <v>342</v>
      </c>
      <c r="AC77" s="3" t="str">
        <f ca="1">VLOOKUP($AB77,OFFSET([4]characters!$A$1,0,0,COUNTA([4]characters!$A:$A),MATCH(AC$1,[4]characters!$1:$1,0)-MATCH("character_id",[4]characters!$1:$1,0)+1),MATCH(AC$1,[4]characters!$1:$1,0)-MATCH("character_id",[4]characters!$1:$1,0)+1,FALSE)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77" s="3">
        <f ca="1">VLOOKUP($AB77,OFFSET([4]characters!$A$1,0,0,COUNTA([4]characters!$A:$A),MATCH(AD$1,[4]characters!$1:$1,0)-MATCH("character_id",[4]characters!$1:$1,0)+1),MATCH(AD$1,[4]characters!$1:$1,0)-MATCH("character_id",[4]characters!$1:$1,0)+1,FALSE)</f>
        <v>5</v>
      </c>
      <c r="AE77" s="3" t="str">
        <f ca="1">VLOOKUP($AB77,OFFSET([4]characters!$A$1,0,0,COUNTA([4]characters!$A:$A),MATCH(AE$1,[4]characters!$1:$1,0)-MATCH("character_id",[4]characters!$1:$1,0)+1),MATCH(AE$1,[4]characters!$1:$1,0)-MATCH("character_id",[4]characters!$1:$1,0)+1,FALSE)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7" s="6">
        <v>1</v>
      </c>
      <c r="AG77" s="18">
        <f t="shared" ca="1" si="108"/>
        <v>5</v>
      </c>
      <c r="AH77" s="62">
        <v>0</v>
      </c>
      <c r="AI77" s="88">
        <v>0</v>
      </c>
      <c r="AJ77" s="88">
        <v>0</v>
      </c>
      <c r="AK77" s="88">
        <v>0</v>
      </c>
      <c r="AL77" s="88">
        <v>0</v>
      </c>
      <c r="AM77" s="88">
        <v>1</v>
      </c>
      <c r="AN77" s="62">
        <v>1</v>
      </c>
    </row>
    <row r="78" spans="1:40" ht="21" customHeight="1" x14ac:dyDescent="0.15">
      <c r="A78" s="13" t="str">
        <f t="shared" ca="1" si="105"/>
        <v>15030_4-5/334&lt;lv1&gt;s3</v>
      </c>
      <c r="B78" s="90">
        <v>15030</v>
      </c>
      <c r="C78" s="89">
        <v>4</v>
      </c>
      <c r="D78" s="1" t="str">
        <f t="shared" si="106"/>
        <v>15030_4</v>
      </c>
      <c r="E78" s="3" t="str">
        <f ca="1">VLOOKUP($B78,OFFSET([2]quests!$A$1,0,0,COUNTA([2]quests!$A:$A),MATCH(E$1,[2]quests!$1:$1,0)-MATCH($B$1,[2]quests!$1:$1,0)+1),MATCH(E$1,[2]quests!$1:$1,0)-MATCH($B$1,[2]quests!$1:$1,0)+1,FALSE)</f>
        <v>30. 月夜のオールドシティ</v>
      </c>
      <c r="F78" s="3" t="str">
        <f ca="1">VLOOKUP($D78,OFFSET([2]stages!$A$1,0,0,COUNTA([2]stages!$A:$A),MATCH(F$1,[2]stages!$2:$2,0)-MATCH($D$1,[2]stages!$2:$2,0)+1),MATCH(F$1,[2]stages!$2:$2,0)-MATCH($D$1,[2]stages!$2:$2,0)+1,FALSE)</f>
        <v>30-4. 【1回のみ】ボーナスステージ</v>
      </c>
      <c r="G78" s="89">
        <v>5</v>
      </c>
      <c r="H78" s="12" t="str">
        <f t="shared" si="57"/>
        <v>15030_4-5</v>
      </c>
      <c r="I78" s="15" t="e">
        <v>#VALUE!</v>
      </c>
      <c r="J78" s="15" t="e">
        <v>#VALUE!</v>
      </c>
      <c r="K78" s="31" t="s">
        <v>87</v>
      </c>
      <c r="L78" s="95">
        <v>334</v>
      </c>
      <c r="M78" s="14" t="str">
        <f ca="1">VLOOKUP($L78,OFFSET([3]enemies!$A$1,0,0,COUNTA([3]enemies!$A:$A),MATCH(M$1,[3]enemies!$1:$1,0)-MATCH($L$1,[3]enemies!$1:$1,0)+1),MATCH(M$1,[3]enemies!$1:$1,0)-MATCH($L$1,[3]enemies!$1:$1,0)+1,FALSE)</f>
        <v>炎のメタルダック</v>
      </c>
      <c r="N78" s="14" t="str">
        <f ca="1">VLOOKUP($L78,OFFSET([3]enemies!$A$1,0,0,COUNTA([3]enemies!$A:$A),MATCH(N$1,[3]enemies!$1:$1,0)-MATCH($L$1,[3]enemies!$1:$1,0)+1),MATCH(N$1,[3]enemies!$1:$1,0)-MATCH($L$1,[3]enemies!$1:$1,0)+1,FALSE)</f>
        <v>red</v>
      </c>
      <c r="O78" s="14" t="str">
        <f ca="1">VLOOKUP($L78,OFFSET([4]characters!$A$1,0,0,COUNTA([4]characters!$A:$A),MATCH(O$1,[4]characters!$1:$1,0)-MATCH($L$1,[4]characters!$1:$1,0)+1),MATCH(O$1,[4]characters!$1:$1,0)-MATCH($L$1,[4]characters!$1:$1,0)+1,FALSE)</f>
        <v>Material</v>
      </c>
      <c r="P78" s="14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14">
        <f ca="1">VLOOKUP($L78,OFFSET([3]enemies!$A$1,0,0,COUNTA([3]enemies!$A:$A),MATCH(Q$1,[3]enemies!$1:$1,0)-MATCH($L$1,[3]enemies!$1:$1,0)+1),MATCH(Q$1,[3]enemies!$1:$1,0)-MATCH($L$1,[3]enemies!$1:$1,0)+1,FALSE)</f>
        <v>20</v>
      </c>
      <c r="R78" s="4">
        <v>1</v>
      </c>
      <c r="S78" s="19">
        <v>1</v>
      </c>
      <c r="T78" s="19">
        <v>1</v>
      </c>
      <c r="U78" s="4">
        <v>-5000</v>
      </c>
      <c r="V78" s="3" t="e">
        <f ca="1">VLOOKUP($W78,OFFSET(enemy_skill_sets!$B$1,0,0,COUNTA(enemy_skill_sets!$B:$B),MATCH(M$1,enemy_skill_sets!$1:$1,0)-MATCH($W$1,enemy_skill_sets!$1:$1,0)+2),MATCH(M$1,enemy_skill_sets!$1:$1,0)-MATCH($W$1,enemy_skill_sets!$1:$1,0)+2,FALSE)</f>
        <v>#N/A</v>
      </c>
      <c r="W78" s="3">
        <f ca="1">VLOOKUP($L78,OFFSET([3]enemies!$A$1,0,0,COUNTA([3]enemies!$A:$A),MATCH(W$1,[3]enemies!$1:$1,0)-MATCH($L$1,[3]enemies!$1:$1,0)+1),MATCH(W$1,[3]enemies!$1:$1,0)-MATCH($L$1,[3]enemies!$1:$1,0)+1,FALSE)</f>
        <v>0</v>
      </c>
      <c r="X78" s="5">
        <v>1</v>
      </c>
      <c r="Y78" s="5">
        <v>100</v>
      </c>
      <c r="Z78" s="5">
        <v>0</v>
      </c>
      <c r="AA78" s="14">
        <f ca="1">VLOOKUP($L78,OFFSET([3]enemies!$A$1,0,0,COUNTA([3]enemies!$A:$A),MATCH(AA$1,[3]enemies!$1:$1,0)-MATCH($L$1,[3]enemies!$1:$1,0)+1),MATCH(AA$1,[3]enemies!$1:$1,0)-MATCH($L$1,[3]enemies!$1:$1,0)+1,FALSE)</f>
        <v>3</v>
      </c>
      <c r="AB78" s="18">
        <f t="shared" si="107"/>
        <v>334</v>
      </c>
      <c r="AC78" s="3" t="str">
        <f ca="1">VLOOKUP($AB78,OFFSET([4]characters!$A$1,0,0,COUNTA([4]characters!$A:$A),MATCH(AC$1,[4]characters!$1:$1,0)-MATCH("character_id",[4]characters!$1:$1,0)+1),MATCH(AC$1,[4]characters!$1:$1,0)-MATCH("character_id",[4]characters!$1:$1,0)+1,FALSE)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78" s="3">
        <f ca="1">VLOOKUP($AB78,OFFSET([4]characters!$A$1,0,0,COUNTA([4]characters!$A:$A),MATCH(AD$1,[4]characters!$1:$1,0)-MATCH("character_id",[4]characters!$1:$1,0)+1),MATCH(AD$1,[4]characters!$1:$1,0)-MATCH("character_id",[4]characters!$1:$1,0)+1,FALSE)</f>
        <v>5</v>
      </c>
      <c r="AE78" s="3" t="str">
        <f ca="1">VLOOKUP($AB78,OFFSET([4]characters!$A$1,0,0,COUNTA([4]characters!$A:$A),MATCH(AE$1,[4]characters!$1:$1,0)-MATCH("character_id",[4]characters!$1:$1,0)+1),MATCH(AE$1,[4]characters!$1:$1,0)-MATCH("character_id",[4]characters!$1:$1,0)+1,FALSE)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8" s="6">
        <v>1</v>
      </c>
      <c r="AG78" s="18">
        <f t="shared" ca="1" si="108"/>
        <v>5</v>
      </c>
      <c r="AH78" s="62">
        <v>0</v>
      </c>
      <c r="AI78" s="88">
        <v>0</v>
      </c>
      <c r="AJ78" s="88">
        <v>0</v>
      </c>
      <c r="AK78" s="88">
        <v>0</v>
      </c>
      <c r="AL78" s="88">
        <v>0</v>
      </c>
      <c r="AM78" s="88">
        <v>1</v>
      </c>
      <c r="AN78" s="62">
        <v>1</v>
      </c>
    </row>
  </sheetData>
  <sheetProtection selectLockedCells="1" selectUnlockedCells="1"/>
  <autoFilter ref="B1:AH78"/>
  <phoneticPr fontId="6"/>
  <conditionalFormatting sqref="G2:G78 C2:C78">
    <cfRule type="cellIs" dxfId="4" priority="1" operator="equal">
      <formula>4</formula>
    </cfRule>
    <cfRule type="cellIs" dxfId="3" priority="2" operator="equal">
      <formula>3</formula>
    </cfRule>
    <cfRule type="cellIs" dxfId="2" priority="3" operator="equal">
      <formula>2</formula>
    </cfRule>
    <cfRule type="cellIs" dxfId="1" priority="4" operator="equal">
      <formula>1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2" sqref="M2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2" bestFit="1" customWidth="1"/>
    <col min="3" max="3" width="10.6640625" style="2" bestFit="1" customWidth="1"/>
    <col min="4" max="4" width="13" style="11" bestFit="1" customWidth="1" outlineLevel="1"/>
    <col min="5" max="5" width="11.6640625" style="2" bestFit="1" customWidth="1" outlineLevel="1"/>
    <col min="6" max="6" width="16.1640625" style="2" bestFit="1" customWidth="1" outlineLevel="1"/>
    <col min="7" max="7" width="10" style="2" bestFit="1" customWidth="1"/>
    <col min="8" max="9" width="12.33203125" style="2" bestFit="1" customWidth="1" outlineLevel="1"/>
    <col min="10" max="10" width="12.33203125" style="2" customWidth="1" outlineLevel="1"/>
    <col min="11" max="11" width="12.33203125" style="2" customWidth="1"/>
    <col min="12" max="12" width="11" style="2" bestFit="1" customWidth="1"/>
    <col min="13" max="13" width="13.5" style="8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6.6640625" style="2" customWidth="1"/>
    <col min="24" max="24" width="10" style="2" bestFit="1" customWidth="1" outlineLevel="1"/>
    <col min="25" max="25" width="9.33203125" style="2" bestFit="1" customWidth="1"/>
    <col min="26" max="16384" width="13" style="2"/>
  </cols>
  <sheetData>
    <row r="1" spans="1:25" s="28" customFormat="1" ht="21" customHeight="1" x14ac:dyDescent="0.15">
      <c r="A1" s="21" t="s">
        <v>29</v>
      </c>
      <c r="B1" s="22" t="s">
        <v>0</v>
      </c>
      <c r="C1" s="22" t="s">
        <v>1</v>
      </c>
      <c r="D1" s="23" t="s">
        <v>28</v>
      </c>
      <c r="E1" s="24" t="s">
        <v>16</v>
      </c>
      <c r="F1" s="24" t="s">
        <v>16</v>
      </c>
      <c r="G1" s="22" t="s">
        <v>19</v>
      </c>
      <c r="H1" s="23" t="s">
        <v>30</v>
      </c>
      <c r="I1" s="23" t="s">
        <v>14</v>
      </c>
      <c r="J1" s="23" t="s">
        <v>15</v>
      </c>
      <c r="K1" s="29" t="s">
        <v>53</v>
      </c>
      <c r="L1" s="29" t="s">
        <v>54</v>
      </c>
      <c r="M1" s="30" t="s">
        <v>2</v>
      </c>
      <c r="N1" s="25" t="s">
        <v>16</v>
      </c>
      <c r="O1" s="23" t="s">
        <v>24</v>
      </c>
      <c r="P1" s="23" t="s">
        <v>23</v>
      </c>
      <c r="Q1" s="26" t="s">
        <v>26</v>
      </c>
      <c r="R1" s="24" t="s">
        <v>25</v>
      </c>
      <c r="S1" s="22" t="s">
        <v>3</v>
      </c>
      <c r="T1" s="20" t="s">
        <v>48</v>
      </c>
      <c r="U1" s="20" t="s">
        <v>50</v>
      </c>
      <c r="V1" s="20" t="s">
        <v>52</v>
      </c>
      <c r="W1" s="22" t="s">
        <v>128</v>
      </c>
      <c r="X1" s="23" t="s">
        <v>127</v>
      </c>
      <c r="Y1" s="22" t="s">
        <v>8</v>
      </c>
    </row>
    <row r="2" spans="1:25" ht="21" customHeight="1" x14ac:dyDescent="0.15">
      <c r="A2" s="13" t="str">
        <f>B2&amp;"_"&amp;C2&amp;"-"&amp;G2&amp;"/"&amp;M2&amp;"&lt;lv"&amp;S2&amp;"&gt;sq"&amp;K2&amp;"st"&amp;L2</f>
        <v>15030_3-4/435&lt;lv60&gt;sq1st2</v>
      </c>
      <c r="B2" s="88">
        <v>15030</v>
      </c>
      <c r="C2" s="93">
        <v>3</v>
      </c>
      <c r="D2" s="1" t="str">
        <f>B2&amp;"_"&amp;C2</f>
        <v>15030_3</v>
      </c>
      <c r="E2" s="3" t="str">
        <f ca="1">VLOOKUP($B2,OFFSET([2]quests!$A$1,0,0,COUNTA([2]quests!$A:$A),MATCH(E$1,[2]quests!$1:$1,0)-MATCH($B$1,[2]quests!$1:$1,0)+1),MATCH(E$1,[2]quests!$1:$1,0)-MATCH($B$1,[2]quests!$1:$1,0)+1,FALSE)</f>
        <v>30. 月夜のオールドシティ</v>
      </c>
      <c r="F2" s="3" t="str">
        <f ca="1">VLOOKUP($D2,OFFSET([2]stages!$A$1,0,0,COUNTA([2]stages!$A:$A),MATCH(F$1,[2]stages!$2:$2,0)-MATCH($D$1,[2]stages!$2:$2,0)+1),MATCH(F$1,[2]stages!$2:$2,0)-MATCH($D$1,[2]stages!$2:$2,0)+1,FALSE)</f>
        <v>30-3. 月影の襲撃者</v>
      </c>
      <c r="G2" s="94">
        <v>4</v>
      </c>
      <c r="H2" s="12" t="str">
        <f>B2&amp;"_"&amp;C2&amp;"-"&amp;G2</f>
        <v>15030_3-4</v>
      </c>
      <c r="I2" s="3">
        <f ca="1">VLOOKUP($H2,OFFSET(floors!$A$1,0,0,COUNTA(floors!$A:$A),MATCH(I$1,floors!$1:$1,0)-MATCH($H$1,floors!$1:$1,0)+1),MATCH(I$1,floors!$1:$1,0)-MATCH($H$1,floors!$1:$1,0)+1,FALSE)</f>
        <v>45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1">
        <v>1</v>
      </c>
      <c r="L2" s="31">
        <v>2</v>
      </c>
      <c r="M2" s="95">
        <v>435</v>
      </c>
      <c r="N2" s="14" t="str">
        <f ca="1">VLOOKUP($M2,OFFSET([3]enemies!$A$1,0,0,COUNTA([3]enemies!$A:$A),MATCH(N$1,[3]enemies!$1:$1,0)-MATCH($M$1,[3]enemies!$1:$1,0)+1),MATCH(N$1,[3]enemies!$1:$1,0)-MATCH($M$1,[3]enemies!$1:$1,0)+1,FALSE)</f>
        <v>曝弾の密偵 D.R.T.H.</v>
      </c>
      <c r="O2" s="14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4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4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4">
        <f ca="1">VLOOKUP($M2,OFFSET([3]enemies!$A$1,0,0,COUNTA([3]enemies!$A:$A),MATCH(R$1,[3]enemies!$1:$1,0)-MATCH($M$1,[3]enemies!$1:$1,0)+1),MATCH(R$1,[3]enemies!$1:$1,0)-MATCH($M$1,[3]enemies!$1:$1,0)+1,FALSE)</f>
        <v>60</v>
      </c>
      <c r="S2" s="4">
        <v>60</v>
      </c>
      <c r="T2" s="19">
        <v>1.5</v>
      </c>
      <c r="U2" s="19">
        <v>1.4</v>
      </c>
      <c r="V2" s="4">
        <v>0</v>
      </c>
      <c r="W2" s="97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7">
        <v>15030008</v>
      </c>
      <c r="Y2" s="99">
        <v>2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4"/>
  <sheetViews>
    <sheetView showGridLines="0" zoomScale="85" zoomScaleNormal="85" zoomScalePageLayoutView="85" workbookViewId="0">
      <pane xSplit="5" ySplit="1" topLeftCell="F2" activePane="bottomRight" state="frozen"/>
      <selection pane="topRight"/>
      <selection pane="bottomLeft"/>
      <selection pane="bottomRight" activeCell="I28" sqref="I28"/>
    </sheetView>
  </sheetViews>
  <sheetFormatPr baseColWidth="12" defaultColWidth="12.83203125" defaultRowHeight="21" customHeight="1" outlineLevelCol="1" x14ac:dyDescent="0.15"/>
  <cols>
    <col min="1" max="1" width="11.33203125" style="32" bestFit="1" customWidth="1"/>
    <col min="2" max="2" width="9.5" style="42" bestFit="1" customWidth="1"/>
    <col min="3" max="3" width="9.6640625" style="42" customWidth="1"/>
    <col min="4" max="4" width="18.5" style="42" customWidth="1" outlineLevel="1"/>
    <col min="5" max="5" width="44.1640625" style="42" bestFit="1" customWidth="1" outlineLevel="1"/>
    <col min="6" max="6" width="10.83203125" style="42" bestFit="1" customWidth="1"/>
    <col min="7" max="7" width="8.33203125" style="42" bestFit="1" customWidth="1" outlineLevel="1"/>
    <col min="8" max="9" width="12.83203125" style="42" outlineLevel="1"/>
    <col min="10" max="10" width="17.6640625" style="42" bestFit="1" customWidth="1" outlineLevel="1"/>
    <col min="11" max="15" width="12.83203125" style="42" outlineLevel="1"/>
    <col min="16" max="16" width="8.33203125" style="38" bestFit="1" customWidth="1"/>
    <col min="17" max="17" width="9.6640625" style="38" customWidth="1"/>
    <col min="18" max="18" width="56.5" style="38" bestFit="1" customWidth="1"/>
    <col min="19" max="16384" width="12.83203125" style="38"/>
  </cols>
  <sheetData>
    <row r="1" spans="1:18" ht="21" customHeight="1" x14ac:dyDescent="0.15">
      <c r="A1" s="32" t="s">
        <v>59</v>
      </c>
      <c r="B1" s="33" t="s">
        <v>60</v>
      </c>
      <c r="C1" s="33" t="s">
        <v>61</v>
      </c>
      <c r="D1" s="34" t="s">
        <v>62</v>
      </c>
      <c r="E1" s="34" t="s">
        <v>63</v>
      </c>
      <c r="F1" s="35" t="s">
        <v>64</v>
      </c>
      <c r="G1" s="36" t="s">
        <v>65</v>
      </c>
      <c r="H1" s="36" t="s">
        <v>67</v>
      </c>
      <c r="I1" s="36" t="s">
        <v>68</v>
      </c>
      <c r="J1" s="36" t="s">
        <v>69</v>
      </c>
      <c r="K1" s="37" t="s">
        <v>70</v>
      </c>
      <c r="L1" s="37" t="s">
        <v>71</v>
      </c>
      <c r="M1" s="36" t="s">
        <v>72</v>
      </c>
      <c r="N1" s="36" t="s">
        <v>73</v>
      </c>
      <c r="O1" s="36" t="s">
        <v>74</v>
      </c>
      <c r="P1" s="34" t="s">
        <v>75</v>
      </c>
      <c r="Q1" s="34" t="s">
        <v>76</v>
      </c>
      <c r="R1" s="34" t="s">
        <v>77</v>
      </c>
    </row>
    <row r="2" spans="1:18" ht="21" customHeight="1" x14ac:dyDescent="0.15">
      <c r="A2" s="32" t="str">
        <f t="shared" ref="A2" si="0">B2&amp;"_"&amp;C2</f>
        <v>15030001_15030001</v>
      </c>
      <c r="B2" s="40">
        <v>15030001</v>
      </c>
      <c r="C2" s="40">
        <v>15030001</v>
      </c>
      <c r="D2" s="39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ダルマフォール</v>
      </c>
      <c r="E2" s="39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2" s="40">
        <v>15030001</v>
      </c>
      <c r="G2" s="41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1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1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2" s="41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1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1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" s="41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1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1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2" s="40"/>
      <c r="Q2" s="40"/>
      <c r="R2" s="40"/>
    </row>
    <row r="3" spans="1:18" ht="21" customHeight="1" x14ac:dyDescent="0.15">
      <c r="A3" s="32" t="str">
        <f t="shared" ref="A3" si="1">B3&amp;"_"&amp;C3</f>
        <v>15030002_15030002</v>
      </c>
      <c r="B3" s="40">
        <v>15030002</v>
      </c>
      <c r="C3" s="40">
        <v>15030002</v>
      </c>
      <c r="D3" s="39" t="str">
        <f ca="1">VLOOKUP($C3,OFFSET(enemy_skills!$A$1,0,0,COUNTA(enemy_skills!$A:$A),MATCH(D$1,enemy_skills!$1:$1,0)-MATCH("enemy_skill_id",enemy_skills!$1:$1,0)+1),MATCH(D$1,enemy_skills!$1:$1,0)-MATCH("enemy_skill_id",enemy_skills!$1:$1,0)+1,FALSE)</f>
        <v>悪病退散</v>
      </c>
      <c r="E3" s="39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3" s="40">
        <v>15030002</v>
      </c>
      <c r="G3" s="41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1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1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1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1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1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1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1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1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0"/>
      <c r="Q3" s="40"/>
      <c r="R3" s="40"/>
    </row>
    <row r="4" spans="1:18" ht="21" customHeight="1" x14ac:dyDescent="0.15">
      <c r="A4" s="32" t="str">
        <f t="shared" ref="A4:A6" si="2">B4&amp;"_"&amp;C4</f>
        <v>15030003_15030003</v>
      </c>
      <c r="B4" s="40">
        <v>15030003</v>
      </c>
      <c r="C4" s="40">
        <v>15030003</v>
      </c>
      <c r="D4" s="39" t="str">
        <f ca="1">VLOOKUP($C4,OFFSET(enemy_skills!$A$1,0,0,COUNTA(enemy_skills!$A:$A),MATCH(D$1,enemy_skills!$1:$1,0)-MATCH("enemy_skill_id",enemy_skills!$1:$1,0)+1),MATCH(D$1,enemy_skills!$1:$1,0)-MATCH("enemy_skill_id",enemy_skills!$1:$1,0)+1,FALSE)</f>
        <v>破滅の熱波</v>
      </c>
      <c r="E4" s="39" t="str">
        <f ca="1">VLOOKUP($C4,OFFSET(enemy_skills!$A$1,0,0,COUNTA(enemy_skills!$A:$A),MATCH(E$1,enemy_skills!$1:$1,0)-MATCH("enemy_skill_id",enemy_skills!$1:$1,0)+1),MATCH(E$1,enemy_skills!$1:$1,0)-MATCH("enemy_skill_id",enemy_skills!$1:$1,0)+1,FALSE)</f>
        <v>5ターンの間ダメージを与えるウィルス＋全体攻撃</v>
      </c>
      <c r="F4" s="40">
        <v>15030003</v>
      </c>
      <c r="G4" s="41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1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1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1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1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98</v>
      </c>
      <c r="L4" s="41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1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1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1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0"/>
      <c r="Q4" s="40"/>
      <c r="R4" s="40"/>
    </row>
    <row r="5" spans="1:18" ht="21" customHeight="1" x14ac:dyDescent="0.15">
      <c r="A5" s="32" t="str">
        <f t="shared" si="2"/>
        <v>15030003_15030004</v>
      </c>
      <c r="B5" s="40">
        <v>15030003</v>
      </c>
      <c r="C5" s="40">
        <v>15030004</v>
      </c>
      <c r="D5" s="39" t="str">
        <f ca="1">VLOOKUP($C5,OFFSET(enemy_skills!$A$1,0,0,COUNTA(enemy_skills!$A:$A),MATCH(D$1,enemy_skills!$1:$1,0)-MATCH("enemy_skill_id",enemy_skills!$1:$1,0)+1),MATCH(D$1,enemy_skills!$1:$1,0)-MATCH("enemy_skill_id",enemy_skills!$1:$1,0)+1,FALSE)</f>
        <v>紅蓮雀焔</v>
      </c>
      <c r="E5" s="39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40">
        <v>15030004</v>
      </c>
      <c r="G5" s="41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1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1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" s="41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1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1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1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1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1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" s="40"/>
      <c r="Q5" s="40"/>
      <c r="R5" s="40"/>
    </row>
    <row r="6" spans="1:18" ht="21" customHeight="1" x14ac:dyDescent="0.15">
      <c r="A6" s="32" t="str">
        <f t="shared" si="2"/>
        <v>15030004_15030005</v>
      </c>
      <c r="B6" s="40">
        <v>15030004</v>
      </c>
      <c r="C6" s="40">
        <v>15030005</v>
      </c>
      <c r="D6" s="39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ハイスピード・ハック</v>
      </c>
      <c r="E6" s="39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この戦闘の間 攻撃頻度が1にUP</v>
      </c>
      <c r="F6" s="40">
        <v>15030005</v>
      </c>
      <c r="G6" s="41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1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1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1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1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98</v>
      </c>
      <c r="L6" s="41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1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1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1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0"/>
      <c r="Q6" s="40"/>
      <c r="R6" s="40"/>
    </row>
    <row r="7" spans="1:18" ht="21" customHeight="1" x14ac:dyDescent="0.15">
      <c r="A7" s="32" t="str">
        <f t="shared" ref="A7" si="3">B7&amp;"_"&amp;C7</f>
        <v>15030004_15030006</v>
      </c>
      <c r="B7" s="40">
        <v>15030004</v>
      </c>
      <c r="C7" s="40">
        <v>15030006</v>
      </c>
      <c r="D7" s="39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ペンギンストライク</v>
      </c>
      <c r="E7" s="39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" s="40">
        <v>15030006</v>
      </c>
      <c r="G7" s="41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1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1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7" s="41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1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1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1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1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1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7" s="40"/>
      <c r="Q7" s="40"/>
      <c r="R7" s="40"/>
    </row>
    <row r="8" spans="1:18" ht="21" customHeight="1" x14ac:dyDescent="0.15">
      <c r="A8" s="32" t="str">
        <f t="shared" ref="A8" si="4">B8&amp;"_"&amp;C8</f>
        <v>15030005_15030007</v>
      </c>
      <c r="B8" s="40">
        <v>15030005</v>
      </c>
      <c r="C8" s="40">
        <v>15030007</v>
      </c>
      <c r="D8" s="39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クィンティプルクロー</v>
      </c>
      <c r="E8" s="39" t="str">
        <f ca="1">VLOOKUP($C8,OFFSET(enemy_skills!$A$1,0,0,COUNTA(enemy_skills!$A:$A),MATCH(E$1,enemy_skills!$1:$1,0)-MATCH("enemy_skill_id",enemy_skills!$1:$1,0)+1),MATCH(E$1,enemy_skills!$1:$1,0)-MATCH("enemy_skill_id",enemy_skills!$1:$1,0)+1,FALSE)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8" s="40">
        <v>15030007</v>
      </c>
      <c r="G8" s="41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1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" s="41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8" s="41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1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1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6</v>
      </c>
      <c r="M8" s="41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1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1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8" s="40"/>
      <c r="Q8" s="40"/>
      <c r="R8" s="40"/>
    </row>
    <row r="9" spans="1:18" ht="21" customHeight="1" x14ac:dyDescent="0.15">
      <c r="A9" s="32" t="str">
        <f t="shared" ref="A9" si="5">B9&amp;"_"&amp;C9</f>
        <v>15030005_15030008</v>
      </c>
      <c r="B9" s="40">
        <v>15030005</v>
      </c>
      <c r="C9" s="40">
        <v>15030008</v>
      </c>
      <c r="D9" s="39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ディフラグレイション</v>
      </c>
      <c r="E9" s="39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5ターンの間 タップ回数が1減少_x000D_＋4ターンの間 Cパネル生成延長</v>
      </c>
      <c r="F9" s="40">
        <v>15030008</v>
      </c>
      <c r="G9" s="41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1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1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1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1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1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1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1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1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0"/>
      <c r="Q9" s="40"/>
      <c r="R9" s="40"/>
    </row>
    <row r="10" spans="1:18" ht="21" customHeight="1" x14ac:dyDescent="0.15">
      <c r="A10" s="32" t="str">
        <f t="shared" ref="A10" si="6">B10&amp;"_"&amp;C10</f>
        <v>15030006_15030009</v>
      </c>
      <c r="B10" s="40">
        <v>15030006</v>
      </c>
      <c r="C10" s="40">
        <v>15030009</v>
      </c>
      <c r="D10" s="39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フィシュ・タンズ</v>
      </c>
      <c r="E10" s="39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3ターンの間 攻撃力DOWN</v>
      </c>
      <c r="F10" s="40">
        <v>15030009</v>
      </c>
      <c r="G10" s="41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1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" s="41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1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1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" s="41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1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1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1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0"/>
      <c r="Q10" s="40"/>
      <c r="R10" s="40"/>
    </row>
    <row r="11" spans="1:18" ht="21" customHeight="1" x14ac:dyDescent="0.15">
      <c r="A11" s="32" t="str">
        <f t="shared" ref="A11" si="7">B11&amp;"_"&amp;C11</f>
        <v>15030006_15030010</v>
      </c>
      <c r="B11" s="40">
        <v>15030006</v>
      </c>
      <c r="C11" s="40">
        <v>15030010</v>
      </c>
      <c r="D11" s="39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タマテバコ</v>
      </c>
      <c r="E11" s="39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青パネルを最大10個 時限式パネルに変換_x000D_＋攻撃</v>
      </c>
      <c r="F11" s="40">
        <v>15030010</v>
      </c>
      <c r="G11" s="41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1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1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1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1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1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1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1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1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0"/>
      <c r="Q11" s="40"/>
      <c r="R11" s="40"/>
    </row>
    <row r="12" spans="1:18" ht="21" customHeight="1" x14ac:dyDescent="0.15">
      <c r="A12" s="32" t="str">
        <f t="shared" ref="A12" si="8">B12&amp;"_"&amp;C12</f>
        <v>15030006_15030023</v>
      </c>
      <c r="B12" s="40">
        <v>15030006</v>
      </c>
      <c r="C12" s="40">
        <v>15030023</v>
      </c>
      <c r="D12" s="39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友情の激情</v>
      </c>
      <c r="E12" s="39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この戦闘の間ずっと攻撃力UP</v>
      </c>
      <c r="F12" s="40">
        <v>15030023</v>
      </c>
      <c r="G12" s="41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1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1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1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1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1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1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1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401</v>
      </c>
      <c r="O12" s="41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0"/>
      <c r="Q12" s="40"/>
      <c r="R12" s="40"/>
    </row>
    <row r="13" spans="1:18" ht="21" customHeight="1" x14ac:dyDescent="0.15">
      <c r="A13" s="32" t="str">
        <f t="shared" ref="A13:A23" si="9">B13&amp;"_"&amp;C13</f>
        <v>15030007_15030011</v>
      </c>
      <c r="B13" s="40">
        <v>15030007</v>
      </c>
      <c r="C13" s="40">
        <v>15030011</v>
      </c>
      <c r="D13" s="39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サプライ・ボックス</v>
      </c>
      <c r="E13" s="39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赤パネル吸収量が多いほど攻撃力上昇</v>
      </c>
      <c r="F13" s="40">
        <v>15030011</v>
      </c>
      <c r="G13" s="41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1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1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1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1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98</v>
      </c>
      <c r="L13" s="41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1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1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1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0"/>
      <c r="Q13" s="40"/>
      <c r="R13" s="40"/>
    </row>
    <row r="14" spans="1:18" ht="21" customHeight="1" x14ac:dyDescent="0.15">
      <c r="A14" s="32" t="str">
        <f t="shared" si="9"/>
        <v>15030007_15030012</v>
      </c>
      <c r="B14" s="40">
        <v>15030007</v>
      </c>
      <c r="C14" s="40">
        <v>15030012</v>
      </c>
      <c r="D14" s="39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チェック・シューティング</v>
      </c>
      <c r="E14" s="39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緑パネルを最大5個プロテクト＋攻撃</v>
      </c>
      <c r="F14" s="40">
        <v>15030012</v>
      </c>
      <c r="G14" s="41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1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1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1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95</v>
      </c>
      <c r="K14" s="41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1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4" s="41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1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1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0"/>
      <c r="Q14" s="40"/>
      <c r="R14" s="40"/>
    </row>
    <row r="15" spans="1:18" ht="21" customHeight="1" x14ac:dyDescent="0.15">
      <c r="A15" s="32" t="str">
        <f t="shared" si="9"/>
        <v>15030007_15030013</v>
      </c>
      <c r="B15" s="40">
        <v>15030007</v>
      </c>
      <c r="C15" s="40">
        <v>15030013</v>
      </c>
      <c r="D15" s="39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サプレッシブ・ファイア</v>
      </c>
      <c r="E15" s="39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黄パネルを最大5個プロテクト＋全体攻撃</v>
      </c>
      <c r="F15" s="40">
        <v>15030013</v>
      </c>
      <c r="G15" s="41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1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1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1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95</v>
      </c>
      <c r="K15" s="41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1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5" s="41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1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1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0"/>
      <c r="Q15" s="40"/>
      <c r="R15" s="40"/>
    </row>
    <row r="16" spans="1:18" ht="21" customHeight="1" x14ac:dyDescent="0.15">
      <c r="A16" s="32" t="str">
        <f t="shared" si="9"/>
        <v>15030008_15030014</v>
      </c>
      <c r="B16" s="40">
        <v>15030008</v>
      </c>
      <c r="C16" s="40">
        <v>15030014</v>
      </c>
      <c r="D16" s="39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ブービートラップ</v>
      </c>
      <c r="E16" s="39" t="str">
        <f ca="1">VLOOKUP($C16,OFFSET(enemy_skills!$A$1,0,0,COUNTA(enemy_skills!$A:$A),MATCH(E$1,enemy_skills!$1:$1,0)-MATCH("enemy_skill_id",enemy_skills!$1:$1,0)+1),MATCH(E$1,enemy_skills!$1:$1,0)-MATCH("enemy_skill_id",enemy_skills!$1:$1,0)+1,FALSE)</f>
        <v>一定確率で時限式＆お邪魔パネルに変換</v>
      </c>
      <c r="F16" s="40">
        <v>15030014</v>
      </c>
      <c r="G16" s="41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1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" s="41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1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1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6" s="41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6" s="41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1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1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0"/>
      <c r="Q16" s="40"/>
      <c r="R16" s="40"/>
    </row>
    <row r="17" spans="1:18" ht="21" customHeight="1" x14ac:dyDescent="0.15">
      <c r="A17" s="32" t="str">
        <f t="shared" si="9"/>
        <v>15030008_15030015</v>
      </c>
      <c r="B17" s="40">
        <v>15030008</v>
      </c>
      <c r="C17" s="40">
        <v>15030015</v>
      </c>
      <c r="D17" s="39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ダブルタップ・ヘッドショット</v>
      </c>
      <c r="E17" s="39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種族ヒューマンに大ダメージの2回攻撃</v>
      </c>
      <c r="F17" s="40">
        <v>15030015</v>
      </c>
      <c r="G17" s="41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1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7" s="41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1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1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7" s="41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7" s="41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1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1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0"/>
      <c r="Q17" s="40"/>
      <c r="R17" s="40"/>
    </row>
    <row r="18" spans="1:18" ht="21" customHeight="1" x14ac:dyDescent="0.15">
      <c r="A18" s="32" t="str">
        <f t="shared" si="9"/>
        <v>15030008_15030016</v>
      </c>
      <c r="B18" s="40">
        <v>15030008</v>
      </c>
      <c r="C18" s="40">
        <v>15030016</v>
      </c>
      <c r="D18" s="39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スリーポイント・バースト</v>
      </c>
      <c r="E18" s="39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青パネルを最大5個プロテクト＋3回攻撃</v>
      </c>
      <c r="F18" s="40">
        <v>15030016</v>
      </c>
      <c r="G18" s="41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1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8" s="41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1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1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8" s="41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8" s="41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1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1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0"/>
      <c r="Q18" s="40"/>
      <c r="R18" s="40"/>
    </row>
    <row r="19" spans="1:18" ht="21" customHeight="1" x14ac:dyDescent="0.15">
      <c r="A19" s="32" t="str">
        <f t="shared" si="9"/>
        <v>15030008_15030017</v>
      </c>
      <c r="B19" s="40">
        <v>15030008</v>
      </c>
      <c r="C19" s="40">
        <v>15030017</v>
      </c>
      <c r="D19" s="39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リクエスト・CAS</v>
      </c>
      <c r="E19" s="39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2ターン後に赤パネル吸収攻撃+2ターン行動頻度UP</v>
      </c>
      <c r="F19" s="40">
        <v>15030017</v>
      </c>
      <c r="G19" s="41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1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1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1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1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1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1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1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1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0"/>
      <c r="Q19" s="40"/>
      <c r="R19" s="40"/>
    </row>
    <row r="20" spans="1:18" ht="21" customHeight="1" x14ac:dyDescent="0.15">
      <c r="A20" s="32" t="str">
        <f t="shared" si="9"/>
        <v>15030008_15030018</v>
      </c>
      <c r="B20" s="40">
        <v>15030008</v>
      </c>
      <c r="C20" s="40">
        <v>15030018</v>
      </c>
      <c r="D20" s="39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近接航空支援攻撃</v>
      </c>
      <c r="E20" s="39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20" s="40">
        <v>15030018</v>
      </c>
      <c r="G20" s="41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1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1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1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1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1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1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1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0"/>
      <c r="Q20" s="40"/>
      <c r="R20" s="40"/>
    </row>
    <row r="21" spans="1:18" ht="21" customHeight="1" x14ac:dyDescent="0.15">
      <c r="A21" s="32" t="str">
        <f t="shared" si="9"/>
        <v>15030009_15030019</v>
      </c>
      <c r="B21" s="40">
        <v>15030009</v>
      </c>
      <c r="C21" s="40">
        <v>15030019</v>
      </c>
      <c r="D21" s="39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バーニングブルー</v>
      </c>
      <c r="E21" s="39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青パネルを最大5個赤パネルに変換</v>
      </c>
      <c r="F21" s="40">
        <v>15030019</v>
      </c>
      <c r="G21" s="41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1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1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1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1" s="41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1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1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1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1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0"/>
      <c r="Q21" s="40"/>
      <c r="R21" s="40"/>
    </row>
    <row r="22" spans="1:18" ht="21" customHeight="1" x14ac:dyDescent="0.15">
      <c r="A22" s="32" t="str">
        <f t="shared" ref="A22" si="10">B22&amp;"_"&amp;C22</f>
        <v>15030009_15030020</v>
      </c>
      <c r="B22" s="40">
        <v>15030009</v>
      </c>
      <c r="C22" s="40">
        <v>15030020</v>
      </c>
      <c r="D22" s="39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ダルマフォール・改</v>
      </c>
      <c r="E22" s="39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22" s="40">
        <v>15030020</v>
      </c>
      <c r="G22" s="41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1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1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1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2" s="41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1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1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1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1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0"/>
      <c r="Q22" s="40"/>
      <c r="R22" s="40"/>
    </row>
    <row r="23" spans="1:18" ht="21" customHeight="1" x14ac:dyDescent="0.15">
      <c r="A23" s="32" t="str">
        <f t="shared" si="9"/>
        <v>15030010_15030021</v>
      </c>
      <c r="B23" s="40">
        <v>15030010</v>
      </c>
      <c r="C23" s="40">
        <v>15030021</v>
      </c>
      <c r="D23" s="39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催眠スタングレネード</v>
      </c>
      <c r="E23" s="39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それぞれ一定確率で3ターンの間_x000D_ウィルス、睡眠、スキルバインド</v>
      </c>
      <c r="F23" s="40">
        <v>15030021</v>
      </c>
      <c r="G23" s="41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1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1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1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3" s="41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1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1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1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1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0"/>
      <c r="Q23" s="40"/>
      <c r="R23" s="40"/>
    </row>
    <row r="24" spans="1:18" ht="21" customHeight="1" x14ac:dyDescent="0.15">
      <c r="A24" s="32" t="str">
        <f t="shared" ref="A24" si="11">B24&amp;"_"&amp;C24</f>
        <v>15030010_15030022</v>
      </c>
      <c r="B24" s="40">
        <v>15030010</v>
      </c>
      <c r="C24" s="40">
        <v>15030022</v>
      </c>
      <c r="D24" s="39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悪病退散・改</v>
      </c>
      <c r="E24" s="39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ウィルスまたはスリープ状態のユニットに大ダメージ</v>
      </c>
      <c r="F24" s="40">
        <v>15030022</v>
      </c>
      <c r="G24" s="41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1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1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1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4" s="41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1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1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1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1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0"/>
      <c r="Q24" s="40"/>
      <c r="R24" s="40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4"/>
  <sheetViews>
    <sheetView showGridLines="0" workbookViewId="0">
      <pane ySplit="1" topLeftCell="A3" activePane="bottomLeft" state="frozenSplit"/>
      <selection pane="bottomLeft" activeCell="E30" sqref="E30"/>
    </sheetView>
  </sheetViews>
  <sheetFormatPr baseColWidth="12" defaultColWidth="12.83203125" defaultRowHeight="21" customHeight="1" outlineLevelCol="1" x14ac:dyDescent="0.15"/>
  <cols>
    <col min="1" max="1" width="12.83203125" style="42"/>
    <col min="2" max="2" width="67.1640625" style="42" customWidth="1"/>
    <col min="3" max="4" width="12.83203125" style="42"/>
    <col min="5" max="5" width="23.6640625" style="42" bestFit="1" customWidth="1"/>
    <col min="6" max="6" width="44.1640625" style="42" bestFit="1" customWidth="1"/>
    <col min="7" max="7" width="52" style="42" customWidth="1" outlineLevel="1"/>
    <col min="8" max="8" width="18.33203125" style="42" customWidth="1" outlineLevel="1"/>
    <col min="9" max="11" width="18.6640625" style="42" customWidth="1" outlineLevel="1"/>
    <col min="12" max="12" width="23.6640625" style="42" customWidth="1"/>
    <col min="13" max="18" width="23.6640625" style="42" customWidth="1" outlineLevel="1"/>
    <col min="19" max="19" width="23.6640625" style="42" customWidth="1"/>
    <col min="20" max="24" width="23.6640625" style="42" customWidth="1" outlineLevel="1"/>
    <col min="25" max="25" width="23.6640625" style="42" customWidth="1"/>
    <col min="26" max="27" width="12.83203125" style="42"/>
    <col min="28" max="28" width="44.5" style="42" customWidth="1"/>
    <col min="29" max="16384" width="12.83203125" style="42"/>
  </cols>
  <sheetData>
    <row r="1" spans="1:28" ht="21" customHeight="1" x14ac:dyDescent="0.15">
      <c r="A1" s="33" t="s">
        <v>78</v>
      </c>
      <c r="B1" s="33" t="s">
        <v>79</v>
      </c>
      <c r="C1" s="33" t="s">
        <v>80</v>
      </c>
      <c r="D1" s="33" t="s">
        <v>125</v>
      </c>
      <c r="E1" s="33" t="s">
        <v>81</v>
      </c>
      <c r="F1" s="33" t="s">
        <v>82</v>
      </c>
      <c r="G1" s="34" t="s">
        <v>131</v>
      </c>
      <c r="H1" s="34" t="s">
        <v>137</v>
      </c>
      <c r="I1" s="34" t="s">
        <v>139</v>
      </c>
      <c r="J1" s="34" t="s">
        <v>138</v>
      </c>
      <c r="K1" s="34" t="s">
        <v>140</v>
      </c>
      <c r="L1" s="34" t="s">
        <v>132</v>
      </c>
      <c r="M1" s="34" t="s">
        <v>130</v>
      </c>
      <c r="N1" s="34" t="s">
        <v>133</v>
      </c>
      <c r="O1" s="34" t="s">
        <v>141</v>
      </c>
      <c r="P1" s="34" t="s">
        <v>142</v>
      </c>
      <c r="Q1" s="34" t="s">
        <v>143</v>
      </c>
      <c r="R1" s="34" t="s">
        <v>144</v>
      </c>
      <c r="S1" s="34" t="s">
        <v>134</v>
      </c>
      <c r="T1" s="34" t="s">
        <v>135</v>
      </c>
      <c r="U1" s="34" t="s">
        <v>145</v>
      </c>
      <c r="V1" s="34" t="s">
        <v>146</v>
      </c>
      <c r="W1" s="34" t="s">
        <v>147</v>
      </c>
      <c r="X1" s="34" t="s">
        <v>148</v>
      </c>
      <c r="Y1" s="34" t="s">
        <v>136</v>
      </c>
      <c r="Z1" s="34" t="s">
        <v>75</v>
      </c>
      <c r="AA1" s="34" t="s">
        <v>76</v>
      </c>
      <c r="AB1" s="34" t="s">
        <v>77</v>
      </c>
    </row>
    <row r="2" spans="1:28" ht="21" customHeight="1" x14ac:dyDescent="0.15">
      <c r="A2" s="40">
        <v>15030001</v>
      </c>
      <c r="B2" s="40" t="s">
        <v>252</v>
      </c>
      <c r="C2" s="43">
        <v>3</v>
      </c>
      <c r="D2" s="43" t="s">
        <v>126</v>
      </c>
      <c r="E2" s="44" t="s">
        <v>235</v>
      </c>
      <c r="F2" s="44" t="s">
        <v>302</v>
      </c>
      <c r="G2" s="56" t="str">
        <f t="shared" ref="G2:G13" si="0">IFERROR(LEFT(B2,FIND("],",B2)),B2)</f>
        <v xml:space="preserve">[effect:break_attack, val:0.05, lowest_val:0, count:8, block:block_red, target:unit_all]    </v>
      </c>
      <c r="H2" s="56">
        <f t="shared" ref="H2:H23" si="1">FIND("effect:",G2)+7</f>
        <v>9</v>
      </c>
      <c r="I2" s="56">
        <f t="shared" ref="I2:I13" si="2">IFERROR(FIND(",",G2),LEN(G2))</f>
        <v>21</v>
      </c>
      <c r="J2" s="56">
        <f t="shared" ref="J2:J13" si="3">FIND("target:",G2)+7</f>
        <v>80</v>
      </c>
      <c r="K2" s="56">
        <f t="shared" ref="K2:K13" si="4">FIND(",",G2,I2+1)</f>
        <v>31</v>
      </c>
      <c r="L2" s="56" t="str">
        <f>IFERROR(VLOOKUP(MID(G2,J2,K2-J2),[6]skilldef!$C:$D,2,FALSE),"-") &amp; " / " &amp; IFERROR(VLOOKUP(MID(G2,H2,I2-H2),[6]skilldef!$A:$B,2,FALSE),"-")</f>
        <v>- / -</v>
      </c>
      <c r="M2" s="56" t="str">
        <f t="shared" ref="M2:M13" si="5">IFERROR(RIGHT(B2,LEN(B2)-FIND("],",B2)-1),"none")</f>
        <v>none</v>
      </c>
      <c r="N2" s="41" t="str">
        <f>IFERROR(LEFT(M2,FIND("],",M2)+S14),M2)</f>
        <v>none</v>
      </c>
      <c r="O2" s="56" t="e">
        <f t="shared" ref="O2:O23" si="6">FIND("effect:",N2)+7</f>
        <v>#VALUE!</v>
      </c>
      <c r="P2" s="56">
        <f t="shared" ref="P2:P13" si="7">IFERROR(FIND(",",N2),LEN(N2))</f>
        <v>4</v>
      </c>
      <c r="Q2" s="56" t="e">
        <f t="shared" ref="Q2:Q13" si="8">FIND("target:",N2)+7</f>
        <v>#VALUE!</v>
      </c>
      <c r="R2" s="56" t="e">
        <f t="shared" ref="R2:R13" si="9">FIND(",",N2,P2+1)</f>
        <v>#VALUE!</v>
      </c>
      <c r="S2" s="56" t="str">
        <f>IFERROR(VLOOKUP(MID(N2,Q2,R2-Q2),[6]skilldef!$C:$D,2,FALSE),"-") &amp; " / " &amp; IFERROR(VLOOKUP(MID(N2,O2,P2-O2),[6]skilldef!$A:$B,2,FALSE),"-")</f>
        <v>- / -</v>
      </c>
      <c r="T2" s="41" t="str">
        <f t="shared" ref="T2:T13" si="10">IFERROR(RIGHT(M2,LEN(M2)-FIND("],",M2)-1),"none")</f>
        <v>none</v>
      </c>
      <c r="U2" s="56" t="e">
        <f t="shared" ref="U2:U23" si="11">FIND("effect:",T2)+7</f>
        <v>#VALUE!</v>
      </c>
      <c r="V2" s="56">
        <f t="shared" ref="V2:V13" si="12">IFERROR(FIND(",",T2),LEN(T2))</f>
        <v>4</v>
      </c>
      <c r="W2" s="56" t="e">
        <f t="shared" ref="W2:W13" si="13">FIND("target:",T2)+7</f>
        <v>#VALUE!</v>
      </c>
      <c r="X2" s="56" t="e">
        <f t="shared" ref="X2:X13" si="14">FIND(",",T2,V2+1)</f>
        <v>#VALUE!</v>
      </c>
      <c r="Y2" s="56" t="str">
        <f>IFERROR(VLOOKUP(MID(T2,W2,X2-W2),[6]skilldef!$C:$D,2,FALSE),"-") &amp; " / " &amp; IFERROR(VLOOKUP(MID(T2,U2,V2-U2),[6]skilldef!$A:$B,2,FALSE),"-")</f>
        <v>- / -</v>
      </c>
      <c r="Z2" s="43"/>
      <c r="AA2" s="45"/>
      <c r="AB2" s="43"/>
    </row>
    <row r="3" spans="1:28" ht="21" customHeight="1" x14ac:dyDescent="0.15">
      <c r="A3" s="40">
        <v>15030002</v>
      </c>
      <c r="B3" s="40" t="s">
        <v>249</v>
      </c>
      <c r="C3" s="43">
        <v>3</v>
      </c>
      <c r="D3" s="43" t="s">
        <v>126</v>
      </c>
      <c r="E3" s="44" t="s">
        <v>232</v>
      </c>
      <c r="F3" s="44" t="s">
        <v>289</v>
      </c>
      <c r="G3" s="56" t="str">
        <f t="shared" si="0"/>
        <v xml:space="preserve">[effect:damage_anti_abnormal, target:unit_all, target_effect01:virus, val1:1.6, val2:0.8]    </v>
      </c>
      <c r="H3" s="56">
        <f t="shared" si="1"/>
        <v>9</v>
      </c>
      <c r="I3" s="56">
        <f t="shared" si="2"/>
        <v>29</v>
      </c>
      <c r="J3" s="56">
        <f t="shared" si="3"/>
        <v>38</v>
      </c>
      <c r="K3" s="56">
        <f t="shared" si="4"/>
        <v>46</v>
      </c>
      <c r="L3" s="56" t="str">
        <f>IFERROR(VLOOKUP(MID(G3,J3,K3-J3),[6]skilldef!$C:$D,2,FALSE),"-") &amp; " / " &amp; IFERROR(VLOOKUP(MID(G3,H3,I3-H3),[6]skilldef!$A:$B,2,FALSE),"-")</f>
        <v>味方全体に / -</v>
      </c>
      <c r="M3" s="56" t="str">
        <f t="shared" si="5"/>
        <v>none</v>
      </c>
      <c r="N3" s="41" t="str">
        <f>IFERROR(LEFT(M3,FIND("],",M3)+S15),M3)</f>
        <v>none</v>
      </c>
      <c r="O3" s="56" t="e">
        <f t="shared" si="6"/>
        <v>#VALUE!</v>
      </c>
      <c r="P3" s="56">
        <f t="shared" si="7"/>
        <v>4</v>
      </c>
      <c r="Q3" s="56" t="e">
        <f t="shared" si="8"/>
        <v>#VALUE!</v>
      </c>
      <c r="R3" s="56" t="e">
        <f t="shared" si="9"/>
        <v>#VALUE!</v>
      </c>
      <c r="S3" s="56" t="str">
        <f>IFERROR(VLOOKUP(MID(N3,Q3,R3-Q3),[6]skilldef!$C:$D,2,FALSE),"-") &amp; " / " &amp; IFERROR(VLOOKUP(MID(N3,O3,P3-O3),[6]skilldef!$A:$B,2,FALSE),"-")</f>
        <v>- / -</v>
      </c>
      <c r="T3" s="41" t="str">
        <f t="shared" si="10"/>
        <v>none</v>
      </c>
      <c r="U3" s="56" t="e">
        <f t="shared" si="11"/>
        <v>#VALUE!</v>
      </c>
      <c r="V3" s="56">
        <f t="shared" si="12"/>
        <v>4</v>
      </c>
      <c r="W3" s="56" t="e">
        <f t="shared" si="13"/>
        <v>#VALUE!</v>
      </c>
      <c r="X3" s="56" t="e">
        <f t="shared" si="14"/>
        <v>#VALUE!</v>
      </c>
      <c r="Y3" s="56" t="str">
        <f>IFERROR(VLOOKUP(MID(T3,W3,X3-W3),[6]skilldef!$C:$D,2,FALSE),"-") &amp; " / " &amp; IFERROR(VLOOKUP(MID(T3,U3,V3-U3),[6]skilldef!$A:$B,2,FALSE),"-")</f>
        <v>- / -</v>
      </c>
      <c r="Z3" s="43"/>
      <c r="AA3" s="45"/>
      <c r="AB3" s="43"/>
    </row>
    <row r="4" spans="1:28" ht="21" customHeight="1" x14ac:dyDescent="0.15">
      <c r="A4" s="40">
        <v>15030003</v>
      </c>
      <c r="B4" s="40" t="s">
        <v>216</v>
      </c>
      <c r="C4" s="43">
        <v>3</v>
      </c>
      <c r="D4" s="43" t="s">
        <v>126</v>
      </c>
      <c r="E4" s="44" t="s">
        <v>212</v>
      </c>
      <c r="F4" s="44" t="s">
        <v>287</v>
      </c>
      <c r="G4" s="56" t="str">
        <f t="shared" si="0"/>
        <v>[effect:virus, turn:5, rate:1, val:0.15, animation:enemy_virus]</v>
      </c>
      <c r="H4" s="56">
        <f t="shared" si="1"/>
        <v>9</v>
      </c>
      <c r="I4" s="56">
        <f t="shared" si="2"/>
        <v>14</v>
      </c>
      <c r="J4" s="56" t="e">
        <f t="shared" si="3"/>
        <v>#VALUE!</v>
      </c>
      <c r="K4" s="56">
        <f t="shared" si="4"/>
        <v>22</v>
      </c>
      <c r="L4" s="56" t="str">
        <f>IFERROR(VLOOKUP(MID(G4,J4,K4-J4),[6]skilldef!$C:$D,2,FALSE),"-") &amp; " / " &amp; IFERROR(VLOOKUP(MID(G4,H4,I4-H4),[6]skilldef!$A:$B,2,FALSE),"-")</f>
        <v>- / ウィルス</v>
      </c>
      <c r="M4" s="56" t="str">
        <f t="shared" si="5"/>
        <v>[effect:spread, val:0.3]</v>
      </c>
      <c r="N4" s="41" t="str">
        <f>IFERROR(LEFT(M4,FIND("],",M4)+S16),M4)</f>
        <v>[effect:spread, val:0.3]</v>
      </c>
      <c r="O4" s="56">
        <f t="shared" si="6"/>
        <v>9</v>
      </c>
      <c r="P4" s="56">
        <f t="shared" si="7"/>
        <v>15</v>
      </c>
      <c r="Q4" s="56" t="e">
        <f t="shared" si="8"/>
        <v>#VALUE!</v>
      </c>
      <c r="R4" s="56" t="e">
        <f t="shared" si="9"/>
        <v>#VALUE!</v>
      </c>
      <c r="S4" s="56" t="str">
        <f>IFERROR(VLOOKUP(MID(N4,Q4,R4-Q4),[6]skilldef!$C:$D,2,FALSE),"-") &amp; " / " &amp; IFERROR(VLOOKUP(MID(N4,O4,P4-O4),[6]skilldef!$A:$B,2,FALSE),"-")</f>
        <v>- / 全体攻撃</v>
      </c>
      <c r="T4" s="41" t="str">
        <f t="shared" si="10"/>
        <v>none</v>
      </c>
      <c r="U4" s="56" t="e">
        <f t="shared" si="11"/>
        <v>#VALUE!</v>
      </c>
      <c r="V4" s="56">
        <f t="shared" si="12"/>
        <v>4</v>
      </c>
      <c r="W4" s="56" t="e">
        <f t="shared" si="13"/>
        <v>#VALUE!</v>
      </c>
      <c r="X4" s="56" t="e">
        <f t="shared" si="14"/>
        <v>#VALUE!</v>
      </c>
      <c r="Y4" s="56" t="str">
        <f>IFERROR(VLOOKUP(MID(T4,W4,X4-W4),[6]skilldef!$C:$D,2,FALSE),"-") &amp; " / " &amp; IFERROR(VLOOKUP(MID(T4,U4,V4-U4),[6]skilldef!$A:$B,2,FALSE),"-")</f>
        <v>- / -</v>
      </c>
      <c r="Z4" s="43"/>
      <c r="AA4" s="45"/>
      <c r="AB4" s="43"/>
    </row>
    <row r="5" spans="1:28" ht="21" customHeight="1" x14ac:dyDescent="0.15">
      <c r="A5" s="40">
        <v>15030004</v>
      </c>
      <c r="B5" s="40" t="s">
        <v>217</v>
      </c>
      <c r="C5" s="43">
        <v>3</v>
      </c>
      <c r="D5" s="43" t="s">
        <v>126</v>
      </c>
      <c r="E5" s="44" t="s">
        <v>213</v>
      </c>
      <c r="F5" s="44" t="s">
        <v>214</v>
      </c>
      <c r="G5" s="56" t="str">
        <f t="shared" si="0"/>
        <v>[effect:spread, val:0.4]</v>
      </c>
      <c r="H5" s="56">
        <f t="shared" si="1"/>
        <v>9</v>
      </c>
      <c r="I5" s="56">
        <f t="shared" si="2"/>
        <v>15</v>
      </c>
      <c r="J5" s="56" t="e">
        <f t="shared" si="3"/>
        <v>#VALUE!</v>
      </c>
      <c r="K5" s="56" t="e">
        <f t="shared" si="4"/>
        <v>#VALUE!</v>
      </c>
      <c r="L5" s="56" t="str">
        <f>IFERROR(VLOOKUP(MID(G5,J5,K5-J5),[6]skilldef!$C:$D,2,FALSE),"-") &amp; " / " &amp; IFERROR(VLOOKUP(MID(G5,H5,I5-H5),[6]skilldef!$A:$B,2,FALSE),"-")</f>
        <v>- / 全体攻撃</v>
      </c>
      <c r="M5" s="56" t="str">
        <f t="shared" si="5"/>
        <v>none</v>
      </c>
      <c r="N5" s="41" t="str">
        <f>IFERROR(LEFT(M5,FIND("],",M5)+S17),M5)</f>
        <v>none</v>
      </c>
      <c r="O5" s="56" t="e">
        <f t="shared" si="6"/>
        <v>#VALUE!</v>
      </c>
      <c r="P5" s="56">
        <f t="shared" si="7"/>
        <v>4</v>
      </c>
      <c r="Q5" s="56" t="e">
        <f t="shared" si="8"/>
        <v>#VALUE!</v>
      </c>
      <c r="R5" s="56" t="e">
        <f t="shared" si="9"/>
        <v>#VALUE!</v>
      </c>
      <c r="S5" s="56" t="str">
        <f>IFERROR(VLOOKUP(MID(N5,Q5,R5-Q5),[6]skilldef!$C:$D,2,FALSE),"-") &amp; " / " &amp; IFERROR(VLOOKUP(MID(N5,O5,P5-O5),[6]skilldef!$A:$B,2,FALSE),"-")</f>
        <v>- / -</v>
      </c>
      <c r="T5" s="41" t="str">
        <f t="shared" si="10"/>
        <v>none</v>
      </c>
      <c r="U5" s="56" t="e">
        <f t="shared" si="11"/>
        <v>#VALUE!</v>
      </c>
      <c r="V5" s="56">
        <f t="shared" si="12"/>
        <v>4</v>
      </c>
      <c r="W5" s="56" t="e">
        <f t="shared" si="13"/>
        <v>#VALUE!</v>
      </c>
      <c r="X5" s="56" t="e">
        <f t="shared" si="14"/>
        <v>#VALUE!</v>
      </c>
      <c r="Y5" s="56" t="str">
        <f>IFERROR(VLOOKUP(MID(T5,W5,X5-W5),[6]skilldef!$C:$D,2,FALSE),"-") &amp; " / " &amp; IFERROR(VLOOKUP(MID(T5,U5,V5-U5),[6]skilldef!$A:$B,2,FALSE),"-")</f>
        <v>- / -</v>
      </c>
      <c r="Z5" s="43"/>
      <c r="AA5" s="45"/>
      <c r="AB5" s="43"/>
    </row>
    <row r="6" spans="1:28" ht="21" customHeight="1" x14ac:dyDescent="0.15">
      <c r="A6" s="40">
        <v>15030005</v>
      </c>
      <c r="B6" s="40" t="s">
        <v>218</v>
      </c>
      <c r="C6" s="43">
        <v>3</v>
      </c>
      <c r="D6" s="43" t="s">
        <v>126</v>
      </c>
      <c r="E6" s="44" t="s">
        <v>215</v>
      </c>
      <c r="F6" s="44" t="s">
        <v>286</v>
      </c>
      <c r="G6" s="56" t="str">
        <f t="shared" si="0"/>
        <v>[effect:freq_turn, target:myself, turn:-1, val:1, animation:enemy_freq_turn]</v>
      </c>
      <c r="H6" s="56">
        <f t="shared" si="1"/>
        <v>9</v>
      </c>
      <c r="I6" s="56">
        <f t="shared" si="2"/>
        <v>18</v>
      </c>
      <c r="J6" s="56">
        <f t="shared" si="3"/>
        <v>27</v>
      </c>
      <c r="K6" s="56">
        <f t="shared" si="4"/>
        <v>33</v>
      </c>
      <c r="L6" s="56" t="str">
        <f>IFERROR(VLOOKUP(MID(G6,J6,K6-J6),[6]skilldef!$C:$D,2,FALSE),"-") &amp; " / " &amp; IFERROR(VLOOKUP(MID(G6,H6,I6-H6),[6]skilldef!$A:$B,2,FALSE),"-")</f>
        <v>自分自身に / 攻撃頻度がUP</v>
      </c>
      <c r="M6" s="56" t="str">
        <f t="shared" si="5"/>
        <v>none</v>
      </c>
      <c r="N6" s="41" t="str">
        <f>IFERROR(LEFT(M6,FIND("],",M6)+S18),M6)</f>
        <v>none</v>
      </c>
      <c r="O6" s="56" t="e">
        <f t="shared" si="6"/>
        <v>#VALUE!</v>
      </c>
      <c r="P6" s="56">
        <f t="shared" si="7"/>
        <v>4</v>
      </c>
      <c r="Q6" s="56" t="e">
        <f t="shared" si="8"/>
        <v>#VALUE!</v>
      </c>
      <c r="R6" s="56" t="e">
        <f t="shared" si="9"/>
        <v>#VALUE!</v>
      </c>
      <c r="S6" s="56" t="str">
        <f>IFERROR(VLOOKUP(MID(N6,Q6,R6-Q6),[6]skilldef!$C:$D,2,FALSE),"-") &amp; " / " &amp; IFERROR(VLOOKUP(MID(N6,O6,P6-O6),[6]skilldef!$A:$B,2,FALSE),"-")</f>
        <v>- / -</v>
      </c>
      <c r="T6" s="41" t="str">
        <f t="shared" si="10"/>
        <v>none</v>
      </c>
      <c r="U6" s="56" t="e">
        <f t="shared" si="11"/>
        <v>#VALUE!</v>
      </c>
      <c r="V6" s="56">
        <f t="shared" si="12"/>
        <v>4</v>
      </c>
      <c r="W6" s="56" t="e">
        <f t="shared" si="13"/>
        <v>#VALUE!</v>
      </c>
      <c r="X6" s="56" t="e">
        <f t="shared" si="14"/>
        <v>#VALUE!</v>
      </c>
      <c r="Y6" s="56" t="str">
        <f>IFERROR(VLOOKUP(MID(T6,W6,X6-W6),[6]skilldef!$C:$D,2,FALSE),"-") &amp; " / " &amp; IFERROR(VLOOKUP(MID(T6,U6,V6-U6),[6]skilldef!$A:$B,2,FALSE),"-")</f>
        <v>- / -</v>
      </c>
      <c r="Z6" s="43"/>
      <c r="AA6" s="45"/>
      <c r="AB6" s="43"/>
    </row>
    <row r="7" spans="1:28" ht="21" customHeight="1" x14ac:dyDescent="0.15">
      <c r="A7" s="40">
        <v>15030006</v>
      </c>
      <c r="B7" s="40" t="s">
        <v>223</v>
      </c>
      <c r="C7" s="43">
        <v>3</v>
      </c>
      <c r="D7" s="43" t="s">
        <v>126</v>
      </c>
      <c r="E7" s="44" t="s">
        <v>221</v>
      </c>
      <c r="F7" s="44" t="s">
        <v>222</v>
      </c>
      <c r="G7" s="56" t="str">
        <f t="shared" ref="G7" si="15">IFERROR(LEFT(B7,FIND("],",B7)),B7)</f>
        <v>[effect:critical, val:1.3]</v>
      </c>
      <c r="H7" s="56">
        <f t="shared" si="1"/>
        <v>9</v>
      </c>
      <c r="I7" s="56">
        <f t="shared" ref="I7" si="16">IFERROR(FIND(",",G7),LEN(G7))</f>
        <v>17</v>
      </c>
      <c r="J7" s="56" t="e">
        <f t="shared" ref="J7" si="17">FIND("target:",G7)+7</f>
        <v>#VALUE!</v>
      </c>
      <c r="K7" s="56" t="e">
        <f t="shared" ref="K7" si="18">FIND(",",G7,I7+1)</f>
        <v>#VALUE!</v>
      </c>
      <c r="L7" s="56" t="str">
        <f>IFERROR(VLOOKUP(MID(G7,J7,K7-J7),[6]skilldef!$C:$D,2,FALSE),"-") &amp; " / " &amp; IFERROR(VLOOKUP(MID(G7,H7,I7-H7),[6]skilldef!$A:$B,2,FALSE),"-")</f>
        <v>- / 大攻撃</v>
      </c>
      <c r="M7" s="56" t="str">
        <f t="shared" ref="M7" si="19">IFERROR(RIGHT(B7,LEN(B7)-FIND("],",B7)-1),"none")</f>
        <v>none</v>
      </c>
      <c r="N7" s="41" t="str">
        <f t="shared" ref="N7" si="20">IFERROR(LEFT(M7,FIND("],",M7)+S18),M7)</f>
        <v>none</v>
      </c>
      <c r="O7" s="56" t="e">
        <f t="shared" si="6"/>
        <v>#VALUE!</v>
      </c>
      <c r="P7" s="56">
        <f t="shared" ref="P7" si="21">IFERROR(FIND(",",N7),LEN(N7))</f>
        <v>4</v>
      </c>
      <c r="Q7" s="56" t="e">
        <f t="shared" ref="Q7" si="22">FIND("target:",N7)+7</f>
        <v>#VALUE!</v>
      </c>
      <c r="R7" s="56" t="e">
        <f t="shared" ref="R7" si="23">FIND(",",N7,P7+1)</f>
        <v>#VALUE!</v>
      </c>
      <c r="S7" s="56" t="str">
        <f>IFERROR(VLOOKUP(MID(N7,Q7,R7-Q7),[6]skilldef!$C:$D,2,FALSE),"-") &amp; " / " &amp; IFERROR(VLOOKUP(MID(N7,O7,P7-O7),[6]skilldef!$A:$B,2,FALSE),"-")</f>
        <v>- / -</v>
      </c>
      <c r="T7" s="41" t="str">
        <f t="shared" ref="T7" si="24">IFERROR(RIGHT(M7,LEN(M7)-FIND("],",M7)-1),"none")</f>
        <v>none</v>
      </c>
      <c r="U7" s="56" t="e">
        <f t="shared" si="11"/>
        <v>#VALUE!</v>
      </c>
      <c r="V7" s="56">
        <f t="shared" ref="V7" si="25">IFERROR(FIND(",",T7),LEN(T7))</f>
        <v>4</v>
      </c>
      <c r="W7" s="56" t="e">
        <f t="shared" ref="W7" si="26">FIND("target:",T7)+7</f>
        <v>#VALUE!</v>
      </c>
      <c r="X7" s="56" t="e">
        <f t="shared" ref="X7" si="27">FIND(",",T7,V7+1)</f>
        <v>#VALUE!</v>
      </c>
      <c r="Y7" s="56" t="str">
        <f>IFERROR(VLOOKUP(MID(T7,W7,X7-W7),[6]skilldef!$C:$D,2,FALSE),"-") &amp; " / " &amp; IFERROR(VLOOKUP(MID(T7,U7,V7-U7),[6]skilldef!$A:$B,2,FALSE),"-")</f>
        <v>- / -</v>
      </c>
      <c r="Z7" s="43"/>
      <c r="AA7" s="45"/>
      <c r="AB7" s="43"/>
    </row>
    <row r="8" spans="1:28" ht="21" customHeight="1" x14ac:dyDescent="0.15">
      <c r="A8" s="40">
        <v>15030007</v>
      </c>
      <c r="B8" s="40" t="s">
        <v>250</v>
      </c>
      <c r="C8" s="43">
        <v>3</v>
      </c>
      <c r="D8" s="43" t="s">
        <v>126</v>
      </c>
      <c r="E8" s="44" t="s">
        <v>239</v>
      </c>
      <c r="F8" s="44" t="s">
        <v>219</v>
      </c>
      <c r="G8" s="56" t="str">
        <f t="shared" si="0"/>
        <v>[effect:rush, count:5, val:0.25]</v>
      </c>
      <c r="H8" s="56">
        <f t="shared" si="1"/>
        <v>9</v>
      </c>
      <c r="I8" s="56">
        <f t="shared" si="2"/>
        <v>13</v>
      </c>
      <c r="J8" s="56" t="e">
        <f t="shared" si="3"/>
        <v>#VALUE!</v>
      </c>
      <c r="K8" s="56">
        <f t="shared" si="4"/>
        <v>22</v>
      </c>
      <c r="L8" s="56" t="str">
        <f>IFERROR(VLOOKUP(MID(G8,J8,K8-J8),[6]skilldef!$C:$D,2,FALSE),"-") &amp; " / " &amp; IFERROR(VLOOKUP(MID(G8,H8,I8-H8),[6]skilldef!$A:$B,2,FALSE),"-")</f>
        <v>- / 連続攻撃</v>
      </c>
      <c r="M8" s="56" t="str">
        <f t="shared" si="5"/>
        <v>none</v>
      </c>
      <c r="N8" s="41" t="str">
        <f t="shared" ref="N8:N12" si="28">IFERROR(LEFT(M8,FIND("],",M8)+S19),M8)</f>
        <v>none</v>
      </c>
      <c r="O8" s="56" t="e">
        <f t="shared" si="6"/>
        <v>#VALUE!</v>
      </c>
      <c r="P8" s="56">
        <f t="shared" si="7"/>
        <v>4</v>
      </c>
      <c r="Q8" s="56" t="e">
        <f t="shared" si="8"/>
        <v>#VALUE!</v>
      </c>
      <c r="R8" s="56" t="e">
        <f t="shared" si="9"/>
        <v>#VALUE!</v>
      </c>
      <c r="S8" s="56" t="str">
        <f>IFERROR(VLOOKUP(MID(N8,Q8,R8-Q8),[6]skilldef!$C:$D,2,FALSE),"-") &amp; " / " &amp; IFERROR(VLOOKUP(MID(N8,O8,P8-O8),[6]skilldef!$A:$B,2,FALSE),"-")</f>
        <v>- / -</v>
      </c>
      <c r="T8" s="41" t="str">
        <f t="shared" si="10"/>
        <v>none</v>
      </c>
      <c r="U8" s="56" t="e">
        <f t="shared" si="11"/>
        <v>#VALUE!</v>
      </c>
      <c r="V8" s="56">
        <f t="shared" si="12"/>
        <v>4</v>
      </c>
      <c r="W8" s="56" t="e">
        <f t="shared" si="13"/>
        <v>#VALUE!</v>
      </c>
      <c r="X8" s="56" t="e">
        <f t="shared" si="14"/>
        <v>#VALUE!</v>
      </c>
      <c r="Y8" s="56" t="str">
        <f>IFERROR(VLOOKUP(MID(T8,W8,X8-W8),[6]skilldef!$C:$D,2,FALSE),"-") &amp; " / " &amp; IFERROR(VLOOKUP(MID(T8,U8,V8-U8),[6]skilldef!$A:$B,2,FALSE),"-")</f>
        <v>- / -</v>
      </c>
      <c r="Z8" s="43"/>
      <c r="AA8" s="45"/>
      <c r="AB8" s="43"/>
    </row>
    <row r="9" spans="1:28" ht="21" customHeight="1" x14ac:dyDescent="0.15">
      <c r="A9" s="40">
        <v>15030008</v>
      </c>
      <c r="B9" s="40" t="s">
        <v>227</v>
      </c>
      <c r="C9" s="43">
        <v>3</v>
      </c>
      <c r="D9" s="43" t="s">
        <v>126</v>
      </c>
      <c r="E9" s="44" t="s">
        <v>238</v>
      </c>
      <c r="F9" s="44" t="s">
        <v>288</v>
      </c>
      <c r="G9" s="56" t="str">
        <f t="shared" si="0"/>
        <v>[effect:degrade_unit, target:unit_all, turn:5, status:action, val:1, animation:enemy_tap_down]</v>
      </c>
      <c r="H9" s="56">
        <f t="shared" si="1"/>
        <v>9</v>
      </c>
      <c r="I9" s="56">
        <f t="shared" si="2"/>
        <v>21</v>
      </c>
      <c r="J9" s="56">
        <f t="shared" si="3"/>
        <v>30</v>
      </c>
      <c r="K9" s="56">
        <f t="shared" si="4"/>
        <v>38</v>
      </c>
      <c r="L9" s="56" t="str">
        <f>IFERROR(VLOOKUP(MID(G9,J9,K9-J9),[6]skilldef!$C:$D,2,FALSE),"-") &amp; " / " &amp; IFERROR(VLOOKUP(MID(G9,H9,I9-H9),[6]skilldef!$A:$B,2,FALSE),"-")</f>
        <v>味方全体に / ステータスDOWN</v>
      </c>
      <c r="M9" s="56" t="str">
        <f t="shared" si="5"/>
        <v xml:space="preserve">[effect:crash_condition, target:unit_all, val:2, turn:4, animation:enemy_crash_extend]    </v>
      </c>
      <c r="N9" s="41" t="str">
        <f t="shared" si="28"/>
        <v xml:space="preserve">[effect:crash_condition, target:unit_all, val:2, turn:4, animation:enemy_crash_extend]    </v>
      </c>
      <c r="O9" s="56">
        <f t="shared" si="6"/>
        <v>9</v>
      </c>
      <c r="P9" s="56">
        <f t="shared" si="7"/>
        <v>24</v>
      </c>
      <c r="Q9" s="56">
        <f t="shared" si="8"/>
        <v>33</v>
      </c>
      <c r="R9" s="56">
        <f t="shared" si="9"/>
        <v>41</v>
      </c>
      <c r="S9" s="56" t="str">
        <f>IFERROR(VLOOKUP(MID(N9,Q9,R9-Q9),[6]skilldef!$C:$D,2,FALSE),"-") &amp; " / " &amp; IFERROR(VLOOKUP(MID(N9,O9,P9-O9),[6]skilldef!$A:$B,2,FALSE),"-")</f>
        <v>味方全体に / -</v>
      </c>
      <c r="T9" s="41" t="str">
        <f t="shared" si="10"/>
        <v>none</v>
      </c>
      <c r="U9" s="56" t="e">
        <f t="shared" si="11"/>
        <v>#VALUE!</v>
      </c>
      <c r="V9" s="56">
        <f t="shared" si="12"/>
        <v>4</v>
      </c>
      <c r="W9" s="56" t="e">
        <f t="shared" si="13"/>
        <v>#VALUE!</v>
      </c>
      <c r="X9" s="56" t="e">
        <f t="shared" si="14"/>
        <v>#VALUE!</v>
      </c>
      <c r="Y9" s="56" t="str">
        <f>IFERROR(VLOOKUP(MID(T9,W9,X9-W9),[6]skilldef!$C:$D,2,FALSE),"-") &amp; " / " &amp; IFERROR(VLOOKUP(MID(T9,U9,V9-U9),[6]skilldef!$A:$B,2,FALSE),"-")</f>
        <v>- / -</v>
      </c>
      <c r="Z9" s="43"/>
      <c r="AA9" s="45"/>
      <c r="AB9" s="43"/>
    </row>
    <row r="10" spans="1:28" ht="21" customHeight="1" x14ac:dyDescent="0.15">
      <c r="A10" s="40">
        <v>15030009</v>
      </c>
      <c r="B10" s="40" t="s">
        <v>220</v>
      </c>
      <c r="C10" s="43">
        <v>3</v>
      </c>
      <c r="D10" s="43" t="s">
        <v>126</v>
      </c>
      <c r="E10" s="44" t="s">
        <v>231</v>
      </c>
      <c r="F10" s="44" t="s">
        <v>292</v>
      </c>
      <c r="G10" s="56" t="str">
        <f t="shared" si="0"/>
        <v>[effect:degrade_unit, target:unit_all, turn:3, status:attack, val:0.5]</v>
      </c>
      <c r="H10" s="56">
        <f t="shared" si="1"/>
        <v>9</v>
      </c>
      <c r="I10" s="56">
        <f t="shared" si="2"/>
        <v>21</v>
      </c>
      <c r="J10" s="56">
        <f t="shared" si="3"/>
        <v>30</v>
      </c>
      <c r="K10" s="56">
        <f t="shared" si="4"/>
        <v>38</v>
      </c>
      <c r="L10" s="56" t="str">
        <f>IFERROR(VLOOKUP(MID(G10,J10,K10-J10),[6]skilldef!$C:$D,2,FALSE),"-") &amp; " / " &amp; IFERROR(VLOOKUP(MID(G10,H10,I10-H10),[6]skilldef!$A:$B,2,FALSE),"-")</f>
        <v>味方全体に / ステータスDOWN</v>
      </c>
      <c r="M10" s="56" t="str">
        <f t="shared" si="5"/>
        <v>none</v>
      </c>
      <c r="N10" s="41" t="str">
        <f t="shared" si="28"/>
        <v>none</v>
      </c>
      <c r="O10" s="56" t="e">
        <f t="shared" si="6"/>
        <v>#VALUE!</v>
      </c>
      <c r="P10" s="56">
        <f t="shared" si="7"/>
        <v>4</v>
      </c>
      <c r="Q10" s="56" t="e">
        <f t="shared" si="8"/>
        <v>#VALUE!</v>
      </c>
      <c r="R10" s="56" t="e">
        <f t="shared" si="9"/>
        <v>#VALUE!</v>
      </c>
      <c r="S10" s="56" t="str">
        <f>IFERROR(VLOOKUP(MID(N10,Q10,R10-Q10),[6]skilldef!$C:$D,2,FALSE),"-") &amp; " / " &amp; IFERROR(VLOOKUP(MID(N10,O10,P10-O10),[6]skilldef!$A:$B,2,FALSE),"-")</f>
        <v>- / -</v>
      </c>
      <c r="T10" s="41" t="str">
        <f t="shared" si="10"/>
        <v>none</v>
      </c>
      <c r="U10" s="56" t="e">
        <f t="shared" si="11"/>
        <v>#VALUE!</v>
      </c>
      <c r="V10" s="56">
        <f t="shared" si="12"/>
        <v>4</v>
      </c>
      <c r="W10" s="56" t="e">
        <f t="shared" si="13"/>
        <v>#VALUE!</v>
      </c>
      <c r="X10" s="56" t="e">
        <f t="shared" si="14"/>
        <v>#VALUE!</v>
      </c>
      <c r="Y10" s="56" t="str">
        <f>IFERROR(VLOOKUP(MID(T10,W10,X10-W10),[6]skilldef!$C:$D,2,FALSE),"-") &amp; " / " &amp; IFERROR(VLOOKUP(MID(T10,U10,V10-U10),[6]skilldef!$A:$B,2,FALSE),"-")</f>
        <v>- / -</v>
      </c>
      <c r="Z10" s="43"/>
      <c r="AA10" s="45"/>
      <c r="AB10" s="43"/>
    </row>
    <row r="11" spans="1:28" ht="21" customHeight="1" x14ac:dyDescent="0.15">
      <c r="A11" s="40">
        <v>15030010</v>
      </c>
      <c r="B11" s="40" t="s">
        <v>225</v>
      </c>
      <c r="C11" s="43">
        <v>3</v>
      </c>
      <c r="D11" s="43" t="s">
        <v>126</v>
      </c>
      <c r="E11" s="44" t="s">
        <v>261</v>
      </c>
      <c r="F11" s="44" t="s">
        <v>293</v>
      </c>
      <c r="G11" s="56" t="str">
        <f t="shared" si="0"/>
        <v>[effect:force_change_block, new_block:time_bomb, target:block_blue, count:10, val:0.1, min_time_count:2, max_time_count:2, animation:change_block]</v>
      </c>
      <c r="H11" s="56">
        <f t="shared" si="1"/>
        <v>9</v>
      </c>
      <c r="I11" s="56">
        <f t="shared" si="2"/>
        <v>27</v>
      </c>
      <c r="J11" s="56">
        <f t="shared" si="3"/>
        <v>57</v>
      </c>
      <c r="K11" s="56">
        <f t="shared" si="4"/>
        <v>48</v>
      </c>
      <c r="L11" s="56" t="str">
        <f>IFERROR(VLOOKUP(MID(G11,J11,K11-J11),[6]skilldef!$C:$D,2,FALSE),"-") &amp; " / " &amp; IFERROR(VLOOKUP(MID(G11,H11,I11-H11),[6]skilldef!$A:$B,2,FALSE),"-")</f>
        <v>- / -</v>
      </c>
      <c r="M11" s="56" t="str">
        <f t="shared" si="5"/>
        <v>[effect:rush, count:1, val:0.75]</v>
      </c>
      <c r="N11" s="41" t="str">
        <f t="shared" si="28"/>
        <v>[effect:rush, count:1, val:0.75]</v>
      </c>
      <c r="O11" s="56">
        <f t="shared" si="6"/>
        <v>9</v>
      </c>
      <c r="P11" s="56">
        <f t="shared" si="7"/>
        <v>13</v>
      </c>
      <c r="Q11" s="56" t="e">
        <f t="shared" si="8"/>
        <v>#VALUE!</v>
      </c>
      <c r="R11" s="56">
        <f t="shared" si="9"/>
        <v>22</v>
      </c>
      <c r="S11" s="56" t="str">
        <f>IFERROR(VLOOKUP(MID(N11,Q11,R11-Q11),[6]skilldef!$C:$D,2,FALSE),"-") &amp; " / " &amp; IFERROR(VLOOKUP(MID(N11,O11,P11-O11),[6]skilldef!$A:$B,2,FALSE),"-")</f>
        <v>- / 連続攻撃</v>
      </c>
      <c r="T11" s="41" t="str">
        <f t="shared" si="10"/>
        <v>none</v>
      </c>
      <c r="U11" s="56" t="e">
        <f t="shared" si="11"/>
        <v>#VALUE!</v>
      </c>
      <c r="V11" s="56">
        <f t="shared" si="12"/>
        <v>4</v>
      </c>
      <c r="W11" s="56" t="e">
        <f t="shared" si="13"/>
        <v>#VALUE!</v>
      </c>
      <c r="X11" s="56" t="e">
        <f t="shared" si="14"/>
        <v>#VALUE!</v>
      </c>
      <c r="Y11" s="56" t="str">
        <f>IFERROR(VLOOKUP(MID(T11,W11,X11-W11),[6]skilldef!$C:$D,2,FALSE),"-") &amp; " / " &amp; IFERROR(VLOOKUP(MID(T11,U11,V11-U11),[6]skilldef!$A:$B,2,FALSE),"-")</f>
        <v>- / -</v>
      </c>
      <c r="Z11" s="43"/>
      <c r="AA11" s="45"/>
      <c r="AB11" s="43"/>
    </row>
    <row r="12" spans="1:28" ht="21" customHeight="1" x14ac:dyDescent="0.15">
      <c r="A12" s="40">
        <v>15030011</v>
      </c>
      <c r="B12" s="40" t="s">
        <v>260</v>
      </c>
      <c r="C12" s="43">
        <v>3</v>
      </c>
      <c r="D12" s="43" t="s">
        <v>126</v>
      </c>
      <c r="E12" s="44" t="s">
        <v>262</v>
      </c>
      <c r="F12" s="44" t="s">
        <v>290</v>
      </c>
      <c r="G12" s="56" t="str">
        <f t="shared" si="0"/>
        <v xml:space="preserve">[effect:break_enchance_enemy, val:0.1, lowest_val:0.1, count :10, status:attack, turn:-1, block:block_red, target:myself, calc:mul, animation:enemy_enhance_attack]    </v>
      </c>
      <c r="H12" s="56">
        <f t="shared" si="1"/>
        <v>9</v>
      </c>
      <c r="I12" s="56">
        <f t="shared" si="2"/>
        <v>29</v>
      </c>
      <c r="J12" s="56">
        <f t="shared" si="3"/>
        <v>115</v>
      </c>
      <c r="K12" s="56">
        <f t="shared" si="4"/>
        <v>38</v>
      </c>
      <c r="L12" s="56" t="str">
        <f>IFERROR(VLOOKUP(MID(G12,J12,K12-J12),[6]skilldef!$C:$D,2,FALSE),"-") &amp; " / " &amp; IFERROR(VLOOKUP(MID(G12,H12,I12-H12),[6]skilldef!$A:$B,2,FALSE),"-")</f>
        <v>- / -</v>
      </c>
      <c r="M12" s="56" t="str">
        <f t="shared" si="5"/>
        <v>none</v>
      </c>
      <c r="N12" s="41" t="str">
        <f t="shared" si="28"/>
        <v>none</v>
      </c>
      <c r="O12" s="56" t="e">
        <f t="shared" si="6"/>
        <v>#VALUE!</v>
      </c>
      <c r="P12" s="56">
        <f t="shared" si="7"/>
        <v>4</v>
      </c>
      <c r="Q12" s="56" t="e">
        <f t="shared" si="8"/>
        <v>#VALUE!</v>
      </c>
      <c r="R12" s="56" t="e">
        <f t="shared" si="9"/>
        <v>#VALUE!</v>
      </c>
      <c r="S12" s="56" t="str">
        <f>IFERROR(VLOOKUP(MID(N12,Q12,R12-Q12),[6]skilldef!$C:$D,2,FALSE),"-") &amp; " / " &amp; IFERROR(VLOOKUP(MID(N12,O12,P12-O12),[6]skilldef!$A:$B,2,FALSE),"-")</f>
        <v>- / -</v>
      </c>
      <c r="T12" s="41" t="str">
        <f t="shared" si="10"/>
        <v>none</v>
      </c>
      <c r="U12" s="56" t="e">
        <f t="shared" si="11"/>
        <v>#VALUE!</v>
      </c>
      <c r="V12" s="56">
        <f t="shared" si="12"/>
        <v>4</v>
      </c>
      <c r="W12" s="56" t="e">
        <f t="shared" si="13"/>
        <v>#VALUE!</v>
      </c>
      <c r="X12" s="56" t="e">
        <f t="shared" si="14"/>
        <v>#VALUE!</v>
      </c>
      <c r="Y12" s="56" t="str">
        <f>IFERROR(VLOOKUP(MID(T12,W12,X12-W12),[6]skilldef!$C:$D,2,FALSE),"-") &amp; " / " &amp; IFERROR(VLOOKUP(MID(T12,U12,V12-U12),[6]skilldef!$A:$B,2,FALSE),"-")</f>
        <v>- / -</v>
      </c>
      <c r="Z12" s="43"/>
      <c r="AA12" s="45"/>
      <c r="AB12" s="43"/>
    </row>
    <row r="13" spans="1:28" ht="21" customHeight="1" x14ac:dyDescent="0.15">
      <c r="A13" s="40">
        <v>15030012</v>
      </c>
      <c r="B13" s="40" t="s">
        <v>256</v>
      </c>
      <c r="C13" s="43">
        <v>3</v>
      </c>
      <c r="D13" s="43" t="s">
        <v>126</v>
      </c>
      <c r="E13" s="44" t="s">
        <v>241</v>
      </c>
      <c r="F13" s="44" t="s">
        <v>300</v>
      </c>
      <c r="G13" s="56" t="str">
        <f t="shared" si="0"/>
        <v>[effect:panel_freeze, target:block_green, color:block_green, count:5, break_count:1]</v>
      </c>
      <c r="H13" s="56">
        <f t="shared" si="1"/>
        <v>9</v>
      </c>
      <c r="I13" s="56">
        <f t="shared" si="2"/>
        <v>21</v>
      </c>
      <c r="J13" s="56">
        <f t="shared" si="3"/>
        <v>30</v>
      </c>
      <c r="K13" s="56">
        <f t="shared" si="4"/>
        <v>41</v>
      </c>
      <c r="L13" s="56" t="str">
        <f>IFERROR(VLOOKUP(MID(G13,J13,K13-J13),[6]skilldef!$C:$D,2,FALSE),"-") &amp; " / " &amp; IFERROR(VLOOKUP(MID(G13,H13,I13-H13),[6]skilldef!$A:$B,2,FALSE),"-")</f>
        <v>緑パネルを / -</v>
      </c>
      <c r="M13" s="56" t="str">
        <f t="shared" si="5"/>
        <v>[effect:rush, count:1, val:0.75]</v>
      </c>
      <c r="N13" s="41" t="str">
        <f t="shared" ref="N13:N21" si="29">IFERROR(LEFT(M13,FIND("],",M13)+S23),M13)</f>
        <v>[effect:rush, count:1, val:0.75]</v>
      </c>
      <c r="O13" s="56">
        <f t="shared" si="6"/>
        <v>9</v>
      </c>
      <c r="P13" s="56">
        <f t="shared" si="7"/>
        <v>13</v>
      </c>
      <c r="Q13" s="56" t="e">
        <f t="shared" si="8"/>
        <v>#VALUE!</v>
      </c>
      <c r="R13" s="56">
        <f t="shared" si="9"/>
        <v>22</v>
      </c>
      <c r="S13" s="56" t="str">
        <f>IFERROR(VLOOKUP(MID(N13,Q13,R13-Q13),[6]skilldef!$C:$D,2,FALSE),"-") &amp; " / " &amp; IFERROR(VLOOKUP(MID(N13,O13,P13-O13),[6]skilldef!$A:$B,2,FALSE),"-")</f>
        <v>- / 連続攻撃</v>
      </c>
      <c r="T13" s="41" t="str">
        <f t="shared" si="10"/>
        <v>none</v>
      </c>
      <c r="U13" s="56" t="e">
        <f t="shared" si="11"/>
        <v>#VALUE!</v>
      </c>
      <c r="V13" s="56">
        <f t="shared" si="12"/>
        <v>4</v>
      </c>
      <c r="W13" s="56" t="e">
        <f t="shared" si="13"/>
        <v>#VALUE!</v>
      </c>
      <c r="X13" s="56" t="e">
        <f t="shared" si="14"/>
        <v>#VALUE!</v>
      </c>
      <c r="Y13" s="56" t="str">
        <f>IFERROR(VLOOKUP(MID(T13,W13,X13-W13),[6]skilldef!$C:$D,2,FALSE),"-") &amp; " / " &amp; IFERROR(VLOOKUP(MID(T13,U13,V13-U13),[6]skilldef!$A:$B,2,FALSE),"-")</f>
        <v>- / -</v>
      </c>
      <c r="Z13" s="43"/>
      <c r="AA13" s="45"/>
      <c r="AB13" s="43"/>
    </row>
    <row r="14" spans="1:28" ht="21" customHeight="1" x14ac:dyDescent="0.15">
      <c r="A14" s="40">
        <v>15030013</v>
      </c>
      <c r="B14" s="40" t="s">
        <v>257</v>
      </c>
      <c r="C14" s="43">
        <v>3</v>
      </c>
      <c r="D14" s="43" t="s">
        <v>126</v>
      </c>
      <c r="E14" s="44" t="s">
        <v>242</v>
      </c>
      <c r="F14" s="44" t="s">
        <v>301</v>
      </c>
      <c r="G14" s="56" t="str">
        <f t="shared" ref="G14:G16" si="30">IFERROR(LEFT(B14,FIND("],",B14)),B14)</f>
        <v>[effect:panel_freeze, target:block_yellow, color:block_yellow, count:5, break_count:1]</v>
      </c>
      <c r="H14" s="56">
        <f t="shared" si="1"/>
        <v>9</v>
      </c>
      <c r="I14" s="56">
        <f t="shared" ref="I14:I16" si="31">IFERROR(FIND(",",G14),LEN(G14))</f>
        <v>21</v>
      </c>
      <c r="J14" s="56">
        <f t="shared" ref="J14:J16" si="32">FIND("target:",G14)+7</f>
        <v>30</v>
      </c>
      <c r="K14" s="56">
        <f t="shared" ref="K14:K16" si="33">FIND(",",G14,I14+1)</f>
        <v>42</v>
      </c>
      <c r="L14" s="56" t="str">
        <f>IFERROR(VLOOKUP(MID(G14,J14,K14-J14),[6]skilldef!$C:$D,2,FALSE),"-") &amp; " / " &amp; IFERROR(VLOOKUP(MID(G14,H14,I14-H14),[6]skilldef!$A:$B,2,FALSE),"-")</f>
        <v>黄色パネルを / -</v>
      </c>
      <c r="M14" s="56" t="str">
        <f t="shared" ref="M14:M16" si="34">IFERROR(RIGHT(B14,LEN(B14)-FIND("],",B14)-1),"none")</f>
        <v>[effect:spread, val:0.2]</v>
      </c>
      <c r="N14" s="41" t="str">
        <f t="shared" si="29"/>
        <v>[effect:spread, val:0.2]</v>
      </c>
      <c r="O14" s="56">
        <f t="shared" si="6"/>
        <v>9</v>
      </c>
      <c r="P14" s="56">
        <f t="shared" ref="P14:P16" si="35">IFERROR(FIND(",",N14),LEN(N14))</f>
        <v>15</v>
      </c>
      <c r="Q14" s="56" t="e">
        <f t="shared" ref="Q14:Q16" si="36">FIND("target:",N14)+7</f>
        <v>#VALUE!</v>
      </c>
      <c r="R14" s="56" t="e">
        <f t="shared" ref="R14:R16" si="37">FIND(",",N14,P14+1)</f>
        <v>#VALUE!</v>
      </c>
      <c r="S14" s="56" t="str">
        <f>IFERROR(VLOOKUP(MID(N14,Q14,R14-Q14),[6]skilldef!$C:$D,2,FALSE),"-") &amp; " / " &amp; IFERROR(VLOOKUP(MID(N14,O14,P14-O14),[6]skilldef!$A:$B,2,FALSE),"-")</f>
        <v>- / 全体攻撃</v>
      </c>
      <c r="T14" s="41" t="str">
        <f t="shared" ref="T14:T16" si="38">IFERROR(RIGHT(M14,LEN(M14)-FIND("],",M14)-1),"none")</f>
        <v>none</v>
      </c>
      <c r="U14" s="56" t="e">
        <f t="shared" si="11"/>
        <v>#VALUE!</v>
      </c>
      <c r="V14" s="56">
        <f t="shared" ref="V14:V16" si="39">IFERROR(FIND(",",T14),LEN(T14))</f>
        <v>4</v>
      </c>
      <c r="W14" s="56" t="e">
        <f t="shared" ref="W14:W16" si="40">FIND("target:",T14)+7</f>
        <v>#VALUE!</v>
      </c>
      <c r="X14" s="56" t="e">
        <f t="shared" ref="X14:X16" si="41">FIND(",",T14,V14+1)</f>
        <v>#VALUE!</v>
      </c>
      <c r="Y14" s="56" t="str">
        <f>IFERROR(VLOOKUP(MID(T14,W14,X14-W14),[6]skilldef!$C:$D,2,FALSE),"-") &amp; " / " &amp; IFERROR(VLOOKUP(MID(T14,U14,V14-U14),[6]skilldef!$A:$B,2,FALSE),"-")</f>
        <v>- / -</v>
      </c>
      <c r="Z14" s="43"/>
      <c r="AA14" s="45"/>
      <c r="AB14" s="43"/>
    </row>
    <row r="15" spans="1:28" ht="21" customHeight="1" x14ac:dyDescent="0.15">
      <c r="A15" s="40">
        <v>15030014</v>
      </c>
      <c r="B15" s="40" t="s">
        <v>224</v>
      </c>
      <c r="C15" s="43">
        <v>3</v>
      </c>
      <c r="D15" s="43" t="s">
        <v>126</v>
      </c>
      <c r="E15" s="44" t="s">
        <v>230</v>
      </c>
      <c r="F15" s="44" t="s">
        <v>299</v>
      </c>
      <c r="G15" s="56" t="str">
        <f t="shared" si="30"/>
        <v>[effect:change_block, new_block:time_bomb, target:block_all, count:5, val:0.2, min_time_count:2, max_time_count:4, no_effect_msg:no_effect_msg_change_block, animation:change_block]</v>
      </c>
      <c r="H15" s="56">
        <f t="shared" si="1"/>
        <v>9</v>
      </c>
      <c r="I15" s="56">
        <f t="shared" si="31"/>
        <v>21</v>
      </c>
      <c r="J15" s="56">
        <f t="shared" si="32"/>
        <v>51</v>
      </c>
      <c r="K15" s="56">
        <f t="shared" si="33"/>
        <v>42</v>
      </c>
      <c r="L15" s="56" t="str">
        <f>IFERROR(VLOOKUP(MID(G15,J15,K15-J15),[6]skilldef!$C:$D,2,FALSE),"-") &amp; " / " &amp; IFERROR(VLOOKUP(MID(G15,H15,I15-H15),[6]skilldef!$A:$B,2,FALSE),"-")</f>
        <v>- / ブロック変換</v>
      </c>
      <c r="M15" s="56" t="str">
        <f t="shared" si="34"/>
        <v>[effect:change_block, new_block:jammer, target:block_all, count:5, val:0, no_effect_msg:no_effect_msg_change_block, animation:change_block]</v>
      </c>
      <c r="N15" s="41" t="str">
        <f t="shared" si="29"/>
        <v>[effect:change_block, new_block:jammer, target:block_all, count:5, val:0, no_effect_msg:no_effect_msg_change_block, animation:change_block]</v>
      </c>
      <c r="O15" s="56">
        <f t="shared" si="6"/>
        <v>9</v>
      </c>
      <c r="P15" s="56">
        <f t="shared" si="35"/>
        <v>21</v>
      </c>
      <c r="Q15" s="56">
        <f t="shared" si="36"/>
        <v>48</v>
      </c>
      <c r="R15" s="56">
        <f t="shared" si="37"/>
        <v>39</v>
      </c>
      <c r="S15" s="56" t="str">
        <f>IFERROR(VLOOKUP(MID(N15,Q15,R15-Q15),[6]skilldef!$C:$D,2,FALSE),"-") &amp; " / " &amp; IFERROR(VLOOKUP(MID(N15,O15,P15-O15),[6]skilldef!$A:$B,2,FALSE),"-")</f>
        <v>- / ブロック変換</v>
      </c>
      <c r="T15" s="41" t="str">
        <f t="shared" si="38"/>
        <v>none</v>
      </c>
      <c r="U15" s="56" t="e">
        <f t="shared" si="11"/>
        <v>#VALUE!</v>
      </c>
      <c r="V15" s="56">
        <f t="shared" si="39"/>
        <v>4</v>
      </c>
      <c r="W15" s="56" t="e">
        <f t="shared" si="40"/>
        <v>#VALUE!</v>
      </c>
      <c r="X15" s="56" t="e">
        <f t="shared" si="41"/>
        <v>#VALUE!</v>
      </c>
      <c r="Y15" s="56" t="str">
        <f>IFERROR(VLOOKUP(MID(T15,W15,X15-W15),[6]skilldef!$C:$D,2,FALSE),"-") &amp; " / " &amp; IFERROR(VLOOKUP(MID(T15,U15,V15-U15),[6]skilldef!$A:$B,2,FALSE),"-")</f>
        <v>- / -</v>
      </c>
      <c r="Z15" s="43"/>
      <c r="AA15" s="45"/>
      <c r="AB15" s="43"/>
    </row>
    <row r="16" spans="1:28" ht="21" customHeight="1" x14ac:dyDescent="0.15">
      <c r="A16" s="40">
        <v>15030015</v>
      </c>
      <c r="B16" s="40" t="s">
        <v>259</v>
      </c>
      <c r="C16" s="43">
        <v>3</v>
      </c>
      <c r="D16" s="43" t="s">
        <v>126</v>
      </c>
      <c r="E16" s="44" t="s">
        <v>245</v>
      </c>
      <c r="F16" s="44" t="s">
        <v>298</v>
      </c>
      <c r="G16" s="56" t="str">
        <f t="shared" si="30"/>
        <v>[effect:damage_anti_tribe, target:unit_one, tribe:human, val1:1, val2:0.3]</v>
      </c>
      <c r="H16" s="56">
        <f t="shared" si="1"/>
        <v>9</v>
      </c>
      <c r="I16" s="56">
        <f t="shared" si="31"/>
        <v>26</v>
      </c>
      <c r="J16" s="56">
        <f t="shared" si="32"/>
        <v>35</v>
      </c>
      <c r="K16" s="56">
        <f t="shared" si="33"/>
        <v>43</v>
      </c>
      <c r="L16" s="56" t="str">
        <f>IFERROR(VLOOKUP(MID(G16,J16,K16-J16),[6]skilldef!$C:$D,2,FALSE),"-") &amp; " / " &amp; IFERROR(VLOOKUP(MID(G16,H16,I16-H16),[6]skilldef!$A:$B,2,FALSE),"-")</f>
        <v>味方単体に / 種族キラー</v>
      </c>
      <c r="M16" s="56" t="str">
        <f t="shared" si="34"/>
        <v>[effect:damage_anti_tribe, target:unit_one, tribe:human, val1:1.2, val2:0.3]</v>
      </c>
      <c r="N16" s="41" t="str">
        <f t="shared" si="29"/>
        <v>[effect:damage_anti_tribe, target:unit_one, tribe:human, val1:1.2, val2:0.3]</v>
      </c>
      <c r="O16" s="56">
        <f t="shared" si="6"/>
        <v>9</v>
      </c>
      <c r="P16" s="56">
        <f t="shared" si="35"/>
        <v>26</v>
      </c>
      <c r="Q16" s="56">
        <f t="shared" si="36"/>
        <v>35</v>
      </c>
      <c r="R16" s="56">
        <f t="shared" si="37"/>
        <v>43</v>
      </c>
      <c r="S16" s="56" t="str">
        <f>IFERROR(VLOOKUP(MID(N16,Q16,R16-Q16),[6]skilldef!$C:$D,2,FALSE),"-") &amp; " / " &amp; IFERROR(VLOOKUP(MID(N16,O16,P16-O16),[6]skilldef!$A:$B,2,FALSE),"-")</f>
        <v>味方単体に / 種族キラー</v>
      </c>
      <c r="T16" s="41" t="str">
        <f t="shared" si="38"/>
        <v>none</v>
      </c>
      <c r="U16" s="56" t="e">
        <f t="shared" si="11"/>
        <v>#VALUE!</v>
      </c>
      <c r="V16" s="56">
        <f t="shared" si="39"/>
        <v>4</v>
      </c>
      <c r="W16" s="56" t="e">
        <f t="shared" si="40"/>
        <v>#VALUE!</v>
      </c>
      <c r="X16" s="56" t="e">
        <f t="shared" si="41"/>
        <v>#VALUE!</v>
      </c>
      <c r="Y16" s="56" t="str">
        <f>IFERROR(VLOOKUP(MID(T16,W16,X16-W16),[6]skilldef!$C:$D,2,FALSE),"-") &amp; " / " &amp; IFERROR(VLOOKUP(MID(T16,U16,V16-U16),[6]skilldef!$A:$B,2,FALSE),"-")</f>
        <v>- / -</v>
      </c>
      <c r="Z16" s="43"/>
      <c r="AA16" s="45"/>
      <c r="AB16" s="43"/>
    </row>
    <row r="17" spans="1:28" ht="21" customHeight="1" x14ac:dyDescent="0.15">
      <c r="A17" s="40">
        <v>15030016</v>
      </c>
      <c r="B17" s="40" t="s">
        <v>258</v>
      </c>
      <c r="C17" s="43">
        <v>3</v>
      </c>
      <c r="D17" s="43" t="s">
        <v>126</v>
      </c>
      <c r="E17" s="44" t="s">
        <v>240</v>
      </c>
      <c r="F17" s="44" t="s">
        <v>297</v>
      </c>
      <c r="G17" s="56" t="str">
        <f t="shared" ref="G17" si="42">IFERROR(LEFT(B17,FIND("],",B17)),B17)</f>
        <v>[effect:panel_freeze, target:block_blue, color:block_blue, count:5, break_count:1]</v>
      </c>
      <c r="H17" s="56">
        <f t="shared" si="1"/>
        <v>9</v>
      </c>
      <c r="I17" s="56">
        <f t="shared" ref="I17" si="43">IFERROR(FIND(",",G17),LEN(G17))</f>
        <v>21</v>
      </c>
      <c r="J17" s="56">
        <f t="shared" ref="J17" si="44">FIND("target:",G17)+7</f>
        <v>30</v>
      </c>
      <c r="K17" s="56">
        <f t="shared" ref="K17" si="45">FIND(",",G17,I17+1)</f>
        <v>40</v>
      </c>
      <c r="L17" s="56" t="str">
        <f>IFERROR(VLOOKUP(MID(G17,J17,K17-J17),[6]skilldef!$C:$D,2,FALSE),"-") &amp; " / " &amp; IFERROR(VLOOKUP(MID(G17,H17,I17-H17),[6]skilldef!$A:$B,2,FALSE),"-")</f>
        <v>青パネルを / -</v>
      </c>
      <c r="M17" s="56" t="str">
        <f t="shared" ref="M17" si="46">IFERROR(RIGHT(B17,LEN(B17)-FIND("],",B17)-1),"none")</f>
        <v>[effect:rush, count:3, val:0.33]</v>
      </c>
      <c r="N17" s="41" t="str">
        <f t="shared" si="29"/>
        <v>[effect:rush, count:3, val:0.33]</v>
      </c>
      <c r="O17" s="56">
        <f t="shared" si="6"/>
        <v>9</v>
      </c>
      <c r="P17" s="56">
        <f t="shared" ref="P17" si="47">IFERROR(FIND(",",N17),LEN(N17))</f>
        <v>13</v>
      </c>
      <c r="Q17" s="56" t="e">
        <f t="shared" ref="Q17" si="48">FIND("target:",N17)+7</f>
        <v>#VALUE!</v>
      </c>
      <c r="R17" s="56">
        <f t="shared" ref="R17" si="49">FIND(",",N17,P17+1)</f>
        <v>22</v>
      </c>
      <c r="S17" s="56" t="str">
        <f>IFERROR(VLOOKUP(MID(N17,Q17,R17-Q17),[6]skilldef!$C:$D,2,FALSE),"-") &amp; " / " &amp; IFERROR(VLOOKUP(MID(N17,O17,P17-O17),[6]skilldef!$A:$B,2,FALSE),"-")</f>
        <v>- / 連続攻撃</v>
      </c>
      <c r="T17" s="41" t="str">
        <f t="shared" ref="T17" si="50">IFERROR(RIGHT(M17,LEN(M17)-FIND("],",M17)-1),"none")</f>
        <v>none</v>
      </c>
      <c r="U17" s="56" t="e">
        <f t="shared" si="11"/>
        <v>#VALUE!</v>
      </c>
      <c r="V17" s="56">
        <f t="shared" ref="V17" si="51">IFERROR(FIND(",",T17),LEN(T17))</f>
        <v>4</v>
      </c>
      <c r="W17" s="56" t="e">
        <f t="shared" ref="W17" si="52">FIND("target:",T17)+7</f>
        <v>#VALUE!</v>
      </c>
      <c r="X17" s="56" t="e">
        <f t="shared" ref="X17" si="53">FIND(",",T17,V17+1)</f>
        <v>#VALUE!</v>
      </c>
      <c r="Y17" s="56" t="str">
        <f>IFERROR(VLOOKUP(MID(T17,W17,X17-W17),[6]skilldef!$C:$D,2,FALSE),"-") &amp; " / " &amp; IFERROR(VLOOKUP(MID(T17,U17,V17-U17),[6]skilldef!$A:$B,2,FALSE),"-")</f>
        <v>- / -</v>
      </c>
      <c r="Z17" s="43"/>
      <c r="AA17" s="45"/>
      <c r="AB17" s="43"/>
    </row>
    <row r="18" spans="1:28" ht="21" customHeight="1" x14ac:dyDescent="0.15">
      <c r="A18" s="40">
        <v>15030017</v>
      </c>
      <c r="B18" s="40" t="s">
        <v>277</v>
      </c>
      <c r="C18" s="43">
        <v>3</v>
      </c>
      <c r="D18" s="43" t="s">
        <v>126</v>
      </c>
      <c r="E18" s="44" t="s">
        <v>272</v>
      </c>
      <c r="F18" s="44" t="s">
        <v>306</v>
      </c>
      <c r="G18" s="56" t="str">
        <f t="shared" ref="G18" si="54">IFERROR(LEFT(B18,FIND("],",B18)),B18)</f>
        <v>[effect:rush, count:1, val:1.0]</v>
      </c>
      <c r="H18" s="56">
        <f t="shared" si="1"/>
        <v>9</v>
      </c>
      <c r="I18" s="56">
        <f t="shared" ref="I18" si="55">IFERROR(FIND(",",G18),LEN(G18))</f>
        <v>13</v>
      </c>
      <c r="J18" s="56" t="e">
        <f t="shared" ref="J18" si="56">FIND("target:",G18)+7</f>
        <v>#VALUE!</v>
      </c>
      <c r="K18" s="56">
        <f t="shared" ref="K18" si="57">FIND(",",G18,I18+1)</f>
        <v>22</v>
      </c>
      <c r="L18" s="56" t="str">
        <f>IFERROR(VLOOKUP(MID(G18,J18,K18-J18),[6]skilldef!$C:$D,2,FALSE),"-") &amp; " / " &amp; IFERROR(VLOOKUP(MID(G18,H18,I18-H18),[6]skilldef!$A:$B,2,FALSE),"-")</f>
        <v>- / 連続攻撃</v>
      </c>
      <c r="M18" s="56" t="str">
        <f t="shared" ref="M18" si="58">IFERROR(RIGHT(B18,LEN(B18)-FIND("],",B18)-1),"none")</f>
        <v xml:space="preserve">[effect:freq_turn, target:myself, turn:2, val:2]    </v>
      </c>
      <c r="N18" s="41" t="str">
        <f t="shared" si="29"/>
        <v xml:space="preserve">[effect:freq_turn, target:myself, turn:2, val:2]    </v>
      </c>
      <c r="O18" s="56">
        <f t="shared" si="6"/>
        <v>9</v>
      </c>
      <c r="P18" s="56">
        <f t="shared" ref="P18" si="59">IFERROR(FIND(",",N18),LEN(N18))</f>
        <v>18</v>
      </c>
      <c r="Q18" s="56">
        <f t="shared" ref="Q18" si="60">FIND("target:",N18)+7</f>
        <v>27</v>
      </c>
      <c r="R18" s="56">
        <f t="shared" ref="R18" si="61">FIND(",",N18,P18+1)</f>
        <v>33</v>
      </c>
      <c r="S18" s="56" t="str">
        <f>IFERROR(VLOOKUP(MID(N18,Q18,R18-Q18),[6]skilldef!$C:$D,2,FALSE),"-") &amp; " / " &amp; IFERROR(VLOOKUP(MID(N18,O18,P18-O18),[6]skilldef!$A:$B,2,FALSE),"-")</f>
        <v>自分自身に / 攻撃頻度がUP</v>
      </c>
      <c r="T18" s="41" t="str">
        <f t="shared" ref="T18" si="62">IFERROR(RIGHT(M18,LEN(M18)-FIND("],",M18)-1),"none")</f>
        <v>none</v>
      </c>
      <c r="U18" s="56" t="e">
        <f t="shared" si="11"/>
        <v>#VALUE!</v>
      </c>
      <c r="V18" s="56">
        <f t="shared" ref="V18" si="63">IFERROR(FIND(",",T18),LEN(T18))</f>
        <v>4</v>
      </c>
      <c r="W18" s="56" t="e">
        <f t="shared" ref="W18" si="64">FIND("target:",T18)+7</f>
        <v>#VALUE!</v>
      </c>
      <c r="X18" s="56" t="e">
        <f t="shared" ref="X18" si="65">FIND(",",T18,V18+1)</f>
        <v>#VALUE!</v>
      </c>
      <c r="Y18" s="56" t="str">
        <f>IFERROR(VLOOKUP(MID(T18,W18,X18-W18),[6]skilldef!$C:$D,2,FALSE),"-") &amp; " / " &amp; IFERROR(VLOOKUP(MID(T18,U18,V18-U18),[6]skilldef!$A:$B,2,FALSE),"-")</f>
        <v>- / -</v>
      </c>
      <c r="Z18" s="43"/>
      <c r="AA18" s="45"/>
      <c r="AB18" s="43"/>
    </row>
    <row r="19" spans="1:28" ht="21" customHeight="1" x14ac:dyDescent="0.15">
      <c r="A19" s="40">
        <v>15030018</v>
      </c>
      <c r="B19" s="40" t="s">
        <v>226</v>
      </c>
      <c r="C19" s="43">
        <v>3</v>
      </c>
      <c r="D19" s="43" t="s">
        <v>126</v>
      </c>
      <c r="E19" s="44" t="s">
        <v>291</v>
      </c>
      <c r="F19" s="44" t="s">
        <v>302</v>
      </c>
      <c r="G19" s="56" t="str">
        <f t="shared" ref="G19" si="66">IFERROR(LEFT(B19,FIND("],",B19)),B19)</f>
        <v xml:space="preserve">[effect:break_attack, val:0.3, lowest_val:2000, count:-1, block:block_red, target:unit_all]    </v>
      </c>
      <c r="H19" s="56">
        <f t="shared" si="1"/>
        <v>9</v>
      </c>
      <c r="I19" s="56">
        <f t="shared" ref="I19" si="67">IFERROR(FIND(",",G19),LEN(G19))</f>
        <v>21</v>
      </c>
      <c r="J19" s="56">
        <f t="shared" ref="J19" si="68">FIND("target:",G19)+7</f>
        <v>83</v>
      </c>
      <c r="K19" s="56">
        <f t="shared" ref="K19" si="69">FIND(",",G19,I19+1)</f>
        <v>30</v>
      </c>
      <c r="L19" s="56" t="str">
        <f>IFERROR(VLOOKUP(MID(G19,J19,K19-J19),[6]skilldef!$C:$D,2,FALSE),"-") &amp; " / " &amp; IFERROR(VLOOKUP(MID(G19,H19,I19-H19),[6]skilldef!$A:$B,2,FALSE),"-")</f>
        <v>- / -</v>
      </c>
      <c r="M19" s="56" t="str">
        <f t="shared" ref="M19" si="70">IFERROR(RIGHT(B19,LEN(B19)-FIND("],",B19)-1),"none")</f>
        <v>none</v>
      </c>
      <c r="N19" s="41" t="str">
        <f t="shared" si="29"/>
        <v>none</v>
      </c>
      <c r="O19" s="56" t="e">
        <f t="shared" si="6"/>
        <v>#VALUE!</v>
      </c>
      <c r="P19" s="56">
        <f t="shared" ref="P19" si="71">IFERROR(FIND(",",N19),LEN(N19))</f>
        <v>4</v>
      </c>
      <c r="Q19" s="56" t="e">
        <f t="shared" ref="Q19" si="72">FIND("target:",N19)+7</f>
        <v>#VALUE!</v>
      </c>
      <c r="R19" s="56" t="e">
        <f t="shared" ref="R19" si="73">FIND(",",N19,P19+1)</f>
        <v>#VALUE!</v>
      </c>
      <c r="S19" s="56" t="str">
        <f>IFERROR(VLOOKUP(MID(N19,Q19,R19-Q19),[6]skilldef!$C:$D,2,FALSE),"-") &amp; " / " &amp; IFERROR(VLOOKUP(MID(N19,O19,P19-O19),[6]skilldef!$A:$B,2,FALSE),"-")</f>
        <v>- / -</v>
      </c>
      <c r="T19" s="41" t="str">
        <f t="shared" ref="T19" si="74">IFERROR(RIGHT(M19,LEN(M19)-FIND("],",M19)-1),"none")</f>
        <v>none</v>
      </c>
      <c r="U19" s="56" t="e">
        <f t="shared" si="11"/>
        <v>#VALUE!</v>
      </c>
      <c r="V19" s="56">
        <f t="shared" ref="V19" si="75">IFERROR(FIND(",",T19),LEN(T19))</f>
        <v>4</v>
      </c>
      <c r="W19" s="56" t="e">
        <f t="shared" ref="W19" si="76">FIND("target:",T19)+7</f>
        <v>#VALUE!</v>
      </c>
      <c r="X19" s="56" t="e">
        <f t="shared" ref="X19" si="77">FIND(",",T19,V19+1)</f>
        <v>#VALUE!</v>
      </c>
      <c r="Y19" s="56" t="str">
        <f>IFERROR(VLOOKUP(MID(T19,W19,X19-W19),[6]skilldef!$C:$D,2,FALSE),"-") &amp; " / " &amp; IFERROR(VLOOKUP(MID(T19,U19,V19-U19),[6]skilldef!$A:$B,2,FALSE),"-")</f>
        <v>- / -</v>
      </c>
      <c r="Z19" s="43"/>
      <c r="AA19" s="45"/>
      <c r="AB19" s="43"/>
    </row>
    <row r="20" spans="1:28" ht="21" customHeight="1" x14ac:dyDescent="0.15">
      <c r="A20" s="40">
        <v>15030019</v>
      </c>
      <c r="B20" s="40" t="s">
        <v>229</v>
      </c>
      <c r="C20" s="43">
        <v>3</v>
      </c>
      <c r="D20" s="43" t="s">
        <v>126</v>
      </c>
      <c r="E20" s="44" t="s">
        <v>237</v>
      </c>
      <c r="F20" s="44" t="s">
        <v>295</v>
      </c>
      <c r="G20" s="56" t="str">
        <f t="shared" ref="G20" si="78">IFERROR(LEFT(B20,FIND("],",B20)),B20)</f>
        <v>[effect:force_change_block, new_block:block_red, target:block_blue, ignore:crash, ignore02:crack_bomb, count:5, val:0, animation:change_block]</v>
      </c>
      <c r="H20" s="56">
        <f t="shared" si="1"/>
        <v>9</v>
      </c>
      <c r="I20" s="56">
        <f t="shared" ref="I20" si="79">IFERROR(FIND(",",G20),LEN(G20))</f>
        <v>27</v>
      </c>
      <c r="J20" s="56">
        <f t="shared" ref="J20" si="80">FIND("target:",G20)+7</f>
        <v>57</v>
      </c>
      <c r="K20" s="56">
        <f t="shared" ref="K20" si="81">FIND(",",G20,I20+1)</f>
        <v>48</v>
      </c>
      <c r="L20" s="56" t="str">
        <f>IFERROR(VLOOKUP(MID(G20,J20,K20-J20),[6]skilldef!$C:$D,2,FALSE),"-") &amp; " / " &amp; IFERROR(VLOOKUP(MID(G20,H20,I20-H20),[6]skilldef!$A:$B,2,FALSE),"-")</f>
        <v>- / -</v>
      </c>
      <c r="M20" s="56" t="str">
        <f t="shared" ref="M20" si="82">IFERROR(RIGHT(B20,LEN(B20)-FIND("],",B20)-1),"none")</f>
        <v>[effect:rush, count:1, val:1.0]</v>
      </c>
      <c r="N20" s="41" t="str">
        <f t="shared" si="29"/>
        <v>[effect:rush, count:1, val:1.0]</v>
      </c>
      <c r="O20" s="56">
        <f t="shared" si="6"/>
        <v>9</v>
      </c>
      <c r="P20" s="56">
        <f t="shared" ref="P20" si="83">IFERROR(FIND(",",N20),LEN(N20))</f>
        <v>13</v>
      </c>
      <c r="Q20" s="56" t="e">
        <f t="shared" ref="Q20" si="84">FIND("target:",N20)+7</f>
        <v>#VALUE!</v>
      </c>
      <c r="R20" s="56">
        <f t="shared" ref="R20" si="85">FIND(",",N20,P20+1)</f>
        <v>22</v>
      </c>
      <c r="S20" s="56" t="str">
        <f>IFERROR(VLOOKUP(MID(N20,Q20,R20-Q20),[6]skilldef!$C:$D,2,FALSE),"-") &amp; " / " &amp; IFERROR(VLOOKUP(MID(N20,O20,P20-O20),[6]skilldef!$A:$B,2,FALSE),"-")</f>
        <v>- / 連続攻撃</v>
      </c>
      <c r="T20" s="41" t="str">
        <f t="shared" ref="T20" si="86">IFERROR(RIGHT(M20,LEN(M20)-FIND("],",M20)-1),"none")</f>
        <v>none</v>
      </c>
      <c r="U20" s="56" t="e">
        <f t="shared" si="11"/>
        <v>#VALUE!</v>
      </c>
      <c r="V20" s="56">
        <f t="shared" ref="V20" si="87">IFERROR(FIND(",",T20),LEN(T20))</f>
        <v>4</v>
      </c>
      <c r="W20" s="56" t="e">
        <f t="shared" ref="W20" si="88">FIND("target:",T20)+7</f>
        <v>#VALUE!</v>
      </c>
      <c r="X20" s="56" t="e">
        <f t="shared" ref="X20" si="89">FIND(",",T20,V20+1)</f>
        <v>#VALUE!</v>
      </c>
      <c r="Y20" s="56" t="str">
        <f>IFERROR(VLOOKUP(MID(T20,W20,X20-W20),[6]skilldef!$C:$D,2,FALSE),"-") &amp; " / " &amp; IFERROR(VLOOKUP(MID(T20,U20,V20-U20),[6]skilldef!$A:$B,2,FALSE),"-")</f>
        <v>- / -</v>
      </c>
      <c r="Z20" s="43"/>
      <c r="AA20" s="45"/>
      <c r="AB20" s="43"/>
    </row>
    <row r="21" spans="1:28" ht="21" customHeight="1" x14ac:dyDescent="0.15">
      <c r="A21" s="40">
        <v>15030020</v>
      </c>
      <c r="B21" s="40" t="s">
        <v>251</v>
      </c>
      <c r="C21" s="43">
        <v>3</v>
      </c>
      <c r="D21" s="43" t="s">
        <v>126</v>
      </c>
      <c r="E21" s="44" t="s">
        <v>236</v>
      </c>
      <c r="F21" s="44" t="s">
        <v>302</v>
      </c>
      <c r="G21" s="56" t="str">
        <f t="shared" ref="G21:G23" si="90">IFERROR(LEFT(B21,FIND("],",B21)),B21)</f>
        <v xml:space="preserve">[effect:break_attack, val:0.1, lowest_val:500, count:-1, block:block_red, target:unit_all]    </v>
      </c>
      <c r="H21" s="56">
        <f t="shared" si="1"/>
        <v>9</v>
      </c>
      <c r="I21" s="56">
        <f t="shared" ref="I21:I23" si="91">IFERROR(FIND(",",G21),LEN(G21))</f>
        <v>21</v>
      </c>
      <c r="J21" s="56">
        <f t="shared" ref="J21:J23" si="92">FIND("target:",G21)+7</f>
        <v>82</v>
      </c>
      <c r="K21" s="56">
        <f t="shared" ref="K21:K23" si="93">FIND(",",G21,I21+1)</f>
        <v>30</v>
      </c>
      <c r="L21" s="56" t="str">
        <f>IFERROR(VLOOKUP(MID(G21,J21,K21-J21),[6]skilldef!$C:$D,2,FALSE),"-") &amp; " / " &amp; IFERROR(VLOOKUP(MID(G21,H21,I21-H21),[6]skilldef!$A:$B,2,FALSE),"-")</f>
        <v>- / -</v>
      </c>
      <c r="M21" s="56" t="str">
        <f t="shared" ref="M21:M23" si="94">IFERROR(RIGHT(B21,LEN(B21)-FIND("],",B21)-1),"none")</f>
        <v>none</v>
      </c>
      <c r="N21" s="41" t="str">
        <f t="shared" si="29"/>
        <v>none</v>
      </c>
      <c r="O21" s="56" t="e">
        <f t="shared" si="6"/>
        <v>#VALUE!</v>
      </c>
      <c r="P21" s="56">
        <f t="shared" ref="P21:P23" si="95">IFERROR(FIND(",",N21),LEN(N21))</f>
        <v>4</v>
      </c>
      <c r="Q21" s="56" t="e">
        <f t="shared" ref="Q21:Q23" si="96">FIND("target:",N21)+7</f>
        <v>#VALUE!</v>
      </c>
      <c r="R21" s="56" t="e">
        <f t="shared" ref="R21:R23" si="97">FIND(",",N21,P21+1)</f>
        <v>#VALUE!</v>
      </c>
      <c r="S21" s="56" t="str">
        <f>IFERROR(VLOOKUP(MID(N21,Q21,R21-Q21),[6]skilldef!$C:$D,2,FALSE),"-") &amp; " / " &amp; IFERROR(VLOOKUP(MID(N21,O21,P21-O21),[6]skilldef!$A:$B,2,FALSE),"-")</f>
        <v>- / -</v>
      </c>
      <c r="T21" s="41" t="str">
        <f t="shared" ref="T21:T23" si="98">IFERROR(RIGHT(M21,LEN(M21)-FIND("],",M21)-1),"none")</f>
        <v>none</v>
      </c>
      <c r="U21" s="56" t="e">
        <f t="shared" si="11"/>
        <v>#VALUE!</v>
      </c>
      <c r="V21" s="56">
        <f t="shared" ref="V21:V23" si="99">IFERROR(FIND(",",T21),LEN(T21))</f>
        <v>4</v>
      </c>
      <c r="W21" s="56" t="e">
        <f t="shared" ref="W21:W23" si="100">FIND("target:",T21)+7</f>
        <v>#VALUE!</v>
      </c>
      <c r="X21" s="56" t="e">
        <f t="shared" ref="X21:X23" si="101">FIND(",",T21,V21+1)</f>
        <v>#VALUE!</v>
      </c>
      <c r="Y21" s="56" t="str">
        <f>IFERROR(VLOOKUP(MID(T21,W21,X21-W21),[6]skilldef!$C:$D,2,FALSE),"-") &amp; " / " &amp; IFERROR(VLOOKUP(MID(T21,U21,V21-U21),[6]skilldef!$A:$B,2,FALSE),"-")</f>
        <v>- / -</v>
      </c>
      <c r="Z21" s="43"/>
      <c r="AA21" s="45"/>
      <c r="AB21" s="43"/>
    </row>
    <row r="22" spans="1:28" ht="35" customHeight="1" x14ac:dyDescent="0.15">
      <c r="A22" s="40">
        <v>15030021</v>
      </c>
      <c r="B22" s="40" t="s">
        <v>253</v>
      </c>
      <c r="C22" s="43">
        <v>3</v>
      </c>
      <c r="D22" s="43" t="s">
        <v>126</v>
      </c>
      <c r="E22" s="44" t="s">
        <v>234</v>
      </c>
      <c r="F22" s="44" t="s">
        <v>296</v>
      </c>
      <c r="G22" s="56" t="str">
        <f t="shared" si="90"/>
        <v>[effect:virus, turn:3, target:unit_all, rate:0.4, val:0.1, animation:enemy_virus]</v>
      </c>
      <c r="H22" s="56">
        <f t="shared" si="1"/>
        <v>9</v>
      </c>
      <c r="I22" s="56">
        <f t="shared" si="91"/>
        <v>14</v>
      </c>
      <c r="J22" s="56">
        <f t="shared" si="92"/>
        <v>31</v>
      </c>
      <c r="K22" s="56">
        <f t="shared" si="93"/>
        <v>22</v>
      </c>
      <c r="L22" s="56" t="str">
        <f>IFERROR(VLOOKUP(MID(G22,J22,K22-J22),[6]skilldef!$C:$D,2,FALSE),"-") &amp; " / " &amp; IFERROR(VLOOKUP(MID(G22,H22,I22-H22),[6]skilldef!$A:$B,2,FALSE),"-")</f>
        <v>- / ウィルス</v>
      </c>
      <c r="M22" s="56" t="str">
        <f t="shared" si="94"/>
        <v>[effect:sleep, target:unit_one, turn:3, rate:0.4, animation:sleep04],[effect:hungup, target:unit_one, turn:3, rate:0.4, animation:hungup01]</v>
      </c>
      <c r="N22" s="41" t="str">
        <f>IFERROR(LEFT(M22,FIND("],",M22)+S34),M22)</f>
        <v>[effect:sleep, target:unit_one, turn:3, rate:0.4, animation:sleep04]</v>
      </c>
      <c r="O22" s="56">
        <f t="shared" si="6"/>
        <v>9</v>
      </c>
      <c r="P22" s="56">
        <f t="shared" si="95"/>
        <v>14</v>
      </c>
      <c r="Q22" s="56">
        <f t="shared" si="96"/>
        <v>23</v>
      </c>
      <c r="R22" s="56">
        <f t="shared" si="97"/>
        <v>31</v>
      </c>
      <c r="S22" s="56" t="str">
        <f>IFERROR(VLOOKUP(MID(N22,Q22,R22-Q22),[6]skilldef!$C:$D,2,FALSE),"-") &amp; " / " &amp; IFERROR(VLOOKUP(MID(N22,O22,P22-O22),[6]skilldef!$A:$B,2,FALSE),"-")</f>
        <v>味方単体に / スリープ</v>
      </c>
      <c r="T22" s="41" t="str">
        <f t="shared" si="98"/>
        <v>[effect:hungup, target:unit_one, turn:3, rate:0.4, animation:hungup01]</v>
      </c>
      <c r="U22" s="56">
        <f t="shared" si="11"/>
        <v>9</v>
      </c>
      <c r="V22" s="56">
        <f t="shared" si="99"/>
        <v>15</v>
      </c>
      <c r="W22" s="56">
        <f t="shared" si="100"/>
        <v>24</v>
      </c>
      <c r="X22" s="56">
        <f t="shared" si="101"/>
        <v>32</v>
      </c>
      <c r="Y22" s="56" t="str">
        <f>IFERROR(VLOOKUP(MID(T22,W22,X22-W22),[6]skilldef!$C:$D,2,FALSE),"-") &amp; " / " &amp; IFERROR(VLOOKUP(MID(T22,U22,V22-U22),[6]skilldef!$A:$B,2,FALSE),"-")</f>
        <v>味方単体に / ハングアップ</v>
      </c>
      <c r="Z22" s="43"/>
      <c r="AA22" s="45"/>
      <c r="AB22" s="43"/>
    </row>
    <row r="23" spans="1:28" ht="21" customHeight="1" x14ac:dyDescent="0.15">
      <c r="A23" s="40">
        <v>15030022</v>
      </c>
      <c r="B23" s="40" t="s">
        <v>254</v>
      </c>
      <c r="C23" s="43">
        <v>3</v>
      </c>
      <c r="D23" s="43" t="s">
        <v>126</v>
      </c>
      <c r="E23" s="44" t="s">
        <v>233</v>
      </c>
      <c r="F23" s="44" t="s">
        <v>228</v>
      </c>
      <c r="G23" s="56" t="str">
        <f t="shared" si="90"/>
        <v>[effect:damage_anti_abnormal, target:unit_all, target_effect01:virus, target_effect02:sleep, val1:1.3, val2:0.6]</v>
      </c>
      <c r="H23" s="56">
        <f t="shared" si="1"/>
        <v>9</v>
      </c>
      <c r="I23" s="56">
        <f t="shared" si="91"/>
        <v>29</v>
      </c>
      <c r="J23" s="56">
        <f t="shared" si="92"/>
        <v>38</v>
      </c>
      <c r="K23" s="56">
        <f t="shared" si="93"/>
        <v>46</v>
      </c>
      <c r="L23" s="56" t="str">
        <f>IFERROR(VLOOKUP(MID(G23,J23,K23-J23),[6]skilldef!$C:$D,2,FALSE),"-") &amp; " / " &amp; IFERROR(VLOOKUP(MID(G23,H23,I23-H23),[6]skilldef!$A:$B,2,FALSE),"-")</f>
        <v>味方全体に / -</v>
      </c>
      <c r="M23" s="56" t="str">
        <f t="shared" si="94"/>
        <v>none</v>
      </c>
      <c r="N23" s="41" t="str">
        <f>IFERROR(LEFT(M23,FIND("],",M23)+S35),M23)</f>
        <v>none</v>
      </c>
      <c r="O23" s="56" t="e">
        <f t="shared" si="6"/>
        <v>#VALUE!</v>
      </c>
      <c r="P23" s="56">
        <f t="shared" si="95"/>
        <v>4</v>
      </c>
      <c r="Q23" s="56" t="e">
        <f t="shared" si="96"/>
        <v>#VALUE!</v>
      </c>
      <c r="R23" s="56" t="e">
        <f t="shared" si="97"/>
        <v>#VALUE!</v>
      </c>
      <c r="S23" s="56" t="str">
        <f>IFERROR(VLOOKUP(MID(N23,Q23,R23-Q23),[6]skilldef!$C:$D,2,FALSE),"-") &amp; " / " &amp; IFERROR(VLOOKUP(MID(N23,O23,P23-O23),[6]skilldef!$A:$B,2,FALSE),"-")</f>
        <v>- / -</v>
      </c>
      <c r="T23" s="41" t="str">
        <f t="shared" si="98"/>
        <v>none</v>
      </c>
      <c r="U23" s="56" t="e">
        <f t="shared" si="11"/>
        <v>#VALUE!</v>
      </c>
      <c r="V23" s="56">
        <f t="shared" si="99"/>
        <v>4</v>
      </c>
      <c r="W23" s="56" t="e">
        <f t="shared" si="100"/>
        <v>#VALUE!</v>
      </c>
      <c r="X23" s="56" t="e">
        <f t="shared" si="101"/>
        <v>#VALUE!</v>
      </c>
      <c r="Y23" s="56" t="str">
        <f>IFERROR(VLOOKUP(MID(T23,W23,X23-W23),[6]skilldef!$C:$D,2,FALSE),"-") &amp; " / " &amp; IFERROR(VLOOKUP(MID(T23,U23,V23-U23),[6]skilldef!$A:$B,2,FALSE),"-")</f>
        <v>- / -</v>
      </c>
      <c r="Z23" s="43"/>
      <c r="AA23" s="45"/>
      <c r="AB23" s="43"/>
    </row>
    <row r="24" spans="1:28" ht="21" customHeight="1" x14ac:dyDescent="0.15">
      <c r="A24" s="40">
        <v>15030023</v>
      </c>
      <c r="B24" s="40" t="s">
        <v>278</v>
      </c>
      <c r="C24" s="43">
        <v>3</v>
      </c>
      <c r="D24" s="43" t="s">
        <v>126</v>
      </c>
      <c r="E24" s="44" t="s">
        <v>275</v>
      </c>
      <c r="F24" s="44" t="s">
        <v>294</v>
      </c>
      <c r="G24" s="56" t="str">
        <f t="shared" ref="G24" si="102">IFERROR(LEFT(B24,FIND("],",B24)),B24)</f>
        <v>[effect:enhance_enemy, target:myself, turn:-1, status:attack, val:1.5, calc:mul, animation:enemy_enhance_attack]</v>
      </c>
      <c r="H24" s="56">
        <f t="shared" ref="H24" si="103">FIND("effect:",G24)+7</f>
        <v>9</v>
      </c>
      <c r="I24" s="56">
        <f t="shared" ref="I24" si="104">IFERROR(FIND(",",G24),LEN(G24))</f>
        <v>22</v>
      </c>
      <c r="J24" s="56">
        <f t="shared" ref="J24" si="105">FIND("target:",G24)+7</f>
        <v>31</v>
      </c>
      <c r="K24" s="56">
        <f t="shared" ref="K24" si="106">FIND(",",G24,I24+1)</f>
        <v>37</v>
      </c>
      <c r="L24" s="56" t="str">
        <f>IFERROR(VLOOKUP(MID(G24,J24,K24-J24),[6]skilldef!$C:$D,2,FALSE),"-") &amp; " / " &amp; IFERROR(VLOOKUP(MID(G24,H24,I24-H24),[6]skilldef!$A:$B,2,FALSE),"-")</f>
        <v>自分自身に / ステータス強化</v>
      </c>
      <c r="M24" s="56" t="str">
        <f t="shared" ref="M24" si="107">IFERROR(RIGHT(B24,LEN(B24)-FIND("],",B24)-1),"none")</f>
        <v>none</v>
      </c>
      <c r="N24" s="41" t="str">
        <f>IFERROR(LEFT(M24,FIND("],",M24)+S36),M24)</f>
        <v>none</v>
      </c>
      <c r="O24" s="56" t="e">
        <f t="shared" ref="O24" si="108">FIND("effect:",N24)+7</f>
        <v>#VALUE!</v>
      </c>
      <c r="P24" s="56">
        <f t="shared" ref="P24" si="109">IFERROR(FIND(",",N24),LEN(N24))</f>
        <v>4</v>
      </c>
      <c r="Q24" s="56" t="e">
        <f t="shared" ref="Q24" si="110">FIND("target:",N24)+7</f>
        <v>#VALUE!</v>
      </c>
      <c r="R24" s="56" t="e">
        <f t="shared" ref="R24" si="111">FIND(",",N24,P24+1)</f>
        <v>#VALUE!</v>
      </c>
      <c r="S24" s="56" t="str">
        <f>IFERROR(VLOOKUP(MID(N24,Q24,R24-Q24),[6]skilldef!$C:$D,2,FALSE),"-") &amp; " / " &amp; IFERROR(VLOOKUP(MID(N24,O24,P24-O24),[6]skilldef!$A:$B,2,FALSE),"-")</f>
        <v>- / -</v>
      </c>
      <c r="T24" s="41" t="str">
        <f t="shared" ref="T24" si="112">IFERROR(RIGHT(M24,LEN(M24)-FIND("],",M24)-1),"none")</f>
        <v>none</v>
      </c>
      <c r="U24" s="56" t="e">
        <f t="shared" ref="U24" si="113">FIND("effect:",T24)+7</f>
        <v>#VALUE!</v>
      </c>
      <c r="V24" s="56">
        <f t="shared" ref="V24" si="114">IFERROR(FIND(",",T24),LEN(T24))</f>
        <v>4</v>
      </c>
      <c r="W24" s="56" t="e">
        <f t="shared" ref="W24" si="115">FIND("target:",T24)+7</f>
        <v>#VALUE!</v>
      </c>
      <c r="X24" s="56" t="e">
        <f t="shared" ref="X24" si="116">FIND(",",T24,V24+1)</f>
        <v>#VALUE!</v>
      </c>
      <c r="Y24" s="56" t="str">
        <f>IFERROR(VLOOKUP(MID(T24,W24,X24-W24),[6]skilldef!$C:$D,2,FALSE),"-") &amp; " / " &amp; IFERROR(VLOOKUP(MID(T24,U24,V24-U24),[6]skilldef!$A:$B,2,FALSE),"-")</f>
        <v>- / -</v>
      </c>
      <c r="Z24" s="43"/>
      <c r="AA24" s="45"/>
      <c r="AB24" s="43"/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4"/>
  <sheetViews>
    <sheetView showGridLines="0" zoomScale="85" zoomScaleNormal="85" zoomScalePageLayoutView="85" workbookViewId="0">
      <pane ySplit="1" topLeftCell="A2" activePane="bottomLeft" state="frozenSplit"/>
      <selection pane="bottomLeft" activeCell="A34" sqref="A34"/>
    </sheetView>
  </sheetViews>
  <sheetFormatPr baseColWidth="12" defaultColWidth="12.83203125" defaultRowHeight="21" customHeight="1" x14ac:dyDescent="0.15"/>
  <cols>
    <col min="1" max="1" width="16.1640625" style="42" bestFit="1" customWidth="1"/>
    <col min="2" max="2" width="13.33203125" style="42" bestFit="1" customWidth="1"/>
    <col min="3" max="3" width="11.83203125" style="42" bestFit="1" customWidth="1"/>
    <col min="4" max="4" width="14.6640625" style="42" bestFit="1" customWidth="1"/>
    <col min="5" max="5" width="15.6640625" style="42" bestFit="1" customWidth="1"/>
    <col min="6" max="6" width="17" style="42" bestFit="1" customWidth="1"/>
    <col min="7" max="7" width="15.6640625" style="42" bestFit="1" customWidth="1"/>
    <col min="8" max="9" width="14.6640625" style="42" customWidth="1"/>
    <col min="10" max="10" width="14.6640625" style="42" bestFit="1" customWidth="1"/>
    <col min="11" max="11" width="22.83203125" style="32" bestFit="1" customWidth="1"/>
    <col min="12" max="16384" width="12.83203125" style="38"/>
  </cols>
  <sheetData>
    <row r="1" spans="1:11" ht="21" customHeight="1" x14ac:dyDescent="0.15">
      <c r="A1" s="35" t="s">
        <v>243</v>
      </c>
      <c r="B1" s="35" t="s">
        <v>83</v>
      </c>
      <c r="C1" s="35" t="s">
        <v>84</v>
      </c>
      <c r="D1" s="35" t="s">
        <v>85</v>
      </c>
      <c r="E1" s="35" t="s">
        <v>69</v>
      </c>
      <c r="F1" s="46" t="s">
        <v>70</v>
      </c>
      <c r="G1" s="46" t="s">
        <v>71</v>
      </c>
      <c r="H1" s="35" t="s">
        <v>72</v>
      </c>
      <c r="I1" s="35" t="s">
        <v>73</v>
      </c>
      <c r="J1" s="35" t="s">
        <v>74</v>
      </c>
      <c r="K1" s="47" t="s">
        <v>86</v>
      </c>
    </row>
    <row r="2" spans="1:11" ht="21" customHeight="1" x14ac:dyDescent="0.15">
      <c r="A2" s="96">
        <v>15030001</v>
      </c>
      <c r="B2" s="40">
        <v>0</v>
      </c>
      <c r="C2" s="40">
        <v>100</v>
      </c>
      <c r="D2" s="40">
        <v>85</v>
      </c>
      <c r="E2" s="40" t="s">
        <v>246</v>
      </c>
      <c r="F2" s="40" t="s">
        <v>87</v>
      </c>
      <c r="G2" s="40">
        <v>3</v>
      </c>
      <c r="H2" s="40" t="s">
        <v>88</v>
      </c>
      <c r="I2" s="40" t="s">
        <v>88</v>
      </c>
      <c r="J2" s="41">
        <f t="shared" ref="J2" si="0">D2</f>
        <v>85</v>
      </c>
    </row>
    <row r="3" spans="1:11" ht="21" customHeight="1" x14ac:dyDescent="0.15">
      <c r="A3" s="96">
        <v>15030002</v>
      </c>
      <c r="B3" s="40">
        <v>0</v>
      </c>
      <c r="C3" s="40" t="s">
        <v>87</v>
      </c>
      <c r="D3" s="40">
        <v>100</v>
      </c>
      <c r="E3" s="40" t="s">
        <v>246</v>
      </c>
      <c r="F3" s="40" t="s">
        <v>88</v>
      </c>
      <c r="G3" s="40" t="s">
        <v>247</v>
      </c>
      <c r="H3" s="40" t="s">
        <v>88</v>
      </c>
      <c r="I3" s="40" t="s">
        <v>88</v>
      </c>
      <c r="J3" s="41">
        <f t="shared" ref="J3:J23" si="1">D3</f>
        <v>100</v>
      </c>
    </row>
    <row r="4" spans="1:11" ht="21" customHeight="1" x14ac:dyDescent="0.15">
      <c r="A4" s="96">
        <v>15030003</v>
      </c>
      <c r="B4" s="40">
        <v>1</v>
      </c>
      <c r="C4" s="40" t="s">
        <v>87</v>
      </c>
      <c r="D4" s="40">
        <v>100</v>
      </c>
      <c r="E4" s="40" t="s">
        <v>246</v>
      </c>
      <c r="F4" s="40">
        <v>98</v>
      </c>
      <c r="G4" s="40">
        <v>1</v>
      </c>
      <c r="H4" s="40" t="s">
        <v>88</v>
      </c>
      <c r="I4" s="40" t="s">
        <v>88</v>
      </c>
      <c r="J4" s="41">
        <f t="shared" si="1"/>
        <v>100</v>
      </c>
    </row>
    <row r="5" spans="1:11" ht="21" customHeight="1" x14ac:dyDescent="0.15">
      <c r="A5" s="96">
        <v>15030004</v>
      </c>
      <c r="B5" s="40">
        <v>0</v>
      </c>
      <c r="C5" s="40" t="s">
        <v>87</v>
      </c>
      <c r="D5" s="40">
        <v>80</v>
      </c>
      <c r="E5" s="40">
        <v>50</v>
      </c>
      <c r="F5" s="40" t="s">
        <v>88</v>
      </c>
      <c r="G5" s="40" t="s">
        <v>248</v>
      </c>
      <c r="H5" s="40" t="s">
        <v>88</v>
      </c>
      <c r="I5" s="40" t="s">
        <v>88</v>
      </c>
      <c r="J5" s="41">
        <f t="shared" si="1"/>
        <v>80</v>
      </c>
    </row>
    <row r="6" spans="1:11" ht="21" customHeight="1" x14ac:dyDescent="0.15">
      <c r="A6" s="96">
        <v>15030005</v>
      </c>
      <c r="B6" s="40">
        <v>1</v>
      </c>
      <c r="C6" s="40" t="s">
        <v>87</v>
      </c>
      <c r="D6" s="40">
        <v>100</v>
      </c>
      <c r="E6" s="40" t="s">
        <v>246</v>
      </c>
      <c r="F6" s="40">
        <v>98</v>
      </c>
      <c r="G6" s="40">
        <v>1</v>
      </c>
      <c r="H6" s="40" t="s">
        <v>88</v>
      </c>
      <c r="I6" s="40" t="s">
        <v>88</v>
      </c>
      <c r="J6" s="41">
        <f t="shared" si="1"/>
        <v>100</v>
      </c>
    </row>
    <row r="7" spans="1:11" ht="21" customHeight="1" x14ac:dyDescent="0.15">
      <c r="A7" s="96">
        <v>15030006</v>
      </c>
      <c r="B7" s="40">
        <v>0</v>
      </c>
      <c r="C7" s="40" t="s">
        <v>87</v>
      </c>
      <c r="D7" s="40">
        <v>80</v>
      </c>
      <c r="E7" s="40">
        <v>50</v>
      </c>
      <c r="F7" s="40" t="s">
        <v>88</v>
      </c>
      <c r="G7" s="40" t="s">
        <v>248</v>
      </c>
      <c r="H7" s="40" t="s">
        <v>88</v>
      </c>
      <c r="I7" s="40" t="s">
        <v>88</v>
      </c>
      <c r="J7" s="41">
        <f t="shared" si="1"/>
        <v>80</v>
      </c>
    </row>
    <row r="8" spans="1:11" ht="21" customHeight="1" x14ac:dyDescent="0.15">
      <c r="A8" s="96">
        <v>15030007</v>
      </c>
      <c r="B8" s="40">
        <v>0</v>
      </c>
      <c r="C8" s="40">
        <v>90</v>
      </c>
      <c r="D8" s="40">
        <v>80</v>
      </c>
      <c r="E8" s="40" t="s">
        <v>246</v>
      </c>
      <c r="F8" s="40" t="s">
        <v>255</v>
      </c>
      <c r="G8" s="40">
        <v>6</v>
      </c>
      <c r="H8" s="40" t="s">
        <v>88</v>
      </c>
      <c r="I8" s="40" t="s">
        <v>88</v>
      </c>
      <c r="J8" s="41">
        <f t="shared" si="1"/>
        <v>80</v>
      </c>
    </row>
    <row r="9" spans="1:11" ht="21" customHeight="1" x14ac:dyDescent="0.15">
      <c r="A9" s="96">
        <v>15030008</v>
      </c>
      <c r="B9" s="40">
        <v>0</v>
      </c>
      <c r="C9" s="40">
        <v>100</v>
      </c>
      <c r="D9" s="40">
        <v>100</v>
      </c>
      <c r="E9" s="40">
        <v>50</v>
      </c>
      <c r="F9" s="40" t="s">
        <v>88</v>
      </c>
      <c r="G9" s="40">
        <v>1</v>
      </c>
      <c r="H9" s="40" t="s">
        <v>88</v>
      </c>
      <c r="I9" s="40" t="s">
        <v>88</v>
      </c>
      <c r="J9" s="41">
        <f t="shared" si="1"/>
        <v>100</v>
      </c>
    </row>
    <row r="10" spans="1:11" ht="21" customHeight="1" x14ac:dyDescent="0.15">
      <c r="A10" s="96">
        <v>15030009</v>
      </c>
      <c r="B10" s="40">
        <v>1</v>
      </c>
      <c r="C10" s="40">
        <v>90</v>
      </c>
      <c r="D10" s="40">
        <v>100</v>
      </c>
      <c r="E10" s="40" t="s">
        <v>246</v>
      </c>
      <c r="F10" s="40">
        <v>50</v>
      </c>
      <c r="G10" s="40" t="s">
        <v>246</v>
      </c>
      <c r="H10" s="40" t="s">
        <v>88</v>
      </c>
      <c r="I10" s="40" t="s">
        <v>88</v>
      </c>
      <c r="J10" s="41">
        <f t="shared" si="1"/>
        <v>100</v>
      </c>
    </row>
    <row r="11" spans="1:11" ht="21" customHeight="1" x14ac:dyDescent="0.15">
      <c r="A11" s="96">
        <v>15030010</v>
      </c>
      <c r="B11" s="40">
        <v>0</v>
      </c>
      <c r="C11" s="40">
        <v>100</v>
      </c>
      <c r="D11" s="40">
        <v>100</v>
      </c>
      <c r="E11" s="40">
        <v>50</v>
      </c>
      <c r="F11" s="40" t="s">
        <v>88</v>
      </c>
      <c r="G11" s="40">
        <v>1</v>
      </c>
      <c r="H11" s="40" t="s">
        <v>88</v>
      </c>
      <c r="I11" s="40" t="s">
        <v>88</v>
      </c>
      <c r="J11" s="41">
        <f t="shared" si="1"/>
        <v>100</v>
      </c>
    </row>
    <row r="12" spans="1:11" ht="21" customHeight="1" x14ac:dyDescent="0.15">
      <c r="A12" s="96">
        <v>15030011</v>
      </c>
      <c r="B12" s="40">
        <v>1</v>
      </c>
      <c r="C12" s="40" t="s">
        <v>87</v>
      </c>
      <c r="D12" s="40">
        <v>100</v>
      </c>
      <c r="E12" s="40" t="s">
        <v>244</v>
      </c>
      <c r="F12" s="40">
        <v>98</v>
      </c>
      <c r="G12" s="40">
        <v>1</v>
      </c>
      <c r="H12" s="40" t="s">
        <v>88</v>
      </c>
      <c r="I12" s="40" t="s">
        <v>88</v>
      </c>
      <c r="J12" s="41">
        <f t="shared" si="1"/>
        <v>100</v>
      </c>
    </row>
    <row r="13" spans="1:11" ht="21" customHeight="1" x14ac:dyDescent="0.15">
      <c r="A13" s="96">
        <v>15030012</v>
      </c>
      <c r="B13" s="40">
        <v>0</v>
      </c>
      <c r="C13" s="40">
        <v>90</v>
      </c>
      <c r="D13" s="40">
        <v>40</v>
      </c>
      <c r="E13" s="40">
        <v>95</v>
      </c>
      <c r="F13" s="40" t="s">
        <v>88</v>
      </c>
      <c r="G13" s="40">
        <v>3</v>
      </c>
      <c r="H13" s="40" t="s">
        <v>88</v>
      </c>
      <c r="I13" s="40" t="s">
        <v>88</v>
      </c>
      <c r="J13" s="41">
        <f t="shared" si="1"/>
        <v>40</v>
      </c>
    </row>
    <row r="14" spans="1:11" ht="21" customHeight="1" x14ac:dyDescent="0.15">
      <c r="A14" s="96">
        <v>15030013</v>
      </c>
      <c r="B14" s="40">
        <v>0</v>
      </c>
      <c r="C14" s="40">
        <v>80</v>
      </c>
      <c r="D14" s="40">
        <v>50</v>
      </c>
      <c r="E14" s="40">
        <v>95</v>
      </c>
      <c r="F14" s="40" t="s">
        <v>88</v>
      </c>
      <c r="G14" s="40">
        <v>3</v>
      </c>
      <c r="H14" s="40" t="s">
        <v>88</v>
      </c>
      <c r="I14" s="40" t="s">
        <v>88</v>
      </c>
      <c r="J14" s="41">
        <f t="shared" si="1"/>
        <v>50</v>
      </c>
    </row>
    <row r="15" spans="1:11" ht="21" customHeight="1" x14ac:dyDescent="0.15">
      <c r="A15" s="96">
        <v>15030014</v>
      </c>
      <c r="B15" s="40">
        <v>0</v>
      </c>
      <c r="C15" s="40">
        <v>80</v>
      </c>
      <c r="D15" s="40">
        <v>50</v>
      </c>
      <c r="E15" s="40" t="s">
        <v>244</v>
      </c>
      <c r="F15" s="40">
        <v>50</v>
      </c>
      <c r="G15" s="40">
        <v>3</v>
      </c>
      <c r="H15" s="40" t="s">
        <v>88</v>
      </c>
      <c r="I15" s="40" t="s">
        <v>88</v>
      </c>
      <c r="J15" s="41">
        <f t="shared" si="1"/>
        <v>50</v>
      </c>
    </row>
    <row r="16" spans="1:11" ht="21" customHeight="1" x14ac:dyDescent="0.15">
      <c r="A16" s="96">
        <v>15030015</v>
      </c>
      <c r="B16" s="40">
        <v>0</v>
      </c>
      <c r="C16" s="40">
        <v>70</v>
      </c>
      <c r="D16" s="40">
        <v>50</v>
      </c>
      <c r="E16" s="40" t="s">
        <v>244</v>
      </c>
      <c r="F16" s="40">
        <v>50</v>
      </c>
      <c r="G16" s="40">
        <v>3</v>
      </c>
      <c r="H16" s="40" t="s">
        <v>88</v>
      </c>
      <c r="I16" s="40" t="s">
        <v>88</v>
      </c>
      <c r="J16" s="41">
        <f t="shared" si="1"/>
        <v>50</v>
      </c>
    </row>
    <row r="17" spans="1:10" ht="21" customHeight="1" x14ac:dyDescent="0.15">
      <c r="A17" s="96">
        <v>15030016</v>
      </c>
      <c r="B17" s="40">
        <v>0</v>
      </c>
      <c r="C17" s="40">
        <v>60</v>
      </c>
      <c r="D17" s="40">
        <v>50</v>
      </c>
      <c r="E17" s="40" t="s">
        <v>244</v>
      </c>
      <c r="F17" s="40">
        <v>50</v>
      </c>
      <c r="G17" s="40">
        <v>3</v>
      </c>
      <c r="H17" s="40" t="s">
        <v>88</v>
      </c>
      <c r="I17" s="40" t="s">
        <v>88</v>
      </c>
      <c r="J17" s="41">
        <f t="shared" si="1"/>
        <v>50</v>
      </c>
    </row>
    <row r="18" spans="1:10" ht="21" customHeight="1" x14ac:dyDescent="0.15">
      <c r="A18" s="96">
        <v>15030017</v>
      </c>
      <c r="B18" s="40">
        <v>0</v>
      </c>
      <c r="C18" s="40">
        <v>100</v>
      </c>
      <c r="D18" s="40">
        <v>100</v>
      </c>
      <c r="E18" s="40">
        <v>50</v>
      </c>
      <c r="F18" s="40" t="s">
        <v>88</v>
      </c>
      <c r="G18" s="40">
        <v>1</v>
      </c>
      <c r="H18" s="40" t="s">
        <v>88</v>
      </c>
      <c r="I18" s="40" t="s">
        <v>88</v>
      </c>
      <c r="J18" s="41">
        <f t="shared" si="1"/>
        <v>100</v>
      </c>
    </row>
    <row r="19" spans="1:10" ht="21" customHeight="1" x14ac:dyDescent="0.15">
      <c r="A19" s="96">
        <v>15030018</v>
      </c>
      <c r="B19" s="40">
        <v>0</v>
      </c>
      <c r="C19" s="40">
        <v>90</v>
      </c>
      <c r="D19" s="40">
        <v>100</v>
      </c>
      <c r="E19" s="40">
        <v>50</v>
      </c>
      <c r="F19" s="40" t="s">
        <v>88</v>
      </c>
      <c r="G19" s="40">
        <v>1</v>
      </c>
      <c r="H19" s="40" t="s">
        <v>88</v>
      </c>
      <c r="I19" s="40" t="s">
        <v>88</v>
      </c>
      <c r="J19" s="41">
        <f t="shared" si="1"/>
        <v>100</v>
      </c>
    </row>
    <row r="20" spans="1:10" ht="21" customHeight="1" x14ac:dyDescent="0.15">
      <c r="A20" s="96">
        <v>15030019</v>
      </c>
      <c r="B20" s="40">
        <v>0</v>
      </c>
      <c r="C20" s="40" t="s">
        <v>87</v>
      </c>
      <c r="D20" s="40">
        <v>100</v>
      </c>
      <c r="E20" s="40">
        <v>35</v>
      </c>
      <c r="F20" s="40" t="s">
        <v>88</v>
      </c>
      <c r="G20" s="40">
        <v>1</v>
      </c>
      <c r="H20" s="40" t="s">
        <v>88</v>
      </c>
      <c r="I20" s="40" t="s">
        <v>88</v>
      </c>
      <c r="J20" s="41">
        <f t="shared" si="1"/>
        <v>100</v>
      </c>
    </row>
    <row r="21" spans="1:10" ht="21" customHeight="1" x14ac:dyDescent="0.15">
      <c r="A21" s="96">
        <v>15030020</v>
      </c>
      <c r="B21" s="40">
        <v>0</v>
      </c>
      <c r="C21" s="40" t="s">
        <v>87</v>
      </c>
      <c r="D21" s="40">
        <v>100</v>
      </c>
      <c r="E21" s="40">
        <v>35</v>
      </c>
      <c r="F21" s="40" t="s">
        <v>88</v>
      </c>
      <c r="G21" s="40">
        <v>1</v>
      </c>
      <c r="H21" s="40" t="s">
        <v>88</v>
      </c>
      <c r="I21" s="40" t="s">
        <v>88</v>
      </c>
      <c r="J21" s="41">
        <f t="shared" si="1"/>
        <v>100</v>
      </c>
    </row>
    <row r="22" spans="1:10" ht="21" customHeight="1" x14ac:dyDescent="0.15">
      <c r="A22" s="96">
        <v>15030021</v>
      </c>
      <c r="B22" s="40">
        <v>0</v>
      </c>
      <c r="C22" s="40" t="s">
        <v>87</v>
      </c>
      <c r="D22" s="40">
        <v>100</v>
      </c>
      <c r="E22" s="40">
        <v>35</v>
      </c>
      <c r="F22" s="40" t="s">
        <v>88</v>
      </c>
      <c r="G22" s="40">
        <v>1</v>
      </c>
      <c r="H22" s="40" t="s">
        <v>88</v>
      </c>
      <c r="I22" s="40" t="s">
        <v>88</v>
      </c>
      <c r="J22" s="41">
        <f t="shared" si="1"/>
        <v>100</v>
      </c>
    </row>
    <row r="23" spans="1:10" ht="21" customHeight="1" x14ac:dyDescent="0.15">
      <c r="A23" s="96">
        <v>15030022</v>
      </c>
      <c r="B23" s="40">
        <v>0</v>
      </c>
      <c r="C23" s="40" t="s">
        <v>87</v>
      </c>
      <c r="D23" s="40">
        <v>100</v>
      </c>
      <c r="E23" s="40">
        <v>35</v>
      </c>
      <c r="F23" s="40" t="s">
        <v>88</v>
      </c>
      <c r="G23" s="40">
        <v>1</v>
      </c>
      <c r="H23" s="40" t="s">
        <v>88</v>
      </c>
      <c r="I23" s="40" t="s">
        <v>88</v>
      </c>
      <c r="J23" s="41">
        <f t="shared" si="1"/>
        <v>100</v>
      </c>
    </row>
    <row r="24" spans="1:10" ht="21" customHeight="1" x14ac:dyDescent="0.15">
      <c r="A24" s="96">
        <v>15030023</v>
      </c>
      <c r="B24" s="40">
        <v>0</v>
      </c>
      <c r="C24" s="40">
        <v>100</v>
      </c>
      <c r="D24" s="40">
        <v>100</v>
      </c>
      <c r="E24" s="40" t="s">
        <v>276</v>
      </c>
      <c r="F24" s="40" t="s">
        <v>87</v>
      </c>
      <c r="G24" s="40">
        <v>1</v>
      </c>
      <c r="H24" s="40" t="s">
        <v>87</v>
      </c>
      <c r="I24" s="40">
        <v>401</v>
      </c>
      <c r="J24" s="41">
        <f t="shared" ref="J24" si="2">D24</f>
        <v>100</v>
      </c>
    </row>
  </sheetData>
  <autoFilter ref="A1:G1"/>
  <phoneticPr fontId="6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6"/>
  <sheetViews>
    <sheetView zoomScale="85" zoomScaleNormal="85" zoomScalePageLayoutView="85" workbookViewId="0">
      <selection activeCell="I27" sqref="I2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7" t="s">
        <v>149</v>
      </c>
      <c r="B1" s="57" t="s">
        <v>150</v>
      </c>
      <c r="C1" s="58" t="s">
        <v>151</v>
      </c>
      <c r="D1" s="64" t="s">
        <v>152</v>
      </c>
      <c r="E1" s="59" t="s">
        <v>153</v>
      </c>
      <c r="F1" s="57" t="s">
        <v>154</v>
      </c>
      <c r="G1" s="57" t="s">
        <v>155</v>
      </c>
      <c r="H1" s="57" t="s">
        <v>156</v>
      </c>
      <c r="I1" s="57" t="s">
        <v>157</v>
      </c>
      <c r="J1" s="57" t="s">
        <v>158</v>
      </c>
      <c r="K1" s="57" t="s">
        <v>159</v>
      </c>
      <c r="L1" s="57" t="s">
        <v>160</v>
      </c>
      <c r="M1" s="57" t="s">
        <v>161</v>
      </c>
      <c r="N1" s="57" t="s">
        <v>162</v>
      </c>
      <c r="O1" s="57" t="s">
        <v>163</v>
      </c>
      <c r="P1" s="57" t="s">
        <v>164</v>
      </c>
      <c r="Q1" s="57" t="s">
        <v>165</v>
      </c>
      <c r="R1" s="57" t="s">
        <v>166</v>
      </c>
    </row>
    <row r="2" spans="1:18" x14ac:dyDescent="0.15">
      <c r="A2" s="167">
        <v>15030</v>
      </c>
      <c r="B2" s="167">
        <v>1</v>
      </c>
      <c r="C2" s="168" t="str">
        <f>A2&amp; "_"&amp;B2</f>
        <v>15030_1</v>
      </c>
      <c r="D2" s="169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67">
        <v>1</v>
      </c>
      <c r="F2" s="167" t="s">
        <v>167</v>
      </c>
      <c r="G2" s="167">
        <v>3000</v>
      </c>
      <c r="H2" s="167" t="s">
        <v>279</v>
      </c>
      <c r="I2" s="167">
        <v>1</v>
      </c>
      <c r="J2" s="167">
        <v>1</v>
      </c>
      <c r="K2" s="167">
        <v>0</v>
      </c>
      <c r="L2" s="167">
        <v>0</v>
      </c>
      <c r="M2" s="167">
        <v>0</v>
      </c>
      <c r="N2" s="167">
        <v>0</v>
      </c>
      <c r="O2" s="167">
        <v>1</v>
      </c>
      <c r="P2" s="167">
        <v>2000</v>
      </c>
      <c r="Q2" s="167" t="s">
        <v>168</v>
      </c>
      <c r="R2" s="167" t="s">
        <v>169</v>
      </c>
    </row>
    <row r="3" spans="1:18" x14ac:dyDescent="0.15">
      <c r="A3" s="167">
        <v>15030</v>
      </c>
      <c r="B3" s="167">
        <v>1</v>
      </c>
      <c r="C3" s="168" t="str">
        <f t="shared" ref="C3:C46" si="0">A3&amp; "_"&amp;B3</f>
        <v>15030_1</v>
      </c>
      <c r="D3" s="169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67">
        <v>2</v>
      </c>
      <c r="F3" s="167" t="s">
        <v>280</v>
      </c>
      <c r="G3" s="167">
        <v>25</v>
      </c>
      <c r="H3" s="167" t="s">
        <v>279</v>
      </c>
      <c r="I3" s="167">
        <v>1</v>
      </c>
      <c r="J3" s="167">
        <v>1</v>
      </c>
      <c r="K3" s="167">
        <v>0</v>
      </c>
      <c r="L3" s="167">
        <v>0</v>
      </c>
      <c r="M3" s="167">
        <v>0</v>
      </c>
      <c r="N3" s="167">
        <v>0</v>
      </c>
      <c r="O3" s="167">
        <v>1</v>
      </c>
      <c r="P3" s="167">
        <v>3000</v>
      </c>
      <c r="Q3" s="167" t="s">
        <v>168</v>
      </c>
      <c r="R3" s="167" t="s">
        <v>169</v>
      </c>
    </row>
    <row r="4" spans="1:18" x14ac:dyDescent="0.15">
      <c r="A4" s="167">
        <v>15030</v>
      </c>
      <c r="B4" s="167">
        <v>1</v>
      </c>
      <c r="C4" s="168" t="str">
        <f t="shared" si="0"/>
        <v>15030_1</v>
      </c>
      <c r="D4" s="169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67">
        <v>3</v>
      </c>
      <c r="F4" s="167" t="s">
        <v>281</v>
      </c>
      <c r="G4" s="167">
        <v>334</v>
      </c>
      <c r="H4" s="167">
        <v>1</v>
      </c>
      <c r="I4" s="167">
        <v>1</v>
      </c>
      <c r="J4" s="167">
        <v>1</v>
      </c>
      <c r="K4" s="167">
        <v>0</v>
      </c>
      <c r="L4" s="167">
        <v>0</v>
      </c>
      <c r="M4" s="167">
        <v>0</v>
      </c>
      <c r="N4" s="167">
        <v>0</v>
      </c>
      <c r="O4" s="167">
        <v>1</v>
      </c>
      <c r="P4" s="167">
        <v>500</v>
      </c>
      <c r="Q4" s="167" t="s">
        <v>168</v>
      </c>
      <c r="R4" s="167" t="s">
        <v>169</v>
      </c>
    </row>
    <row r="5" spans="1:18" x14ac:dyDescent="0.15">
      <c r="A5" s="167">
        <v>15030</v>
      </c>
      <c r="B5" s="167">
        <v>1</v>
      </c>
      <c r="C5" s="168" t="str">
        <f t="shared" si="0"/>
        <v>15030_1</v>
      </c>
      <c r="D5" s="169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67">
        <v>4</v>
      </c>
      <c r="F5" s="167" t="s">
        <v>281</v>
      </c>
      <c r="G5" s="167">
        <v>342</v>
      </c>
      <c r="H5" s="167">
        <v>1</v>
      </c>
      <c r="I5" s="167">
        <v>1</v>
      </c>
      <c r="J5" s="167">
        <v>1</v>
      </c>
      <c r="K5" s="167">
        <v>0</v>
      </c>
      <c r="L5" s="167">
        <v>0</v>
      </c>
      <c r="M5" s="167">
        <v>0</v>
      </c>
      <c r="N5" s="167">
        <v>0</v>
      </c>
      <c r="O5" s="167">
        <v>1</v>
      </c>
      <c r="P5" s="167">
        <v>500</v>
      </c>
      <c r="Q5" s="167" t="s">
        <v>168</v>
      </c>
      <c r="R5" s="167" t="s">
        <v>169</v>
      </c>
    </row>
    <row r="6" spans="1:18" x14ac:dyDescent="0.15">
      <c r="A6" s="167">
        <v>15030</v>
      </c>
      <c r="B6" s="167">
        <v>1</v>
      </c>
      <c r="C6" s="168" t="str">
        <f t="shared" si="0"/>
        <v>15030_1</v>
      </c>
      <c r="D6" s="169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67">
        <v>5</v>
      </c>
      <c r="F6" s="167" t="s">
        <v>281</v>
      </c>
      <c r="G6" s="167">
        <v>33</v>
      </c>
      <c r="H6" s="167">
        <v>1</v>
      </c>
      <c r="I6" s="167">
        <v>1</v>
      </c>
      <c r="J6" s="167">
        <v>1</v>
      </c>
      <c r="K6" s="167">
        <v>0</v>
      </c>
      <c r="L6" s="167">
        <v>0</v>
      </c>
      <c r="M6" s="167">
        <v>0</v>
      </c>
      <c r="N6" s="167">
        <v>0</v>
      </c>
      <c r="O6" s="167">
        <v>1</v>
      </c>
      <c r="P6" s="167">
        <v>111</v>
      </c>
      <c r="Q6" s="167" t="s">
        <v>168</v>
      </c>
      <c r="R6" s="167" t="s">
        <v>169</v>
      </c>
    </row>
    <row r="7" spans="1:18" x14ac:dyDescent="0.15">
      <c r="A7" s="167">
        <v>15030</v>
      </c>
      <c r="B7" s="167">
        <v>1</v>
      </c>
      <c r="C7" s="168" t="str">
        <f t="shared" si="0"/>
        <v>15030_1</v>
      </c>
      <c r="D7" s="169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67">
        <v>6</v>
      </c>
      <c r="F7" s="167" t="s">
        <v>281</v>
      </c>
      <c r="G7" s="167">
        <v>37</v>
      </c>
      <c r="H7" s="167">
        <v>1</v>
      </c>
      <c r="I7" s="167">
        <v>1</v>
      </c>
      <c r="J7" s="167">
        <v>1</v>
      </c>
      <c r="K7" s="167">
        <v>0</v>
      </c>
      <c r="L7" s="167">
        <v>0</v>
      </c>
      <c r="M7" s="167">
        <v>0</v>
      </c>
      <c r="N7" s="167">
        <v>0</v>
      </c>
      <c r="O7" s="167">
        <v>1</v>
      </c>
      <c r="P7" s="167">
        <v>111</v>
      </c>
      <c r="Q7" s="167" t="s">
        <v>168</v>
      </c>
      <c r="R7" s="167" t="s">
        <v>169</v>
      </c>
    </row>
    <row r="8" spans="1:18" x14ac:dyDescent="0.15">
      <c r="A8" s="167">
        <v>15030</v>
      </c>
      <c r="B8" s="167">
        <v>1</v>
      </c>
      <c r="C8" s="168" t="str">
        <f t="shared" si="0"/>
        <v>15030_1</v>
      </c>
      <c r="D8" s="169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67">
        <v>7</v>
      </c>
      <c r="F8" s="167" t="s">
        <v>281</v>
      </c>
      <c r="G8" s="167">
        <v>41</v>
      </c>
      <c r="H8" s="167">
        <v>1</v>
      </c>
      <c r="I8" s="167">
        <v>1</v>
      </c>
      <c r="J8" s="167">
        <v>1</v>
      </c>
      <c r="K8" s="167">
        <v>0</v>
      </c>
      <c r="L8" s="167">
        <v>0</v>
      </c>
      <c r="M8" s="167">
        <v>0</v>
      </c>
      <c r="N8" s="167">
        <v>0</v>
      </c>
      <c r="O8" s="167">
        <v>1</v>
      </c>
      <c r="P8" s="167">
        <v>111</v>
      </c>
      <c r="Q8" s="167" t="s">
        <v>168</v>
      </c>
      <c r="R8" s="167" t="s">
        <v>169</v>
      </c>
    </row>
    <row r="9" spans="1:18" x14ac:dyDescent="0.15">
      <c r="A9" s="167">
        <v>15030</v>
      </c>
      <c r="B9" s="167">
        <v>1</v>
      </c>
      <c r="C9" s="168" t="str">
        <f t="shared" si="0"/>
        <v>15030_1</v>
      </c>
      <c r="D9" s="169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67">
        <v>8</v>
      </c>
      <c r="F9" s="167" t="s">
        <v>281</v>
      </c>
      <c r="G9" s="167">
        <v>45</v>
      </c>
      <c r="H9" s="167">
        <v>1</v>
      </c>
      <c r="I9" s="167">
        <v>1</v>
      </c>
      <c r="J9" s="167">
        <v>1</v>
      </c>
      <c r="K9" s="167">
        <v>0</v>
      </c>
      <c r="L9" s="167">
        <v>0</v>
      </c>
      <c r="M9" s="167">
        <v>0</v>
      </c>
      <c r="N9" s="167">
        <v>0</v>
      </c>
      <c r="O9" s="167">
        <v>1</v>
      </c>
      <c r="P9" s="167">
        <v>111</v>
      </c>
      <c r="Q9" s="167" t="s">
        <v>168</v>
      </c>
      <c r="R9" s="167" t="s">
        <v>169</v>
      </c>
    </row>
    <row r="10" spans="1:18" x14ac:dyDescent="0.15">
      <c r="A10" s="167">
        <v>15030</v>
      </c>
      <c r="B10" s="167">
        <v>1</v>
      </c>
      <c r="C10" s="168" t="str">
        <f t="shared" si="0"/>
        <v>15030_1</v>
      </c>
      <c r="D10" s="169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67">
        <v>9</v>
      </c>
      <c r="F10" s="167" t="s">
        <v>281</v>
      </c>
      <c r="G10" s="167">
        <v>71</v>
      </c>
      <c r="H10" s="167">
        <v>1</v>
      </c>
      <c r="I10" s="167">
        <v>1</v>
      </c>
      <c r="J10" s="167">
        <v>1</v>
      </c>
      <c r="K10" s="167">
        <v>0</v>
      </c>
      <c r="L10" s="167">
        <v>0</v>
      </c>
      <c r="M10" s="167">
        <v>0</v>
      </c>
      <c r="N10" s="167">
        <v>0</v>
      </c>
      <c r="O10" s="167">
        <v>1</v>
      </c>
      <c r="P10" s="167">
        <v>111</v>
      </c>
      <c r="Q10" s="167" t="s">
        <v>168</v>
      </c>
      <c r="R10" s="167" t="s">
        <v>169</v>
      </c>
    </row>
    <row r="11" spans="1:18" x14ac:dyDescent="0.15">
      <c r="A11" s="167">
        <v>15030</v>
      </c>
      <c r="B11" s="167">
        <v>1</v>
      </c>
      <c r="C11" s="168" t="str">
        <f t="shared" si="0"/>
        <v>15030_1</v>
      </c>
      <c r="D11" s="169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67">
        <v>10</v>
      </c>
      <c r="F11" s="167" t="s">
        <v>281</v>
      </c>
      <c r="G11" s="167">
        <v>360</v>
      </c>
      <c r="H11" s="167">
        <v>1</v>
      </c>
      <c r="I11" s="167">
        <v>1</v>
      </c>
      <c r="J11" s="167">
        <v>1</v>
      </c>
      <c r="K11" s="167">
        <v>0</v>
      </c>
      <c r="L11" s="167">
        <v>0</v>
      </c>
      <c r="M11" s="167">
        <v>0</v>
      </c>
      <c r="N11" s="167">
        <v>0</v>
      </c>
      <c r="O11" s="167">
        <v>1</v>
      </c>
      <c r="P11" s="167">
        <v>111</v>
      </c>
      <c r="Q11" s="167" t="s">
        <v>168</v>
      </c>
      <c r="R11" s="167" t="s">
        <v>169</v>
      </c>
    </row>
    <row r="12" spans="1:18" x14ac:dyDescent="0.15">
      <c r="A12" s="167">
        <v>15030</v>
      </c>
      <c r="B12" s="167">
        <v>1</v>
      </c>
      <c r="C12" s="168" t="str">
        <f t="shared" si="0"/>
        <v>15030_1</v>
      </c>
      <c r="D12" s="169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7">
        <v>11</v>
      </c>
      <c r="F12" s="167" t="s">
        <v>281</v>
      </c>
      <c r="G12" s="167">
        <v>364</v>
      </c>
      <c r="H12" s="167">
        <v>1</v>
      </c>
      <c r="I12" s="167">
        <v>1</v>
      </c>
      <c r="J12" s="167">
        <v>1</v>
      </c>
      <c r="K12" s="167">
        <v>0</v>
      </c>
      <c r="L12" s="167">
        <v>0</v>
      </c>
      <c r="M12" s="167">
        <v>0</v>
      </c>
      <c r="N12" s="167">
        <v>0</v>
      </c>
      <c r="O12" s="167">
        <v>1</v>
      </c>
      <c r="P12" s="167">
        <v>111</v>
      </c>
      <c r="Q12" s="167" t="s">
        <v>168</v>
      </c>
      <c r="R12" s="167" t="s">
        <v>169</v>
      </c>
    </row>
    <row r="13" spans="1:18" x14ac:dyDescent="0.15">
      <c r="A13" s="167">
        <v>15030</v>
      </c>
      <c r="B13" s="167">
        <v>1</v>
      </c>
      <c r="C13" s="168" t="str">
        <f t="shared" si="0"/>
        <v>15030_1</v>
      </c>
      <c r="D13" s="169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67">
        <v>12</v>
      </c>
      <c r="F13" s="167" t="s">
        <v>281</v>
      </c>
      <c r="G13" s="167">
        <v>370</v>
      </c>
      <c r="H13" s="167">
        <v>1</v>
      </c>
      <c r="I13" s="167">
        <v>1</v>
      </c>
      <c r="J13" s="167">
        <v>1</v>
      </c>
      <c r="K13" s="167">
        <v>0</v>
      </c>
      <c r="L13" s="167">
        <v>0</v>
      </c>
      <c r="M13" s="167">
        <v>0</v>
      </c>
      <c r="N13" s="167">
        <v>0</v>
      </c>
      <c r="O13" s="167">
        <v>1</v>
      </c>
      <c r="P13" s="167">
        <v>111</v>
      </c>
      <c r="Q13" s="167" t="s">
        <v>168</v>
      </c>
      <c r="R13" s="167" t="s">
        <v>169</v>
      </c>
    </row>
    <row r="14" spans="1:18" x14ac:dyDescent="0.15">
      <c r="A14" s="167">
        <v>15030</v>
      </c>
      <c r="B14" s="167">
        <v>1</v>
      </c>
      <c r="C14" s="168" t="str">
        <f t="shared" si="0"/>
        <v>15030_1</v>
      </c>
      <c r="D14" s="169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67">
        <v>13</v>
      </c>
      <c r="F14" s="167" t="s">
        <v>281</v>
      </c>
      <c r="G14" s="167">
        <v>374</v>
      </c>
      <c r="H14" s="167">
        <v>1</v>
      </c>
      <c r="I14" s="167">
        <v>1</v>
      </c>
      <c r="J14" s="167">
        <v>1</v>
      </c>
      <c r="K14" s="167">
        <v>0</v>
      </c>
      <c r="L14" s="167">
        <v>0</v>
      </c>
      <c r="M14" s="167">
        <v>0</v>
      </c>
      <c r="N14" s="167">
        <v>0</v>
      </c>
      <c r="O14" s="167">
        <v>1</v>
      </c>
      <c r="P14" s="167">
        <v>111</v>
      </c>
      <c r="Q14" s="167" t="s">
        <v>168</v>
      </c>
      <c r="R14" s="167" t="s">
        <v>169</v>
      </c>
    </row>
    <row r="15" spans="1:18" x14ac:dyDescent="0.15">
      <c r="A15" s="167">
        <v>15030</v>
      </c>
      <c r="B15" s="167">
        <v>1</v>
      </c>
      <c r="C15" s="168" t="str">
        <f t="shared" si="0"/>
        <v>15030_1</v>
      </c>
      <c r="D15" s="169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67">
        <v>14</v>
      </c>
      <c r="F15" s="167" t="s">
        <v>281</v>
      </c>
      <c r="G15" s="167">
        <v>348</v>
      </c>
      <c r="H15" s="167">
        <v>1</v>
      </c>
      <c r="I15" s="167">
        <v>1</v>
      </c>
      <c r="J15" s="167">
        <v>1</v>
      </c>
      <c r="K15" s="167">
        <v>0</v>
      </c>
      <c r="L15" s="167">
        <v>0</v>
      </c>
      <c r="M15" s="167">
        <v>0</v>
      </c>
      <c r="N15" s="167">
        <v>0</v>
      </c>
      <c r="O15" s="167">
        <v>1</v>
      </c>
      <c r="P15" s="167">
        <v>1500</v>
      </c>
      <c r="Q15" s="167" t="s">
        <v>168</v>
      </c>
      <c r="R15" s="167" t="s">
        <v>169</v>
      </c>
    </row>
    <row r="16" spans="1:18" x14ac:dyDescent="0.15">
      <c r="A16" s="167">
        <v>15030</v>
      </c>
      <c r="B16" s="167">
        <v>1</v>
      </c>
      <c r="C16" s="168" t="str">
        <f t="shared" si="0"/>
        <v>15030_1</v>
      </c>
      <c r="D16" s="169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67">
        <v>15</v>
      </c>
      <c r="F16" s="167" t="s">
        <v>281</v>
      </c>
      <c r="G16" s="167">
        <v>352</v>
      </c>
      <c r="H16" s="167">
        <v>1</v>
      </c>
      <c r="I16" s="167">
        <v>1</v>
      </c>
      <c r="J16" s="167">
        <v>1</v>
      </c>
      <c r="K16" s="167">
        <v>0</v>
      </c>
      <c r="L16" s="167">
        <v>0</v>
      </c>
      <c r="M16" s="167">
        <v>0</v>
      </c>
      <c r="N16" s="167">
        <v>0</v>
      </c>
      <c r="O16" s="167">
        <v>1</v>
      </c>
      <c r="P16" s="167">
        <v>1500</v>
      </c>
      <c r="Q16" s="167" t="s">
        <v>168</v>
      </c>
      <c r="R16" s="167" t="s">
        <v>169</v>
      </c>
    </row>
    <row r="17" spans="1:18" x14ac:dyDescent="0.15">
      <c r="A17" s="167">
        <v>15030</v>
      </c>
      <c r="B17" s="74">
        <v>2</v>
      </c>
      <c r="C17" s="63" t="str">
        <f t="shared" si="0"/>
        <v>15030_2</v>
      </c>
      <c r="D17" s="15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67">
        <v>16</v>
      </c>
      <c r="F17" s="74" t="s">
        <v>167</v>
      </c>
      <c r="G17" s="74">
        <v>3200</v>
      </c>
      <c r="H17" s="74" t="s">
        <v>279</v>
      </c>
      <c r="I17" s="74">
        <v>1</v>
      </c>
      <c r="J17" s="74">
        <v>1</v>
      </c>
      <c r="K17" s="74">
        <v>0</v>
      </c>
      <c r="L17" s="74">
        <v>0</v>
      </c>
      <c r="M17" s="74">
        <v>0</v>
      </c>
      <c r="N17" s="74">
        <v>0</v>
      </c>
      <c r="O17" s="74">
        <v>1</v>
      </c>
      <c r="P17" s="74">
        <v>2000</v>
      </c>
      <c r="Q17" s="74" t="s">
        <v>168</v>
      </c>
      <c r="R17" s="74" t="s">
        <v>169</v>
      </c>
    </row>
    <row r="18" spans="1:18" x14ac:dyDescent="0.15">
      <c r="A18" s="167">
        <v>15030</v>
      </c>
      <c r="B18" s="74">
        <v>2</v>
      </c>
      <c r="C18" s="63" t="str">
        <f t="shared" si="0"/>
        <v>15030_2</v>
      </c>
      <c r="D18" s="1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7">
        <v>17</v>
      </c>
      <c r="F18" s="74" t="s">
        <v>280</v>
      </c>
      <c r="G18" s="74">
        <v>25</v>
      </c>
      <c r="H18" s="74" t="s">
        <v>279</v>
      </c>
      <c r="I18" s="74">
        <v>1</v>
      </c>
      <c r="J18" s="74">
        <v>1</v>
      </c>
      <c r="K18" s="74">
        <v>0</v>
      </c>
      <c r="L18" s="74">
        <v>0</v>
      </c>
      <c r="M18" s="74">
        <v>0</v>
      </c>
      <c r="N18" s="74">
        <v>0</v>
      </c>
      <c r="O18" s="74">
        <v>1</v>
      </c>
      <c r="P18" s="74">
        <v>3000</v>
      </c>
      <c r="Q18" s="74" t="s">
        <v>168</v>
      </c>
      <c r="R18" s="74" t="s">
        <v>169</v>
      </c>
    </row>
    <row r="19" spans="1:18" x14ac:dyDescent="0.15">
      <c r="A19" s="167">
        <v>15030</v>
      </c>
      <c r="B19" s="74">
        <v>2</v>
      </c>
      <c r="C19" s="63" t="str">
        <f t="shared" si="0"/>
        <v>15030_2</v>
      </c>
      <c r="D19" s="15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67">
        <v>18</v>
      </c>
      <c r="F19" s="74" t="s">
        <v>281</v>
      </c>
      <c r="G19" s="74">
        <v>334</v>
      </c>
      <c r="H19" s="74">
        <v>1</v>
      </c>
      <c r="I19" s="74">
        <v>1</v>
      </c>
      <c r="J19" s="74">
        <v>1</v>
      </c>
      <c r="K19" s="74">
        <v>0</v>
      </c>
      <c r="L19" s="74">
        <v>0</v>
      </c>
      <c r="M19" s="74">
        <v>0</v>
      </c>
      <c r="N19" s="74">
        <v>0</v>
      </c>
      <c r="O19" s="74">
        <v>1</v>
      </c>
      <c r="P19" s="74">
        <v>500</v>
      </c>
      <c r="Q19" s="74" t="s">
        <v>168</v>
      </c>
      <c r="R19" s="74" t="s">
        <v>169</v>
      </c>
    </row>
    <row r="20" spans="1:18" x14ac:dyDescent="0.15">
      <c r="A20" s="167">
        <v>15030</v>
      </c>
      <c r="B20" s="74">
        <v>2</v>
      </c>
      <c r="C20" s="63" t="str">
        <f t="shared" si="0"/>
        <v>15030_2</v>
      </c>
      <c r="D20" s="15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67">
        <v>19</v>
      </c>
      <c r="F20" s="74" t="s">
        <v>281</v>
      </c>
      <c r="G20" s="74">
        <v>342</v>
      </c>
      <c r="H20" s="74">
        <v>1</v>
      </c>
      <c r="I20" s="74">
        <v>1</v>
      </c>
      <c r="J20" s="74">
        <v>1</v>
      </c>
      <c r="K20" s="74">
        <v>0</v>
      </c>
      <c r="L20" s="74">
        <v>0</v>
      </c>
      <c r="M20" s="74">
        <v>0</v>
      </c>
      <c r="N20" s="74">
        <v>0</v>
      </c>
      <c r="O20" s="74">
        <v>1</v>
      </c>
      <c r="P20" s="74">
        <v>500</v>
      </c>
      <c r="Q20" s="74" t="s">
        <v>168</v>
      </c>
      <c r="R20" s="74" t="s">
        <v>169</v>
      </c>
    </row>
    <row r="21" spans="1:18" x14ac:dyDescent="0.15">
      <c r="A21" s="167">
        <v>15030</v>
      </c>
      <c r="B21" s="74">
        <v>2</v>
      </c>
      <c r="C21" s="63" t="str">
        <f t="shared" si="0"/>
        <v>15030_2</v>
      </c>
      <c r="D21" s="15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67">
        <v>20</v>
      </c>
      <c r="F21" s="74" t="s">
        <v>281</v>
      </c>
      <c r="G21" s="74">
        <v>33</v>
      </c>
      <c r="H21" s="74">
        <v>1</v>
      </c>
      <c r="I21" s="74">
        <v>1</v>
      </c>
      <c r="J21" s="74">
        <v>1</v>
      </c>
      <c r="K21" s="74">
        <v>0</v>
      </c>
      <c r="L21" s="74">
        <v>0</v>
      </c>
      <c r="M21" s="74">
        <v>0</v>
      </c>
      <c r="N21" s="74">
        <v>0</v>
      </c>
      <c r="O21" s="74">
        <v>1</v>
      </c>
      <c r="P21" s="74">
        <v>125</v>
      </c>
      <c r="Q21" s="74" t="s">
        <v>168</v>
      </c>
      <c r="R21" s="74" t="s">
        <v>169</v>
      </c>
    </row>
    <row r="22" spans="1:18" x14ac:dyDescent="0.15">
      <c r="A22" s="167">
        <v>15030</v>
      </c>
      <c r="B22" s="74">
        <v>2</v>
      </c>
      <c r="C22" s="63" t="str">
        <f t="shared" si="0"/>
        <v>15030_2</v>
      </c>
      <c r="D22" s="15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67">
        <v>21</v>
      </c>
      <c r="F22" s="74" t="s">
        <v>281</v>
      </c>
      <c r="G22" s="74">
        <v>37</v>
      </c>
      <c r="H22" s="74">
        <v>1</v>
      </c>
      <c r="I22" s="74">
        <v>1</v>
      </c>
      <c r="J22" s="74">
        <v>1</v>
      </c>
      <c r="K22" s="74">
        <v>0</v>
      </c>
      <c r="L22" s="74">
        <v>0</v>
      </c>
      <c r="M22" s="74">
        <v>0</v>
      </c>
      <c r="N22" s="74">
        <v>0</v>
      </c>
      <c r="O22" s="74">
        <v>1</v>
      </c>
      <c r="P22" s="74">
        <v>125</v>
      </c>
      <c r="Q22" s="74" t="s">
        <v>168</v>
      </c>
      <c r="R22" s="74" t="s">
        <v>169</v>
      </c>
    </row>
    <row r="23" spans="1:18" x14ac:dyDescent="0.15">
      <c r="A23" s="167">
        <v>15030</v>
      </c>
      <c r="B23" s="74">
        <v>2</v>
      </c>
      <c r="C23" s="63" t="str">
        <f t="shared" si="0"/>
        <v>15030_2</v>
      </c>
      <c r="D23" s="15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67">
        <v>22</v>
      </c>
      <c r="F23" s="74" t="s">
        <v>281</v>
      </c>
      <c r="G23" s="74">
        <v>41</v>
      </c>
      <c r="H23" s="74">
        <v>1</v>
      </c>
      <c r="I23" s="74">
        <v>1</v>
      </c>
      <c r="J23" s="74">
        <v>1</v>
      </c>
      <c r="K23" s="74">
        <v>0</v>
      </c>
      <c r="L23" s="74">
        <v>0</v>
      </c>
      <c r="M23" s="74">
        <v>0</v>
      </c>
      <c r="N23" s="74">
        <v>0</v>
      </c>
      <c r="O23" s="74">
        <v>1</v>
      </c>
      <c r="P23" s="74">
        <v>125</v>
      </c>
      <c r="Q23" s="74" t="s">
        <v>168</v>
      </c>
      <c r="R23" s="74" t="s">
        <v>169</v>
      </c>
    </row>
    <row r="24" spans="1:18" x14ac:dyDescent="0.15">
      <c r="A24" s="167">
        <v>15030</v>
      </c>
      <c r="B24" s="74">
        <v>2</v>
      </c>
      <c r="C24" s="63" t="str">
        <f t="shared" si="0"/>
        <v>15030_2</v>
      </c>
      <c r="D24" s="15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67">
        <v>23</v>
      </c>
      <c r="F24" s="74" t="s">
        <v>281</v>
      </c>
      <c r="G24" s="74">
        <v>45</v>
      </c>
      <c r="H24" s="74">
        <v>1</v>
      </c>
      <c r="I24" s="74">
        <v>1</v>
      </c>
      <c r="J24" s="74">
        <v>1</v>
      </c>
      <c r="K24" s="74">
        <v>0</v>
      </c>
      <c r="L24" s="74">
        <v>0</v>
      </c>
      <c r="M24" s="74">
        <v>0</v>
      </c>
      <c r="N24" s="74">
        <v>0</v>
      </c>
      <c r="O24" s="74">
        <v>1</v>
      </c>
      <c r="P24" s="74">
        <v>125</v>
      </c>
      <c r="Q24" s="74" t="s">
        <v>168</v>
      </c>
      <c r="R24" s="74" t="s">
        <v>169</v>
      </c>
    </row>
    <row r="25" spans="1:18" x14ac:dyDescent="0.15">
      <c r="A25" s="167">
        <v>15030</v>
      </c>
      <c r="B25" s="74">
        <v>2</v>
      </c>
      <c r="C25" s="63" t="str">
        <f t="shared" si="0"/>
        <v>15030_2</v>
      </c>
      <c r="D25" s="15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67">
        <v>24</v>
      </c>
      <c r="F25" s="74" t="s">
        <v>281</v>
      </c>
      <c r="G25" s="74">
        <v>360</v>
      </c>
      <c r="H25" s="74">
        <v>1</v>
      </c>
      <c r="I25" s="74">
        <v>1</v>
      </c>
      <c r="J25" s="74">
        <v>1</v>
      </c>
      <c r="K25" s="74">
        <v>0</v>
      </c>
      <c r="L25" s="74">
        <v>0</v>
      </c>
      <c r="M25" s="74">
        <v>0</v>
      </c>
      <c r="N25" s="74">
        <v>0</v>
      </c>
      <c r="O25" s="74">
        <v>1</v>
      </c>
      <c r="P25" s="74">
        <v>125</v>
      </c>
      <c r="Q25" s="74" t="s">
        <v>168</v>
      </c>
      <c r="R25" s="74" t="s">
        <v>169</v>
      </c>
    </row>
    <row r="26" spans="1:18" x14ac:dyDescent="0.15">
      <c r="A26" s="167">
        <v>15030</v>
      </c>
      <c r="B26" s="74">
        <v>2</v>
      </c>
      <c r="C26" s="63" t="str">
        <f t="shared" si="0"/>
        <v>15030_2</v>
      </c>
      <c r="D26" s="15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67">
        <v>25</v>
      </c>
      <c r="F26" s="74" t="s">
        <v>281</v>
      </c>
      <c r="G26" s="74">
        <v>364</v>
      </c>
      <c r="H26" s="74">
        <v>1</v>
      </c>
      <c r="I26" s="74">
        <v>1</v>
      </c>
      <c r="J26" s="74">
        <v>1</v>
      </c>
      <c r="K26" s="74">
        <v>0</v>
      </c>
      <c r="L26" s="74">
        <v>0</v>
      </c>
      <c r="M26" s="74">
        <v>0</v>
      </c>
      <c r="N26" s="74">
        <v>0</v>
      </c>
      <c r="O26" s="74">
        <v>1</v>
      </c>
      <c r="P26" s="74">
        <v>125</v>
      </c>
      <c r="Q26" s="74" t="s">
        <v>168</v>
      </c>
      <c r="R26" s="74" t="s">
        <v>169</v>
      </c>
    </row>
    <row r="27" spans="1:18" x14ac:dyDescent="0.15">
      <c r="A27" s="167">
        <v>15030</v>
      </c>
      <c r="B27" s="74">
        <v>2</v>
      </c>
      <c r="C27" s="63" t="str">
        <f t="shared" si="0"/>
        <v>15030_2</v>
      </c>
      <c r="D27" s="15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67">
        <v>26</v>
      </c>
      <c r="F27" s="74" t="s">
        <v>281</v>
      </c>
      <c r="G27" s="74">
        <v>370</v>
      </c>
      <c r="H27" s="74">
        <v>1</v>
      </c>
      <c r="I27" s="74">
        <v>1</v>
      </c>
      <c r="J27" s="74">
        <v>1</v>
      </c>
      <c r="K27" s="74">
        <v>0</v>
      </c>
      <c r="L27" s="74">
        <v>0</v>
      </c>
      <c r="M27" s="74">
        <v>0</v>
      </c>
      <c r="N27" s="74">
        <v>0</v>
      </c>
      <c r="O27" s="74">
        <v>1</v>
      </c>
      <c r="P27" s="74">
        <v>125</v>
      </c>
      <c r="Q27" s="74" t="s">
        <v>168</v>
      </c>
      <c r="R27" s="74" t="s">
        <v>169</v>
      </c>
    </row>
    <row r="28" spans="1:18" x14ac:dyDescent="0.15">
      <c r="A28" s="167">
        <v>15030</v>
      </c>
      <c r="B28" s="74">
        <v>2</v>
      </c>
      <c r="C28" s="63" t="str">
        <f t="shared" si="0"/>
        <v>15030_2</v>
      </c>
      <c r="D28" s="15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67">
        <v>27</v>
      </c>
      <c r="F28" s="74" t="s">
        <v>281</v>
      </c>
      <c r="G28" s="74">
        <v>374</v>
      </c>
      <c r="H28" s="74">
        <v>1</v>
      </c>
      <c r="I28" s="74">
        <v>1</v>
      </c>
      <c r="J28" s="74">
        <v>1</v>
      </c>
      <c r="K28" s="74">
        <v>0</v>
      </c>
      <c r="L28" s="74">
        <v>0</v>
      </c>
      <c r="M28" s="74">
        <v>0</v>
      </c>
      <c r="N28" s="74">
        <v>0</v>
      </c>
      <c r="O28" s="74">
        <v>1</v>
      </c>
      <c r="P28" s="74">
        <v>125</v>
      </c>
      <c r="Q28" s="74" t="s">
        <v>168</v>
      </c>
      <c r="R28" s="74" t="s">
        <v>169</v>
      </c>
    </row>
    <row r="29" spans="1:18" x14ac:dyDescent="0.15">
      <c r="A29" s="167">
        <v>15030</v>
      </c>
      <c r="B29" s="74">
        <v>2</v>
      </c>
      <c r="C29" s="63" t="str">
        <f t="shared" si="0"/>
        <v>15030_2</v>
      </c>
      <c r="D29" s="15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67">
        <v>28</v>
      </c>
      <c r="F29" s="74" t="s">
        <v>281</v>
      </c>
      <c r="G29" s="74">
        <v>348</v>
      </c>
      <c r="H29" s="74">
        <v>1</v>
      </c>
      <c r="I29" s="74">
        <v>1</v>
      </c>
      <c r="J29" s="74">
        <v>1</v>
      </c>
      <c r="K29" s="74">
        <v>0</v>
      </c>
      <c r="L29" s="74">
        <v>0</v>
      </c>
      <c r="M29" s="74">
        <v>0</v>
      </c>
      <c r="N29" s="74">
        <v>0</v>
      </c>
      <c r="O29" s="74">
        <v>1</v>
      </c>
      <c r="P29" s="74">
        <v>1500</v>
      </c>
      <c r="Q29" s="74" t="s">
        <v>168</v>
      </c>
      <c r="R29" s="74" t="s">
        <v>169</v>
      </c>
    </row>
    <row r="30" spans="1:18" x14ac:dyDescent="0.15">
      <c r="A30" s="167">
        <v>15030</v>
      </c>
      <c r="B30" s="74">
        <v>2</v>
      </c>
      <c r="C30" s="63" t="str">
        <f t="shared" si="0"/>
        <v>15030_2</v>
      </c>
      <c r="D30" s="15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67">
        <v>29</v>
      </c>
      <c r="F30" s="74" t="s">
        <v>281</v>
      </c>
      <c r="G30" s="74">
        <v>352</v>
      </c>
      <c r="H30" s="74">
        <v>1</v>
      </c>
      <c r="I30" s="74">
        <v>1</v>
      </c>
      <c r="J30" s="74">
        <v>1</v>
      </c>
      <c r="K30" s="74">
        <v>0</v>
      </c>
      <c r="L30" s="74">
        <v>0</v>
      </c>
      <c r="M30" s="74">
        <v>0</v>
      </c>
      <c r="N30" s="74">
        <v>0</v>
      </c>
      <c r="O30" s="74">
        <v>1</v>
      </c>
      <c r="P30" s="74">
        <v>1500</v>
      </c>
      <c r="Q30" s="74" t="s">
        <v>168</v>
      </c>
      <c r="R30" s="74" t="s">
        <v>169</v>
      </c>
    </row>
    <row r="31" spans="1:18" x14ac:dyDescent="0.15">
      <c r="A31" s="167">
        <v>15030</v>
      </c>
      <c r="B31" s="167">
        <v>3</v>
      </c>
      <c r="C31" s="168" t="str">
        <f t="shared" si="0"/>
        <v>15030_3</v>
      </c>
      <c r="D31" s="169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67">
        <v>30</v>
      </c>
      <c r="F31" s="167" t="s">
        <v>167</v>
      </c>
      <c r="G31" s="167">
        <v>3500</v>
      </c>
      <c r="H31" s="167" t="s">
        <v>279</v>
      </c>
      <c r="I31" s="167">
        <v>1</v>
      </c>
      <c r="J31" s="167">
        <v>1</v>
      </c>
      <c r="K31" s="167">
        <v>0</v>
      </c>
      <c r="L31" s="167">
        <v>0</v>
      </c>
      <c r="M31" s="167">
        <v>0</v>
      </c>
      <c r="N31" s="167">
        <v>0</v>
      </c>
      <c r="O31" s="167">
        <v>1</v>
      </c>
      <c r="P31" s="167">
        <v>2000</v>
      </c>
      <c r="Q31" s="167" t="s">
        <v>168</v>
      </c>
      <c r="R31" s="167" t="s">
        <v>169</v>
      </c>
    </row>
    <row r="32" spans="1:18" x14ac:dyDescent="0.15">
      <c r="A32" s="167">
        <v>15030</v>
      </c>
      <c r="B32" s="167">
        <v>3</v>
      </c>
      <c r="C32" s="168" t="str">
        <f t="shared" si="0"/>
        <v>15030_3</v>
      </c>
      <c r="D32" s="169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67">
        <v>31</v>
      </c>
      <c r="F32" s="167" t="s">
        <v>280</v>
      </c>
      <c r="G32" s="167">
        <v>25</v>
      </c>
      <c r="H32" s="167" t="s">
        <v>279</v>
      </c>
      <c r="I32" s="167">
        <v>1</v>
      </c>
      <c r="J32" s="167">
        <v>1</v>
      </c>
      <c r="K32" s="167">
        <v>0</v>
      </c>
      <c r="L32" s="167">
        <v>0</v>
      </c>
      <c r="M32" s="167">
        <v>0</v>
      </c>
      <c r="N32" s="167">
        <v>0</v>
      </c>
      <c r="O32" s="167">
        <v>1</v>
      </c>
      <c r="P32" s="167">
        <v>3000</v>
      </c>
      <c r="Q32" s="167" t="s">
        <v>168</v>
      </c>
      <c r="R32" s="167" t="s">
        <v>169</v>
      </c>
    </row>
    <row r="33" spans="1:18" x14ac:dyDescent="0.15">
      <c r="A33" s="167">
        <v>15030</v>
      </c>
      <c r="B33" s="167">
        <v>3</v>
      </c>
      <c r="C33" s="168" t="str">
        <f t="shared" si="0"/>
        <v>15030_3</v>
      </c>
      <c r="D33" s="169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67">
        <v>32</v>
      </c>
      <c r="F33" s="167" t="s">
        <v>281</v>
      </c>
      <c r="G33" s="167">
        <v>334</v>
      </c>
      <c r="H33" s="167">
        <v>1</v>
      </c>
      <c r="I33" s="167">
        <v>1</v>
      </c>
      <c r="J33" s="167">
        <v>1</v>
      </c>
      <c r="K33" s="167">
        <v>0</v>
      </c>
      <c r="L33" s="167">
        <v>0</v>
      </c>
      <c r="M33" s="167">
        <v>0</v>
      </c>
      <c r="N33" s="167">
        <v>0</v>
      </c>
      <c r="O33" s="167">
        <v>1</v>
      </c>
      <c r="P33" s="167">
        <v>500</v>
      </c>
      <c r="Q33" s="167" t="s">
        <v>168</v>
      </c>
      <c r="R33" s="167" t="s">
        <v>169</v>
      </c>
    </row>
    <row r="34" spans="1:18" x14ac:dyDescent="0.15">
      <c r="A34" s="167">
        <v>15030</v>
      </c>
      <c r="B34" s="167">
        <v>3</v>
      </c>
      <c r="C34" s="168" t="str">
        <f t="shared" si="0"/>
        <v>15030_3</v>
      </c>
      <c r="D34" s="169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167">
        <v>33</v>
      </c>
      <c r="F34" s="167" t="s">
        <v>281</v>
      </c>
      <c r="G34" s="167">
        <v>342</v>
      </c>
      <c r="H34" s="167">
        <v>1</v>
      </c>
      <c r="I34" s="167">
        <v>1</v>
      </c>
      <c r="J34" s="167">
        <v>1</v>
      </c>
      <c r="K34" s="167">
        <v>0</v>
      </c>
      <c r="L34" s="167">
        <v>0</v>
      </c>
      <c r="M34" s="167">
        <v>0</v>
      </c>
      <c r="N34" s="167">
        <v>0</v>
      </c>
      <c r="O34" s="167">
        <v>1</v>
      </c>
      <c r="P34" s="167">
        <v>500</v>
      </c>
      <c r="Q34" s="167" t="s">
        <v>168</v>
      </c>
      <c r="R34" s="167" t="s">
        <v>169</v>
      </c>
    </row>
    <row r="35" spans="1:18" x14ac:dyDescent="0.15">
      <c r="A35" s="167">
        <v>15030</v>
      </c>
      <c r="B35" s="167">
        <v>3</v>
      </c>
      <c r="C35" s="168" t="str">
        <f t="shared" si="0"/>
        <v>15030_3</v>
      </c>
      <c r="D35" s="169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167">
        <v>34</v>
      </c>
      <c r="F35" s="167" t="s">
        <v>281</v>
      </c>
      <c r="G35" s="167">
        <v>33</v>
      </c>
      <c r="H35" s="167">
        <v>1</v>
      </c>
      <c r="I35" s="167">
        <v>1</v>
      </c>
      <c r="J35" s="167">
        <v>1</v>
      </c>
      <c r="K35" s="167">
        <v>0</v>
      </c>
      <c r="L35" s="167">
        <v>0</v>
      </c>
      <c r="M35" s="167">
        <v>0</v>
      </c>
      <c r="N35" s="167">
        <v>0</v>
      </c>
      <c r="O35" s="167">
        <v>1</v>
      </c>
      <c r="P35" s="167">
        <v>125</v>
      </c>
      <c r="Q35" s="167" t="s">
        <v>168</v>
      </c>
      <c r="R35" s="167" t="s">
        <v>169</v>
      </c>
    </row>
    <row r="36" spans="1:18" x14ac:dyDescent="0.15">
      <c r="A36" s="167">
        <v>15030</v>
      </c>
      <c r="B36" s="167">
        <v>3</v>
      </c>
      <c r="C36" s="168" t="str">
        <f t="shared" si="0"/>
        <v>15030_3</v>
      </c>
      <c r="D36" s="169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167">
        <v>35</v>
      </c>
      <c r="F36" s="167" t="s">
        <v>281</v>
      </c>
      <c r="G36" s="167">
        <v>37</v>
      </c>
      <c r="H36" s="167">
        <v>1</v>
      </c>
      <c r="I36" s="167">
        <v>1</v>
      </c>
      <c r="J36" s="167">
        <v>1</v>
      </c>
      <c r="K36" s="167">
        <v>0</v>
      </c>
      <c r="L36" s="167">
        <v>0</v>
      </c>
      <c r="M36" s="167">
        <v>0</v>
      </c>
      <c r="N36" s="167">
        <v>0</v>
      </c>
      <c r="O36" s="167">
        <v>1</v>
      </c>
      <c r="P36" s="167">
        <v>125</v>
      </c>
      <c r="Q36" s="167" t="s">
        <v>168</v>
      </c>
      <c r="R36" s="167" t="s">
        <v>169</v>
      </c>
    </row>
    <row r="37" spans="1:18" x14ac:dyDescent="0.15">
      <c r="A37" s="167">
        <v>15030</v>
      </c>
      <c r="B37" s="167">
        <v>3</v>
      </c>
      <c r="C37" s="168" t="str">
        <f t="shared" si="0"/>
        <v>15030_3</v>
      </c>
      <c r="D37" s="169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167">
        <v>36</v>
      </c>
      <c r="F37" s="167" t="s">
        <v>281</v>
      </c>
      <c r="G37" s="167">
        <v>41</v>
      </c>
      <c r="H37" s="167">
        <v>1</v>
      </c>
      <c r="I37" s="167">
        <v>1</v>
      </c>
      <c r="J37" s="167">
        <v>1</v>
      </c>
      <c r="K37" s="167">
        <v>0</v>
      </c>
      <c r="L37" s="167">
        <v>0</v>
      </c>
      <c r="M37" s="167">
        <v>0</v>
      </c>
      <c r="N37" s="167">
        <v>0</v>
      </c>
      <c r="O37" s="167">
        <v>1</v>
      </c>
      <c r="P37" s="167">
        <v>125</v>
      </c>
      <c r="Q37" s="167" t="s">
        <v>168</v>
      </c>
      <c r="R37" s="167" t="s">
        <v>169</v>
      </c>
    </row>
    <row r="38" spans="1:18" x14ac:dyDescent="0.15">
      <c r="A38" s="167">
        <v>15030</v>
      </c>
      <c r="B38" s="167">
        <v>3</v>
      </c>
      <c r="C38" s="168" t="str">
        <f t="shared" si="0"/>
        <v>15030_3</v>
      </c>
      <c r="D38" s="169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167">
        <v>37</v>
      </c>
      <c r="F38" s="167" t="s">
        <v>281</v>
      </c>
      <c r="G38" s="167">
        <v>45</v>
      </c>
      <c r="H38" s="167">
        <v>1</v>
      </c>
      <c r="I38" s="167">
        <v>1</v>
      </c>
      <c r="J38" s="167">
        <v>1</v>
      </c>
      <c r="K38" s="167">
        <v>0</v>
      </c>
      <c r="L38" s="167">
        <v>0</v>
      </c>
      <c r="M38" s="167">
        <v>0</v>
      </c>
      <c r="N38" s="167">
        <v>0</v>
      </c>
      <c r="O38" s="167">
        <v>1</v>
      </c>
      <c r="P38" s="167">
        <v>125</v>
      </c>
      <c r="Q38" s="167" t="s">
        <v>168</v>
      </c>
      <c r="R38" s="167" t="s">
        <v>169</v>
      </c>
    </row>
    <row r="39" spans="1:18" x14ac:dyDescent="0.15">
      <c r="A39" s="167">
        <v>15030</v>
      </c>
      <c r="B39" s="167">
        <v>3</v>
      </c>
      <c r="C39" s="168" t="str">
        <f t="shared" si="0"/>
        <v>15030_3</v>
      </c>
      <c r="D39" s="169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167">
        <v>38</v>
      </c>
      <c r="F39" s="167" t="s">
        <v>281</v>
      </c>
      <c r="G39" s="167">
        <v>360</v>
      </c>
      <c r="H39" s="167">
        <v>1</v>
      </c>
      <c r="I39" s="167">
        <v>1</v>
      </c>
      <c r="J39" s="167">
        <v>1</v>
      </c>
      <c r="K39" s="167">
        <v>0</v>
      </c>
      <c r="L39" s="167">
        <v>0</v>
      </c>
      <c r="M39" s="167">
        <v>0</v>
      </c>
      <c r="N39" s="167">
        <v>0</v>
      </c>
      <c r="O39" s="167">
        <v>1</v>
      </c>
      <c r="P39" s="167">
        <v>125</v>
      </c>
      <c r="Q39" s="167" t="s">
        <v>168</v>
      </c>
      <c r="R39" s="167" t="s">
        <v>169</v>
      </c>
    </row>
    <row r="40" spans="1:18" x14ac:dyDescent="0.15">
      <c r="A40" s="167">
        <v>15030</v>
      </c>
      <c r="B40" s="167">
        <v>3</v>
      </c>
      <c r="C40" s="168" t="str">
        <f t="shared" si="0"/>
        <v>15030_3</v>
      </c>
      <c r="D40" s="169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167">
        <v>39</v>
      </c>
      <c r="F40" s="167" t="s">
        <v>281</v>
      </c>
      <c r="G40" s="167">
        <v>364</v>
      </c>
      <c r="H40" s="167">
        <v>1</v>
      </c>
      <c r="I40" s="167">
        <v>1</v>
      </c>
      <c r="J40" s="167">
        <v>1</v>
      </c>
      <c r="K40" s="167">
        <v>0</v>
      </c>
      <c r="L40" s="167">
        <v>0</v>
      </c>
      <c r="M40" s="167">
        <v>0</v>
      </c>
      <c r="N40" s="167">
        <v>0</v>
      </c>
      <c r="O40" s="167">
        <v>1</v>
      </c>
      <c r="P40" s="167">
        <v>125</v>
      </c>
      <c r="Q40" s="167" t="s">
        <v>168</v>
      </c>
      <c r="R40" s="167" t="s">
        <v>169</v>
      </c>
    </row>
    <row r="41" spans="1:18" x14ac:dyDescent="0.15">
      <c r="A41" s="167">
        <v>15030</v>
      </c>
      <c r="B41" s="167">
        <v>3</v>
      </c>
      <c r="C41" s="168" t="str">
        <f t="shared" si="0"/>
        <v>15030_3</v>
      </c>
      <c r="D41" s="169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167">
        <v>40</v>
      </c>
      <c r="F41" s="167" t="s">
        <v>281</v>
      </c>
      <c r="G41" s="167">
        <v>370</v>
      </c>
      <c r="H41" s="167">
        <v>1</v>
      </c>
      <c r="I41" s="167">
        <v>1</v>
      </c>
      <c r="J41" s="167">
        <v>1</v>
      </c>
      <c r="K41" s="167">
        <v>0</v>
      </c>
      <c r="L41" s="167">
        <v>0</v>
      </c>
      <c r="M41" s="167">
        <v>0</v>
      </c>
      <c r="N41" s="167">
        <v>0</v>
      </c>
      <c r="O41" s="167">
        <v>1</v>
      </c>
      <c r="P41" s="167">
        <v>125</v>
      </c>
      <c r="Q41" s="167" t="s">
        <v>168</v>
      </c>
      <c r="R41" s="167" t="s">
        <v>169</v>
      </c>
    </row>
    <row r="42" spans="1:18" x14ac:dyDescent="0.15">
      <c r="A42" s="167">
        <v>15030</v>
      </c>
      <c r="B42" s="167">
        <v>3</v>
      </c>
      <c r="C42" s="168" t="str">
        <f t="shared" si="0"/>
        <v>15030_3</v>
      </c>
      <c r="D42" s="169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167">
        <v>41</v>
      </c>
      <c r="F42" s="167" t="s">
        <v>281</v>
      </c>
      <c r="G42" s="167">
        <v>374</v>
      </c>
      <c r="H42" s="167">
        <v>1</v>
      </c>
      <c r="I42" s="167">
        <v>1</v>
      </c>
      <c r="J42" s="167">
        <v>1</v>
      </c>
      <c r="K42" s="167">
        <v>0</v>
      </c>
      <c r="L42" s="167">
        <v>0</v>
      </c>
      <c r="M42" s="167">
        <v>0</v>
      </c>
      <c r="N42" s="167">
        <v>0</v>
      </c>
      <c r="O42" s="167">
        <v>1</v>
      </c>
      <c r="P42" s="167">
        <v>125</v>
      </c>
      <c r="Q42" s="167" t="s">
        <v>168</v>
      </c>
      <c r="R42" s="167" t="s">
        <v>169</v>
      </c>
    </row>
    <row r="43" spans="1:18" x14ac:dyDescent="0.15">
      <c r="A43" s="167">
        <v>15030</v>
      </c>
      <c r="B43" s="167">
        <v>3</v>
      </c>
      <c r="C43" s="168" t="str">
        <f t="shared" si="0"/>
        <v>15030_3</v>
      </c>
      <c r="D43" s="169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167">
        <v>42</v>
      </c>
      <c r="F43" s="167" t="s">
        <v>281</v>
      </c>
      <c r="G43" s="167">
        <v>348</v>
      </c>
      <c r="H43" s="167">
        <v>1</v>
      </c>
      <c r="I43" s="167">
        <v>1</v>
      </c>
      <c r="J43" s="167">
        <v>1</v>
      </c>
      <c r="K43" s="167">
        <v>0</v>
      </c>
      <c r="L43" s="167">
        <v>0</v>
      </c>
      <c r="M43" s="167">
        <v>0</v>
      </c>
      <c r="N43" s="167">
        <v>0</v>
      </c>
      <c r="O43" s="167">
        <v>1</v>
      </c>
      <c r="P43" s="167">
        <v>1500</v>
      </c>
      <c r="Q43" s="167" t="s">
        <v>168</v>
      </c>
      <c r="R43" s="167" t="s">
        <v>169</v>
      </c>
    </row>
    <row r="44" spans="1:18" x14ac:dyDescent="0.15">
      <c r="A44" s="167">
        <v>15030</v>
      </c>
      <c r="B44" s="167">
        <v>3</v>
      </c>
      <c r="C44" s="168" t="str">
        <f t="shared" si="0"/>
        <v>15030_3</v>
      </c>
      <c r="D44" s="169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167">
        <v>43</v>
      </c>
      <c r="F44" s="167" t="s">
        <v>281</v>
      </c>
      <c r="G44" s="167">
        <v>352</v>
      </c>
      <c r="H44" s="167">
        <v>1</v>
      </c>
      <c r="I44" s="167">
        <v>1</v>
      </c>
      <c r="J44" s="167">
        <v>1</v>
      </c>
      <c r="K44" s="167">
        <v>0</v>
      </c>
      <c r="L44" s="167">
        <v>0</v>
      </c>
      <c r="M44" s="167">
        <v>0</v>
      </c>
      <c r="N44" s="167">
        <v>0</v>
      </c>
      <c r="O44" s="167">
        <v>1</v>
      </c>
      <c r="P44" s="167">
        <v>1500</v>
      </c>
      <c r="Q44" s="167" t="s">
        <v>168</v>
      </c>
      <c r="R44" s="167" t="s">
        <v>169</v>
      </c>
    </row>
    <row r="45" spans="1:18" x14ac:dyDescent="0.15">
      <c r="A45" s="167">
        <v>15030</v>
      </c>
      <c r="B45" s="74">
        <v>4</v>
      </c>
      <c r="C45" s="63" t="str">
        <f t="shared" si="0"/>
        <v>15030_4</v>
      </c>
      <c r="D45" s="15" t="str">
        <f ca="1">VLOOKUP($C45,OFFSET([2]stages!$A$1,0,0,COUNTA([2]stages!$A:$A),MATCH(D$1,[2]stages!$2:$2,0)-MATCH($C$1,[2]stages!$2:$2,0)+1),MATCH(D$1,[2]stages!$2:$2,0)-MATCH($C$1,[2]stages!$2:$2,0)+1,FALSE)</f>
        <v>singleonly</v>
      </c>
      <c r="E45" s="167">
        <v>44</v>
      </c>
      <c r="F45" s="74" t="s">
        <v>281</v>
      </c>
      <c r="G45" s="50">
        <v>335</v>
      </c>
      <c r="H45" s="74">
        <v>1</v>
      </c>
      <c r="I45" s="74">
        <v>1</v>
      </c>
      <c r="J45" s="74">
        <v>1</v>
      </c>
      <c r="K45" s="74">
        <v>0</v>
      </c>
      <c r="L45" s="74">
        <v>0</v>
      </c>
      <c r="M45" s="74">
        <v>0</v>
      </c>
      <c r="N45" s="74">
        <v>0</v>
      </c>
      <c r="O45" s="74">
        <v>1</v>
      </c>
      <c r="P45" s="50">
        <v>5000</v>
      </c>
      <c r="Q45" s="74" t="s">
        <v>282</v>
      </c>
      <c r="R45" s="74" t="s">
        <v>283</v>
      </c>
    </row>
    <row r="46" spans="1:18" x14ac:dyDescent="0.15">
      <c r="A46" s="167">
        <v>15030</v>
      </c>
      <c r="B46" s="74">
        <v>4</v>
      </c>
      <c r="C46" s="63" t="str">
        <f t="shared" si="0"/>
        <v>15030_4</v>
      </c>
      <c r="D46" s="15" t="str">
        <f ca="1">VLOOKUP($C46,OFFSET([2]stages!$A$1,0,0,COUNTA([2]stages!$A:$A),MATCH(D$1,[2]stages!$2:$2,0)-MATCH($C$1,[2]stages!$2:$2,0)+1),MATCH(D$1,[2]stages!$2:$2,0)-MATCH($C$1,[2]stages!$2:$2,0)+1,FALSE)</f>
        <v>singleonly</v>
      </c>
      <c r="E46" s="167">
        <v>45</v>
      </c>
      <c r="F46" s="74" t="s">
        <v>281</v>
      </c>
      <c r="G46" s="50">
        <v>343</v>
      </c>
      <c r="H46" s="74">
        <v>1</v>
      </c>
      <c r="I46" s="74">
        <v>1</v>
      </c>
      <c r="J46" s="74">
        <v>1</v>
      </c>
      <c r="K46" s="74">
        <v>0</v>
      </c>
      <c r="L46" s="74">
        <v>0</v>
      </c>
      <c r="M46" s="74">
        <v>0</v>
      </c>
      <c r="N46" s="74">
        <v>0</v>
      </c>
      <c r="O46" s="74">
        <v>1</v>
      </c>
      <c r="P46" s="50">
        <v>5000</v>
      </c>
      <c r="Q46" s="74" t="s">
        <v>284</v>
      </c>
      <c r="R46" s="74" t="s">
        <v>285</v>
      </c>
    </row>
  </sheetData>
  <phoneticPr fontId="6"/>
  <dataValidations count="1">
    <dataValidation type="list" allowBlank="1" showInputMessage="1" showErrorMessage="1" sqref="F2:F4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8"/>
  <sheetViews>
    <sheetView showGridLines="0" zoomScale="85" zoomScaleNormal="85" zoomScalePageLayoutView="85" workbookViewId="0">
      <pane ySplit="1" topLeftCell="A2" activePane="bottomLeft" state="frozen"/>
      <selection pane="bottomLeft" activeCell="A17" sqref="A17"/>
    </sheetView>
  </sheetViews>
  <sheetFormatPr baseColWidth="12" defaultColWidth="13" defaultRowHeight="15" outlineLevelCol="1" x14ac:dyDescent="0.15"/>
  <cols>
    <col min="1" max="1" width="13" style="81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9" t="s">
        <v>186</v>
      </c>
      <c r="B1" s="65" t="s">
        <v>187</v>
      </c>
      <c r="C1" s="70" t="s">
        <v>188</v>
      </c>
      <c r="D1" s="70" t="s">
        <v>33</v>
      </c>
      <c r="E1" s="65" t="s">
        <v>189</v>
      </c>
      <c r="F1" s="70" t="s">
        <v>190</v>
      </c>
      <c r="G1" s="70" t="s">
        <v>33</v>
      </c>
      <c r="H1" s="65" t="s">
        <v>191</v>
      </c>
      <c r="I1" s="84" t="s">
        <v>193</v>
      </c>
      <c r="J1" s="72" t="s">
        <v>125</v>
      </c>
      <c r="K1" s="71" t="s">
        <v>185</v>
      </c>
      <c r="L1" s="85" t="s">
        <v>184</v>
      </c>
      <c r="M1" s="73" t="s">
        <v>194</v>
      </c>
    </row>
    <row r="2" spans="1:13" x14ac:dyDescent="0.15">
      <c r="A2" s="74" t="s">
        <v>264</v>
      </c>
      <c r="B2" s="75">
        <v>15030</v>
      </c>
      <c r="C2" s="76">
        <f ca="1">VLOOKUP($B2,OFFSET([2]quests!$A$1,0,0,COUNTA([2]quests!$A:$A),MATCH(B$1,[2]quests!$1:$1,0)-MATCH($B$1,[2]quests!$1:$1,0)+1),MATCH(B$1,[2]quests!$1:$1,0)-MATCH($B$1,[2]quests!$1:$1,0)+1,FALSE)</f>
        <v>15030</v>
      </c>
      <c r="D2" s="76" t="str">
        <f ca="1">VLOOKUP($B2,OFFSET([2]quests!$A$1,0,0,COUNTA([2]quests!$A:$A),MATCH(C$1,[2]quests!$1:$1,0)-MATCH($B$1,[2]quests!$1:$1,0)+1),MATCH(C$1,[2]quests!$1:$1,0)-MATCH($B$1,[2]quests!$1:$1,0)+1,FALSE)</f>
        <v>30. 月夜のオールドシティ</v>
      </c>
      <c r="E2" s="77">
        <v>1</v>
      </c>
      <c r="F2" s="76">
        <f ca="1">VLOOKUP($B2&amp;"_"&amp;$E2,OFFSET([2]stages!$A$1,0,0,COUNTA([2]stages!$A:$A),MATCH(E$1,[2]stages!$2:$2,0)-MATCH("temp_stage",[2]stages!$2:$2,0)+1),MATCH(E$1,[2]stages!$2:$2,0)-MATCH("temp_stage",[2]stages!$2:$2,0)+1,FALSE)</f>
        <v>1</v>
      </c>
      <c r="G2" s="76" t="str">
        <f ca="1">VLOOKUP($B2&amp;"_"&amp;$F2,OFFSET([2]stages!$A$1,0,0,COUNTA([2]stages!$A:$A),MATCH(F$1,[2]stages!$2:$2,0)-MATCH("temp_stage",[2]stages!$2:$2,0)+1),MATCH(F$1,[2]stages!$2:$2,0)-MATCH("temp_stage",[2]stages!$2:$2,0)+1,FALSE)</f>
        <v>30-1. 月夜に煌めく刃</v>
      </c>
      <c r="H2" s="77">
        <v>1</v>
      </c>
      <c r="I2">
        <v>32</v>
      </c>
      <c r="J2" s="77" t="s">
        <v>265</v>
      </c>
      <c r="K2" s="135" t="s">
        <v>307</v>
      </c>
      <c r="L2" s="136" t="s">
        <v>308</v>
      </c>
      <c r="M2" s="50" t="s">
        <v>266</v>
      </c>
    </row>
    <row r="3" spans="1:13" x14ac:dyDescent="0.15">
      <c r="A3" s="74" t="s">
        <v>264</v>
      </c>
      <c r="B3" s="75">
        <v>15030</v>
      </c>
      <c r="C3" s="76">
        <f ca="1">VLOOKUP($B3,OFFSET([2]quests!$A$1,0,0,COUNTA([2]quests!$A:$A),MATCH(B$1,[2]quests!$1:$1,0)-MATCH($B$1,[2]quests!$1:$1,0)+1),MATCH(B$1,[2]quests!$1:$1,0)-MATCH($B$1,[2]quests!$1:$1,0)+1,FALSE)</f>
        <v>15030</v>
      </c>
      <c r="D3" s="76" t="str">
        <f ca="1">VLOOKUP($B3,OFFSET([2]quests!$A$1,0,0,COUNTA([2]quests!$A:$A),MATCH(C$1,[2]quests!$1:$1,0)-MATCH($B$1,[2]quests!$1:$1,0)+1),MATCH(C$1,[2]quests!$1:$1,0)-MATCH($B$1,[2]quests!$1:$1,0)+1,FALSE)</f>
        <v>30. 月夜のオールドシティ</v>
      </c>
      <c r="E3" s="77">
        <v>1</v>
      </c>
      <c r="F3" s="76">
        <f ca="1">VLOOKUP($B3&amp;"_"&amp;$E3,OFFSET([2]stages!$A$1,0,0,COUNTA([2]stages!$A:$A),MATCH(E$1,[2]stages!$2:$2,0)-MATCH("temp_stage",[2]stages!$2:$2,0)+1),MATCH(E$1,[2]stages!$2:$2,0)-MATCH("temp_stage",[2]stages!$2:$2,0)+1,FALSE)</f>
        <v>1</v>
      </c>
      <c r="G3" s="76" t="str">
        <f ca="1">VLOOKUP($B3&amp;"_"&amp;$F3,OFFSET([2]stages!$A$1,0,0,COUNTA([2]stages!$A:$A),MATCH(F$1,[2]stages!$2:$2,0)-MATCH("temp_stage",[2]stages!$2:$2,0)+1),MATCH(F$1,[2]stages!$2:$2,0)-MATCH("temp_stage",[2]stages!$2:$2,0)+1,FALSE)</f>
        <v>30-1. 月夜に煌めく刃</v>
      </c>
      <c r="H3" s="77">
        <v>2</v>
      </c>
      <c r="I3">
        <v>33</v>
      </c>
      <c r="J3" s="77" t="s">
        <v>265</v>
      </c>
      <c r="K3" s="135" t="s">
        <v>309</v>
      </c>
      <c r="L3" s="136" t="s">
        <v>310</v>
      </c>
      <c r="M3" s="50" t="s">
        <v>266</v>
      </c>
    </row>
    <row r="4" spans="1:13" x14ac:dyDescent="0.15">
      <c r="A4" s="74" t="s">
        <v>264</v>
      </c>
      <c r="B4" s="75">
        <v>15030</v>
      </c>
      <c r="C4" s="76">
        <f ca="1">VLOOKUP($B4,OFFSET([2]quests!$A$1,0,0,COUNTA([2]quests!$A:$A),MATCH(B$1,[2]quests!$1:$1,0)-MATCH($B$1,[2]quests!$1:$1,0)+1),MATCH(B$1,[2]quests!$1:$1,0)-MATCH($B$1,[2]quests!$1:$1,0)+1,FALSE)</f>
        <v>15030</v>
      </c>
      <c r="D4" s="76" t="str">
        <f ca="1">VLOOKUP($B4,OFFSET([2]quests!$A$1,0,0,COUNTA([2]quests!$A:$A),MATCH(C$1,[2]quests!$1:$1,0)-MATCH($B$1,[2]quests!$1:$1,0)+1),MATCH(C$1,[2]quests!$1:$1,0)-MATCH($B$1,[2]quests!$1:$1,0)+1,FALSE)</f>
        <v>30. 月夜のオールドシティ</v>
      </c>
      <c r="E4" s="77">
        <v>1</v>
      </c>
      <c r="F4" s="76">
        <f ca="1">VLOOKUP($B4&amp;"_"&amp;$E4,OFFSET([2]stages!$A$1,0,0,COUNTA([2]stages!$A:$A),MATCH(E$1,[2]stages!$2:$2,0)-MATCH("temp_stage",[2]stages!$2:$2,0)+1),MATCH(E$1,[2]stages!$2:$2,0)-MATCH("temp_stage",[2]stages!$2:$2,0)+1,FALSE)</f>
        <v>1</v>
      </c>
      <c r="G4" s="76" t="str">
        <f ca="1">VLOOKUP($B4&amp;"_"&amp;$F4,OFFSET([2]stages!$A$1,0,0,COUNTA([2]stages!$A:$A),MATCH(F$1,[2]stages!$2:$2,0)-MATCH("temp_stage",[2]stages!$2:$2,0)+1),MATCH(F$1,[2]stages!$2:$2,0)-MATCH("temp_stage",[2]stages!$2:$2,0)+1,FALSE)</f>
        <v>30-1. 月夜に煌めく刃</v>
      </c>
      <c r="H4" s="77">
        <v>3</v>
      </c>
      <c r="I4">
        <v>34</v>
      </c>
      <c r="J4" s="77" t="s">
        <v>267</v>
      </c>
      <c r="K4" s="135" t="s">
        <v>311</v>
      </c>
      <c r="L4" s="136" t="s">
        <v>312</v>
      </c>
      <c r="M4" s="50" t="s">
        <v>268</v>
      </c>
    </row>
    <row r="5" spans="1:13" x14ac:dyDescent="0.15">
      <c r="A5" s="74" t="s">
        <v>264</v>
      </c>
      <c r="B5" s="75">
        <v>15030</v>
      </c>
      <c r="C5" s="76">
        <f ca="1">VLOOKUP($B5,OFFSET([2]quests!$A$1,0,0,COUNTA([2]quests!$A:$A),MATCH(B$1,[2]quests!$1:$1,0)-MATCH($B$1,[2]quests!$1:$1,0)+1),MATCH(B$1,[2]quests!$1:$1,0)-MATCH($B$1,[2]quests!$1:$1,0)+1,FALSE)</f>
        <v>15030</v>
      </c>
      <c r="D5" s="76" t="str">
        <f ca="1">VLOOKUP($B5,OFFSET([2]quests!$A$1,0,0,COUNTA([2]quests!$A:$A),MATCH(C$1,[2]quests!$1:$1,0)-MATCH($B$1,[2]quests!$1:$1,0)+1),MATCH(C$1,[2]quests!$1:$1,0)-MATCH($B$1,[2]quests!$1:$1,0)+1,FALSE)</f>
        <v>30. 月夜のオールドシティ</v>
      </c>
      <c r="E5" s="77">
        <v>1</v>
      </c>
      <c r="F5" s="76">
        <f ca="1">VLOOKUP($B5&amp;"_"&amp;$E5,OFFSET([2]stages!$A$1,0,0,COUNTA([2]stages!$A:$A),MATCH(E$1,[2]stages!$2:$2,0)-MATCH("temp_stage",[2]stages!$2:$2,0)+1),MATCH(E$1,[2]stages!$2:$2,0)-MATCH("temp_stage",[2]stages!$2:$2,0)+1,FALSE)</f>
        <v>1</v>
      </c>
      <c r="G5" s="76" t="str">
        <f ca="1">VLOOKUP($B5&amp;"_"&amp;$F5,OFFSET([2]stages!$A$1,0,0,COUNTA([2]stages!$A:$A),MATCH(F$1,[2]stages!$2:$2,0)-MATCH("temp_stage",[2]stages!$2:$2,0)+1),MATCH(F$1,[2]stages!$2:$2,0)-MATCH("temp_stage",[2]stages!$2:$2,0)+1,FALSE)</f>
        <v>30-1. 月夜に煌めく刃</v>
      </c>
      <c r="H5" s="77">
        <v>4</v>
      </c>
      <c r="I5">
        <v>35</v>
      </c>
      <c r="J5" s="77" t="s">
        <v>196</v>
      </c>
      <c r="K5" s="135" t="s">
        <v>313</v>
      </c>
      <c r="L5" s="136" t="s">
        <v>314</v>
      </c>
      <c r="M5" s="50" t="s">
        <v>198</v>
      </c>
    </row>
    <row r="6" spans="1:13" x14ac:dyDescent="0.15">
      <c r="A6" s="74" t="s">
        <v>264</v>
      </c>
      <c r="B6" s="75">
        <v>15030</v>
      </c>
      <c r="C6" s="76">
        <f ca="1">VLOOKUP($B6,OFFSET([2]quests!$A$1,0,0,COUNTA([2]quests!$A:$A),MATCH(B$1,[2]quests!$1:$1,0)-MATCH($B$1,[2]quests!$1:$1,0)+1),MATCH(B$1,[2]quests!$1:$1,0)-MATCH($B$1,[2]quests!$1:$1,0)+1,FALSE)</f>
        <v>15030</v>
      </c>
      <c r="D6" s="76" t="str">
        <f ca="1">VLOOKUP($B6,OFFSET([2]quests!$A$1,0,0,COUNTA([2]quests!$A:$A),MATCH(C$1,[2]quests!$1:$1,0)-MATCH($B$1,[2]quests!$1:$1,0)+1),MATCH(C$1,[2]quests!$1:$1,0)-MATCH($B$1,[2]quests!$1:$1,0)+1,FALSE)</f>
        <v>30. 月夜のオールドシティ</v>
      </c>
      <c r="E6" s="77">
        <v>2</v>
      </c>
      <c r="F6" s="76">
        <f ca="1">VLOOKUP($B6&amp;"_"&amp;$E6,OFFSET([2]stages!$A$1,0,0,COUNTA([2]stages!$A:$A),MATCH(E$1,[2]stages!$2:$2,0)-MATCH("temp_stage",[2]stages!$2:$2,0)+1),MATCH(E$1,[2]stages!$2:$2,0)-MATCH("temp_stage",[2]stages!$2:$2,0)+1,FALSE)</f>
        <v>2</v>
      </c>
      <c r="G6" s="76" t="str">
        <f ca="1">VLOOKUP($B6&amp;"_"&amp;$F6,OFFSET([2]stages!$A$1,0,0,COUNTA([2]stages!$A:$A),MATCH(F$1,[2]stages!$2:$2,0)-MATCH("temp_stage",[2]stages!$2:$2,0)+1),MATCH(F$1,[2]stages!$2:$2,0)-MATCH("temp_stage",[2]stages!$2:$2,0)+1,FALSE)</f>
        <v>30-2. 深夜のお茶会</v>
      </c>
      <c r="H6" s="77">
        <v>1</v>
      </c>
      <c r="I6">
        <v>36</v>
      </c>
      <c r="J6" s="77" t="s">
        <v>196</v>
      </c>
      <c r="K6" s="135" t="s">
        <v>315</v>
      </c>
      <c r="L6" s="136" t="s">
        <v>316</v>
      </c>
      <c r="M6" s="50" t="s">
        <v>268</v>
      </c>
    </row>
    <row r="7" spans="1:13" x14ac:dyDescent="0.15">
      <c r="A7" s="74" t="s">
        <v>264</v>
      </c>
      <c r="B7" s="75">
        <v>15030</v>
      </c>
      <c r="C7" s="76">
        <f ca="1">VLOOKUP($B7,OFFSET([2]quests!$A$1,0,0,COUNTA([2]quests!$A:$A),MATCH(B$1,[2]quests!$1:$1,0)-MATCH($B$1,[2]quests!$1:$1,0)+1),MATCH(B$1,[2]quests!$1:$1,0)-MATCH($B$1,[2]quests!$1:$1,0)+1,FALSE)</f>
        <v>15030</v>
      </c>
      <c r="D7" s="76" t="str">
        <f ca="1">VLOOKUP($B7,OFFSET([2]quests!$A$1,0,0,COUNTA([2]quests!$A:$A),MATCH(C$1,[2]quests!$1:$1,0)-MATCH($B$1,[2]quests!$1:$1,0)+1),MATCH(C$1,[2]quests!$1:$1,0)-MATCH($B$1,[2]quests!$1:$1,0)+1,FALSE)</f>
        <v>30. 月夜のオールドシティ</v>
      </c>
      <c r="E7" s="77">
        <v>2</v>
      </c>
      <c r="F7" s="76">
        <f ca="1">VLOOKUP($B7&amp;"_"&amp;$E7,OFFSET([2]stages!$A$1,0,0,COUNTA([2]stages!$A:$A),MATCH(E$1,[2]stages!$2:$2,0)-MATCH("temp_stage",[2]stages!$2:$2,0)+1),MATCH(E$1,[2]stages!$2:$2,0)-MATCH("temp_stage",[2]stages!$2:$2,0)+1,FALSE)</f>
        <v>2</v>
      </c>
      <c r="G7" s="76" t="str">
        <f ca="1">VLOOKUP($B7&amp;"_"&amp;$F7,OFFSET([2]stages!$A$1,0,0,COUNTA([2]stages!$A:$A),MATCH(F$1,[2]stages!$2:$2,0)-MATCH("temp_stage",[2]stages!$2:$2,0)+1),MATCH(F$1,[2]stages!$2:$2,0)-MATCH("temp_stage",[2]stages!$2:$2,0)+1,FALSE)</f>
        <v>30-2. 深夜のお茶会</v>
      </c>
      <c r="H7" s="77">
        <v>2</v>
      </c>
      <c r="I7">
        <v>37</v>
      </c>
      <c r="J7" s="77" t="s">
        <v>265</v>
      </c>
      <c r="K7" s="135" t="s">
        <v>317</v>
      </c>
      <c r="L7" s="136" t="s">
        <v>318</v>
      </c>
      <c r="M7" s="50" t="s">
        <v>266</v>
      </c>
    </row>
    <row r="8" spans="1:13" x14ac:dyDescent="0.15">
      <c r="A8" s="74" t="s">
        <v>264</v>
      </c>
      <c r="B8" s="75">
        <v>15030</v>
      </c>
      <c r="C8" s="76">
        <f ca="1">VLOOKUP($B8,OFFSET([2]quests!$A$1,0,0,COUNTA([2]quests!$A:$A),MATCH(B$1,[2]quests!$1:$1,0)-MATCH($B$1,[2]quests!$1:$1,0)+1),MATCH(B$1,[2]quests!$1:$1,0)-MATCH($B$1,[2]quests!$1:$1,0)+1,FALSE)</f>
        <v>15030</v>
      </c>
      <c r="D8" s="76" t="str">
        <f ca="1">VLOOKUP($B8,OFFSET([2]quests!$A$1,0,0,COUNTA([2]quests!$A:$A),MATCH(C$1,[2]quests!$1:$1,0)-MATCH($B$1,[2]quests!$1:$1,0)+1),MATCH(C$1,[2]quests!$1:$1,0)-MATCH($B$1,[2]quests!$1:$1,0)+1,FALSE)</f>
        <v>30. 月夜のオールドシティ</v>
      </c>
      <c r="E8" s="77">
        <v>2</v>
      </c>
      <c r="F8" s="76">
        <f ca="1">VLOOKUP($B8&amp;"_"&amp;$E8,OFFSET([2]stages!$A$1,0,0,COUNTA([2]stages!$A:$A),MATCH(E$1,[2]stages!$2:$2,0)-MATCH("temp_stage",[2]stages!$2:$2,0)+1),MATCH(E$1,[2]stages!$2:$2,0)-MATCH("temp_stage",[2]stages!$2:$2,0)+1,FALSE)</f>
        <v>2</v>
      </c>
      <c r="G8" s="76" t="str">
        <f ca="1">VLOOKUP($B8&amp;"_"&amp;$F8,OFFSET([2]stages!$A$1,0,0,COUNTA([2]stages!$A:$A),MATCH(F$1,[2]stages!$2:$2,0)-MATCH("temp_stage",[2]stages!$2:$2,0)+1),MATCH(F$1,[2]stages!$2:$2,0)-MATCH("temp_stage",[2]stages!$2:$2,0)+1,FALSE)</f>
        <v>30-2. 深夜のお茶会</v>
      </c>
      <c r="H8" s="77">
        <v>3</v>
      </c>
      <c r="I8">
        <v>32</v>
      </c>
      <c r="J8" s="77" t="s">
        <v>265</v>
      </c>
      <c r="K8" s="135" t="s">
        <v>307</v>
      </c>
      <c r="L8" s="136" t="s">
        <v>308</v>
      </c>
      <c r="M8" s="50" t="s">
        <v>266</v>
      </c>
    </row>
    <row r="9" spans="1:13" x14ac:dyDescent="0.15">
      <c r="A9" s="74" t="s">
        <v>264</v>
      </c>
      <c r="B9" s="75">
        <v>15030</v>
      </c>
      <c r="C9" s="76">
        <f ca="1">VLOOKUP($B9,OFFSET([2]quests!$A$1,0,0,COUNTA([2]quests!$A:$A),MATCH(B$1,[2]quests!$1:$1,0)-MATCH($B$1,[2]quests!$1:$1,0)+1),MATCH(B$1,[2]quests!$1:$1,0)-MATCH($B$1,[2]quests!$1:$1,0)+1,FALSE)</f>
        <v>15030</v>
      </c>
      <c r="D9" s="76" t="str">
        <f ca="1">VLOOKUP($B9,OFFSET([2]quests!$A$1,0,0,COUNTA([2]quests!$A:$A),MATCH(C$1,[2]quests!$1:$1,0)-MATCH($B$1,[2]quests!$1:$1,0)+1),MATCH(C$1,[2]quests!$1:$1,0)-MATCH($B$1,[2]quests!$1:$1,0)+1,FALSE)</f>
        <v>30. 月夜のオールドシティ</v>
      </c>
      <c r="E9" s="77">
        <v>2</v>
      </c>
      <c r="F9" s="76">
        <f ca="1">VLOOKUP($B9&amp;"_"&amp;$E9,OFFSET([2]stages!$A$1,0,0,COUNTA([2]stages!$A:$A),MATCH(E$1,[2]stages!$2:$2,0)-MATCH("temp_stage",[2]stages!$2:$2,0)+1),MATCH(E$1,[2]stages!$2:$2,0)-MATCH("temp_stage",[2]stages!$2:$2,0)+1,FALSE)</f>
        <v>2</v>
      </c>
      <c r="G9" s="76" t="str">
        <f ca="1">VLOOKUP($B9&amp;"_"&amp;$F9,OFFSET([2]stages!$A$1,0,0,COUNTA([2]stages!$A:$A),MATCH(F$1,[2]stages!$2:$2,0)-MATCH("temp_stage",[2]stages!$2:$2,0)+1),MATCH(F$1,[2]stages!$2:$2,0)-MATCH("temp_stage",[2]stages!$2:$2,0)+1,FALSE)</f>
        <v>30-2. 深夜のお茶会</v>
      </c>
      <c r="H9" s="77">
        <v>4</v>
      </c>
      <c r="I9">
        <v>33</v>
      </c>
      <c r="J9" s="77" t="s">
        <v>265</v>
      </c>
      <c r="K9" s="135" t="s">
        <v>309</v>
      </c>
      <c r="L9" s="136" t="s">
        <v>310</v>
      </c>
      <c r="M9" s="50" t="s">
        <v>266</v>
      </c>
    </row>
    <row r="10" spans="1:13" x14ac:dyDescent="0.15">
      <c r="A10" s="74" t="s">
        <v>264</v>
      </c>
      <c r="B10" s="75">
        <v>15030</v>
      </c>
      <c r="C10" s="76">
        <f ca="1">VLOOKUP($B10,OFFSET([2]quests!$A$1,0,0,COUNTA([2]quests!$A:$A),MATCH(B$1,[2]quests!$1:$1,0)-MATCH($B$1,[2]quests!$1:$1,0)+1),MATCH(B$1,[2]quests!$1:$1,0)-MATCH($B$1,[2]quests!$1:$1,0)+1,FALSE)</f>
        <v>15030</v>
      </c>
      <c r="D10" s="76" t="str">
        <f ca="1">VLOOKUP($B10,OFFSET([2]quests!$A$1,0,0,COUNTA([2]quests!$A:$A),MATCH(C$1,[2]quests!$1:$1,0)-MATCH($B$1,[2]quests!$1:$1,0)+1),MATCH(C$1,[2]quests!$1:$1,0)-MATCH($B$1,[2]quests!$1:$1,0)+1,FALSE)</f>
        <v>30. 月夜のオールドシティ</v>
      </c>
      <c r="E10" s="77">
        <v>3</v>
      </c>
      <c r="F10" s="76">
        <f ca="1">VLOOKUP($B10&amp;"_"&amp;$E10,OFFSET([2]stages!$A$1,0,0,COUNTA([2]stages!$A:$A),MATCH(E$1,[2]stages!$2:$2,0)-MATCH("temp_stage",[2]stages!$2:$2,0)+1),MATCH(E$1,[2]stages!$2:$2,0)-MATCH("temp_stage",[2]stages!$2:$2,0)+1,FALSE)</f>
        <v>3</v>
      </c>
      <c r="G10" s="76" t="str">
        <f ca="1">VLOOKUP($B10&amp;"_"&amp;$F10,OFFSET([2]stages!$A$1,0,0,COUNTA([2]stages!$A:$A),MATCH(F$1,[2]stages!$2:$2,0)-MATCH("temp_stage",[2]stages!$2:$2,0)+1),MATCH(F$1,[2]stages!$2:$2,0)-MATCH("temp_stage",[2]stages!$2:$2,0)+1,FALSE)</f>
        <v>30-3. 月影の襲撃者</v>
      </c>
      <c r="H10" s="77">
        <v>1</v>
      </c>
      <c r="I10">
        <v>34</v>
      </c>
      <c r="J10" s="77" t="s">
        <v>265</v>
      </c>
      <c r="K10" s="135" t="s">
        <v>311</v>
      </c>
      <c r="L10" s="136" t="s">
        <v>312</v>
      </c>
      <c r="M10" s="50" t="s">
        <v>266</v>
      </c>
    </row>
    <row r="11" spans="1:13" x14ac:dyDescent="0.15">
      <c r="A11" s="74" t="s">
        <v>264</v>
      </c>
      <c r="B11" s="75">
        <v>15030</v>
      </c>
      <c r="C11" s="76">
        <f ca="1">VLOOKUP($B11,OFFSET([2]quests!$A$1,0,0,COUNTA([2]quests!$A:$A),MATCH(B$1,[2]quests!$1:$1,0)-MATCH($B$1,[2]quests!$1:$1,0)+1),MATCH(B$1,[2]quests!$1:$1,0)-MATCH($B$1,[2]quests!$1:$1,0)+1,FALSE)</f>
        <v>15030</v>
      </c>
      <c r="D11" s="76" t="str">
        <f ca="1">VLOOKUP($B11,OFFSET([2]quests!$A$1,0,0,COUNTA([2]quests!$A:$A),MATCH(C$1,[2]quests!$1:$1,0)-MATCH($B$1,[2]quests!$1:$1,0)+1),MATCH(C$1,[2]quests!$1:$1,0)-MATCH($B$1,[2]quests!$1:$1,0)+1,FALSE)</f>
        <v>30. 月夜のオールドシティ</v>
      </c>
      <c r="E11" s="77">
        <v>3</v>
      </c>
      <c r="F11" s="76">
        <f ca="1">VLOOKUP($B11&amp;"_"&amp;$E11,OFFSET([2]stages!$A$1,0,0,COUNTA([2]stages!$A:$A),MATCH(E$1,[2]stages!$2:$2,0)-MATCH("temp_stage",[2]stages!$2:$2,0)+1),MATCH(E$1,[2]stages!$2:$2,0)-MATCH("temp_stage",[2]stages!$2:$2,0)+1,FALSE)</f>
        <v>3</v>
      </c>
      <c r="G11" s="76" t="str">
        <f ca="1">VLOOKUP($B11&amp;"_"&amp;$F11,OFFSET([2]stages!$A$1,0,0,COUNTA([2]stages!$A:$A),MATCH(F$1,[2]stages!$2:$2,0)-MATCH("temp_stage",[2]stages!$2:$2,0)+1),MATCH(F$1,[2]stages!$2:$2,0)-MATCH("temp_stage",[2]stages!$2:$2,0)+1,FALSE)</f>
        <v>30-3. 月影の襲撃者</v>
      </c>
      <c r="H11" s="77">
        <v>2</v>
      </c>
      <c r="I11">
        <v>35</v>
      </c>
      <c r="J11" s="77" t="s">
        <v>265</v>
      </c>
      <c r="K11" s="135" t="s">
        <v>313</v>
      </c>
      <c r="L11" s="136" t="s">
        <v>314</v>
      </c>
      <c r="M11" s="50" t="s">
        <v>266</v>
      </c>
    </row>
    <row r="12" spans="1:13" x14ac:dyDescent="0.15">
      <c r="A12" s="74" t="s">
        <v>264</v>
      </c>
      <c r="B12" s="75">
        <v>15030</v>
      </c>
      <c r="C12" s="76">
        <f ca="1">VLOOKUP($B12,OFFSET([2]quests!$A$1,0,0,COUNTA([2]quests!$A:$A),MATCH(B$1,[2]quests!$1:$1,0)-MATCH($B$1,[2]quests!$1:$1,0)+1),MATCH(B$1,[2]quests!$1:$1,0)-MATCH($B$1,[2]quests!$1:$1,0)+1,FALSE)</f>
        <v>15030</v>
      </c>
      <c r="D12" s="76" t="str">
        <f ca="1">VLOOKUP($B12,OFFSET([2]quests!$A$1,0,0,COUNTA([2]quests!$A:$A),MATCH(C$1,[2]quests!$1:$1,0)-MATCH($B$1,[2]quests!$1:$1,0)+1),MATCH(C$1,[2]quests!$1:$1,0)-MATCH($B$1,[2]quests!$1:$1,0)+1,FALSE)</f>
        <v>30. 月夜のオールドシティ</v>
      </c>
      <c r="E12" s="77">
        <v>3</v>
      </c>
      <c r="F12" s="76">
        <f ca="1">VLOOKUP($B12&amp;"_"&amp;$E12,OFFSET([2]stages!$A$1,0,0,COUNTA([2]stages!$A:$A),MATCH(E$1,[2]stages!$2:$2,0)-MATCH("temp_stage",[2]stages!$2:$2,0)+1),MATCH(E$1,[2]stages!$2:$2,0)-MATCH("temp_stage",[2]stages!$2:$2,0)+1,FALSE)</f>
        <v>3</v>
      </c>
      <c r="G12" s="76" t="str">
        <f ca="1">VLOOKUP($B12&amp;"_"&amp;$F12,OFFSET([2]stages!$A$1,0,0,COUNTA([2]stages!$A:$A),MATCH(F$1,[2]stages!$2:$2,0)-MATCH("temp_stage",[2]stages!$2:$2,0)+1),MATCH(F$1,[2]stages!$2:$2,0)-MATCH("temp_stage",[2]stages!$2:$2,0)+1,FALSE)</f>
        <v>30-3. 月影の襲撃者</v>
      </c>
      <c r="H12" s="77">
        <v>3</v>
      </c>
      <c r="I12">
        <v>36</v>
      </c>
      <c r="J12" s="77" t="s">
        <v>265</v>
      </c>
      <c r="K12" s="135" t="s">
        <v>315</v>
      </c>
      <c r="L12" s="136" t="s">
        <v>316</v>
      </c>
      <c r="M12" s="50" t="s">
        <v>266</v>
      </c>
    </row>
    <row r="13" spans="1:13" x14ac:dyDescent="0.15">
      <c r="A13" s="74" t="s">
        <v>264</v>
      </c>
      <c r="B13" s="75">
        <v>15030</v>
      </c>
      <c r="C13" s="76">
        <f ca="1">VLOOKUP($B13,OFFSET([2]quests!$A$1,0,0,COUNTA([2]quests!$A:$A),MATCH(B$1,[2]quests!$1:$1,0)-MATCH($B$1,[2]quests!$1:$1,0)+1),MATCH(B$1,[2]quests!$1:$1,0)-MATCH($B$1,[2]quests!$1:$1,0)+1,FALSE)</f>
        <v>15030</v>
      </c>
      <c r="D13" s="76" t="str">
        <f ca="1">VLOOKUP($B13,OFFSET([2]quests!$A$1,0,0,COUNTA([2]quests!$A:$A),MATCH(C$1,[2]quests!$1:$1,0)-MATCH($B$1,[2]quests!$1:$1,0)+1),MATCH(C$1,[2]quests!$1:$1,0)-MATCH($B$1,[2]quests!$1:$1,0)+1,FALSE)</f>
        <v>30. 月夜のオールドシティ</v>
      </c>
      <c r="E13" s="77">
        <v>3</v>
      </c>
      <c r="F13" s="76">
        <f ca="1">VLOOKUP($B13&amp;"_"&amp;$E13,OFFSET([2]stages!$A$1,0,0,COUNTA([2]stages!$A:$A),MATCH(E$1,[2]stages!$2:$2,0)-MATCH("temp_stage",[2]stages!$2:$2,0)+1),MATCH(E$1,[2]stages!$2:$2,0)-MATCH("temp_stage",[2]stages!$2:$2,0)+1,FALSE)</f>
        <v>3</v>
      </c>
      <c r="G13" s="76" t="str">
        <f ca="1">VLOOKUP($B13&amp;"_"&amp;$F13,OFFSET([2]stages!$A$1,0,0,COUNTA([2]stages!$A:$A),MATCH(F$1,[2]stages!$2:$2,0)-MATCH("temp_stage",[2]stages!$2:$2,0)+1),MATCH(F$1,[2]stages!$2:$2,0)-MATCH("temp_stage",[2]stages!$2:$2,0)+1,FALSE)</f>
        <v>30-3. 月影の襲撃者</v>
      </c>
      <c r="H13" s="77">
        <v>4</v>
      </c>
      <c r="I13">
        <v>37</v>
      </c>
      <c r="J13" s="77" t="s">
        <v>196</v>
      </c>
      <c r="K13" s="135" t="s">
        <v>317</v>
      </c>
      <c r="L13" s="136" t="s">
        <v>318</v>
      </c>
      <c r="M13" s="50" t="s">
        <v>269</v>
      </c>
    </row>
    <row r="14" spans="1:13" x14ac:dyDescent="0.15">
      <c r="A14" s="74" t="s">
        <v>264</v>
      </c>
      <c r="B14" s="75">
        <v>15030</v>
      </c>
      <c r="C14" s="76">
        <f ca="1">VLOOKUP($B14,OFFSET([2]quests!$A$1,0,0,COUNTA([2]quests!$A:$A),MATCH(B$1,[2]quests!$1:$1,0)-MATCH($B$1,[2]quests!$1:$1,0)+1),MATCH(B$1,[2]quests!$1:$1,0)-MATCH($B$1,[2]quests!$1:$1,0)+1,FALSE)</f>
        <v>15030</v>
      </c>
      <c r="D14" s="76" t="str">
        <f ca="1">VLOOKUP($B14,OFFSET([2]quests!$A$1,0,0,COUNTA([2]quests!$A:$A),MATCH(C$1,[2]quests!$1:$1,0)-MATCH($B$1,[2]quests!$1:$1,0)+1),MATCH(C$1,[2]quests!$1:$1,0)-MATCH($B$1,[2]quests!$1:$1,0)+1,FALSE)</f>
        <v>30. 月夜のオールドシティ</v>
      </c>
      <c r="E14" s="77">
        <v>4</v>
      </c>
      <c r="F14" s="76">
        <f ca="1">VLOOKUP($B14&amp;"_"&amp;$E14,OFFSET([2]stages!$A$1,0,0,COUNTA([2]stages!$A:$A),MATCH(E$1,[2]stages!$2:$2,0)-MATCH("temp_stage",[2]stages!$2:$2,0)+1),MATCH(E$1,[2]stages!$2:$2,0)-MATCH("temp_stage",[2]stages!$2:$2,0)+1,FALSE)</f>
        <v>4</v>
      </c>
      <c r="G14" s="76" t="str">
        <f ca="1">VLOOKUP($B14&amp;"_"&amp;$F14,OFFSET([2]stages!$A$1,0,0,COUNTA([2]stages!$A:$A),MATCH(F$1,[2]stages!$2:$2,0)-MATCH("temp_stage",[2]stages!$2:$2,0)+1),MATCH(F$1,[2]stages!$2:$2,0)-MATCH("temp_stage",[2]stages!$2:$2,0)+1,FALSE)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H14" s="77">
        <v>1</v>
      </c>
      <c r="I14">
        <v>32</v>
      </c>
      <c r="J14" s="77" t="s">
        <v>265</v>
      </c>
      <c r="K14" s="135" t="s">
        <v>307</v>
      </c>
      <c r="L14" s="136" t="s">
        <v>308</v>
      </c>
      <c r="M14" s="50" t="s">
        <v>266</v>
      </c>
    </row>
    <row r="15" spans="1:13" x14ac:dyDescent="0.15">
      <c r="A15" s="74" t="s">
        <v>264</v>
      </c>
      <c r="B15" s="75">
        <v>15030</v>
      </c>
      <c r="C15" s="76">
        <f ca="1">VLOOKUP($B15,OFFSET([2]quests!$A$1,0,0,COUNTA([2]quests!$A:$A),MATCH(B$1,[2]quests!$1:$1,0)-MATCH($B$1,[2]quests!$1:$1,0)+1),MATCH(B$1,[2]quests!$1:$1,0)-MATCH($B$1,[2]quests!$1:$1,0)+1,FALSE)</f>
        <v>15030</v>
      </c>
      <c r="D15" s="76" t="str">
        <f ca="1">VLOOKUP($B15,OFFSET([2]quests!$A$1,0,0,COUNTA([2]quests!$A:$A),MATCH(C$1,[2]quests!$1:$1,0)-MATCH($B$1,[2]quests!$1:$1,0)+1),MATCH(C$1,[2]quests!$1:$1,0)-MATCH($B$1,[2]quests!$1:$1,0)+1,FALSE)</f>
        <v>30. 月夜のオールドシティ</v>
      </c>
      <c r="E15" s="77">
        <v>4</v>
      </c>
      <c r="F15" s="76">
        <f ca="1">VLOOKUP($B15&amp;"_"&amp;$E15,OFFSET([2]stages!$A$1,0,0,COUNTA([2]stages!$A:$A),MATCH(E$1,[2]stages!$2:$2,0)-MATCH("temp_stage",[2]stages!$2:$2,0)+1),MATCH(E$1,[2]stages!$2:$2,0)-MATCH("temp_stage",[2]stages!$2:$2,0)+1,FALSE)</f>
        <v>4</v>
      </c>
      <c r="G15" s="76" t="str">
        <f ca="1">VLOOKUP($B15&amp;"_"&amp;$F15,OFFSET([2]stages!$A$1,0,0,COUNTA([2]stages!$A:$A),MATCH(F$1,[2]stages!$2:$2,0)-MATCH("temp_stage",[2]stages!$2:$2,0)+1),MATCH(F$1,[2]stages!$2:$2,0)-MATCH("temp_stage",[2]stages!$2:$2,0)+1,FALSE)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H15" s="77">
        <v>2</v>
      </c>
      <c r="I15">
        <v>33</v>
      </c>
      <c r="J15" s="77" t="s">
        <v>265</v>
      </c>
      <c r="K15" s="135" t="s">
        <v>309</v>
      </c>
      <c r="L15" s="136" t="s">
        <v>310</v>
      </c>
      <c r="M15" s="50" t="s">
        <v>266</v>
      </c>
    </row>
    <row r="16" spans="1:13" x14ac:dyDescent="0.15">
      <c r="A16" s="74" t="s">
        <v>264</v>
      </c>
      <c r="B16" s="75">
        <v>15030</v>
      </c>
      <c r="C16" s="76">
        <f ca="1">VLOOKUP($B16,OFFSET([2]quests!$A$1,0,0,COUNTA([2]quests!$A:$A),MATCH(B$1,[2]quests!$1:$1,0)-MATCH($B$1,[2]quests!$1:$1,0)+1),MATCH(B$1,[2]quests!$1:$1,0)-MATCH($B$1,[2]quests!$1:$1,0)+1,FALSE)</f>
        <v>15030</v>
      </c>
      <c r="D16" s="76" t="str">
        <f ca="1">VLOOKUP($B16,OFFSET([2]quests!$A$1,0,0,COUNTA([2]quests!$A:$A),MATCH(C$1,[2]quests!$1:$1,0)-MATCH($B$1,[2]quests!$1:$1,0)+1),MATCH(C$1,[2]quests!$1:$1,0)-MATCH($B$1,[2]quests!$1:$1,0)+1,FALSE)</f>
        <v>30. 月夜のオールドシティ</v>
      </c>
      <c r="E16" s="77">
        <v>4</v>
      </c>
      <c r="F16" s="76">
        <f ca="1">VLOOKUP($B16&amp;"_"&amp;$E16,OFFSET([2]stages!$A$1,0,0,COUNTA([2]stages!$A:$A),MATCH(E$1,[2]stages!$2:$2,0)-MATCH("temp_stage",[2]stages!$2:$2,0)+1),MATCH(E$1,[2]stages!$2:$2,0)-MATCH("temp_stage",[2]stages!$2:$2,0)+1,FALSE)</f>
        <v>4</v>
      </c>
      <c r="G16" s="76" t="str">
        <f ca="1">VLOOKUP($B16&amp;"_"&amp;$F16,OFFSET([2]stages!$A$1,0,0,COUNTA([2]stages!$A:$A),MATCH(F$1,[2]stages!$2:$2,0)-MATCH("temp_stage",[2]stages!$2:$2,0)+1),MATCH(F$1,[2]stages!$2:$2,0)-MATCH("temp_stage",[2]stages!$2:$2,0)+1,FALSE)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H16" s="77">
        <v>3</v>
      </c>
      <c r="I16">
        <v>34</v>
      </c>
      <c r="J16" s="77" t="s">
        <v>265</v>
      </c>
      <c r="K16" s="135" t="s">
        <v>311</v>
      </c>
      <c r="L16" s="136" t="s">
        <v>312</v>
      </c>
      <c r="M16" s="50" t="s">
        <v>266</v>
      </c>
    </row>
    <row r="17" spans="1:13" x14ac:dyDescent="0.15">
      <c r="A17" s="74" t="s">
        <v>264</v>
      </c>
      <c r="B17" s="75">
        <v>15030</v>
      </c>
      <c r="C17" s="76">
        <f ca="1">VLOOKUP($B17,OFFSET([2]quests!$A$1,0,0,COUNTA([2]quests!$A:$A),MATCH(B$1,[2]quests!$1:$1,0)-MATCH($B$1,[2]quests!$1:$1,0)+1),MATCH(B$1,[2]quests!$1:$1,0)-MATCH($B$1,[2]quests!$1:$1,0)+1,FALSE)</f>
        <v>15030</v>
      </c>
      <c r="D17" s="76" t="str">
        <f ca="1">VLOOKUP($B17,OFFSET([2]quests!$A$1,0,0,COUNTA([2]quests!$A:$A),MATCH(C$1,[2]quests!$1:$1,0)-MATCH($B$1,[2]quests!$1:$1,0)+1),MATCH(C$1,[2]quests!$1:$1,0)-MATCH($B$1,[2]quests!$1:$1,0)+1,FALSE)</f>
        <v>30. 月夜のオールドシティ</v>
      </c>
      <c r="E17" s="77">
        <v>4</v>
      </c>
      <c r="F17" s="76">
        <f ca="1">VLOOKUP($B17&amp;"_"&amp;$E17,OFFSET([2]stages!$A$1,0,0,COUNTA([2]stages!$A:$A),MATCH(E$1,[2]stages!$2:$2,0)-MATCH("temp_stage",[2]stages!$2:$2,0)+1),MATCH(E$1,[2]stages!$2:$2,0)-MATCH("temp_stage",[2]stages!$2:$2,0)+1,FALSE)</f>
        <v>4</v>
      </c>
      <c r="G17" s="76" t="str">
        <f ca="1">VLOOKUP($B17&amp;"_"&amp;$F17,OFFSET([2]stages!$A$1,0,0,COUNTA([2]stages!$A:$A),MATCH(F$1,[2]stages!$2:$2,0)-MATCH("temp_stage",[2]stages!$2:$2,0)+1),MATCH(F$1,[2]stages!$2:$2,0)-MATCH("temp_stage",[2]stages!$2:$2,0)+1,FALSE)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H17" s="77">
        <v>4</v>
      </c>
      <c r="I17">
        <v>35</v>
      </c>
      <c r="J17" s="77" t="s">
        <v>265</v>
      </c>
      <c r="K17" s="135" t="s">
        <v>313</v>
      </c>
      <c r="L17" s="136" t="s">
        <v>314</v>
      </c>
      <c r="M17" s="50" t="s">
        <v>266</v>
      </c>
    </row>
    <row r="18" spans="1:13" x14ac:dyDescent="0.15">
      <c r="A18" s="74" t="s">
        <v>264</v>
      </c>
      <c r="B18" s="75">
        <v>15030</v>
      </c>
      <c r="C18" s="76">
        <f ca="1">VLOOKUP($B18,OFFSET([2]quests!$A$1,0,0,COUNTA([2]quests!$A:$A),MATCH(B$1,[2]quests!$1:$1,0)-MATCH($B$1,[2]quests!$1:$1,0)+1),MATCH(B$1,[2]quests!$1:$1,0)-MATCH($B$1,[2]quests!$1:$1,0)+1,FALSE)</f>
        <v>15030</v>
      </c>
      <c r="D18" s="76" t="str">
        <f ca="1">VLOOKUP($B18,OFFSET([2]quests!$A$1,0,0,COUNTA([2]quests!$A:$A),MATCH(C$1,[2]quests!$1:$1,0)-MATCH($B$1,[2]quests!$1:$1,0)+1),MATCH(C$1,[2]quests!$1:$1,0)-MATCH($B$1,[2]quests!$1:$1,0)+1,FALSE)</f>
        <v>30. 月夜のオールドシティ</v>
      </c>
      <c r="E18" s="77">
        <v>4</v>
      </c>
      <c r="F18" s="76">
        <f ca="1">VLOOKUP($B18&amp;"_"&amp;$E18,OFFSET([2]stages!$A$1,0,0,COUNTA([2]stages!$A:$A),MATCH(E$1,[2]stages!$2:$2,0)-MATCH("temp_stage",[2]stages!$2:$2,0)+1),MATCH(E$1,[2]stages!$2:$2,0)-MATCH("temp_stage",[2]stages!$2:$2,0)+1,FALSE)</f>
        <v>4</v>
      </c>
      <c r="G18" s="76" t="str">
        <f ca="1">VLOOKUP($B18&amp;"_"&amp;$F18,OFFSET([2]stages!$A$1,0,0,COUNTA([2]stages!$A:$A),MATCH(F$1,[2]stages!$2:$2,0)-MATCH("temp_stage",[2]stages!$2:$2,0)+1),MATCH(F$1,[2]stages!$2:$2,0)-MATCH("temp_stage",[2]stages!$2:$2,0)+1,FALSE)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H18" s="77">
        <v>5</v>
      </c>
      <c r="I18">
        <v>36</v>
      </c>
      <c r="J18" s="77" t="s">
        <v>265</v>
      </c>
      <c r="K18" s="135" t="s">
        <v>315</v>
      </c>
      <c r="L18" s="136" t="s">
        <v>316</v>
      </c>
      <c r="M18" s="50" t="s">
        <v>266</v>
      </c>
    </row>
  </sheetData>
  <phoneticPr fontId="6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8"/>
  <sheetViews>
    <sheetView showGridLines="0" zoomScale="85" zoomScaleNormal="85" zoomScalePageLayoutView="85" workbookViewId="0">
      <pane ySplit="1" topLeftCell="A2" activePane="bottomLeft" state="frozen"/>
      <selection pane="bottomLeft" activeCell="B18" sqref="B18"/>
    </sheetView>
  </sheetViews>
  <sheetFormatPr baseColWidth="12" defaultColWidth="13" defaultRowHeight="15" outlineLevelCol="1" x14ac:dyDescent="0.15"/>
  <cols>
    <col min="1" max="1" width="13" style="81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69" t="s">
        <v>186</v>
      </c>
      <c r="B1" s="65" t="s">
        <v>149</v>
      </c>
      <c r="C1" s="70" t="s">
        <v>188</v>
      </c>
      <c r="D1" s="70" t="s">
        <v>33</v>
      </c>
      <c r="E1" s="65" t="s">
        <v>189</v>
      </c>
      <c r="F1" s="70" t="s">
        <v>18</v>
      </c>
      <c r="G1" s="70" t="s">
        <v>33</v>
      </c>
      <c r="H1" s="65" t="s">
        <v>191</v>
      </c>
      <c r="I1" s="82" t="s">
        <v>192</v>
      </c>
      <c r="J1" s="84" t="s">
        <v>193</v>
      </c>
      <c r="K1" s="72" t="s">
        <v>125</v>
      </c>
      <c r="L1" s="71" t="s">
        <v>185</v>
      </c>
      <c r="M1" s="85" t="s">
        <v>184</v>
      </c>
      <c r="N1" s="73" t="s">
        <v>194</v>
      </c>
    </row>
    <row r="2" spans="1:15" ht="28" x14ac:dyDescent="0.15">
      <c r="A2" s="74" t="s">
        <v>195</v>
      </c>
      <c r="B2" s="75">
        <f>floors!$C$2</f>
        <v>15030</v>
      </c>
      <c r="C2" s="76" t="str">
        <f ca="1">VLOOKUP($B2,OFFSET([2]quests!$A$1,0,0,COUNTA([2]quests!$A:$A),MATCH(C$1,[2]quests!$1:$1,0)-MATCH($B$1,[2]quests!$1:$1,0)+1),MATCH(C$1,[2]quests!$1:$1,0)-MATCH($B$1,[2]quests!$1:$1,0)+1,FALSE)</f>
        <v>30. 月夜のオールドシティ</v>
      </c>
      <c r="D2" s="76" t="str">
        <f ca="1">VLOOKUP($B2,OFFSET([2]quests!$A$1,0,0,COUNTA([2]quests!$A:$A),MATCH(D$1,[2]quests!$1:$1,0)-MATCH($B$1,[2]quests!$1:$1,0)+1),MATCH(D$1,[2]quests!$1:$1,0)-MATCH($B$1,[2]quests!$1:$1,0)+1,FALSE)</f>
        <v>赤青DL6</v>
      </c>
      <c r="E2" s="77">
        <v>1</v>
      </c>
      <c r="F2" s="76" t="str">
        <f ca="1">VLOOKUP($B2&amp;"_"&amp;$E2,OFFSET([2]stages!$A$1,0,0,COUNTA([2]stages!$A:$A),MATCH(F$1,[2]stages!$2:$2,0)-MATCH("temp_stage",[2]stages!$2:$2,0)+1),MATCH(F$1,[2]stages!$2:$2,0)-MATCH("temp_stage",[2]stages!$2:$2,0)+1,FALSE)</f>
        <v>30-1. 月夜に煌めく刃</v>
      </c>
      <c r="G2" s="76" t="str">
        <f ca="1">VLOOKUP($B2&amp;"_"&amp;$E2,OFFSET([2]stages!$A$1,0,0,COUNTA([2]stages!$A:$A),MATCH(G$1,[2]stages!$2:$2,0)-MATCH("temp_stage",[2]stages!$2:$2,0)+1),MATCH(G$1,[2]stages!$2:$2,0)-MATCH("temp_stage",[2]stages!$2:$2,0)+1,FALSE)</f>
        <v>赤青DL6</v>
      </c>
      <c r="H2" s="78">
        <v>1</v>
      </c>
      <c r="I2" s="83">
        <f>ROW()-1</f>
        <v>1</v>
      </c>
      <c r="J2" s="79" t="str">
        <f>B2&amp;TEXT(I2,"00")</f>
        <v>1503001</v>
      </c>
      <c r="K2" s="77" t="s">
        <v>196</v>
      </c>
      <c r="L2" s="80" t="s">
        <v>197</v>
      </c>
      <c r="M2" s="133" t="s">
        <v>263</v>
      </c>
      <c r="N2" s="50" t="s">
        <v>198</v>
      </c>
    </row>
    <row r="3" spans="1:15" ht="28" x14ac:dyDescent="0.15">
      <c r="A3" s="74" t="s">
        <v>195</v>
      </c>
      <c r="B3" s="75">
        <f>floors!$C$2</f>
        <v>15030</v>
      </c>
      <c r="C3" s="76" t="str">
        <f ca="1">VLOOKUP($B3,OFFSET([2]quests!$A$1,0,0,COUNTA([2]quests!$A:$A),MATCH(C$1,[2]quests!$1:$1,0)-MATCH($B$1,[2]quests!$1:$1,0)+1),MATCH(C$1,[2]quests!$1:$1,0)-MATCH($B$1,[2]quests!$1:$1,0)+1,FALSE)</f>
        <v>30. 月夜のオールドシティ</v>
      </c>
      <c r="D3" s="76" t="str">
        <f ca="1">VLOOKUP($B3,OFFSET([2]quests!$A$1,0,0,COUNTA([2]quests!$A:$A),MATCH(D$1,[2]quests!$1:$1,0)-MATCH($B$1,[2]quests!$1:$1,0)+1),MATCH(D$1,[2]quests!$1:$1,0)-MATCH($B$1,[2]quests!$1:$1,0)+1,FALSE)</f>
        <v>赤青DL6</v>
      </c>
      <c r="E3" s="77">
        <v>1</v>
      </c>
      <c r="F3" s="76" t="str">
        <f ca="1">VLOOKUP($B3&amp;"_"&amp;$E3,OFFSET([2]stages!$A$1,0,0,COUNTA([2]stages!$A:$A),MATCH(F$1,[2]stages!$2:$2,0)-MATCH("temp_stage",[2]stages!$2:$2,0)+1),MATCH(F$1,[2]stages!$2:$2,0)-MATCH("temp_stage",[2]stages!$2:$2,0)+1,FALSE)</f>
        <v>30-1. 月夜に煌めく刃</v>
      </c>
      <c r="G3" s="76" t="str">
        <f ca="1">VLOOKUP($B3&amp;"_"&amp;$E3,OFFSET([2]stages!$A$1,0,0,COUNTA([2]stages!$A:$A),MATCH(G$1,[2]stages!$2:$2,0)-MATCH("temp_stage",[2]stages!$2:$2,0)+1),MATCH(G$1,[2]stages!$2:$2,0)-MATCH("temp_stage",[2]stages!$2:$2,0)+1,FALSE)</f>
        <v>赤青DL6</v>
      </c>
      <c r="H3" s="78">
        <v>2</v>
      </c>
      <c r="I3" s="83">
        <f t="shared" ref="I3:I18" si="0">ROW()-1</f>
        <v>2</v>
      </c>
      <c r="J3" s="79" t="str">
        <f t="shared" ref="J3:J14" si="1">B3&amp;TEXT(I3,"00")</f>
        <v>1503002</v>
      </c>
      <c r="K3" s="77" t="s">
        <v>196</v>
      </c>
      <c r="L3" s="80" t="s">
        <v>197</v>
      </c>
      <c r="M3" s="133" t="s">
        <v>263</v>
      </c>
      <c r="N3" s="50" t="s">
        <v>198</v>
      </c>
    </row>
    <row r="4" spans="1:15" ht="42" x14ac:dyDescent="0.15">
      <c r="A4" s="74" t="s">
        <v>195</v>
      </c>
      <c r="B4" s="75">
        <f>floors!$C$2</f>
        <v>15030</v>
      </c>
      <c r="C4" s="76" t="str">
        <f ca="1">VLOOKUP($B4,OFFSET([2]quests!$A$1,0,0,COUNTA([2]quests!$A:$A),MATCH(C$1,[2]quests!$1:$1,0)-MATCH($B$1,[2]quests!$1:$1,0)+1),MATCH(C$1,[2]quests!$1:$1,0)-MATCH($B$1,[2]quests!$1:$1,0)+1,FALSE)</f>
        <v>30. 月夜のオールドシティ</v>
      </c>
      <c r="D4" s="76" t="str">
        <f ca="1">VLOOKUP($B4,OFFSET([2]quests!$A$1,0,0,COUNTA([2]quests!$A:$A),MATCH(D$1,[2]quests!$1:$1,0)-MATCH($B$1,[2]quests!$1:$1,0)+1),MATCH(D$1,[2]quests!$1:$1,0)-MATCH($B$1,[2]quests!$1:$1,0)+1,FALSE)</f>
        <v>赤青DL6</v>
      </c>
      <c r="E4" s="77">
        <v>1</v>
      </c>
      <c r="F4" s="76" t="str">
        <f ca="1">VLOOKUP($B4&amp;"_"&amp;$E4,OFFSET([2]stages!$A$1,0,0,COUNTA([2]stages!$A:$A),MATCH(F$1,[2]stages!$2:$2,0)-MATCH("temp_stage",[2]stages!$2:$2,0)+1),MATCH(F$1,[2]stages!$2:$2,0)-MATCH("temp_stage",[2]stages!$2:$2,0)+1,FALSE)</f>
        <v>30-1. 月夜に煌めく刃</v>
      </c>
      <c r="G4" s="76" t="str">
        <f ca="1">VLOOKUP($B4&amp;"_"&amp;$E4,OFFSET([2]stages!$A$1,0,0,COUNTA([2]stages!$A:$A),MATCH(G$1,[2]stages!$2:$2,0)-MATCH("temp_stage",[2]stages!$2:$2,0)+1),MATCH(G$1,[2]stages!$2:$2,0)-MATCH("temp_stage",[2]stages!$2:$2,0)+1,FALSE)</f>
        <v>赤青DL6</v>
      </c>
      <c r="H4" s="78">
        <v>3</v>
      </c>
      <c r="I4" s="83">
        <f t="shared" si="0"/>
        <v>3</v>
      </c>
      <c r="J4" s="79" t="str">
        <f t="shared" si="1"/>
        <v>1503003</v>
      </c>
      <c r="K4" s="77" t="s">
        <v>196</v>
      </c>
      <c r="L4" s="80" t="s">
        <v>197</v>
      </c>
      <c r="M4" s="133" t="s">
        <v>305</v>
      </c>
      <c r="N4" s="50" t="s">
        <v>198</v>
      </c>
    </row>
    <row r="5" spans="1:15" ht="42" x14ac:dyDescent="0.15">
      <c r="A5" s="74" t="s">
        <v>195</v>
      </c>
      <c r="B5" s="75">
        <f>floors!$C$2</f>
        <v>15030</v>
      </c>
      <c r="C5" s="76" t="str">
        <f ca="1">VLOOKUP($B5,OFFSET([2]quests!$A$1,0,0,COUNTA([2]quests!$A:$A),MATCH(C$1,[2]quests!$1:$1,0)-MATCH($B$1,[2]quests!$1:$1,0)+1),MATCH(C$1,[2]quests!$1:$1,0)-MATCH($B$1,[2]quests!$1:$1,0)+1,FALSE)</f>
        <v>30. 月夜のオールドシティ</v>
      </c>
      <c r="D5" s="76" t="str">
        <f ca="1">VLOOKUP($B5,OFFSET([2]quests!$A$1,0,0,COUNTA([2]quests!$A:$A),MATCH(D$1,[2]quests!$1:$1,0)-MATCH($B$1,[2]quests!$1:$1,0)+1),MATCH(D$1,[2]quests!$1:$1,0)-MATCH($B$1,[2]quests!$1:$1,0)+1,FALSE)</f>
        <v>赤青DL6</v>
      </c>
      <c r="E5" s="77">
        <v>1</v>
      </c>
      <c r="F5" s="76" t="str">
        <f ca="1">VLOOKUP($B5&amp;"_"&amp;$E5,OFFSET([2]stages!$A$1,0,0,COUNTA([2]stages!$A:$A),MATCH(F$1,[2]stages!$2:$2,0)-MATCH("temp_stage",[2]stages!$2:$2,0)+1),MATCH(F$1,[2]stages!$2:$2,0)-MATCH("temp_stage",[2]stages!$2:$2,0)+1,FALSE)</f>
        <v>30-1. 月夜に煌めく刃</v>
      </c>
      <c r="G5" s="76" t="str">
        <f ca="1">VLOOKUP($B5&amp;"_"&amp;$E5,OFFSET([2]stages!$A$1,0,0,COUNTA([2]stages!$A:$A),MATCH(G$1,[2]stages!$2:$2,0)-MATCH("temp_stage",[2]stages!$2:$2,0)+1),MATCH(G$1,[2]stages!$2:$2,0)-MATCH("temp_stage",[2]stages!$2:$2,0)+1,FALSE)</f>
        <v>赤青DL6</v>
      </c>
      <c r="H5" s="78">
        <v>4</v>
      </c>
      <c r="I5" s="83">
        <f t="shared" si="0"/>
        <v>4</v>
      </c>
      <c r="J5" s="79" t="str">
        <f t="shared" si="1"/>
        <v>1503004</v>
      </c>
      <c r="K5" s="77" t="s">
        <v>196</v>
      </c>
      <c r="L5" s="80" t="s">
        <v>197</v>
      </c>
      <c r="M5" s="133" t="s">
        <v>271</v>
      </c>
      <c r="N5" s="50" t="s">
        <v>198</v>
      </c>
    </row>
    <row r="6" spans="1:15" ht="28" x14ac:dyDescent="0.15">
      <c r="A6" s="74" t="s">
        <v>195</v>
      </c>
      <c r="B6" s="75">
        <f>floors!$C$2</f>
        <v>15030</v>
      </c>
      <c r="C6" s="76" t="str">
        <f ca="1">VLOOKUP($B6,OFFSET([2]quests!$A$1,0,0,COUNTA([2]quests!$A:$A),MATCH(C$1,[2]quests!$1:$1,0)-MATCH($B$1,[2]quests!$1:$1,0)+1),MATCH(C$1,[2]quests!$1:$1,0)-MATCH($B$1,[2]quests!$1:$1,0)+1,FALSE)</f>
        <v>30. 月夜のオールドシティ</v>
      </c>
      <c r="D6" s="76" t="str">
        <f ca="1">VLOOKUP($B6,OFFSET([2]quests!$A$1,0,0,COUNTA([2]quests!$A:$A),MATCH(D$1,[2]quests!$1:$1,0)-MATCH($B$1,[2]quests!$1:$1,0)+1),MATCH(D$1,[2]quests!$1:$1,0)-MATCH($B$1,[2]quests!$1:$1,0)+1,FALSE)</f>
        <v>赤青DL6</v>
      </c>
      <c r="E6" s="77">
        <v>2</v>
      </c>
      <c r="F6" s="76" t="str">
        <f ca="1">VLOOKUP($B6&amp;"_"&amp;$E6,OFFSET([2]stages!$A$1,0,0,COUNTA([2]stages!$A:$A),MATCH(F$1,[2]stages!$2:$2,0)-MATCH("temp_stage",[2]stages!$2:$2,0)+1),MATCH(F$1,[2]stages!$2:$2,0)-MATCH("temp_stage",[2]stages!$2:$2,0)+1,FALSE)</f>
        <v>30-2. 深夜のお茶会</v>
      </c>
      <c r="G6" s="76" t="str">
        <f ca="1">VLOOKUP($B6&amp;"_"&amp;$E6,OFFSET([2]stages!$A$1,0,0,COUNTA([2]stages!$A:$A),MATCH(G$1,[2]stages!$2:$2,0)-MATCH("temp_stage",[2]stages!$2:$2,0)+1),MATCH(G$1,[2]stages!$2:$2,0)-MATCH("temp_stage",[2]stages!$2:$2,0)+1,FALSE)</f>
        <v>赤青DL6</v>
      </c>
      <c r="H6" s="78">
        <v>1</v>
      </c>
      <c r="I6" s="83">
        <f t="shared" si="0"/>
        <v>5</v>
      </c>
      <c r="J6" s="79" t="str">
        <f t="shared" si="1"/>
        <v>1503005</v>
      </c>
      <c r="K6" s="77" t="s">
        <v>196</v>
      </c>
      <c r="L6" s="80" t="s">
        <v>197</v>
      </c>
      <c r="M6" s="134" t="s">
        <v>263</v>
      </c>
      <c r="N6" s="50" t="s">
        <v>198</v>
      </c>
    </row>
    <row r="7" spans="1:15" ht="28" x14ac:dyDescent="0.15">
      <c r="A7" s="74" t="s">
        <v>195</v>
      </c>
      <c r="B7" s="75">
        <f>floors!$C$2</f>
        <v>15030</v>
      </c>
      <c r="C7" s="76" t="str">
        <f ca="1">VLOOKUP($B7,OFFSET([2]quests!$A$1,0,0,COUNTA([2]quests!$A:$A),MATCH(C$1,[2]quests!$1:$1,0)-MATCH($B$1,[2]quests!$1:$1,0)+1),MATCH(C$1,[2]quests!$1:$1,0)-MATCH($B$1,[2]quests!$1:$1,0)+1,FALSE)</f>
        <v>30. 月夜のオールドシティ</v>
      </c>
      <c r="D7" s="76" t="str">
        <f ca="1">VLOOKUP($B7,OFFSET([2]quests!$A$1,0,0,COUNTA([2]quests!$A:$A),MATCH(D$1,[2]quests!$1:$1,0)-MATCH($B$1,[2]quests!$1:$1,0)+1),MATCH(D$1,[2]quests!$1:$1,0)-MATCH($B$1,[2]quests!$1:$1,0)+1,FALSE)</f>
        <v>赤青DL6</v>
      </c>
      <c r="E7" s="77">
        <v>2</v>
      </c>
      <c r="F7" s="76" t="str">
        <f ca="1">VLOOKUP($B7&amp;"_"&amp;$E7,OFFSET([2]stages!$A$1,0,0,COUNTA([2]stages!$A:$A),MATCH(F$1,[2]stages!$2:$2,0)-MATCH("temp_stage",[2]stages!$2:$2,0)+1),MATCH(F$1,[2]stages!$2:$2,0)-MATCH("temp_stage",[2]stages!$2:$2,0)+1,FALSE)</f>
        <v>30-2. 深夜のお茶会</v>
      </c>
      <c r="G7" s="76" t="str">
        <f ca="1">VLOOKUP($B7&amp;"_"&amp;$E7,OFFSET([2]stages!$A$1,0,0,COUNTA([2]stages!$A:$A),MATCH(G$1,[2]stages!$2:$2,0)-MATCH("temp_stage",[2]stages!$2:$2,0)+1),MATCH(G$1,[2]stages!$2:$2,0)-MATCH("temp_stage",[2]stages!$2:$2,0)+1,FALSE)</f>
        <v>赤青DL6</v>
      </c>
      <c r="H7" s="78">
        <v>2</v>
      </c>
      <c r="I7" s="83">
        <f t="shared" si="0"/>
        <v>6</v>
      </c>
      <c r="J7" s="79" t="str">
        <f t="shared" si="1"/>
        <v>1503006</v>
      </c>
      <c r="K7" s="77" t="s">
        <v>196</v>
      </c>
      <c r="L7" s="80" t="s">
        <v>197</v>
      </c>
      <c r="M7" s="137" t="s">
        <v>270</v>
      </c>
      <c r="N7" s="50" t="s">
        <v>198</v>
      </c>
    </row>
    <row r="8" spans="1:15" ht="42" x14ac:dyDescent="0.15">
      <c r="A8" s="74" t="s">
        <v>195</v>
      </c>
      <c r="B8" s="75">
        <f>floors!$C$2</f>
        <v>15030</v>
      </c>
      <c r="C8" s="76" t="str">
        <f ca="1">VLOOKUP($B8,OFFSET([2]quests!$A$1,0,0,COUNTA([2]quests!$A:$A),MATCH(C$1,[2]quests!$1:$1,0)-MATCH($B$1,[2]quests!$1:$1,0)+1),MATCH(C$1,[2]quests!$1:$1,0)-MATCH($B$1,[2]quests!$1:$1,0)+1,FALSE)</f>
        <v>30. 月夜のオールドシティ</v>
      </c>
      <c r="D8" s="76" t="str">
        <f ca="1">VLOOKUP($B8,OFFSET([2]quests!$A$1,0,0,COUNTA([2]quests!$A:$A),MATCH(D$1,[2]quests!$1:$1,0)-MATCH($B$1,[2]quests!$1:$1,0)+1),MATCH(D$1,[2]quests!$1:$1,0)-MATCH($B$1,[2]quests!$1:$1,0)+1,FALSE)</f>
        <v>赤青DL6</v>
      </c>
      <c r="E8" s="77">
        <v>2</v>
      </c>
      <c r="F8" s="76" t="str">
        <f ca="1">VLOOKUP($B8&amp;"_"&amp;$E8,OFFSET([2]stages!$A$1,0,0,COUNTA([2]stages!$A:$A),MATCH(F$1,[2]stages!$2:$2,0)-MATCH("temp_stage",[2]stages!$2:$2,0)+1),MATCH(F$1,[2]stages!$2:$2,0)-MATCH("temp_stage",[2]stages!$2:$2,0)+1,FALSE)</f>
        <v>30-2. 深夜のお茶会</v>
      </c>
      <c r="G8" s="76" t="str">
        <f ca="1">VLOOKUP($B8&amp;"_"&amp;$E8,OFFSET([2]stages!$A$1,0,0,COUNTA([2]stages!$A:$A),MATCH(G$1,[2]stages!$2:$2,0)-MATCH("temp_stage",[2]stages!$2:$2,0)+1),MATCH(G$1,[2]stages!$2:$2,0)-MATCH("temp_stage",[2]stages!$2:$2,0)+1,FALSE)</f>
        <v>赤青DL6</v>
      </c>
      <c r="H8" s="78">
        <v>3</v>
      </c>
      <c r="I8" s="83">
        <f t="shared" si="0"/>
        <v>7</v>
      </c>
      <c r="J8" s="79" t="str">
        <f t="shared" si="1"/>
        <v>1503007</v>
      </c>
      <c r="K8" s="77" t="s">
        <v>196</v>
      </c>
      <c r="L8" s="80" t="s">
        <v>197</v>
      </c>
      <c r="M8" s="133" t="s">
        <v>305</v>
      </c>
      <c r="N8" s="50" t="s">
        <v>198</v>
      </c>
    </row>
    <row r="9" spans="1:15" ht="42" x14ac:dyDescent="0.15">
      <c r="A9" s="74" t="s">
        <v>195</v>
      </c>
      <c r="B9" s="75">
        <f>floors!$C$2</f>
        <v>15030</v>
      </c>
      <c r="C9" s="76" t="str">
        <f ca="1">VLOOKUP($B9,OFFSET([2]quests!$A$1,0,0,COUNTA([2]quests!$A:$A),MATCH(C$1,[2]quests!$1:$1,0)-MATCH($B$1,[2]quests!$1:$1,0)+1),MATCH(C$1,[2]quests!$1:$1,0)-MATCH($B$1,[2]quests!$1:$1,0)+1,FALSE)</f>
        <v>30. 月夜のオールドシティ</v>
      </c>
      <c r="D9" s="76" t="str">
        <f ca="1">VLOOKUP($B9,OFFSET([2]quests!$A$1,0,0,COUNTA([2]quests!$A:$A),MATCH(D$1,[2]quests!$1:$1,0)-MATCH($B$1,[2]quests!$1:$1,0)+1),MATCH(D$1,[2]quests!$1:$1,0)-MATCH($B$1,[2]quests!$1:$1,0)+1,FALSE)</f>
        <v>赤青DL6</v>
      </c>
      <c r="E9" s="77">
        <v>2</v>
      </c>
      <c r="F9" s="76" t="str">
        <f ca="1">VLOOKUP($B9&amp;"_"&amp;$E9,OFFSET([2]stages!$A$1,0,0,COUNTA([2]stages!$A:$A),MATCH(F$1,[2]stages!$2:$2,0)-MATCH("temp_stage",[2]stages!$2:$2,0)+1),MATCH(F$1,[2]stages!$2:$2,0)-MATCH("temp_stage",[2]stages!$2:$2,0)+1,FALSE)</f>
        <v>30-2. 深夜のお茶会</v>
      </c>
      <c r="G9" s="76" t="str">
        <f ca="1">VLOOKUP($B9&amp;"_"&amp;$E9,OFFSET([2]stages!$A$1,0,0,COUNTA([2]stages!$A:$A),MATCH(G$1,[2]stages!$2:$2,0)-MATCH("temp_stage",[2]stages!$2:$2,0)+1),MATCH(G$1,[2]stages!$2:$2,0)-MATCH("temp_stage",[2]stages!$2:$2,0)+1,FALSE)</f>
        <v>赤青DL6</v>
      </c>
      <c r="H9" s="78">
        <v>4</v>
      </c>
      <c r="I9" s="83">
        <f t="shared" si="0"/>
        <v>8</v>
      </c>
      <c r="J9" s="79" t="str">
        <f t="shared" si="1"/>
        <v>1503008</v>
      </c>
      <c r="K9" s="77" t="s">
        <v>196</v>
      </c>
      <c r="L9" s="80" t="s">
        <v>197</v>
      </c>
      <c r="M9" s="133" t="s">
        <v>304</v>
      </c>
      <c r="N9" s="50" t="s">
        <v>198</v>
      </c>
      <c r="O9" s="139"/>
    </row>
    <row r="10" spans="1:15" ht="34" customHeight="1" x14ac:dyDescent="0.15">
      <c r="A10" s="74" t="s">
        <v>195</v>
      </c>
      <c r="B10" s="75">
        <f>floors!$C$2</f>
        <v>15030</v>
      </c>
      <c r="C10" s="76" t="str">
        <f ca="1">VLOOKUP($B10,OFFSET([2]quests!$A$1,0,0,COUNTA([2]quests!$A:$A),MATCH(C$1,[2]quests!$1:$1,0)-MATCH($B$1,[2]quests!$1:$1,0)+1),MATCH(C$1,[2]quests!$1:$1,0)-MATCH($B$1,[2]quests!$1:$1,0)+1,FALSE)</f>
        <v>30. 月夜のオールドシティ</v>
      </c>
      <c r="D10" s="76" t="str">
        <f ca="1">VLOOKUP($B10,OFFSET([2]quests!$A$1,0,0,COUNTA([2]quests!$A:$A),MATCH(D$1,[2]quests!$1:$1,0)-MATCH($B$1,[2]quests!$1:$1,0)+1),MATCH(D$1,[2]quests!$1:$1,0)-MATCH($B$1,[2]quests!$1:$1,0)+1,FALSE)</f>
        <v>赤青DL6</v>
      </c>
      <c r="E10" s="77">
        <v>3</v>
      </c>
      <c r="F10" s="76" t="str">
        <f ca="1">VLOOKUP($B10&amp;"_"&amp;$E10,OFFSET([2]stages!$A$1,0,0,COUNTA([2]stages!$A:$A),MATCH(F$1,[2]stages!$2:$2,0)-MATCH("temp_stage",[2]stages!$2:$2,0)+1),MATCH(F$1,[2]stages!$2:$2,0)-MATCH("temp_stage",[2]stages!$2:$2,0)+1,FALSE)</f>
        <v>30-3. 月影の襲撃者</v>
      </c>
      <c r="G10" s="76" t="str">
        <f ca="1">VLOOKUP($B10&amp;"_"&amp;$E10,OFFSET([2]stages!$A$1,0,0,COUNTA([2]stages!$A:$A),MATCH(G$1,[2]stages!$2:$2,0)-MATCH("temp_stage",[2]stages!$2:$2,0)+1),MATCH(G$1,[2]stages!$2:$2,0)-MATCH("temp_stage",[2]stages!$2:$2,0)+1,FALSE)</f>
        <v>赤青DL6</v>
      </c>
      <c r="H10" s="78">
        <v>1</v>
      </c>
      <c r="I10" s="83">
        <f t="shared" si="0"/>
        <v>9</v>
      </c>
      <c r="J10" s="79" t="str">
        <f t="shared" si="1"/>
        <v>1503009</v>
      </c>
      <c r="K10" s="77" t="s">
        <v>196</v>
      </c>
      <c r="L10" s="80" t="s">
        <v>197</v>
      </c>
      <c r="M10" s="134" t="s">
        <v>263</v>
      </c>
      <c r="N10" s="50" t="s">
        <v>198</v>
      </c>
    </row>
    <row r="11" spans="1:15" ht="56" x14ac:dyDescent="0.15">
      <c r="A11" s="74" t="s">
        <v>195</v>
      </c>
      <c r="B11" s="75">
        <f>floors!$C$2</f>
        <v>15030</v>
      </c>
      <c r="C11" s="76" t="str">
        <f ca="1">VLOOKUP($B11,OFFSET([2]quests!$A$1,0,0,COUNTA([2]quests!$A:$A),MATCH(C$1,[2]quests!$1:$1,0)-MATCH($B$1,[2]quests!$1:$1,0)+1),MATCH(C$1,[2]quests!$1:$1,0)-MATCH($B$1,[2]quests!$1:$1,0)+1,FALSE)</f>
        <v>30. 月夜のオールドシティ</v>
      </c>
      <c r="D11" s="76" t="str">
        <f ca="1">VLOOKUP($B11,OFFSET([2]quests!$A$1,0,0,COUNTA([2]quests!$A:$A),MATCH(D$1,[2]quests!$1:$1,0)-MATCH($B$1,[2]quests!$1:$1,0)+1),MATCH(D$1,[2]quests!$1:$1,0)-MATCH($B$1,[2]quests!$1:$1,0)+1,FALSE)</f>
        <v>赤青DL6</v>
      </c>
      <c r="E11" s="77">
        <v>3</v>
      </c>
      <c r="F11" s="76" t="str">
        <f ca="1">VLOOKUP($B11&amp;"_"&amp;$E11,OFFSET([2]stages!$A$1,0,0,COUNTA([2]stages!$A:$A),MATCH(F$1,[2]stages!$2:$2,0)-MATCH("temp_stage",[2]stages!$2:$2,0)+1),MATCH(F$1,[2]stages!$2:$2,0)-MATCH("temp_stage",[2]stages!$2:$2,0)+1,FALSE)</f>
        <v>30-3. 月影の襲撃者</v>
      </c>
      <c r="G11" s="76" t="str">
        <f ca="1">VLOOKUP($B11&amp;"_"&amp;$E11,OFFSET([2]stages!$A$1,0,0,COUNTA([2]stages!$A:$A),MATCH(G$1,[2]stages!$2:$2,0)-MATCH("temp_stage",[2]stages!$2:$2,0)+1),MATCH(G$1,[2]stages!$2:$2,0)-MATCH("temp_stage",[2]stages!$2:$2,0)+1,FALSE)</f>
        <v>赤青DL6</v>
      </c>
      <c r="H11" s="78">
        <v>2</v>
      </c>
      <c r="I11" s="83">
        <f t="shared" si="0"/>
        <v>10</v>
      </c>
      <c r="J11" s="79" t="str">
        <f t="shared" si="1"/>
        <v>1503010</v>
      </c>
      <c r="K11" s="77" t="s">
        <v>196</v>
      </c>
      <c r="L11" s="80" t="s">
        <v>197</v>
      </c>
      <c r="M11" s="133" t="s">
        <v>274</v>
      </c>
      <c r="N11" s="50" t="s">
        <v>198</v>
      </c>
    </row>
    <row r="12" spans="1:15" ht="28" x14ac:dyDescent="0.15">
      <c r="A12" s="74" t="s">
        <v>195</v>
      </c>
      <c r="B12" s="75">
        <f>floors!$C$2</f>
        <v>15030</v>
      </c>
      <c r="C12" s="76" t="str">
        <f ca="1">VLOOKUP($B12,OFFSET([2]quests!$A$1,0,0,COUNTA([2]quests!$A:$A),MATCH(C$1,[2]quests!$1:$1,0)-MATCH($B$1,[2]quests!$1:$1,0)+1),MATCH(C$1,[2]quests!$1:$1,0)-MATCH($B$1,[2]quests!$1:$1,0)+1,FALSE)</f>
        <v>30. 月夜のオールドシティ</v>
      </c>
      <c r="D12" s="76" t="str">
        <f ca="1">VLOOKUP($B12,OFFSET([2]quests!$A$1,0,0,COUNTA([2]quests!$A:$A),MATCH(D$1,[2]quests!$1:$1,0)-MATCH($B$1,[2]quests!$1:$1,0)+1),MATCH(D$1,[2]quests!$1:$1,0)-MATCH($B$1,[2]quests!$1:$1,0)+1,FALSE)</f>
        <v>赤青DL6</v>
      </c>
      <c r="E12" s="77">
        <v>3</v>
      </c>
      <c r="F12" s="76" t="str">
        <f ca="1">VLOOKUP($B12&amp;"_"&amp;$E12,OFFSET([2]stages!$A$1,0,0,COUNTA([2]stages!$A:$A),MATCH(F$1,[2]stages!$2:$2,0)-MATCH("temp_stage",[2]stages!$2:$2,0)+1),MATCH(F$1,[2]stages!$2:$2,0)-MATCH("temp_stage",[2]stages!$2:$2,0)+1,FALSE)</f>
        <v>30-3. 月影の襲撃者</v>
      </c>
      <c r="G12" s="76" t="str">
        <f ca="1">VLOOKUP($B12&amp;"_"&amp;$E12,OFFSET([2]stages!$A$1,0,0,COUNTA([2]stages!$A:$A),MATCH(G$1,[2]stages!$2:$2,0)-MATCH("temp_stage",[2]stages!$2:$2,0)+1),MATCH(G$1,[2]stages!$2:$2,0)-MATCH("temp_stage",[2]stages!$2:$2,0)+1,FALSE)</f>
        <v>赤青DL6</v>
      </c>
      <c r="H12" s="78">
        <v>3</v>
      </c>
      <c r="I12" s="83">
        <f t="shared" si="0"/>
        <v>11</v>
      </c>
      <c r="J12" s="79" t="str">
        <f t="shared" si="1"/>
        <v>1503011</v>
      </c>
      <c r="K12" s="77" t="s">
        <v>196</v>
      </c>
      <c r="L12" s="80" t="s">
        <v>197</v>
      </c>
      <c r="M12" s="134" t="s">
        <v>263</v>
      </c>
      <c r="N12" s="50" t="s">
        <v>198</v>
      </c>
    </row>
    <row r="13" spans="1:15" ht="42" x14ac:dyDescent="0.15">
      <c r="A13" s="74" t="s">
        <v>195</v>
      </c>
      <c r="B13" s="75">
        <f>floors!$C$2</f>
        <v>15030</v>
      </c>
      <c r="C13" s="76" t="str">
        <f ca="1">VLOOKUP($B13,OFFSET([2]quests!$A$1,0,0,COUNTA([2]quests!$A:$A),MATCH(C$1,[2]quests!$1:$1,0)-MATCH($B$1,[2]quests!$1:$1,0)+1),MATCH(C$1,[2]quests!$1:$1,0)-MATCH($B$1,[2]quests!$1:$1,0)+1,FALSE)</f>
        <v>30. 月夜のオールドシティ</v>
      </c>
      <c r="D13" s="76" t="str">
        <f ca="1">VLOOKUP($B13,OFFSET([2]quests!$A$1,0,0,COUNTA([2]quests!$A:$A),MATCH(D$1,[2]quests!$1:$1,0)-MATCH($B$1,[2]quests!$1:$1,0)+1),MATCH(D$1,[2]quests!$1:$1,0)-MATCH($B$1,[2]quests!$1:$1,0)+1,FALSE)</f>
        <v>赤青DL6</v>
      </c>
      <c r="E13" s="77">
        <v>3</v>
      </c>
      <c r="F13" s="76" t="str">
        <f ca="1">VLOOKUP($B13&amp;"_"&amp;$E13,OFFSET([2]stages!$A$1,0,0,COUNTA([2]stages!$A:$A),MATCH(F$1,[2]stages!$2:$2,0)-MATCH("temp_stage",[2]stages!$2:$2,0)+1),MATCH(F$1,[2]stages!$2:$2,0)-MATCH("temp_stage",[2]stages!$2:$2,0)+1,FALSE)</f>
        <v>30-3. 月影の襲撃者</v>
      </c>
      <c r="G13" s="76" t="str">
        <f ca="1">VLOOKUP($B13&amp;"_"&amp;$E13,OFFSET([2]stages!$A$1,0,0,COUNTA([2]stages!$A:$A),MATCH(G$1,[2]stages!$2:$2,0)-MATCH("temp_stage",[2]stages!$2:$2,0)+1),MATCH(G$1,[2]stages!$2:$2,0)-MATCH("temp_stage",[2]stages!$2:$2,0)+1,FALSE)</f>
        <v>赤青DL6</v>
      </c>
      <c r="H13" s="78">
        <v>4</v>
      </c>
      <c r="I13" s="83">
        <f t="shared" si="0"/>
        <v>12</v>
      </c>
      <c r="J13" s="79" t="str">
        <f t="shared" si="1"/>
        <v>1503012</v>
      </c>
      <c r="K13" s="77" t="s">
        <v>196</v>
      </c>
      <c r="L13" s="80" t="s">
        <v>197</v>
      </c>
      <c r="M13" s="133" t="s">
        <v>303</v>
      </c>
      <c r="N13" s="50" t="s">
        <v>198</v>
      </c>
    </row>
    <row r="14" spans="1:15" ht="42" x14ac:dyDescent="0.15">
      <c r="A14" s="74" t="s">
        <v>195</v>
      </c>
      <c r="B14" s="75">
        <f>floors!$C$2</f>
        <v>15030</v>
      </c>
      <c r="C14" s="76" t="str">
        <f ca="1">VLOOKUP($B14,OFFSET([2]quests!$A$1,0,0,COUNTA([2]quests!$A:$A),MATCH(C$1,[2]quests!$1:$1,0)-MATCH($B$1,[2]quests!$1:$1,0)+1),MATCH(C$1,[2]quests!$1:$1,0)-MATCH($B$1,[2]quests!$1:$1,0)+1,FALSE)</f>
        <v>30. 月夜のオールドシティ</v>
      </c>
      <c r="D14" s="76" t="str">
        <f ca="1">VLOOKUP($B14,OFFSET([2]quests!$A$1,0,0,COUNTA([2]quests!$A:$A),MATCH(D$1,[2]quests!$1:$1,0)-MATCH($B$1,[2]quests!$1:$1,0)+1),MATCH(D$1,[2]quests!$1:$1,0)-MATCH($B$1,[2]quests!$1:$1,0)+1,FALSE)</f>
        <v>赤青DL6</v>
      </c>
      <c r="E14" s="77">
        <v>4</v>
      </c>
      <c r="F14" s="76" t="str">
        <f ca="1">VLOOKUP($B14&amp;"_"&amp;$E14,OFFSET([2]stages!$A$1,0,0,COUNTA([2]stages!$A:$A),MATCH(F$1,[2]stages!$2:$2,0)-MATCH("temp_stage",[2]stages!$2:$2,0)+1),MATCH(F$1,[2]stages!$2:$2,0)-MATCH("temp_stage",[2]stages!$2:$2,0)+1,FALSE)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G14" s="76" t="str">
        <f ca="1">VLOOKUP($B14&amp;"_"&amp;$E14,OFFSET([2]stages!$A$1,0,0,COUNTA([2]stages!$A:$A),MATCH(G$1,[2]stages!$2:$2,0)-MATCH("temp_stage",[2]stages!$2:$2,0)+1),MATCH(G$1,[2]stages!$2:$2,0)-MATCH("temp_stage",[2]stages!$2:$2,0)+1,FALSE)</f>
        <v>赤青DL6</v>
      </c>
      <c r="H14" s="78">
        <v>1</v>
      </c>
      <c r="I14" s="83">
        <f t="shared" si="0"/>
        <v>13</v>
      </c>
      <c r="J14" s="79" t="str">
        <f t="shared" si="1"/>
        <v>1503013</v>
      </c>
      <c r="K14" s="77" t="s">
        <v>196</v>
      </c>
      <c r="L14" s="80" t="s">
        <v>197</v>
      </c>
      <c r="M14" s="133" t="s">
        <v>305</v>
      </c>
      <c r="N14" s="50" t="s">
        <v>198</v>
      </c>
    </row>
    <row r="15" spans="1:15" ht="42" x14ac:dyDescent="0.15">
      <c r="A15" s="74" t="s">
        <v>195</v>
      </c>
      <c r="B15" s="75">
        <f>floors!$C$2</f>
        <v>15030</v>
      </c>
      <c r="C15" s="76" t="str">
        <f ca="1">VLOOKUP($B15,OFFSET([2]quests!$A$1,0,0,COUNTA([2]quests!$A:$A),MATCH(C$1,[2]quests!$1:$1,0)-MATCH($B$1,[2]quests!$1:$1,0)+1),MATCH(C$1,[2]quests!$1:$1,0)-MATCH($B$1,[2]quests!$1:$1,0)+1,FALSE)</f>
        <v>30. 月夜のオールドシティ</v>
      </c>
      <c r="D15" s="76" t="str">
        <f ca="1">VLOOKUP($B15,OFFSET([2]quests!$A$1,0,0,COUNTA([2]quests!$A:$A),MATCH(D$1,[2]quests!$1:$1,0)-MATCH($B$1,[2]quests!$1:$1,0)+1),MATCH(D$1,[2]quests!$1:$1,0)-MATCH($B$1,[2]quests!$1:$1,0)+1,FALSE)</f>
        <v>赤青DL6</v>
      </c>
      <c r="E15" s="77">
        <v>4</v>
      </c>
      <c r="F15" s="76" t="str">
        <f ca="1">VLOOKUP($B15&amp;"_"&amp;$E15,OFFSET([2]stages!$A$1,0,0,COUNTA([2]stages!$A:$A),MATCH(F$1,[2]stages!$2:$2,0)-MATCH("temp_stage",[2]stages!$2:$2,0)+1),MATCH(F$1,[2]stages!$2:$2,0)-MATCH("temp_stage",[2]stages!$2:$2,0)+1,FALSE)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G15" s="76" t="str">
        <f ca="1">VLOOKUP($B15&amp;"_"&amp;$E15,OFFSET([2]stages!$A$1,0,0,COUNTA([2]stages!$A:$A),MATCH(G$1,[2]stages!$2:$2,0)-MATCH("temp_stage",[2]stages!$2:$2,0)+1),MATCH(G$1,[2]stages!$2:$2,0)-MATCH("temp_stage",[2]stages!$2:$2,0)+1,FALSE)</f>
        <v>赤青DL6</v>
      </c>
      <c r="H15" s="78">
        <v>2</v>
      </c>
      <c r="I15" s="83">
        <f t="shared" si="0"/>
        <v>14</v>
      </c>
      <c r="J15" s="79" t="str">
        <f t="shared" ref="J15:J18" si="2">B15&amp;TEXT(I15,"00")</f>
        <v>1503014</v>
      </c>
      <c r="K15" s="77" t="s">
        <v>196</v>
      </c>
      <c r="L15" s="80" t="s">
        <v>197</v>
      </c>
      <c r="M15" s="133" t="s">
        <v>305</v>
      </c>
      <c r="N15" s="50" t="s">
        <v>198</v>
      </c>
    </row>
    <row r="16" spans="1:15" ht="42" x14ac:dyDescent="0.15">
      <c r="A16" s="74" t="s">
        <v>195</v>
      </c>
      <c r="B16" s="75">
        <f>floors!$C$2</f>
        <v>15030</v>
      </c>
      <c r="C16" s="76" t="str">
        <f ca="1">VLOOKUP($B16,OFFSET([2]quests!$A$1,0,0,COUNTA([2]quests!$A:$A),MATCH(C$1,[2]quests!$1:$1,0)-MATCH($B$1,[2]quests!$1:$1,0)+1),MATCH(C$1,[2]quests!$1:$1,0)-MATCH($B$1,[2]quests!$1:$1,0)+1,FALSE)</f>
        <v>30. 月夜のオールドシティ</v>
      </c>
      <c r="D16" s="76" t="str">
        <f ca="1">VLOOKUP($B16,OFFSET([2]quests!$A$1,0,0,COUNTA([2]quests!$A:$A),MATCH(D$1,[2]quests!$1:$1,0)-MATCH($B$1,[2]quests!$1:$1,0)+1),MATCH(D$1,[2]quests!$1:$1,0)-MATCH($B$1,[2]quests!$1:$1,0)+1,FALSE)</f>
        <v>赤青DL6</v>
      </c>
      <c r="E16" s="77">
        <v>4</v>
      </c>
      <c r="F16" s="76" t="str">
        <f ca="1">VLOOKUP($B16&amp;"_"&amp;$E16,OFFSET([2]stages!$A$1,0,0,COUNTA([2]stages!$A:$A),MATCH(F$1,[2]stages!$2:$2,0)-MATCH("temp_stage",[2]stages!$2:$2,0)+1),MATCH(F$1,[2]stages!$2:$2,0)-MATCH("temp_stage",[2]stages!$2:$2,0)+1,FALSE)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G16" s="76" t="str">
        <f ca="1">VLOOKUP($B16&amp;"_"&amp;$E16,OFFSET([2]stages!$A$1,0,0,COUNTA([2]stages!$A:$A),MATCH(G$1,[2]stages!$2:$2,0)-MATCH("temp_stage",[2]stages!$2:$2,0)+1),MATCH(G$1,[2]stages!$2:$2,0)-MATCH("temp_stage",[2]stages!$2:$2,0)+1,FALSE)</f>
        <v>赤青DL6</v>
      </c>
      <c r="H16" s="78">
        <v>3</v>
      </c>
      <c r="I16" s="83">
        <f t="shared" si="0"/>
        <v>15</v>
      </c>
      <c r="J16" s="79" t="str">
        <f t="shared" si="2"/>
        <v>1503015</v>
      </c>
      <c r="K16" s="77" t="s">
        <v>196</v>
      </c>
      <c r="L16" s="80" t="s">
        <v>197</v>
      </c>
      <c r="M16" s="133" t="s">
        <v>305</v>
      </c>
      <c r="N16" s="50" t="s">
        <v>198</v>
      </c>
    </row>
    <row r="17" spans="1:14" ht="42" x14ac:dyDescent="0.15">
      <c r="A17" s="74" t="s">
        <v>195</v>
      </c>
      <c r="B17" s="75">
        <f>floors!$C$2</f>
        <v>15030</v>
      </c>
      <c r="C17" s="76" t="str">
        <f ca="1">VLOOKUP($B17,OFFSET([2]quests!$A$1,0,0,COUNTA([2]quests!$A:$A),MATCH(C$1,[2]quests!$1:$1,0)-MATCH($B$1,[2]quests!$1:$1,0)+1),MATCH(C$1,[2]quests!$1:$1,0)-MATCH($B$1,[2]quests!$1:$1,0)+1,FALSE)</f>
        <v>30. 月夜のオールドシティ</v>
      </c>
      <c r="D17" s="76" t="str">
        <f ca="1">VLOOKUP($B17,OFFSET([2]quests!$A$1,0,0,COUNTA([2]quests!$A:$A),MATCH(D$1,[2]quests!$1:$1,0)-MATCH($B$1,[2]quests!$1:$1,0)+1),MATCH(D$1,[2]quests!$1:$1,0)-MATCH($B$1,[2]quests!$1:$1,0)+1,FALSE)</f>
        <v>赤青DL6</v>
      </c>
      <c r="E17" s="77">
        <v>4</v>
      </c>
      <c r="F17" s="76" t="str">
        <f ca="1">VLOOKUP($B17&amp;"_"&amp;$E17,OFFSET([2]stages!$A$1,0,0,COUNTA([2]stages!$A:$A),MATCH(F$1,[2]stages!$2:$2,0)-MATCH("temp_stage",[2]stages!$2:$2,0)+1),MATCH(F$1,[2]stages!$2:$2,0)-MATCH("temp_stage",[2]stages!$2:$2,0)+1,FALSE)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G17" s="76" t="str">
        <f ca="1">VLOOKUP($B17&amp;"_"&amp;$E17,OFFSET([2]stages!$A$1,0,0,COUNTA([2]stages!$A:$A),MATCH(G$1,[2]stages!$2:$2,0)-MATCH("temp_stage",[2]stages!$2:$2,0)+1),MATCH(G$1,[2]stages!$2:$2,0)-MATCH("temp_stage",[2]stages!$2:$2,0)+1,FALSE)</f>
        <v>赤青DL6</v>
      </c>
      <c r="H17" s="78">
        <v>4</v>
      </c>
      <c r="I17" s="83">
        <f t="shared" si="0"/>
        <v>16</v>
      </c>
      <c r="J17" s="79" t="str">
        <f t="shared" si="2"/>
        <v>1503016</v>
      </c>
      <c r="K17" s="77" t="s">
        <v>196</v>
      </c>
      <c r="L17" s="80" t="s">
        <v>197</v>
      </c>
      <c r="M17" s="133" t="s">
        <v>305</v>
      </c>
      <c r="N17" s="50" t="s">
        <v>198</v>
      </c>
    </row>
    <row r="18" spans="1:14" ht="42" x14ac:dyDescent="0.15">
      <c r="A18" s="74" t="s">
        <v>195</v>
      </c>
      <c r="B18" s="75">
        <f>floors!$C$2</f>
        <v>15030</v>
      </c>
      <c r="C18" s="76" t="str">
        <f ca="1">VLOOKUP($B18,OFFSET([2]quests!$A$1,0,0,COUNTA([2]quests!$A:$A),MATCH(C$1,[2]quests!$1:$1,0)-MATCH($B$1,[2]quests!$1:$1,0)+1),MATCH(C$1,[2]quests!$1:$1,0)-MATCH($B$1,[2]quests!$1:$1,0)+1,FALSE)</f>
        <v>30. 月夜のオールドシティ</v>
      </c>
      <c r="D18" s="76" t="str">
        <f ca="1">VLOOKUP($B18,OFFSET([2]quests!$A$1,0,0,COUNTA([2]quests!$A:$A),MATCH(D$1,[2]quests!$1:$1,0)-MATCH($B$1,[2]quests!$1:$1,0)+1),MATCH(D$1,[2]quests!$1:$1,0)-MATCH($B$1,[2]quests!$1:$1,0)+1,FALSE)</f>
        <v>赤青DL6</v>
      </c>
      <c r="E18" s="77">
        <v>4</v>
      </c>
      <c r="F18" s="76" t="str">
        <f ca="1">VLOOKUP($B18&amp;"_"&amp;$E18,OFFSET([2]stages!$A$1,0,0,COUNTA([2]stages!$A:$A),MATCH(F$1,[2]stages!$2:$2,0)-MATCH("temp_stage",[2]stages!$2:$2,0)+1),MATCH(F$1,[2]stages!$2:$2,0)-MATCH("temp_stage",[2]stages!$2:$2,0)+1,FALSE)</f>
        <v>30-4. 【1回のみ】ボーナスステージ</v>
      </c>
      <c r="G18" s="76" t="str">
        <f ca="1">VLOOKUP($B18&amp;"_"&amp;$E18,OFFSET([2]stages!$A$1,0,0,COUNTA([2]stages!$A:$A),MATCH(G$1,[2]stages!$2:$2,0)-MATCH("temp_stage",[2]stages!$2:$2,0)+1),MATCH(G$1,[2]stages!$2:$2,0)-MATCH("temp_stage",[2]stages!$2:$2,0)+1,FALSE)</f>
        <v>赤青DL6</v>
      </c>
      <c r="H18" s="78">
        <v>5</v>
      </c>
      <c r="I18" s="83">
        <f t="shared" si="0"/>
        <v>17</v>
      </c>
      <c r="J18" s="79" t="str">
        <f t="shared" si="2"/>
        <v>1503017</v>
      </c>
      <c r="K18" s="77" t="s">
        <v>196</v>
      </c>
      <c r="L18" s="80" t="s">
        <v>197</v>
      </c>
      <c r="M18" s="133" t="s">
        <v>305</v>
      </c>
      <c r="N18" s="50" t="s">
        <v>198</v>
      </c>
    </row>
  </sheetData>
  <phoneticPr fontId="6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2016-06-23T09:20:01Z</dcterms:modified>
</cp:coreProperties>
</file>