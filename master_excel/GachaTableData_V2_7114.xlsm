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4"/>
  </bookViews>
  <sheets>
    <sheet name="確率の考え方" sheetId="110" r:id="rId1"/>
    <sheet name="Sheet1" sheetId="107" r:id="rId2"/>
    <sheet name="output" sheetId="103" r:id="rId3"/>
    <sheet name="input_settle_7114100" sheetId="130" r:id="rId4"/>
    <sheet name="tables_settle_7114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tables_settle_7114100!$A$1:$V$273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130" l="1"/>
  <c r="E3" i="131"/>
  <c r="E4" i="131"/>
  <c r="E5" i="131"/>
  <c r="I6" i="131"/>
  <c r="E6" i="131"/>
  <c r="I7" i="131"/>
  <c r="E7" i="131"/>
  <c r="E8" i="131"/>
  <c r="E9" i="131"/>
  <c r="I10" i="131"/>
  <c r="E10" i="131"/>
  <c r="I11" i="131"/>
  <c r="E11" i="131"/>
  <c r="E12" i="131"/>
  <c r="E13" i="131"/>
  <c r="I14" i="131"/>
  <c r="E14" i="131"/>
  <c r="I15" i="131"/>
  <c r="E15" i="131"/>
  <c r="E16" i="131"/>
  <c r="E17" i="131"/>
  <c r="E18" i="131"/>
  <c r="E19" i="131"/>
  <c r="E20" i="131"/>
  <c r="E21" i="131"/>
  <c r="E22" i="131"/>
  <c r="E23" i="131"/>
  <c r="I24" i="131"/>
  <c r="E24" i="131"/>
  <c r="I25" i="131"/>
  <c r="E25" i="131"/>
  <c r="I26" i="131"/>
  <c r="E26" i="131"/>
  <c r="I27" i="131"/>
  <c r="E27" i="131"/>
  <c r="I28" i="131"/>
  <c r="E28" i="131"/>
  <c r="E29" i="131"/>
  <c r="E30" i="131"/>
  <c r="I31" i="131"/>
  <c r="E31" i="131"/>
  <c r="I32" i="131"/>
  <c r="E32" i="131"/>
  <c r="I33" i="131"/>
  <c r="E33" i="131"/>
  <c r="E34" i="131"/>
  <c r="E35" i="131"/>
  <c r="E36" i="131"/>
  <c r="E37" i="131"/>
  <c r="I38" i="131"/>
  <c r="E38" i="131"/>
  <c r="I39" i="131"/>
  <c r="E39" i="131"/>
  <c r="I40" i="131"/>
  <c r="E40" i="131"/>
  <c r="I41" i="131"/>
  <c r="E41" i="131"/>
  <c r="I42" i="131"/>
  <c r="E42" i="131"/>
  <c r="I43" i="131"/>
  <c r="E43" i="131"/>
  <c r="E2" i="131"/>
  <c r="I3" i="131"/>
  <c r="D3" i="131"/>
  <c r="I4" i="131"/>
  <c r="D4" i="131"/>
  <c r="I5" i="131"/>
  <c r="D5" i="131"/>
  <c r="D6" i="131"/>
  <c r="D7" i="131"/>
  <c r="I8" i="131"/>
  <c r="D8" i="131"/>
  <c r="I9" i="131"/>
  <c r="D9" i="131"/>
  <c r="D10" i="131"/>
  <c r="D11" i="131"/>
  <c r="I12" i="131"/>
  <c r="D12" i="131"/>
  <c r="I13" i="131"/>
  <c r="D13" i="131"/>
  <c r="D14" i="131"/>
  <c r="D15" i="131"/>
  <c r="I16" i="131"/>
  <c r="D16" i="131"/>
  <c r="I17" i="131"/>
  <c r="D17" i="131"/>
  <c r="I18" i="131"/>
  <c r="D18" i="131"/>
  <c r="I19" i="131"/>
  <c r="D19" i="131"/>
  <c r="I20" i="131"/>
  <c r="D20" i="131"/>
  <c r="I21" i="131"/>
  <c r="D21" i="131"/>
  <c r="I22" i="131"/>
  <c r="D22" i="131"/>
  <c r="I23" i="131"/>
  <c r="D23" i="131"/>
  <c r="D24" i="131"/>
  <c r="D25" i="131"/>
  <c r="D26" i="131"/>
  <c r="D27" i="131"/>
  <c r="D28" i="131"/>
  <c r="I29" i="131"/>
  <c r="D29" i="131"/>
  <c r="I30" i="131"/>
  <c r="D30" i="131"/>
  <c r="D31" i="131"/>
  <c r="D32" i="131"/>
  <c r="D33" i="131"/>
  <c r="I34" i="131"/>
  <c r="D34" i="131"/>
  <c r="I35" i="131"/>
  <c r="D35" i="131"/>
  <c r="I36" i="131"/>
  <c r="D36" i="131"/>
  <c r="I37" i="131"/>
  <c r="D37" i="131"/>
  <c r="D38" i="131"/>
  <c r="D39" i="131"/>
  <c r="D40" i="131"/>
  <c r="D41" i="131"/>
  <c r="D42" i="131"/>
  <c r="D43" i="131"/>
  <c r="I2" i="131"/>
  <c r="D2" i="131"/>
  <c r="A2" i="130"/>
  <c r="A41" i="131"/>
  <c r="J41" i="131"/>
  <c r="F41" i="131"/>
  <c r="C41" i="131"/>
  <c r="H41" i="131"/>
  <c r="K41" i="131"/>
  <c r="L41" i="131"/>
  <c r="M41" i="131"/>
  <c r="N41" i="131"/>
  <c r="P41" i="131"/>
  <c r="A42" i="131"/>
  <c r="J42" i="131"/>
  <c r="F42" i="131"/>
  <c r="C42" i="131"/>
  <c r="H42" i="131"/>
  <c r="K42" i="131"/>
  <c r="L42" i="131"/>
  <c r="M42" i="131"/>
  <c r="N42" i="131"/>
  <c r="P42" i="131"/>
  <c r="A43" i="131"/>
  <c r="J43" i="131"/>
  <c r="F43" i="131"/>
  <c r="C43" i="131"/>
  <c r="H43" i="131"/>
  <c r="K43" i="131"/>
  <c r="L43" i="131"/>
  <c r="M43" i="131"/>
  <c r="N43" i="131"/>
  <c r="P43" i="131"/>
  <c r="J38" i="131"/>
  <c r="F38" i="131"/>
  <c r="C38" i="131"/>
  <c r="H38" i="131"/>
  <c r="K38" i="131"/>
  <c r="L38" i="131"/>
  <c r="M38" i="131"/>
  <c r="N38" i="131"/>
  <c r="P38" i="131"/>
  <c r="J39" i="131"/>
  <c r="F39" i="131"/>
  <c r="C39" i="131"/>
  <c r="H39" i="131"/>
  <c r="K39" i="131"/>
  <c r="L39" i="131"/>
  <c r="M39" i="131"/>
  <c r="N39" i="131"/>
  <c r="P39" i="131"/>
  <c r="J40" i="131"/>
  <c r="F40" i="131"/>
  <c r="C40" i="131"/>
  <c r="H40" i="131"/>
  <c r="K40" i="131"/>
  <c r="L40" i="131"/>
  <c r="M40" i="131"/>
  <c r="N40" i="131"/>
  <c r="P40" i="131"/>
  <c r="A38" i="131"/>
  <c r="A39" i="131"/>
  <c r="A40" i="131"/>
  <c r="A36" i="131"/>
  <c r="J36" i="131"/>
  <c r="F36" i="131"/>
  <c r="C36" i="131"/>
  <c r="H36" i="131"/>
  <c r="K36" i="131"/>
  <c r="L36" i="131"/>
  <c r="M36" i="131"/>
  <c r="N36" i="131"/>
  <c r="P36" i="131"/>
  <c r="A37" i="131"/>
  <c r="J37" i="131"/>
  <c r="F37" i="131"/>
  <c r="C37" i="131"/>
  <c r="H37" i="131"/>
  <c r="K37" i="131"/>
  <c r="L37" i="131"/>
  <c r="M37" i="131"/>
  <c r="N37" i="131"/>
  <c r="P37" i="131"/>
  <c r="C3" i="103"/>
  <c r="P35" i="131"/>
  <c r="N35" i="131"/>
  <c r="M35" i="131"/>
  <c r="L35" i="131"/>
  <c r="K35" i="131"/>
  <c r="J35" i="131"/>
  <c r="H35" i="131"/>
  <c r="F35" i="131"/>
  <c r="C35" i="131"/>
  <c r="A35" i="131"/>
  <c r="P34" i="131"/>
  <c r="N34" i="131"/>
  <c r="M34" i="131"/>
  <c r="L34" i="131"/>
  <c r="K34" i="131"/>
  <c r="J34" i="131"/>
  <c r="H34" i="131"/>
  <c r="F34" i="131"/>
  <c r="C34" i="131"/>
  <c r="A34" i="131"/>
  <c r="A31" i="131"/>
  <c r="J31" i="131"/>
  <c r="F31" i="131"/>
  <c r="C31" i="131"/>
  <c r="H31" i="131"/>
  <c r="K31" i="131"/>
  <c r="L31" i="131"/>
  <c r="M31" i="131"/>
  <c r="N31" i="131"/>
  <c r="P31" i="131"/>
  <c r="A32" i="131"/>
  <c r="J32" i="131"/>
  <c r="F32" i="131"/>
  <c r="C32" i="131"/>
  <c r="H32" i="131"/>
  <c r="K32" i="131"/>
  <c r="L32" i="131"/>
  <c r="M32" i="131"/>
  <c r="N32" i="131"/>
  <c r="P32" i="131"/>
  <c r="A33" i="131"/>
  <c r="J33" i="131"/>
  <c r="F33" i="131"/>
  <c r="C33" i="131"/>
  <c r="H33" i="131"/>
  <c r="K33" i="131"/>
  <c r="L33" i="131"/>
  <c r="M33" i="131"/>
  <c r="N33" i="131"/>
  <c r="P33" i="131"/>
  <c r="A29" i="131"/>
  <c r="J29" i="131"/>
  <c r="F29" i="131"/>
  <c r="C29" i="131"/>
  <c r="H29" i="131"/>
  <c r="K29" i="131"/>
  <c r="L29" i="131"/>
  <c r="M29" i="131"/>
  <c r="N29" i="131"/>
  <c r="P29" i="131"/>
  <c r="A30" i="131"/>
  <c r="J30" i="131"/>
  <c r="F30" i="131"/>
  <c r="C30" i="131"/>
  <c r="H30" i="131"/>
  <c r="K30" i="131"/>
  <c r="L30" i="131"/>
  <c r="M30" i="131"/>
  <c r="N30" i="131"/>
  <c r="P30" i="131"/>
  <c r="A2" i="131"/>
  <c r="A20" i="131"/>
  <c r="J20" i="131"/>
  <c r="F20" i="131"/>
  <c r="C20" i="131"/>
  <c r="H20" i="131"/>
  <c r="K20" i="131"/>
  <c r="L20" i="131"/>
  <c r="M20" i="131"/>
  <c r="N20" i="131"/>
  <c r="P20" i="131"/>
  <c r="A21" i="131"/>
  <c r="J21" i="131"/>
  <c r="F21" i="131"/>
  <c r="C21" i="131"/>
  <c r="H21" i="131"/>
  <c r="K21" i="131"/>
  <c r="L21" i="131"/>
  <c r="M21" i="131"/>
  <c r="N21" i="131"/>
  <c r="P21" i="131"/>
  <c r="A22" i="131"/>
  <c r="J22" i="131"/>
  <c r="F22" i="131"/>
  <c r="C22" i="131"/>
  <c r="H22" i="131"/>
  <c r="K22" i="131"/>
  <c r="L22" i="131"/>
  <c r="M22" i="131"/>
  <c r="N22" i="131"/>
  <c r="P22" i="131"/>
  <c r="A23" i="131"/>
  <c r="J23" i="131"/>
  <c r="F23" i="131"/>
  <c r="C23" i="131"/>
  <c r="H23" i="131"/>
  <c r="K23" i="131"/>
  <c r="L23" i="131"/>
  <c r="M23" i="131"/>
  <c r="N23" i="131"/>
  <c r="P23" i="131"/>
  <c r="B10" i="130"/>
  <c r="J2" i="131"/>
  <c r="F2" i="131"/>
  <c r="C2" i="131"/>
  <c r="J3" i="131"/>
  <c r="F3" i="131"/>
  <c r="C3" i="131"/>
  <c r="J4" i="131"/>
  <c r="F4" i="131"/>
  <c r="C4" i="131"/>
  <c r="J5" i="131"/>
  <c r="F5" i="131"/>
  <c r="C5" i="131"/>
  <c r="J6" i="131"/>
  <c r="F6" i="131"/>
  <c r="C6" i="131"/>
  <c r="J7" i="131"/>
  <c r="F7" i="131"/>
  <c r="C7" i="131"/>
  <c r="J8" i="131"/>
  <c r="F8" i="131"/>
  <c r="C8" i="131"/>
  <c r="J9" i="131"/>
  <c r="F9" i="131"/>
  <c r="C9" i="131"/>
  <c r="J10" i="131"/>
  <c r="F10" i="131"/>
  <c r="C10" i="131"/>
  <c r="J11" i="131"/>
  <c r="F11" i="131"/>
  <c r="C11" i="131"/>
  <c r="J12" i="131"/>
  <c r="F12" i="131"/>
  <c r="C12" i="131"/>
  <c r="J13" i="131"/>
  <c r="F13" i="131"/>
  <c r="C13" i="131"/>
  <c r="J14" i="131"/>
  <c r="F14" i="131"/>
  <c r="C14" i="131"/>
  <c r="J15" i="131"/>
  <c r="F15" i="131"/>
  <c r="C15" i="131"/>
  <c r="J16" i="131"/>
  <c r="F16" i="131"/>
  <c r="C16" i="131"/>
  <c r="J17" i="131"/>
  <c r="F17" i="131"/>
  <c r="C17" i="131"/>
  <c r="J18" i="131"/>
  <c r="F18" i="131"/>
  <c r="C18" i="131"/>
  <c r="J19" i="131"/>
  <c r="F19" i="131"/>
  <c r="C19" i="131"/>
  <c r="J24" i="131"/>
  <c r="F24" i="131"/>
  <c r="C24" i="131"/>
  <c r="J25" i="131"/>
  <c r="F25" i="131"/>
  <c r="C25" i="131"/>
  <c r="J26" i="131"/>
  <c r="F26" i="131"/>
  <c r="C26" i="131"/>
  <c r="J27" i="131"/>
  <c r="F27" i="131"/>
  <c r="C27" i="131"/>
  <c r="J28" i="131"/>
  <c r="F28" i="131"/>
  <c r="C28" i="131"/>
  <c r="F6" i="130"/>
  <c r="E6" i="130"/>
  <c r="A28" i="131"/>
  <c r="H28" i="131"/>
  <c r="K28" i="131"/>
  <c r="L28" i="131"/>
  <c r="M28" i="131"/>
  <c r="N28" i="131"/>
  <c r="P28" i="131"/>
  <c r="A26" i="131"/>
  <c r="H26" i="131"/>
  <c r="K26" i="131"/>
  <c r="L26" i="131"/>
  <c r="M26" i="131"/>
  <c r="N26" i="131"/>
  <c r="P26" i="131"/>
  <c r="A27" i="131"/>
  <c r="H27" i="131"/>
  <c r="K27" i="131"/>
  <c r="L27" i="131"/>
  <c r="M27" i="131"/>
  <c r="N27" i="131"/>
  <c r="P27" i="131"/>
  <c r="A24" i="131"/>
  <c r="H24" i="131"/>
  <c r="K24" i="131"/>
  <c r="L24" i="131"/>
  <c r="M24" i="131"/>
  <c r="N24" i="131"/>
  <c r="P24" i="131"/>
  <c r="A25" i="131"/>
  <c r="H25" i="131"/>
  <c r="K25" i="131"/>
  <c r="L25" i="131"/>
  <c r="M25" i="131"/>
  <c r="N25" i="131"/>
  <c r="P25" i="131"/>
  <c r="A18" i="131"/>
  <c r="H18" i="131"/>
  <c r="K18" i="131"/>
  <c r="L18" i="131"/>
  <c r="M18" i="131"/>
  <c r="N18" i="131"/>
  <c r="P18" i="131"/>
  <c r="A19" i="131"/>
  <c r="H19" i="131"/>
  <c r="K19" i="131"/>
  <c r="L19" i="131"/>
  <c r="M19" i="131"/>
  <c r="N19" i="131"/>
  <c r="P19" i="131"/>
  <c r="H16" i="131"/>
  <c r="K16" i="131"/>
  <c r="L16" i="131"/>
  <c r="M16" i="131"/>
  <c r="N16" i="131"/>
  <c r="P16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G23" i="130"/>
  <c r="E23" i="130"/>
  <c r="H23" i="130"/>
  <c r="F42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<sst xmlns="http://schemas.openxmlformats.org/spreadsheetml/2006/main" count="304" uniqueCount="211">
  <si>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</si>
  <si>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</si>
  <si>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</si>
  <si>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</si>
  <si>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</si>
  <si>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</si>
  <si>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</si>
  <si>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</si>
  <si>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</si>
  <si>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</si>
  <si>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</si>
  <si>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</si>
  <si>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</si>
  <si>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</si>
  <si>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</si>
  <si>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</si>
  <si>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</si>
  <si>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</si>
  <si>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</si>
  <si>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</si>
  <si>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</si>
  <si>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</si>
  <si>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</si>
  <si>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</si>
  <si>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</si>
  <si>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</si>
  <si>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</si>
  <si>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</si>
  <si>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</si>
  <si>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</si>
  <si>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</si>
  <si>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</si>
  <si>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</si>
  <si>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</si>
  <si>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</si>
  <si>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</si>
  <si>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</si>
  <si>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</si>
  <si>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</si>
  <si>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</si>
  <si>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</si>
  <si>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</si>
  <si>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</si>
  <si>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</si>
  <si>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</si>
  <si>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</si>
  <si>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</si>
  <si>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</si>
  <si>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</si>
  <si>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</si>
  <si>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</si>
  <si>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</si>
  <si>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</si>
  <si>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</si>
  <si>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</si>
  <si>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</si>
  <si>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</si>
  <si>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</si>
  <si>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</si>
  <si>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</si>
  <si>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</si>
  <si>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</si>
  <si>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</si>
  <si>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</si>
  <si>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</si>
  <si>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</si>
  <si>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</si>
  <si>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</si>
  <si>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</si>
  <si>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</si>
  <si>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</si>
  <si>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skill_level</t>
  </si>
  <si>
    <t>level</t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</si>
  <si>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</si>
  <si>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</si>
  <si>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</si>
  <si>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</si>
  <si>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</si>
  <si>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</si>
  <si>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</si>
  <si>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</si>
  <si>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</si>
  <si>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</si>
  <si>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</si>
  <si>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</si>
  <si>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</si>
  <si>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</si>
  <si>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</si>
  <si>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</si>
  <si>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</si>
  <si>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</si>
  <si>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</si>
  <si>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</si>
  <si>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</si>
  <si>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</si>
  <si>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</si>
  <si>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</si>
  <si>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</si>
  <si>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</si>
  <si>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</si>
  <si>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</si>
  <si>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</si>
  <si>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</si>
  <si>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</si>
  <si>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</si>
  <si>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</si>
  <si>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</si>
  <si>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</si>
  <si>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</si>
  <si>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</si>
  <si>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</si>
  <si>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</si>
  <si>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</si>
  <si>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</si>
  <si>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</si>
  <si>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</si>
  <si>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</si>
  <si>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</si>
  <si>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</si>
  <si>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</si>
  <si>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</si>
  <si>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</si>
  <si>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</si>
  <si>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</si>
  <si>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</si>
  <si>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</si>
  <si>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</si>
  <si>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</si>
  <si>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</si>
  <si>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</si>
  <si>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</si>
  <si>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</si>
  <si>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</si>
  <si>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</si>
  <si>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</si>
  <si>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</si>
  <si>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</si>
  <si>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</si>
  <si>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</si>
  <si>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</si>
  <si>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</si>
  <si>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</si>
  <si>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</si>
  <si>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</si>
  <si>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</si>
  <si>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</si>
  <si>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</si>
  <si>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</si>
  <si>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</si>
  <si>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</si>
  <si>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</si>
  <si>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</si>
  <si>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</si>
  <si>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</si>
  <si>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</si>
  <si>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</si>
  <si>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</si>
  <si>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</si>
  <si>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</si>
  <si>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</si>
  <si>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</si>
  <si>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</si>
  <si>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</si>
  <si>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</si>
  <si>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</si>
  <si>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</si>
  <si>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</si>
  <si>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</si>
  <si>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</si>
  <si>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</si>
  <si>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</si>
  <si>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</si>
  <si>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</si>
  <si>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</si>
  <si>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</si>
  <si>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</si>
  <si>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</si>
  <si>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</si>
  <si>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</si>
  <si>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</si>
  <si>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</si>
  <si>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</si>
  <si>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</si>
  <si>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</si>
  <si>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</si>
  <si>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</si>
  <si>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</si>
  <si>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</si>
  <si>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</si>
  <si>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</si>
  <si>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</si>
  <si>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</si>
  <si>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skip</t>
    <phoneticPr fontId="19"/>
  </si>
  <si>
    <t>hogehoge</t>
    <phoneticPr fontId="19"/>
  </si>
  <si>
    <t>いつもの確率</t>
    <rPh sb="4" eb="6">
      <t>カクリツ</t>
    </rPh>
    <phoneticPr fontId="19"/>
  </si>
  <si>
    <t>tables_337010</t>
    <phoneticPr fontId="19"/>
  </si>
  <si>
    <t>skip</t>
    <phoneticPr fontId="19"/>
  </si>
  <si>
    <t>gacha_settle_tables_</t>
    <phoneticPr fontId="19"/>
  </si>
  <si>
    <t>table_no</t>
    <phoneticPr fontId="19"/>
  </si>
  <si>
    <t>drop_label2</t>
    <phoneticPr fontId="19"/>
  </si>
  <si>
    <t>color2</t>
    <phoneticPr fontId="19"/>
  </si>
  <si>
    <t>name</t>
    <phoneticPr fontId="19"/>
  </si>
  <si>
    <t>drop_label</t>
    <phoneticPr fontId="19"/>
  </si>
  <si>
    <t>rare</t>
    <phoneticPr fontId="19"/>
  </si>
  <si>
    <t>color</t>
    <phoneticPr fontId="19"/>
  </si>
  <si>
    <t>character_type_id</t>
    <phoneticPr fontId="19"/>
  </si>
  <si>
    <t>character_tribe_id</t>
    <phoneticPr fontId="19"/>
  </si>
  <si>
    <t>weight</t>
    <phoneticPr fontId="19"/>
  </si>
  <si>
    <t>unit_level</t>
    <phoneticPr fontId="19"/>
  </si>
  <si>
    <t>old</t>
    <phoneticPr fontId="19"/>
  </si>
  <si>
    <t>tables_settle_7114100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</si>
</sst>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7" fillId="0" borderId="0"/>
  </cellStyleXfs>
  <cellXfs count="85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3" xfId="0" applyFont="1" applyFill="1" applyBorder="1" applyAlignment="1">
      <alignment horizontal="right" vertical="center"/>
    </xf>
    <xf numFmtId="0" fontId="24" fillId="2" borderId="1" xfId="2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1" borderId="1" xfId="2978" applyFont="1" applyFill="1" applyBorder="1"/>
    <xf numFmtId="0" fontId="12" fillId="21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1" borderId="1" xfId="0" applyFont="1" applyFill="1" applyBorder="1"/>
    <xf numFmtId="0" fontId="51" fillId="22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4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4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6" fillId="30" borderId="1" xfId="0" applyNumberFormat="1" applyFont="1" applyFill="1" applyBorder="1"/>
    <xf numFmtId="0" fontId="6" fillId="0" borderId="1" xfId="3036" applyFont="1" applyBorder="1"/>
    <xf numFmtId="0" fontId="6" fillId="0" borderId="1" xfId="2978" applyFont="1" applyBorder="1"/>
    <xf numFmtId="178" fontId="0" fillId="4" borderId="0" xfId="0" applyNumberFormat="1" applyFill="1"/>
    <xf numFmtId="0" fontId="5" fillId="4" borderId="1" xfId="2978" applyFont="1" applyFill="1" applyBorder="1"/>
    <xf numFmtId="0" fontId="4" fillId="0" borderId="1" xfId="3036" applyFont="1" applyBorder="1"/>
    <xf numFmtId="0" fontId="4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0" fontId="24" fillId="24" borderId="1" xfId="2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  <xf numFmtId="0" fontId="0" fillId="0" borderId="1" xfId="0" applyNumberFormat="1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/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/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90</v>
      </c>
      <c r="B1" s="59" t="s">
        <v>91</v>
      </c>
    </row>
    <row r="2" spans="1:13" x14ac:dyDescent="0.15">
      <c r="A2" s="59" t="s">
        <v>92</v>
      </c>
      <c r="B2" s="59" t="s">
        <v>93</v>
      </c>
      <c r="C2" s="59" t="s">
        <v>94</v>
      </c>
      <c r="D2" s="59" t="s">
        <v>95</v>
      </c>
      <c r="E2" s="59" t="s">
        <v>96</v>
      </c>
      <c r="F2" s="59" t="s">
        <v>97</v>
      </c>
      <c r="G2" s="59" t="s">
        <v>98</v>
      </c>
      <c r="H2" s="59" t="s">
        <v>99</v>
      </c>
    </row>
    <row r="3" spans="1:13" x14ac:dyDescent="0.15">
      <c r="A3" s="59">
        <v>3</v>
      </c>
      <c r="B3" s="60" t="s">
        <v>100</v>
      </c>
      <c r="C3" s="60" t="s">
        <v>101</v>
      </c>
      <c r="D3" s="59">
        <v>0</v>
      </c>
      <c r="E3" s="60" t="s">
        <v>102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103</v>
      </c>
      <c r="C4" s="60" t="s">
        <v>104</v>
      </c>
      <c r="D4" s="60" t="s">
        <v>105</v>
      </c>
      <c r="E4" s="60" t="s">
        <v>106</v>
      </c>
      <c r="F4" s="60" t="s">
        <v>107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108</v>
      </c>
      <c r="D5" s="60" t="s">
        <v>109</v>
      </c>
      <c r="E5" s="60" t="s">
        <v>110</v>
      </c>
      <c r="F5" s="60" t="s">
        <v>111</v>
      </c>
      <c r="G5" s="60" t="s">
        <v>112</v>
      </c>
      <c r="H5" s="61">
        <v>0.05</v>
      </c>
    </row>
    <row r="6" spans="1:13" x14ac:dyDescent="0.15">
      <c r="B6" s="61" t="s">
        <v>113</v>
      </c>
      <c r="C6" s="61" t="s">
        <v>113</v>
      </c>
      <c r="D6" s="61" t="s">
        <v>114</v>
      </c>
      <c r="E6" s="61" t="s">
        <v>113</v>
      </c>
      <c r="F6" s="61" t="s">
        <v>113</v>
      </c>
      <c r="G6" s="63" t="s">
        <v>115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116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117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118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119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112</v>
      </c>
      <c r="B12" s="61" t="s">
        <v>120</v>
      </c>
      <c r="C12" s="61" t="s">
        <v>121</v>
      </c>
      <c r="D12" s="61"/>
      <c r="E12" s="61"/>
      <c r="F12" s="61"/>
      <c r="G12" s="63"/>
      <c r="H12" s="61"/>
    </row>
    <row r="13" spans="1:13" x14ac:dyDescent="0.15">
      <c r="A13" s="59" t="s">
        <v>122</v>
      </c>
      <c r="B13" s="59" t="s">
        <v>123</v>
      </c>
      <c r="C13" s="59" t="s">
        <v>124</v>
      </c>
    </row>
    <row r="14" spans="1:13" x14ac:dyDescent="0.15">
      <c r="A14" s="59" t="s">
        <v>125</v>
      </c>
      <c r="B14" s="59" t="s">
        <v>120</v>
      </c>
      <c r="C14" s="62" t="s">
        <v>126</v>
      </c>
      <c r="E14" s="62"/>
      <c r="F14" s="62"/>
      <c r="M14" s="61"/>
    </row>
    <row r="15" spans="1:13" x14ac:dyDescent="0.15">
      <c r="A15" s="59" t="s">
        <v>102</v>
      </c>
      <c r="B15" s="61" t="s">
        <v>120</v>
      </c>
      <c r="C15" s="61" t="s">
        <v>127</v>
      </c>
      <c r="H15" s="64"/>
      <c r="M15" s="61"/>
    </row>
    <row r="16" spans="1:13" x14ac:dyDescent="0.15">
      <c r="A16" s="59" t="s">
        <v>106</v>
      </c>
      <c r="B16" s="61" t="s">
        <v>120</v>
      </c>
      <c r="C16" s="61" t="s">
        <v>128</v>
      </c>
      <c r="M16" s="61"/>
    </row>
    <row r="17" spans="1:13" x14ac:dyDescent="0.15">
      <c r="A17" s="59" t="s">
        <v>129</v>
      </c>
      <c r="B17" s="61" t="s">
        <v>120</v>
      </c>
      <c r="C17" s="61" t="s">
        <v>130</v>
      </c>
      <c r="M17" s="61"/>
    </row>
    <row r="18" spans="1:13" x14ac:dyDescent="0.15">
      <c r="B18" s="61"/>
      <c r="C18" s="61"/>
    </row>
    <row r="19" spans="1:13" x14ac:dyDescent="0.15">
      <c r="A19" s="59" t="s">
        <v>131</v>
      </c>
    </row>
    <row r="20" spans="1:13" x14ac:dyDescent="0.15">
      <c r="A20" s="59" t="s">
        <v>132</v>
      </c>
      <c r="B20" s="61"/>
      <c r="C20" s="61"/>
    </row>
    <row r="21" spans="1:13" x14ac:dyDescent="0.15">
      <c r="A21" s="59" t="s">
        <v>133</v>
      </c>
      <c r="B21" s="61" t="s">
        <v>134</v>
      </c>
      <c r="C21" s="61" t="s">
        <v>135</v>
      </c>
      <c r="D21" s="59" t="s">
        <v>136</v>
      </c>
    </row>
    <row r="22" spans="1:13" x14ac:dyDescent="0.15">
      <c r="A22" s="59" t="s">
        <v>137</v>
      </c>
      <c r="B22" s="61" t="s">
        <v>120</v>
      </c>
      <c r="C22" s="61" t="s">
        <v>138</v>
      </c>
      <c r="D22" s="59" t="s">
        <v>139</v>
      </c>
    </row>
    <row r="23" spans="1:13" x14ac:dyDescent="0.15">
      <c r="A23" s="59" t="s">
        <v>140</v>
      </c>
      <c r="B23" s="61" t="s">
        <v>120</v>
      </c>
      <c r="C23" s="59" t="s">
        <v>141</v>
      </c>
      <c r="D23" s="59" t="s">
        <v>142</v>
      </c>
    </row>
    <row r="24" spans="1:13" x14ac:dyDescent="0.15">
      <c r="A24" s="59" t="s">
        <v>143</v>
      </c>
      <c r="B24" s="61" t="s">
        <v>120</v>
      </c>
      <c r="C24" s="61" t="s">
        <v>144</v>
      </c>
      <c r="D24" s="59" t="s">
        <v>145</v>
      </c>
    </row>
    <row r="25" spans="1:13" x14ac:dyDescent="0.15">
      <c r="A25" s="59" t="s">
        <v>146</v>
      </c>
      <c r="B25" s="61" t="s">
        <v>120</v>
      </c>
      <c r="C25" s="61" t="s">
        <v>147</v>
      </c>
      <c r="D25" s="59" t="s">
        <v>148</v>
      </c>
    </row>
    <row r="26" spans="1:13" x14ac:dyDescent="0.15">
      <c r="A26" s="59" t="s">
        <v>149</v>
      </c>
      <c r="B26" s="61" t="s">
        <v>120</v>
      </c>
      <c r="C26" s="61" t="s">
        <v>150</v>
      </c>
      <c r="D26" s="59" t="s">
        <v>151</v>
      </c>
    </row>
    <row r="27" spans="1:13" x14ac:dyDescent="0.15">
      <c r="A27" s="59" t="s">
        <v>152</v>
      </c>
      <c r="B27" s="61" t="s">
        <v>120</v>
      </c>
      <c r="C27" s="61" t="s">
        <v>114</v>
      </c>
      <c r="D27" s="59" t="s">
        <v>153</v>
      </c>
      <c r="E27" s="59" t="s">
        <v>154</v>
      </c>
    </row>
    <row r="28" spans="1:13" x14ac:dyDescent="0.15">
      <c r="A28" s="59" t="s">
        <v>101</v>
      </c>
      <c r="B28" s="61" t="s">
        <v>120</v>
      </c>
      <c r="C28" s="61" t="s">
        <v>155</v>
      </c>
      <c r="E28" s="59" t="s">
        <v>156</v>
      </c>
    </row>
    <row r="29" spans="1:13" x14ac:dyDescent="0.15">
      <c r="A29" s="59" t="s">
        <v>104</v>
      </c>
      <c r="B29" s="61" t="s">
        <v>120</v>
      </c>
      <c r="C29" s="61" t="s">
        <v>157</v>
      </c>
    </row>
    <row r="30" spans="1:13" x14ac:dyDescent="0.15">
      <c r="B30" s="61"/>
    </row>
    <row r="31" spans="1:13" x14ac:dyDescent="0.15">
      <c r="A31" s="59" t="s">
        <v>158</v>
      </c>
    </row>
    <row r="32" spans="1:13" x14ac:dyDescent="0.15">
      <c r="A32" s="59" t="s">
        <v>159</v>
      </c>
      <c r="B32" s="61" t="s">
        <v>120</v>
      </c>
      <c r="C32" s="61" t="s">
        <v>160</v>
      </c>
    </row>
    <row r="33" spans="1:3" x14ac:dyDescent="0.15">
      <c r="A33" s="59" t="s">
        <v>104</v>
      </c>
      <c r="B33" s="61" t="s">
        <v>120</v>
      </c>
      <c r="C33" s="61" t="s">
        <v>161</v>
      </c>
    </row>
    <row r="34" spans="1:3" x14ac:dyDescent="0.15">
      <c r="A34" s="59" t="s">
        <v>101</v>
      </c>
      <c r="B34" s="61" t="s">
        <v>120</v>
      </c>
      <c r="C34" s="61" t="s">
        <v>162</v>
      </c>
    </row>
    <row r="35" spans="1:3" x14ac:dyDescent="0.15">
      <c r="A35" s="59" t="s">
        <v>100</v>
      </c>
      <c r="B35" s="61" t="s">
        <v>120</v>
      </c>
      <c r="C35" s="61" t="s">
        <v>163</v>
      </c>
    </row>
    <row r="36" spans="1:3" x14ac:dyDescent="0.15">
      <c r="A36" s="59" t="s">
        <v>103</v>
      </c>
      <c r="B36" s="61" t="s">
        <v>120</v>
      </c>
      <c r="C36" s="61" t="s">
        <v>164</v>
      </c>
    </row>
    <row r="37" spans="1:3" x14ac:dyDescent="0.15">
      <c r="A37" s="59" t="s">
        <v>109</v>
      </c>
      <c r="B37" s="61" t="s">
        <v>120</v>
      </c>
      <c r="C37" s="61" t="s">
        <v>165</v>
      </c>
    </row>
    <row r="38" spans="1:3" x14ac:dyDescent="0.15">
      <c r="A38" s="59" t="s">
        <v>105</v>
      </c>
      <c r="B38" s="61" t="s">
        <v>120</v>
      </c>
      <c r="C38" s="61" t="s">
        <v>166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4" sqref="F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38</v>
      </c>
      <c r="B1" s="13" t="s">
        <v>26</v>
      </c>
      <c r="C1" s="13" t="s">
        <v>27</v>
      </c>
      <c r="D1" s="13" t="s">
        <v>28</v>
      </c>
      <c r="E1" s="13" t="s">
        <v>29</v>
      </c>
      <c r="F1" s="13" t="s">
        <v>30</v>
      </c>
      <c r="G1" s="13" t="s">
        <v>31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77" t="s">
        <v>196</v>
      </c>
      <c r="B2" s="56" t="s">
        <v>89</v>
      </c>
      <c r="C2" s="47" t="str">
        <f>RIGHT(F2,6)</f>
        <v>337010</v>
      </c>
      <c r="D2" s="16" t="s">
        <v>32</v>
      </c>
      <c r="E2" s="14" t="str">
        <f t="shared" ref="E2:E6" si="0">B2&amp;C2&amp;D2</f>
        <v>gacha_select_tables_337010.tmp</v>
      </c>
      <c r="F2" s="76" t="s">
        <v>195</v>
      </c>
      <c r="G2" s="46" t="s">
        <v>70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82" t="s">
        <v>209</v>
      </c>
      <c r="B3" s="78" t="s">
        <v>197</v>
      </c>
      <c r="C3" s="47" t="str">
        <f>RIGHT(F3,7)</f>
        <v>7114100</v>
      </c>
      <c r="D3" s="16" t="s">
        <v>32</v>
      </c>
      <c r="E3" s="14" t="str">
        <f t="shared" ref="E3" si="1">B3&amp;C3&amp;D3</f>
        <v>gacha_settle_tables_7114100.tmp</v>
      </c>
      <c r="F3" s="83" t="s">
        <v>210</v>
      </c>
      <c r="G3" s="46" t="s">
        <v>70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73" t="s">
        <v>192</v>
      </c>
      <c r="B4" s="24" t="s">
        <v>37</v>
      </c>
      <c r="C4" s="74" t="s">
        <v>193</v>
      </c>
      <c r="D4" s="16" t="s">
        <v>33</v>
      </c>
      <c r="E4" s="14" t="str">
        <f t="shared" si="0"/>
        <v>gacha_bonus_tables_hogehoge.tmp</v>
      </c>
      <c r="F4" s="16" t="s">
        <v>34</v>
      </c>
      <c r="G4" s="18" t="s">
        <v>10</v>
      </c>
      <c r="H4" s="20" t="s">
        <v>13</v>
      </c>
      <c r="I4" s="18" t="s">
        <v>11</v>
      </c>
      <c r="J4" s="17"/>
      <c r="K4" s="17"/>
      <c r="L4" s="17"/>
      <c r="M4" s="17"/>
      <c r="N4" s="17"/>
      <c r="O4" s="17"/>
    </row>
    <row r="5" spans="1:21" x14ac:dyDescent="0.15">
      <c r="A5" s="73" t="s">
        <v>192</v>
      </c>
      <c r="B5" s="16" t="s">
        <v>35</v>
      </c>
      <c r="C5" s="74" t="s">
        <v>193</v>
      </c>
      <c r="D5" s="16" t="s">
        <v>33</v>
      </c>
      <c r="E5" s="14" t="str">
        <f t="shared" si="0"/>
        <v>gifts_tmp_hogehoge.tmp</v>
      </c>
      <c r="F5" s="16" t="s">
        <v>34</v>
      </c>
      <c r="G5" s="20" t="s">
        <v>14</v>
      </c>
      <c r="H5" s="21" t="s">
        <v>22</v>
      </c>
      <c r="I5" s="20" t="s">
        <v>15</v>
      </c>
      <c r="J5" s="20" t="s">
        <v>16</v>
      </c>
      <c r="K5" s="20" t="s">
        <v>16</v>
      </c>
      <c r="L5" s="20" t="s">
        <v>17</v>
      </c>
      <c r="M5" s="20" t="s">
        <v>17</v>
      </c>
      <c r="N5" s="20" t="s">
        <v>17</v>
      </c>
      <c r="O5" s="48" t="s">
        <v>7</v>
      </c>
      <c r="P5" s="48" t="s">
        <v>9</v>
      </c>
      <c r="Q5" s="48" t="s">
        <v>6</v>
      </c>
      <c r="R5" s="48" t="s">
        <v>71</v>
      </c>
      <c r="S5" s="48" t="s">
        <v>8</v>
      </c>
      <c r="T5" s="48" t="s">
        <v>72</v>
      </c>
      <c r="U5" s="48" t="s">
        <v>5</v>
      </c>
    </row>
    <row r="6" spans="1:21" x14ac:dyDescent="0.15">
      <c r="A6" s="73" t="s">
        <v>192</v>
      </c>
      <c r="B6" s="16" t="s">
        <v>36</v>
      </c>
      <c r="C6" s="74" t="s">
        <v>193</v>
      </c>
      <c r="D6" s="16" t="s">
        <v>33</v>
      </c>
      <c r="E6" s="14" t="str">
        <f t="shared" si="0"/>
        <v>gifts_i18n_hogehoge.tmp</v>
      </c>
      <c r="F6" s="16" t="s">
        <v>34</v>
      </c>
      <c r="G6" s="20" t="s">
        <v>12</v>
      </c>
      <c r="H6" s="22" t="s">
        <v>18</v>
      </c>
      <c r="I6" s="22" t="s">
        <v>19</v>
      </c>
      <c r="J6" s="22" t="s">
        <v>20</v>
      </c>
      <c r="K6" s="22" t="s">
        <v>21</v>
      </c>
      <c r="L6" s="23"/>
      <c r="M6" s="20"/>
      <c r="N6" s="20"/>
      <c r="O6" s="16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B29" sqref="B2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5" t="s">
        <v>68</v>
      </c>
      <c r="B1" s="45"/>
      <c r="L1" s="35" t="s">
        <v>47</v>
      </c>
      <c r="M1" s="35"/>
      <c r="U1" t="s">
        <v>47</v>
      </c>
    </row>
    <row r="2" spans="1:22" x14ac:dyDescent="0.15">
      <c r="A2" t="str">
        <f ca="1">RIGHT(RIGHT(CELL("filename",A2),LEN(CELL("filename",A2))-FIND("]",CELL("filename",A2))),7)</f>
        <v>7114100</v>
      </c>
      <c r="L2" s="29" t="s">
        <v>1</v>
      </c>
      <c r="M2" s="34" t="s">
        <v>51</v>
      </c>
      <c r="N2" s="29" t="s">
        <v>49</v>
      </c>
      <c r="O2" s="34" t="s">
        <v>52</v>
      </c>
      <c r="P2" s="34" t="s">
        <v>53</v>
      </c>
      <c r="Q2" s="34" t="s">
        <v>50</v>
      </c>
      <c r="R2" s="41" t="s">
        <v>59</v>
      </c>
      <c r="U2" s="29" t="s">
        <v>169</v>
      </c>
      <c r="V2" s="49">
        <f>SUMIF(Q:Q,U2,N:N)</f>
        <v>0</v>
      </c>
    </row>
    <row r="3" spans="1:22" x14ac:dyDescent="0.15">
      <c r="H3" s="68" t="s">
        <v>190</v>
      </c>
      <c r="L3" s="1"/>
      <c r="M3" s="34" t="e">
        <f>VLOOKUP(L3,[1]characters!$A:$C,3,FALSE)</f>
        <v>#N/A</v>
      </c>
      <c r="N3" s="58"/>
      <c r="O3" s="34" t="e">
        <f>VLOOKUP(L3,[1]characters!$A:$I,9,FALSE)</f>
        <v>#N/A</v>
      </c>
      <c r="P3" s="34" t="e">
        <f>VLOOKUP(L3,[1]characters!$A:$J,10,FALSE)</f>
        <v>#N/A</v>
      </c>
      <c r="Q3" s="34" t="e">
        <f>VLOOKUP(L3,tables_settle_7114100!B:C,2,FALSE)</f>
        <v>#N/A</v>
      </c>
      <c r="R3" s="57">
        <f t="shared" ref="R3:R20" si="0">N3*A$36</f>
        <v>0</v>
      </c>
      <c r="S3">
        <v>190</v>
      </c>
      <c r="U3" s="29" t="s">
        <v>170</v>
      </c>
      <c r="V3" s="49">
        <f t="shared" ref="V3:V16" si="1">SUMIF(Q:Q,U3,N:N)</f>
        <v>0</v>
      </c>
    </row>
    <row r="4" spans="1:22" x14ac:dyDescent="0.15">
      <c r="A4" s="31" t="s">
        <v>39</v>
      </c>
      <c r="B4" s="31"/>
      <c r="D4" t="s">
        <v>179</v>
      </c>
      <c r="F4" t="s">
        <v>182</v>
      </c>
      <c r="H4" t="s">
        <v>188</v>
      </c>
      <c r="I4" t="s">
        <v>189</v>
      </c>
      <c r="L4" s="1"/>
      <c r="M4" s="34" t="e">
        <f>VLOOKUP(L4,[1]characters!$A:$C,3,FALSE)</f>
        <v>#N/A</v>
      </c>
      <c r="N4" s="58"/>
      <c r="O4" s="34" t="e">
        <f>VLOOKUP(L4,[1]characters!$A:$I,9,FALSE)</f>
        <v>#N/A</v>
      </c>
      <c r="P4" s="34" t="e">
        <f>VLOOKUP(L4,[1]characters!$A:$J,10,FALSE)</f>
        <v>#N/A</v>
      </c>
      <c r="Q4" s="34" t="e">
        <f>VLOOKUP(L4,tables_settle_7114100!B:C,2,FALSE)</f>
        <v>#N/A</v>
      </c>
      <c r="R4" s="57">
        <f t="shared" si="0"/>
        <v>0</v>
      </c>
      <c r="S4">
        <v>191</v>
      </c>
      <c r="U4" s="29" t="s">
        <v>74</v>
      </c>
      <c r="V4" s="49">
        <f t="shared" si="1"/>
        <v>0</v>
      </c>
    </row>
    <row r="5" spans="1:22" x14ac:dyDescent="0.15">
      <c r="A5" s="29" t="s">
        <v>54</v>
      </c>
      <c r="B5" s="67">
        <f>1-B6-B7-B8</f>
        <v>0</v>
      </c>
      <c r="D5" t="s">
        <v>180</v>
      </c>
      <c r="E5" s="40">
        <f>(B11-H5)/(F5-I5)</f>
        <v>7.1428571428571429E-4</v>
      </c>
      <c r="F5">
        <f>(COUNTIF(tables_settle_7114100!C:C,input_settle_7114100!A26)+COUNTIF(tables_settle_7114100!C:C,input_settle_7114100!A28)+COUNTIF(tables_settle_7114100!C:C,input_settle_7114100!A29))</f>
        <v>42</v>
      </c>
      <c r="H5" s="75">
        <v>0</v>
      </c>
      <c r="I5" s="28">
        <v>0</v>
      </c>
      <c r="L5" s="1"/>
      <c r="M5" s="34" t="e">
        <f>VLOOKUP(L5,[1]characters!$A:$C,3,FALSE)</f>
        <v>#N/A</v>
      </c>
      <c r="N5" s="58"/>
      <c r="O5" s="34" t="e">
        <f>VLOOKUP(L5,[1]characters!$A:$I,9,FALSE)</f>
        <v>#N/A</v>
      </c>
      <c r="P5" s="34" t="e">
        <f>VLOOKUP(L5,[1]characters!$A:$J,10,FALSE)</f>
        <v>#N/A</v>
      </c>
      <c r="Q5" s="34" t="e">
        <f>VLOOKUP(L5,tables_settle_7114100!B:C,2,FALSE)</f>
        <v>#N/A</v>
      </c>
      <c r="R5" s="57">
        <f>N5*A$36</f>
        <v>0</v>
      </c>
      <c r="S5">
        <v>192</v>
      </c>
      <c r="U5" s="29" t="s">
        <v>75</v>
      </c>
      <c r="V5" s="49">
        <f t="shared" si="1"/>
        <v>0</v>
      </c>
    </row>
    <row r="6" spans="1:22" x14ac:dyDescent="0.15">
      <c r="A6" s="29" t="s">
        <v>55</v>
      </c>
      <c r="B6" s="67">
        <v>0</v>
      </c>
      <c r="D6" t="s">
        <v>181</v>
      </c>
      <c r="E6" s="71" t="e">
        <f>(B10-H6)/(F6-I6)</f>
        <v>#DIV/0!</v>
      </c>
      <c r="F6">
        <f>(COUNTIF(tables_settle_7114100!C:C,input_settle_7114100!A18)+COUNTIF(tables_settle_7114100!C:C,input_settle_7114100!A20)+COUNTIF(tables_settle_7114100!C:C,input_settle_7114100!A22))</f>
        <v>0</v>
      </c>
      <c r="H6" s="75">
        <v>0</v>
      </c>
      <c r="I6" s="28">
        <v>0</v>
      </c>
      <c r="L6" s="1"/>
      <c r="M6" s="34" t="e">
        <f>VLOOKUP(L6,[1]characters!$A:$C,3,FALSE)</f>
        <v>#N/A</v>
      </c>
      <c r="N6" s="58"/>
      <c r="O6" s="34" t="e">
        <f>VLOOKUP(L6,[1]characters!$A:$I,9,FALSE)</f>
        <v>#N/A</v>
      </c>
      <c r="P6" s="34" t="e">
        <f>VLOOKUP(L6,[1]characters!$A:$J,10,FALSE)</f>
        <v>#N/A</v>
      </c>
      <c r="Q6" s="34" t="e">
        <f>VLOOKUP(L6,tables_settle_7114100!B:C,2,FALSE)</f>
        <v>#N/A</v>
      </c>
      <c r="R6" s="57">
        <f t="shared" si="0"/>
        <v>0</v>
      </c>
      <c r="S6">
        <v>596</v>
      </c>
      <c r="U6" s="29" t="s">
        <v>76</v>
      </c>
      <c r="V6" s="49">
        <f t="shared" si="1"/>
        <v>0</v>
      </c>
    </row>
    <row r="7" spans="1:22" x14ac:dyDescent="0.15">
      <c r="A7" s="29" t="s">
        <v>56</v>
      </c>
      <c r="B7" s="67">
        <v>1</v>
      </c>
      <c r="L7" s="1"/>
      <c r="M7" s="34" t="e">
        <f>VLOOKUP(L7,[1]characters!$A:$C,3,FALSE)</f>
        <v>#N/A</v>
      </c>
      <c r="N7" s="58"/>
      <c r="O7" s="34" t="e">
        <f>VLOOKUP(L7,[1]characters!$A:$I,9,FALSE)</f>
        <v>#N/A</v>
      </c>
      <c r="P7" s="34" t="e">
        <f>VLOOKUP(L7,[1]characters!$A:$J,10,FALSE)</f>
        <v>#N/A</v>
      </c>
      <c r="Q7" s="34" t="e">
        <f>VLOOKUP(L7,tables_settle_7114100!B:C,2,FALSE)</f>
        <v>#N/A</v>
      </c>
      <c r="R7" s="57">
        <f t="shared" si="0"/>
        <v>0</v>
      </c>
      <c r="S7">
        <v>597</v>
      </c>
      <c r="U7" s="29" t="s">
        <v>175</v>
      </c>
      <c r="V7" s="49">
        <f t="shared" si="1"/>
        <v>0</v>
      </c>
    </row>
    <row r="8" spans="1:22" x14ac:dyDescent="0.15">
      <c r="A8" s="52"/>
      <c r="B8" s="66"/>
      <c r="L8" s="1"/>
      <c r="M8" s="34" t="e">
        <f>VLOOKUP(L8,[1]characters!$A:$C,3,FALSE)</f>
        <v>#N/A</v>
      </c>
      <c r="N8" s="58"/>
      <c r="O8" s="34" t="e">
        <f>VLOOKUP(L8,[1]characters!$A:$I,9,FALSE)</f>
        <v>#N/A</v>
      </c>
      <c r="P8" s="34" t="e">
        <f>VLOOKUP(L8,[1]characters!$A:$J,10,FALSE)</f>
        <v>#N/A</v>
      </c>
      <c r="Q8" s="34" t="e">
        <f>VLOOKUP(L8,tables_settle_7114100!B:C,2,FALSE)</f>
        <v>#N/A</v>
      </c>
      <c r="R8" s="57">
        <f t="shared" si="0"/>
        <v>0</v>
      </c>
      <c r="S8">
        <v>598</v>
      </c>
      <c r="U8" s="29" t="s">
        <v>176</v>
      </c>
      <c r="V8" s="49">
        <f t="shared" si="1"/>
        <v>0</v>
      </c>
    </row>
    <row r="9" spans="1:22" x14ac:dyDescent="0.15">
      <c r="A9" s="32" t="s">
        <v>40</v>
      </c>
      <c r="B9" s="32"/>
      <c r="M9" s="34" t="e">
        <f>VLOOKUP(L9,[1]characters!$A:$C,3,FALSE)</f>
        <v>#N/A</v>
      </c>
      <c r="N9" s="58"/>
      <c r="O9" s="34" t="e">
        <f>VLOOKUP(L9,[1]characters!$A:$I,9,FALSE)</f>
        <v>#N/A</v>
      </c>
      <c r="P9" s="34" t="e">
        <f>VLOOKUP(L9,[1]characters!$A:$J,10,FALSE)</f>
        <v>#N/A</v>
      </c>
      <c r="Q9" s="34" t="e">
        <f>VLOOKUP(L9,tables_settle_7114100!B:C,2,FALSE)</f>
        <v>#N/A</v>
      </c>
      <c r="R9" s="57">
        <f t="shared" si="0"/>
        <v>0</v>
      </c>
      <c r="S9">
        <v>390</v>
      </c>
      <c r="U9" s="29" t="s">
        <v>172</v>
      </c>
      <c r="V9" s="49">
        <f t="shared" si="1"/>
        <v>0</v>
      </c>
    </row>
    <row r="10" spans="1:22" x14ac:dyDescent="0.15">
      <c r="A10" s="29" t="s">
        <v>73</v>
      </c>
      <c r="B10" s="67">
        <f>1-B11-B12-B8</f>
        <v>0.97</v>
      </c>
      <c r="C10" t="s">
        <v>187</v>
      </c>
      <c r="M10" s="34" t="e">
        <f>VLOOKUP(L10,[1]characters!$A:$C,3,FALSE)</f>
        <v>#N/A</v>
      </c>
      <c r="N10" s="58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VLOOKUP(L10,tables_settle_7114100!B:C,2,FALSE)</f>
        <v>#N/A</v>
      </c>
      <c r="R10" s="57">
        <f t="shared" si="0"/>
        <v>0</v>
      </c>
      <c r="S10">
        <v>391</v>
      </c>
      <c r="U10" s="29" t="s">
        <v>173</v>
      </c>
      <c r="V10" s="49">
        <f t="shared" si="1"/>
        <v>0</v>
      </c>
    </row>
    <row r="11" spans="1:22" x14ac:dyDescent="0.15">
      <c r="A11" s="29" t="s">
        <v>42</v>
      </c>
      <c r="B11" s="72">
        <v>0.03</v>
      </c>
      <c r="C11" t="s">
        <v>194</v>
      </c>
      <c r="M11" s="34" t="e">
        <f>VLOOKUP(L11,[1]characters!$A:$C,3,FALSE)</f>
        <v>#N/A</v>
      </c>
      <c r="N11" s="58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VLOOKUP(L11,tables_settle_7114100!B:C,2,FALSE)</f>
        <v>#N/A</v>
      </c>
      <c r="R11" s="57">
        <f t="shared" si="0"/>
        <v>0</v>
      </c>
      <c r="S11">
        <v>811</v>
      </c>
      <c r="U11" s="29" t="s">
        <v>174</v>
      </c>
      <c r="V11" s="49">
        <f t="shared" si="1"/>
        <v>0</v>
      </c>
    </row>
    <row r="12" spans="1:22" x14ac:dyDescent="0.15">
      <c r="A12" s="29" t="s">
        <v>41</v>
      </c>
      <c r="B12" s="30">
        <v>0</v>
      </c>
      <c r="M12" s="34" t="e">
        <f>VLOOKUP(L12,[1]characters!$A:$C,3,FALSE)</f>
        <v>#N/A</v>
      </c>
      <c r="N12" s="58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VLOOKUP(L12,tables_settle_7114100!B:C,2,FALSE)</f>
        <v>#N/A</v>
      </c>
      <c r="R12" s="57">
        <f t="shared" si="0"/>
        <v>0</v>
      </c>
      <c r="S12">
        <v>496</v>
      </c>
      <c r="U12" s="29" t="s">
        <v>82</v>
      </c>
      <c r="V12" s="49">
        <f t="shared" si="1"/>
        <v>0</v>
      </c>
    </row>
    <row r="13" spans="1:22" x14ac:dyDescent="0.15">
      <c r="M13" s="34" t="e">
        <f>VLOOKUP(L13,[1]characters!$A:$C,3,FALSE)</f>
        <v>#N/A</v>
      </c>
      <c r="N13" s="58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VLOOKUP(L13,tables_settle_7114100!B:C,2,FALSE)</f>
        <v>#N/A</v>
      </c>
      <c r="R13" s="57">
        <f t="shared" si="0"/>
        <v>0</v>
      </c>
      <c r="S13">
        <v>497</v>
      </c>
      <c r="U13" s="29" t="s">
        <v>83</v>
      </c>
      <c r="V13" s="49">
        <f t="shared" si="1"/>
        <v>0</v>
      </c>
    </row>
    <row r="14" spans="1:22" x14ac:dyDescent="0.15">
      <c r="M14" s="34" t="e">
        <f>VLOOKUP(L14,[1]characters!$A:$C,3,FALSE)</f>
        <v>#N/A</v>
      </c>
      <c r="N14" s="58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VLOOKUP(L14,tables_settle_7114100!B:C,2,FALSE)</f>
        <v>#N/A</v>
      </c>
      <c r="R14" s="57">
        <f t="shared" si="0"/>
        <v>0</v>
      </c>
      <c r="S14">
        <v>498</v>
      </c>
      <c r="U14" s="29" t="s">
        <v>178</v>
      </c>
      <c r="V14" s="49">
        <f t="shared" si="1"/>
        <v>0</v>
      </c>
    </row>
    <row r="15" spans="1:22" x14ac:dyDescent="0.15">
      <c r="A15" s="33" t="s">
        <v>43</v>
      </c>
      <c r="B15" s="33"/>
      <c r="C15" t="s">
        <v>69</v>
      </c>
      <c r="M15" s="34" t="e">
        <f>VLOOKUP(L15,[1]characters!$A:$C,3,FALSE)</f>
        <v>#N/A</v>
      </c>
      <c r="N15" s="58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VLOOKUP(L15,tables_settle_7114100!B:C,2,FALSE)</f>
        <v>#N/A</v>
      </c>
      <c r="R15" s="57">
        <f t="shared" si="0"/>
        <v>0</v>
      </c>
      <c r="S15">
        <v>395</v>
      </c>
      <c r="U15" s="29" t="s">
        <v>177</v>
      </c>
      <c r="V15" s="49">
        <f t="shared" si="1"/>
        <v>0</v>
      </c>
    </row>
    <row r="16" spans="1:22" x14ac:dyDescent="0.15">
      <c r="A16" s="29" t="s">
        <v>46</v>
      </c>
      <c r="B16" s="29" t="s">
        <v>171</v>
      </c>
      <c r="C16" s="34" t="s">
        <v>47</v>
      </c>
      <c r="D16" s="34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4" t="e">
        <f>VLOOKUP(L16,[1]characters!$A:$C,3,FALSE)</f>
        <v>#N/A</v>
      </c>
      <c r="N16" s="58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VLOOKUP(L16,tables_settle_7114100!B:C,2,FALSE)</f>
        <v>#N/A</v>
      </c>
      <c r="R16" s="57">
        <f t="shared" si="0"/>
        <v>0</v>
      </c>
      <c r="S16">
        <v>396</v>
      </c>
      <c r="U16" s="29" t="s">
        <v>84</v>
      </c>
      <c r="V16" s="49">
        <f t="shared" si="1"/>
        <v>0</v>
      </c>
    </row>
    <row r="17" spans="1:19" x14ac:dyDescent="0.15">
      <c r="A17" s="29" t="s">
        <v>169</v>
      </c>
      <c r="B17" s="79">
        <v>0</v>
      </c>
      <c r="C17" s="69">
        <f t="shared" ref="C17:C31" si="2">SUMIF(Q:Q,A17,N:N)</f>
        <v>0</v>
      </c>
      <c r="D17" s="70">
        <f t="shared" ref="D17:D32" si="3">B17-C17</f>
        <v>0</v>
      </c>
      <c r="E17">
        <f>COUNTIF(tables_settle_7114100!C:C,input_settle_7114100!A17)-COUNTIF(Q:Q,A17)</f>
        <v>0</v>
      </c>
      <c r="F17" s="40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4" t="e">
        <f>VLOOKUP(L17,[1]characters!$A:$C,3,FALSE)</f>
        <v>#N/A</v>
      </c>
      <c r="N17" s="58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VLOOKUP(L17,tables_settle_7114100!B:C,2,FALSE)</f>
        <v>#N/A</v>
      </c>
      <c r="R17" s="57">
        <f t="shared" si="0"/>
        <v>0</v>
      </c>
      <c r="S17">
        <v>397</v>
      </c>
    </row>
    <row r="18" spans="1:19" x14ac:dyDescent="0.15">
      <c r="A18" s="29" t="s">
        <v>170</v>
      </c>
      <c r="B18" s="79">
        <v>0</v>
      </c>
      <c r="C18" s="69">
        <f t="shared" si="2"/>
        <v>0</v>
      </c>
      <c r="D18" s="70">
        <f t="shared" si="3"/>
        <v>0</v>
      </c>
      <c r="E18">
        <f>COUNTIF(tables_settle_7114100!C:C,input_settle_7114100!A18)-COUNTIF(Q:Q,A18)</f>
        <v>0</v>
      </c>
      <c r="F18" s="40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4" t="e">
        <f>VLOOKUP(L18,[1]characters!$A:$C,3,FALSE)</f>
        <v>#N/A</v>
      </c>
      <c r="N18" s="58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VLOOKUP(L18,tables_settle_7114100!B:C,2,FALSE)</f>
        <v>#N/A</v>
      </c>
      <c r="R18" s="57">
        <f t="shared" si="0"/>
        <v>0</v>
      </c>
      <c r="S18">
        <v>324</v>
      </c>
    </row>
    <row r="19" spans="1:19" x14ac:dyDescent="0.15">
      <c r="A19" s="29" t="s">
        <v>74</v>
      </c>
      <c r="B19" s="51">
        <v>0</v>
      </c>
      <c r="C19" s="69">
        <f t="shared" si="2"/>
        <v>0</v>
      </c>
      <c r="D19" s="70">
        <f t="shared" si="3"/>
        <v>0</v>
      </c>
      <c r="E19">
        <f>COUNTIF(tables_settle_7114100!C:C,input_settle_7114100!A19)-COUNTIF(Q:Q,A19)</f>
        <v>0</v>
      </c>
      <c r="F19" s="40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4" t="e">
        <f>VLOOKUP(L19,[1]characters!$A:$C,3,FALSE)</f>
        <v>#N/A</v>
      </c>
      <c r="N19" s="58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VLOOKUP(L19,tables_settle_7114100!B:C,2,FALSE)</f>
        <v>#N/A</v>
      </c>
      <c r="R19" s="57">
        <f t="shared" si="0"/>
        <v>0</v>
      </c>
      <c r="S19">
        <v>325</v>
      </c>
    </row>
    <row r="20" spans="1:19" x14ac:dyDescent="0.15">
      <c r="A20" s="29" t="s">
        <v>75</v>
      </c>
      <c r="B20" s="51">
        <v>0</v>
      </c>
      <c r="C20" s="69">
        <f t="shared" si="2"/>
        <v>0</v>
      </c>
      <c r="D20" s="70">
        <f t="shared" si="3"/>
        <v>0</v>
      </c>
      <c r="E20">
        <f>COUNTIF(tables_settle_7114100!C:C,input_settle_7114100!A20)-COUNTIF(Q:Q,A20)</f>
        <v>0</v>
      </c>
      <c r="F20" s="40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4" t="e">
        <f>VLOOKUP(L20,[1]characters!$A:$C,3,FALSE)</f>
        <v>#N/A</v>
      </c>
      <c r="N20" s="58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VLOOKUP(L20,tables_settle_7114100!B:C,2,FALSE)</f>
        <v>#N/A</v>
      </c>
      <c r="R20" s="57">
        <f t="shared" si="0"/>
        <v>0</v>
      </c>
      <c r="S20">
        <v>809</v>
      </c>
    </row>
    <row r="21" spans="1:19" x14ac:dyDescent="0.15">
      <c r="A21" s="29" t="s">
        <v>76</v>
      </c>
      <c r="B21" s="80" t="e">
        <v>#DIV/0!</v>
      </c>
      <c r="C21" s="69">
        <f t="shared" si="2"/>
        <v>0</v>
      </c>
      <c r="D21" s="70" t="e">
        <f t="shared" si="3"/>
        <v>#DIV/0!</v>
      </c>
      <c r="E21">
        <f>COUNTIF(tables_settle_7114100!C:C,input_settle_7114100!A21)-COUNTIF(Q:Q,A21)</f>
        <v>0</v>
      </c>
      <c r="F21" s="40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29" t="s">
        <v>175</v>
      </c>
      <c r="B22" s="65">
        <v>0</v>
      </c>
      <c r="C22" s="69">
        <f t="shared" si="2"/>
        <v>0</v>
      </c>
      <c r="D22" s="70">
        <f t="shared" si="3"/>
        <v>0</v>
      </c>
      <c r="E22">
        <f>COUNTIF(tables_settle_7114100!C:C,input_settle_7114100!A22)-COUNTIF(Q:Q,A22)</f>
        <v>0</v>
      </c>
      <c r="F22" s="40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29" t="s">
        <v>176</v>
      </c>
      <c r="B23" s="84" t="e">
        <f>B7-B26-B28-B29-B21</f>
        <v>#DIV/0!</v>
      </c>
      <c r="C23" s="69">
        <f t="shared" si="2"/>
        <v>0</v>
      </c>
      <c r="D23" s="70" t="e">
        <f t="shared" si="3"/>
        <v>#DIV/0!</v>
      </c>
      <c r="E23">
        <f>COUNTIF(tables_settle_7114100!C:C,input_settle_7114100!A23)-COUNTIF(Q:Q,A23)</f>
        <v>0</v>
      </c>
      <c r="F23" s="40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29" t="s">
        <v>172</v>
      </c>
      <c r="B24" s="39">
        <v>0</v>
      </c>
      <c r="C24" s="69">
        <f t="shared" si="2"/>
        <v>0</v>
      </c>
      <c r="D24" s="70">
        <f t="shared" si="3"/>
        <v>0</v>
      </c>
      <c r="E24">
        <f>COUNTIF(tables_settle_7114100!C:C,input_settle_7114100!A24)-COUNTIF(Q:Q,A24)</f>
        <v>0</v>
      </c>
      <c r="F24" s="40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29" t="s">
        <v>173</v>
      </c>
      <c r="B25" s="39">
        <v>0</v>
      </c>
      <c r="C25" s="69">
        <f t="shared" si="2"/>
        <v>0</v>
      </c>
      <c r="D25" s="70">
        <f t="shared" si="3"/>
        <v>0</v>
      </c>
      <c r="E25">
        <f>COUNTIF(tables_settle_7114100!C:C,input_settle_7114100!A25)-COUNTIF(Q:Q,A25)</f>
        <v>0</v>
      </c>
      <c r="F25" s="40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29" t="s">
        <v>174</v>
      </c>
      <c r="B26" s="39">
        <v>7.4999999999999997E-3</v>
      </c>
      <c r="C26" s="69">
        <f t="shared" si="2"/>
        <v>0</v>
      </c>
      <c r="D26" s="70">
        <f t="shared" si="3"/>
        <v>7.4999999999999997E-3</v>
      </c>
      <c r="E26">
        <f>COUNTIF(tables_settle_7114100!C:C,input_settle_7114100!A26)-COUNTIF(Q:Q,A26)</f>
        <v>4</v>
      </c>
      <c r="F26" s="40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29" t="s">
        <v>82</v>
      </c>
      <c r="B27" s="39">
        <v>0</v>
      </c>
      <c r="C27" s="69">
        <f t="shared" si="2"/>
        <v>0</v>
      </c>
      <c r="D27" s="70">
        <f t="shared" si="3"/>
        <v>0</v>
      </c>
      <c r="E27">
        <f>COUNTIF(tables_settle_7114100!C:C,input_settle_7114100!A27)-COUNTIF(Q:Q,A27)</f>
        <v>0</v>
      </c>
      <c r="F27" s="40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29" t="s">
        <v>83</v>
      </c>
      <c r="B28" s="39">
        <v>5.2499999999999998E-2</v>
      </c>
      <c r="C28" s="69">
        <f t="shared" si="2"/>
        <v>0</v>
      </c>
      <c r="D28" s="70">
        <f t="shared" si="3"/>
        <v>5.2499999999999998E-2</v>
      </c>
      <c r="E28">
        <f>COUNTIF(tables_settle_7114100!C:C,input_settle_7114100!A28)-COUNTIF(Q:Q,A28)</f>
        <v>18</v>
      </c>
      <c r="F28" s="40">
        <f t="shared" si="7"/>
        <v>2.9166666666666664E-3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29" t="s">
        <v>178</v>
      </c>
      <c r="B29" s="39">
        <v>3.7499999999999999E-3</v>
      </c>
      <c r="C29" s="69">
        <f t="shared" si="2"/>
        <v>0</v>
      </c>
      <c r="D29" s="70">
        <f t="shared" si="3"/>
        <v>3.7499999999999999E-3</v>
      </c>
      <c r="E29">
        <f>COUNTIF(tables_settle_7114100!C:C,input_settle_7114100!A29)-COUNTIF(Q:Q,A29)</f>
        <v>20</v>
      </c>
      <c r="F29" s="40">
        <f>IFERROR(B29/E29,0)</f>
        <v>1.875E-4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29" t="s">
        <v>177</v>
      </c>
      <c r="B30" s="39">
        <v>0</v>
      </c>
      <c r="C30" s="69">
        <f t="shared" si="2"/>
        <v>0</v>
      </c>
      <c r="D30" s="70">
        <f t="shared" si="3"/>
        <v>0</v>
      </c>
      <c r="E30">
        <f>COUNTIF(tables_settle_7114100!C:C,input_settle_7114100!A30)-COUNTIF(Q:Q,A30)</f>
        <v>0</v>
      </c>
      <c r="F30" s="40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29" t="s">
        <v>84</v>
      </c>
      <c r="B31" s="39">
        <v>0</v>
      </c>
      <c r="C31" s="69">
        <f t="shared" si="2"/>
        <v>0</v>
      </c>
      <c r="D31" s="70">
        <f t="shared" si="3"/>
        <v>0</v>
      </c>
      <c r="E31">
        <f>COUNTIF(tables_settle_7114100!C:C,input_settle_7114100!A31)-COUNTIF(Q:Q,A31)</f>
        <v>0</v>
      </c>
      <c r="F31" s="40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6" t="s">
        <v>45</v>
      </c>
      <c r="B32" s="37" t="e">
        <f>SUM(B17:B31)</f>
        <v>#DIV/0!</v>
      </c>
      <c r="C32" s="38">
        <f>SUM(C19:C31)</f>
        <v>0</v>
      </c>
      <c r="D32" s="39" t="e">
        <f t="shared" si="3"/>
        <v>#DIV/0!</v>
      </c>
      <c r="L32" s="52"/>
      <c r="M32" s="52"/>
      <c r="N32" s="52"/>
      <c r="O32" s="52"/>
      <c r="P32" s="52"/>
      <c r="Q32" s="52"/>
      <c r="R32" s="54"/>
    </row>
    <row r="35" spans="1:7" x14ac:dyDescent="0.15">
      <c r="A35" t="s">
        <v>59</v>
      </c>
    </row>
    <row r="36" spans="1:7" x14ac:dyDescent="0.15">
      <c r="A36" s="28">
        <f>LCM(F5-I5,F6-I6)*1000*2*2</f>
        <v>0</v>
      </c>
    </row>
    <row r="38" spans="1:7" x14ac:dyDescent="0.15">
      <c r="A38" s="44" t="s">
        <v>62</v>
      </c>
    </row>
    <row r="39" spans="1:7" x14ac:dyDescent="0.15">
      <c r="A39" s="29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29" t="s">
        <v>79</v>
      </c>
      <c r="B40">
        <f>SUMIF(tables_settle_7114100!C:C,input_settle_7114100!A40,tables_settle_7114100!O:O)</f>
        <v>0</v>
      </c>
      <c r="C40" s="49">
        <f t="shared" ref="C40:C46" si="9">B40/B$47</f>
        <v>0</v>
      </c>
      <c r="E40">
        <v>3</v>
      </c>
      <c r="F40">
        <f>SUMIF(tables_settle_7114100!J:J,input_settle_7114100!E40,tables_settle_7114100!O:O)</f>
        <v>0</v>
      </c>
      <c r="G40" t="e">
        <f>F40/A36</f>
        <v>#DIV/0!</v>
      </c>
    </row>
    <row r="41" spans="1:7" x14ac:dyDescent="0.15">
      <c r="A41" s="29" t="s">
        <v>80</v>
      </c>
      <c r="B41">
        <f>SUMIF(tables_settle_7114100!C:C,input_settle_7114100!A41,tables_settle_7114100!O:O)</f>
        <v>0</v>
      </c>
      <c r="C41" s="49">
        <f t="shared" si="9"/>
        <v>0</v>
      </c>
      <c r="E41">
        <v>4</v>
      </c>
      <c r="F41">
        <f>SUMIF(tables_settle_7114100!J:J,input_settle_7114100!E41,tables_settle_7114100!O:O)</f>
        <v>0</v>
      </c>
      <c r="G41" t="e">
        <f>F41/A36</f>
        <v>#DIV/0!</v>
      </c>
    </row>
    <row r="42" spans="1:7" x14ac:dyDescent="0.15">
      <c r="A42" s="29" t="s">
        <v>85</v>
      </c>
      <c r="B42">
        <f>SUMIF(tables_settle_7114100!C:C,input_settle_7114100!A42,tables_settle_7114100!O:O)</f>
        <v>0</v>
      </c>
      <c r="C42" s="49">
        <f t="shared" si="9"/>
        <v>0</v>
      </c>
      <c r="E42">
        <v>5</v>
      </c>
      <c r="F42">
        <f>SUMIF(tables_settle_7114100!J:J,input_settle_7114100!E42,tables_settle_7114100!O:O)</f>
        <v>420</v>
      </c>
      <c r="G42" t="e">
        <f>F42/A36</f>
        <v>#DIV/0!</v>
      </c>
    </row>
    <row r="43" spans="1:7" x14ac:dyDescent="0.15">
      <c r="A43" s="29" t="s">
        <v>86</v>
      </c>
      <c r="B43">
        <f>SUMIF(tables_settle_7114100!C:C,input_settle_7114100!A43,tables_settle_7114100!O:O)</f>
        <v>0</v>
      </c>
      <c r="C43" s="49">
        <f t="shared" si="9"/>
        <v>0</v>
      </c>
      <c r="F43" s="50"/>
    </row>
    <row r="44" spans="1:7" x14ac:dyDescent="0.15">
      <c r="A44" s="29" t="s">
        <v>81</v>
      </c>
      <c r="B44">
        <f>SUMIF(tables_settle_7114100!C:C,input_settle_7114100!A44,tables_settle_7114100!O:O)</f>
        <v>0</v>
      </c>
      <c r="C44" s="49">
        <f t="shared" si="9"/>
        <v>0</v>
      </c>
      <c r="E44" t="s">
        <v>40</v>
      </c>
      <c r="F44" s="50"/>
    </row>
    <row r="45" spans="1:7" x14ac:dyDescent="0.15">
      <c r="A45" s="29" t="s">
        <v>87</v>
      </c>
      <c r="B45">
        <f>SUMIF(tables_settle_7114100!C:C,input_settle_7114100!A45,tables_settle_7114100!O:O)</f>
        <v>180</v>
      </c>
      <c r="C45" s="49">
        <f t="shared" si="9"/>
        <v>1</v>
      </c>
      <c r="E45" t="s">
        <v>183</v>
      </c>
      <c r="F45" s="50">
        <f>SUMIF(tables_settle_7114100!I:I,input_settle_7114100!E45,tables_settle_7114100!P:P)</f>
        <v>0</v>
      </c>
    </row>
    <row r="46" spans="1:7" x14ac:dyDescent="0.15">
      <c r="A46" s="29" t="s">
        <v>88</v>
      </c>
      <c r="B46">
        <f>SUMIF(tables_settle_7114100!C:C,input_settle_7114100!A46,tables_settle_7114100!O:O)</f>
        <v>0</v>
      </c>
      <c r="C46" s="49">
        <f t="shared" si="9"/>
        <v>0</v>
      </c>
      <c r="E46" t="s">
        <v>184</v>
      </c>
      <c r="F46" s="50">
        <f>SUMIF(tables_settle_7114100!I:I,input_settle_7114100!E46,tables_settle_7114100!P:P)</f>
        <v>7.1428571428571425E-2</v>
      </c>
    </row>
    <row r="47" spans="1:7" x14ac:dyDescent="0.15">
      <c r="A47" s="36" t="s">
        <v>45</v>
      </c>
      <c r="B47">
        <f>SUM(B40:B46)</f>
        <v>180</v>
      </c>
      <c r="C47" s="50">
        <f>SUM(C40:C46)</f>
        <v>1</v>
      </c>
      <c r="E47" t="s">
        <v>185</v>
      </c>
      <c r="F47" s="50">
        <f>SUMIF(tables_settle_7114100!I:I,input_settle_7114100!E47,tables_settle_7114100!P:P)</f>
        <v>2.3809523809523808E-2</v>
      </c>
    </row>
    <row r="48" spans="1:7" x14ac:dyDescent="0.15">
      <c r="E48" t="s">
        <v>186</v>
      </c>
      <c r="F48" s="50">
        <f>SUMIF(tables_settle_7114100!I:I,input_settle_7114100!E48,tables_settle_7114100!P:P)</f>
        <v>0.8809523809523816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9"/>
  <sheetViews>
    <sheetView showGridLines="0" tabSelected="1" zoomScale="75" zoomScaleNormal="75" zoomScalePageLayoutView="75" workbookViewId="0">
      <pane ySplit="1" topLeftCell="A2" activePane="bottomLeft" state="frozen"/>
      <selection activeCell="E6" sqref="E6"/>
      <selection pane="bottomLeft" activeCell="E2" sqref="E2:E4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198</v>
      </c>
      <c r="B1" s="12" t="s">
        <v>1</v>
      </c>
      <c r="C1" s="3" t="s">
        <v>23</v>
      </c>
      <c r="D1" s="3" t="s">
        <v>199</v>
      </c>
      <c r="E1" s="3" t="s">
        <v>167</v>
      </c>
      <c r="F1" s="3" t="s">
        <v>168</v>
      </c>
      <c r="G1" s="3" t="s">
        <v>200</v>
      </c>
      <c r="H1" s="3" t="s">
        <v>201</v>
      </c>
      <c r="I1" s="3" t="s">
        <v>202</v>
      </c>
      <c r="J1" s="3" t="s">
        <v>203</v>
      </c>
      <c r="K1" s="3" t="s">
        <v>204</v>
      </c>
      <c r="L1" s="3" t="s">
        <v>205</v>
      </c>
      <c r="M1" s="3" t="s">
        <v>206</v>
      </c>
      <c r="N1" s="3" t="s">
        <v>44</v>
      </c>
      <c r="O1" s="12" t="s">
        <v>207</v>
      </c>
      <c r="P1" s="3" t="s">
        <v>49</v>
      </c>
      <c r="Q1" s="12" t="s">
        <v>208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 t="str">
        <f ca="1">input_settle_7114100!A$2</f>
        <v>7114100</v>
      </c>
      <c r="B2" s="6">
        <v>168</v>
      </c>
      <c r="C2" s="7" t="str">
        <f t="shared" ref="C2:C9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2">
        <v>10</v>
      </c>
      <c r="P2" s="43">
        <f t="shared" ref="P2:P43" si="1">O2/SUM(O:O)</f>
        <v>2.3809523809523808E-2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 t="str">
        <f ca="1">input_settle_7114100!A$2</f>
        <v>7114100</v>
      </c>
      <c r="B3" s="6">
        <v>171</v>
      </c>
      <c r="C3" s="7" t="str">
        <f t="shared" si="0"/>
        <v>Premium5R6release</v>
      </c>
      <c r="D3" s="7" t="str">
        <f t="shared" ref="D3:D43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2">
        <v>10</v>
      </c>
      <c r="P3" s="43">
        <f t="shared" si="1"/>
        <v>2.3809523809523808E-2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 t="str">
        <f ca="1">input_settle_7114100!A$2</f>
        <v>7114100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2">
        <v>10</v>
      </c>
      <c r="P4" s="43">
        <f t="shared" si="1"/>
        <v>2.3809523809523808E-2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 t="str">
        <f ca="1">input_settle_7114100!A$2</f>
        <v>7114100</v>
      </c>
      <c r="B5" s="5">
        <v>237</v>
      </c>
      <c r="C5" s="7" t="str">
        <f t="shared" si="0"/>
        <v>Premium5R6release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2">
        <v>10</v>
      </c>
      <c r="P5" s="43">
        <f t="shared" si="1"/>
        <v>2.3809523809523808E-2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 t="str">
        <f ca="1">input_settle_7114100!A$2</f>
        <v>7114100</v>
      </c>
      <c r="B6" s="55">
        <v>732</v>
      </c>
      <c r="C6" s="7" t="str">
        <f t="shared" si="0"/>
        <v>PremiumSS5R5only</v>
      </c>
      <c r="D6" s="7" t="str">
        <f t="shared" si="2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2">
        <v>10</v>
      </c>
      <c r="P6" s="43">
        <f t="shared" si="1"/>
        <v>2.3809523809523808E-2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 t="str">
        <f ca="1">input_settle_7114100!A$2</f>
        <v>7114100</v>
      </c>
      <c r="B7" s="55">
        <v>734</v>
      </c>
      <c r="C7" s="7" t="str">
        <f t="shared" si="0"/>
        <v>PremiumSS5R5only</v>
      </c>
      <c r="D7" s="7" t="str">
        <f t="shared" si="2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</v>
      </c>
      <c r="P7" s="43">
        <f t="shared" si="1"/>
        <v>2.3809523809523808E-2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 t="str">
        <f ca="1">input_settle_7114100!A$2</f>
        <v>7114100</v>
      </c>
      <c r="B8" s="55">
        <v>325</v>
      </c>
      <c r="C8" s="7" t="str">
        <f t="shared" si="0"/>
        <v>PremiumSS5</v>
      </c>
      <c r="D8" s="7" t="str">
        <f t="shared" si="2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2">
        <v>10</v>
      </c>
      <c r="P8" s="43">
        <f t="shared" si="1"/>
        <v>2.3809523809523808E-2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 t="str">
        <f ca="1">input_settle_7114100!A$2</f>
        <v>7114100</v>
      </c>
      <c r="B9" s="55">
        <v>391</v>
      </c>
      <c r="C9" s="7" t="str">
        <f t="shared" si="0"/>
        <v>PremiumSS5</v>
      </c>
      <c r="D9" s="7" t="str">
        <f t="shared" si="2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2">
        <v>10</v>
      </c>
      <c r="P9" s="43">
        <f t="shared" si="1"/>
        <v>2.3809523809523808E-2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 t="str">
        <f ca="1">input_settle_7114100!A$2</f>
        <v>7114100</v>
      </c>
      <c r="B10" s="55">
        <v>848</v>
      </c>
      <c r="C10" s="7" t="str">
        <f t="shared" ref="C10:C11" si="3">D10&amp;J10&amp;E10&amp;F10&amp;G10</f>
        <v>PremiumSS5R5only</v>
      </c>
      <c r="D10" s="7" t="str">
        <f t="shared" si="2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2">
        <v>10</v>
      </c>
      <c r="P10" s="43">
        <f t="shared" si="1"/>
        <v>2.3809523809523808E-2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 t="str">
        <f ca="1">input_settle_7114100!A$2</f>
        <v>7114100</v>
      </c>
      <c r="B11" s="55">
        <v>850</v>
      </c>
      <c r="C11" s="7" t="str">
        <f t="shared" si="3"/>
        <v>PremiumSS5R5only</v>
      </c>
      <c r="D11" s="7" t="str">
        <f t="shared" si="2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2">
        <v>10</v>
      </c>
      <c r="P11" s="43">
        <f t="shared" si="1"/>
        <v>2.3809523809523808E-2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 t="str">
        <f ca="1">input_settle_7114100!A$2</f>
        <v>7114100</v>
      </c>
      <c r="B12" s="55">
        <v>404</v>
      </c>
      <c r="C12" s="7" t="str">
        <f t="shared" ref="C12:C13" si="4">D12&amp;J12&amp;E12&amp;F12&amp;G12</f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2">
        <v>10</v>
      </c>
      <c r="P12" s="43">
        <f t="shared" si="1"/>
        <v>2.3809523809523808E-2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 t="str">
        <f ca="1">input_settle_7114100!A$2</f>
        <v>7114100</v>
      </c>
      <c r="B13" s="55">
        <v>399</v>
      </c>
      <c r="C13" s="7" t="str">
        <f t="shared" si="4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v>10</v>
      </c>
      <c r="P13" s="43">
        <f t="shared" si="1"/>
        <v>2.3809523809523808E-2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 t="str">
        <f ca="1">input_settle_7114100!A$2</f>
        <v>7114100</v>
      </c>
      <c r="B14" s="55">
        <v>866</v>
      </c>
      <c r="C14" s="7" t="str">
        <f t="shared" ref="C14:C15" si="5">D14&amp;J14&amp;E14&amp;F14&amp;G14</f>
        <v>PremiumSS5R5only</v>
      </c>
      <c r="D14" s="7" t="str">
        <f t="shared" si="2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2">
        <v>10</v>
      </c>
      <c r="P14" s="43">
        <f t="shared" si="1"/>
        <v>2.3809523809523808E-2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 t="str">
        <f ca="1">input_settle_7114100!A$2</f>
        <v>7114100</v>
      </c>
      <c r="B15" s="55">
        <v>868</v>
      </c>
      <c r="C15" s="7" t="str">
        <f t="shared" si="5"/>
        <v>PremiumSS5R5only</v>
      </c>
      <c r="D15" s="7" t="str">
        <f t="shared" si="2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2">
        <v>10</v>
      </c>
      <c r="P15" s="43">
        <f t="shared" si="1"/>
        <v>2.3809523809523808E-2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 t="str">
        <f ca="1">input_settle_7114100!A$2</f>
        <v>7114100</v>
      </c>
      <c r="B16" s="81">
        <v>435</v>
      </c>
      <c r="C16" s="7" t="str">
        <f t="shared" ref="C16:C17" si="6">D16&amp;J16&amp;E16&amp;F16&amp;G16</f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2">
        <v>10</v>
      </c>
      <c r="P16" s="43">
        <f t="shared" si="1"/>
        <v>2.3809523809523808E-2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 t="str">
        <f ca="1">input_settle_7114100!A$2</f>
        <v>7114100</v>
      </c>
      <c r="B17" s="81">
        <v>468</v>
      </c>
      <c r="C17" s="7" t="str">
        <f t="shared" si="6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2">
        <v>10</v>
      </c>
      <c r="P17" s="43">
        <f t="shared" si="1"/>
        <v>2.3809523809523808E-2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 t="str">
        <f ca="1">input_settle_7114100!A$2</f>
        <v>7114100</v>
      </c>
      <c r="B18" s="81">
        <v>493</v>
      </c>
      <c r="C18" s="7" t="str">
        <f t="shared" ref="C18:C19" si="7">D18&amp;J18&amp;E18&amp;F18&amp;G18</f>
        <v>PremiumSS5</v>
      </c>
      <c r="D18" s="7" t="str">
        <f t="shared" si="2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2">
        <v>10</v>
      </c>
      <c r="P18" s="43">
        <f t="shared" si="1"/>
        <v>2.3809523809523808E-2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 t="str">
        <f ca="1">input_settle_7114100!A$2</f>
        <v>7114100</v>
      </c>
      <c r="B19" s="81">
        <v>495</v>
      </c>
      <c r="C19" s="7" t="str">
        <f t="shared" si="7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2">
        <v>10</v>
      </c>
      <c r="P19" s="43">
        <f t="shared" si="1"/>
        <v>2.3809523809523808E-2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 t="str">
        <f ca="1">input_settle_7114100!A$2</f>
        <v>7114100</v>
      </c>
      <c r="B20" s="81">
        <v>659</v>
      </c>
      <c r="C20" s="7" t="str">
        <f t="shared" ref="C20:C23" si="8">D20&amp;J20&amp;E20&amp;F20&amp;G20</f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跳梁する化猫 クルミ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animal</v>
      </c>
      <c r="N20" s="7" t="str">
        <f>VLOOKUP(B20,[1]characters!$A:$G,7,FALSE)</f>
        <v>女性</v>
      </c>
      <c r="O20" s="42">
        <v>10</v>
      </c>
      <c r="P20" s="43">
        <f t="shared" si="1"/>
        <v>2.3809523809523808E-2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 t="str">
        <f ca="1">input_settle_7114100!A$2</f>
        <v>7114100</v>
      </c>
      <c r="B21" s="81">
        <v>661</v>
      </c>
      <c r="C21" s="7" t="str">
        <f t="shared" si="8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42">
        <v>10</v>
      </c>
      <c r="P21" s="43">
        <f t="shared" si="1"/>
        <v>2.3809523809523808E-2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 t="str">
        <f ca="1">input_settle_7114100!A$2</f>
        <v>7114100</v>
      </c>
      <c r="B22" s="81">
        <v>500</v>
      </c>
      <c r="C22" s="7" t="str">
        <f t="shared" si="8"/>
        <v>PremiumSS5</v>
      </c>
      <c r="D22" s="7" t="str">
        <f t="shared" si="2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脈動の禁髪 ラプンツェル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v>10</v>
      </c>
      <c r="P22" s="43">
        <f t="shared" si="1"/>
        <v>2.3809523809523808E-2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 t="str">
        <f ca="1">input_settle_7114100!A$2</f>
        <v>7114100</v>
      </c>
      <c r="B23" s="81">
        <v>603</v>
      </c>
      <c r="C23" s="7" t="str">
        <f t="shared" si="8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2">
        <v>10</v>
      </c>
      <c r="P23" s="43">
        <f t="shared" si="1"/>
        <v>2.3809523809523808E-2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 t="str">
        <f ca="1">input_settle_7114100!A$2</f>
        <v>7114100</v>
      </c>
      <c r="B24" s="81">
        <v>742</v>
      </c>
      <c r="C24" s="7" t="str">
        <f t="shared" ref="C24:C25" si="9">D24&amp;J24&amp;E24&amp;F24&amp;G24</f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42">
        <v>10</v>
      </c>
      <c r="P24" s="43">
        <f t="shared" si="1"/>
        <v>2.3809523809523808E-2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 t="str">
        <f ca="1">input_settle_7114100!A$2</f>
        <v>7114100</v>
      </c>
      <c r="B25" s="81">
        <v>744</v>
      </c>
      <c r="C25" s="7" t="str">
        <f t="shared" si="9"/>
        <v>PremiumSS5R5only</v>
      </c>
      <c r="D25" s="7" t="str">
        <f t="shared" si="2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ヘルメス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technical</v>
      </c>
      <c r="M25" s="7" t="str">
        <f>VLOOKUP(B25,[1]characters!$A:$M,13,FALSE)</f>
        <v>god</v>
      </c>
      <c r="N25" s="7" t="str">
        <f>VLOOKUP(B25,[1]characters!$A:$G,7,FALSE)</f>
        <v>男性</v>
      </c>
      <c r="O25" s="42">
        <v>10</v>
      </c>
      <c r="P25" s="43">
        <f t="shared" si="1"/>
        <v>2.3809523809523808E-2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 t="str">
        <f ca="1">input_settle_7114100!A$2</f>
        <v>7114100</v>
      </c>
      <c r="B26" s="81">
        <v>937</v>
      </c>
      <c r="C26" s="7" t="str">
        <f t="shared" ref="C26:C27" si="10">D26&amp;J26&amp;E26&amp;F26&amp;G26</f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ナポレオン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human</v>
      </c>
      <c r="N26" s="7" t="str">
        <f>VLOOKUP(B26,[1]characters!$A:$G,7,FALSE)</f>
        <v>男性</v>
      </c>
      <c r="O26" s="42">
        <v>10</v>
      </c>
      <c r="P26" s="43">
        <f t="shared" si="1"/>
        <v>2.3809523809523808E-2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 t="str">
        <f ca="1">input_settle_7114100!A$2</f>
        <v>7114100</v>
      </c>
      <c r="B27" s="81">
        <v>941</v>
      </c>
      <c r="C27" s="7" t="str">
        <f t="shared" si="10"/>
        <v>PremiumSS5R5only</v>
      </c>
      <c r="D27" s="7" t="str">
        <f t="shared" si="2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アントワネット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2">
        <v>10</v>
      </c>
      <c r="P27" s="43">
        <f t="shared" si="1"/>
        <v>2.3809523809523808E-2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 t="str">
        <f ca="1">input_settle_7114100!A$2</f>
        <v>7114100</v>
      </c>
      <c r="B28" s="81">
        <v>943</v>
      </c>
      <c r="C28" s="7" t="str">
        <f t="shared" ref="C28" si="11">D28&amp;J28&amp;E28&amp;F28&amp;G28</f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サンソン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男性</v>
      </c>
      <c r="O28" s="42">
        <v>10</v>
      </c>
      <c r="P28" s="43">
        <f t="shared" si="1"/>
        <v>2.3809523809523808E-2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 t="str">
        <f ca="1">input_settle_7114100!A$2</f>
        <v>7114100</v>
      </c>
      <c r="B29" s="81">
        <v>321</v>
      </c>
      <c r="C29" s="7" t="str">
        <f t="shared" ref="C29:C30" si="12">D29&amp;J29&amp;E29&amp;F29&amp;G29</f>
        <v>PremiumSS5</v>
      </c>
      <c r="D29" s="7" t="str">
        <f t="shared" si="2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巌鉄の烈志士 近藤勇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hp</v>
      </c>
      <c r="M29" s="7" t="str">
        <f>VLOOKUP(B29,[1]characters!$A:$M,13,FALSE)</f>
        <v>human</v>
      </c>
      <c r="N29" s="7" t="str">
        <f>VLOOKUP(B29,[1]characters!$A:$G,7,FALSE)</f>
        <v>男性</v>
      </c>
      <c r="O29" s="42">
        <v>10</v>
      </c>
      <c r="P29" s="43">
        <f t="shared" si="1"/>
        <v>2.3809523809523808E-2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 t="str">
        <f ca="1">input_settle_7114100!A$2</f>
        <v>7114100</v>
      </c>
      <c r="B30" s="81">
        <v>466</v>
      </c>
      <c r="C30" s="7" t="str">
        <f t="shared" si="12"/>
        <v>PremiumSS5</v>
      </c>
      <c r="D30" s="7" t="str">
        <f t="shared" si="2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真断の勇覇 ランスロット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42">
        <v>10</v>
      </c>
      <c r="P30" s="43">
        <f t="shared" si="1"/>
        <v>2.3809523809523808E-2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 t="str">
        <f ca="1">input_settle_7114100!A$2</f>
        <v>7114100</v>
      </c>
      <c r="B31" s="81">
        <v>1012</v>
      </c>
      <c r="C31" s="7" t="str">
        <f t="shared" ref="C31:C33" si="13">D31&amp;J31&amp;E31&amp;F31&amp;G31</f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ラー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god</v>
      </c>
      <c r="N31" s="7" t="str">
        <f>VLOOKUP(B31,[1]characters!$A:$G,7,FALSE)</f>
        <v>男性</v>
      </c>
      <c r="O31" s="42">
        <v>10</v>
      </c>
      <c r="P31" s="43">
        <f t="shared" si="1"/>
        <v>2.3809523809523808E-2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 t="str">
        <f ca="1">input_settle_7114100!A$2</f>
        <v>7114100</v>
      </c>
      <c r="B32" s="81">
        <v>1014</v>
      </c>
      <c r="C32" s="7" t="str">
        <f t="shared" si="13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イシス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hp</v>
      </c>
      <c r="M32" s="7" t="str">
        <f>VLOOKUP(B32,[1]characters!$A:$M,13,FALSE)</f>
        <v>god</v>
      </c>
      <c r="N32" s="7" t="str">
        <f>VLOOKUP(B32,[1]characters!$A:$G,7,FALSE)</f>
        <v>男性</v>
      </c>
      <c r="O32" s="42">
        <v>10</v>
      </c>
      <c r="P32" s="43">
        <f t="shared" si="1"/>
        <v>2.3809523809523808E-2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 t="str">
        <f ca="1">input_settle_7114100!A$2</f>
        <v>7114100</v>
      </c>
      <c r="B33" s="81">
        <v>1018</v>
      </c>
      <c r="C33" s="7" t="str">
        <f t="shared" si="13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バステト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god</v>
      </c>
      <c r="N33" s="7" t="str">
        <f>VLOOKUP(B33,[1]characters!$A:$G,7,FALSE)</f>
        <v>男性</v>
      </c>
      <c r="O33" s="42">
        <v>10</v>
      </c>
      <c r="P33" s="43">
        <f t="shared" si="1"/>
        <v>2.3809523809523808E-2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 t="str">
        <f ca="1">input_settle_7114100!A$2</f>
        <v>7114100</v>
      </c>
      <c r="B34" s="81">
        <v>677</v>
      </c>
      <c r="C34" s="7" t="str">
        <f t="shared" ref="C34:C35" si="14">D34&amp;J34&amp;E34&amp;F34&amp;G34</f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武遊闊歩 ヴィシュヌ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attack</v>
      </c>
      <c r="M34" s="7" t="str">
        <f>VLOOKUP(B34,[1]characters!$A:$M,13,FALSE)</f>
        <v>god</v>
      </c>
      <c r="N34" s="7" t="str">
        <f>VLOOKUP(B34,[1]characters!$A:$G,7,FALSE)</f>
        <v>女性</v>
      </c>
      <c r="O34" s="42">
        <v>10</v>
      </c>
      <c r="P34" s="43">
        <f t="shared" si="1"/>
        <v>2.3809523809523808E-2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 t="str">
        <f ca="1">input_settle_7114100!A$2</f>
        <v>7114100</v>
      </c>
      <c r="B35" s="81">
        <v>675</v>
      </c>
      <c r="C35" s="7" t="str">
        <f t="shared" si="14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芸楽の奔流 サラスヴァティ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女性</v>
      </c>
      <c r="O35" s="42">
        <v>10</v>
      </c>
      <c r="P35" s="43">
        <f t="shared" si="1"/>
        <v>2.3809523809523808E-2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 t="str">
        <f ca="1">input_settle_7114100!A$2</f>
        <v>7114100</v>
      </c>
      <c r="B36" s="81">
        <v>771</v>
      </c>
      <c r="C36" s="7" t="str">
        <f t="shared" ref="C36:C37" si="15">D36&amp;J36&amp;E36&amp;F36&amp;G36</f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天織羽鶴 ハヅル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女性</v>
      </c>
      <c r="O36" s="42">
        <v>10</v>
      </c>
      <c r="P36" s="43">
        <f t="shared" si="1"/>
        <v>2.3809523809523808E-2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 t="str">
        <f ca="1">input_settle_7114100!A$2</f>
        <v>7114100</v>
      </c>
      <c r="B37" s="81">
        <v>773</v>
      </c>
      <c r="C37" s="7" t="str">
        <f t="shared" si="15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浮跳天兎 イナバ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女性</v>
      </c>
      <c r="O37" s="42">
        <v>10</v>
      </c>
      <c r="P37" s="43">
        <f t="shared" si="1"/>
        <v>2.3809523809523808E-2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 t="str">
        <f ca="1">input_settle_7114100!A$2</f>
        <v>7114100</v>
      </c>
      <c r="B38" s="5">
        <v>1028</v>
      </c>
      <c r="C38" s="7" t="str">
        <f t="shared" ref="C38:C40" si="16">D38&amp;J38&amp;E38&amp;F38&amp;G38</f>
        <v>PremiumSS5R5only</v>
      </c>
      <c r="D38" s="7" t="str">
        <f t="shared" si="2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牛若丸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green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42">
        <v>10</v>
      </c>
      <c r="P38" s="43">
        <f t="shared" si="1"/>
        <v>2.3809523809523808E-2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 t="str">
        <f ca="1">input_settle_7114100!A$2</f>
        <v>7114100</v>
      </c>
      <c r="B39" s="5">
        <v>1031</v>
      </c>
      <c r="C39" s="7" t="str">
        <f t="shared" si="16"/>
        <v>PremiumSS5R5only</v>
      </c>
      <c r="D39" s="7" t="str">
        <f t="shared" si="2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紫式部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42">
        <v>10</v>
      </c>
      <c r="P39" s="43">
        <f t="shared" si="1"/>
        <v>2.3809523809523808E-2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 t="str">
        <f ca="1">input_settle_7114100!A$2</f>
        <v>7114100</v>
      </c>
      <c r="B40" s="5">
        <v>1033</v>
      </c>
      <c r="C40" s="7" t="str">
        <f t="shared" si="16"/>
        <v>PremiumSS5R5only</v>
      </c>
      <c r="D40" s="7" t="str">
        <f t="shared" si="2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清少納言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heal</v>
      </c>
      <c r="M40" s="7" t="str">
        <f>VLOOKUP(B40,[1]characters!$A:$M,13,FALSE)</f>
        <v>human</v>
      </c>
      <c r="N40" s="7" t="str">
        <f>VLOOKUP(B40,[1]characters!$A:$G,7,FALSE)</f>
        <v>男性</v>
      </c>
      <c r="O40" s="42">
        <v>10</v>
      </c>
      <c r="P40" s="43">
        <f t="shared" si="1"/>
        <v>2.3809523809523808E-2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 t="str">
        <f ca="1">input_settle_7114100!A$2</f>
        <v>7114100</v>
      </c>
      <c r="B41" s="5">
        <v>1069</v>
      </c>
      <c r="C41" s="7" t="str">
        <f t="shared" ref="C41:C43" si="17">D41&amp;J41&amp;E41&amp;F41&amp;G41</f>
        <v>PremiumSS5R5only</v>
      </c>
      <c r="D41" s="7" t="str">
        <f t="shared" si="2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イシュタル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green</v>
      </c>
      <c r="L41" s="7" t="str">
        <f>VLOOKUP(B41,[1]characters!$A:$K,11,FALSE)</f>
        <v>technical</v>
      </c>
      <c r="M41" s="7" t="str">
        <f>VLOOKUP(B41,[1]characters!$A:$M,13,FALSE)</f>
        <v>god</v>
      </c>
      <c r="N41" s="7" t="str">
        <f>VLOOKUP(B41,[1]characters!$A:$G,7,FALSE)</f>
        <v>男性</v>
      </c>
      <c r="O41" s="42">
        <v>10</v>
      </c>
      <c r="P41" s="43">
        <f t="shared" si="1"/>
        <v>2.3809523809523808E-2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 t="str">
        <f ca="1">input_settle_7114100!A$2</f>
        <v>7114100</v>
      </c>
      <c r="B42" s="5">
        <v>1072</v>
      </c>
      <c r="C42" s="7" t="str">
        <f t="shared" si="17"/>
        <v>PremiumSS5R5only</v>
      </c>
      <c r="D42" s="7" t="str">
        <f t="shared" si="2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エンキドゥ</v>
      </c>
      <c r="I42" s="7" t="str">
        <f>VLOOKUP(B42,[1]characters!$A:$J,10,FALSE)</f>
        <v>PremiumSSw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男性</v>
      </c>
      <c r="O42" s="42">
        <v>10</v>
      </c>
      <c r="P42" s="43">
        <f t="shared" si="1"/>
        <v>2.3809523809523808E-2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 t="str">
        <f ca="1">input_settle_7114100!A$2</f>
        <v>7114100</v>
      </c>
      <c r="B43" s="5">
        <v>1074</v>
      </c>
      <c r="C43" s="7" t="str">
        <f t="shared" si="17"/>
        <v>PremiumSS5R5only</v>
      </c>
      <c r="D43" s="7" t="str">
        <f t="shared" si="2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マルドゥク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balance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v>10</v>
      </c>
      <c r="P43" s="43">
        <f t="shared" si="1"/>
        <v>2.3809523809523808E-2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K44" s="1"/>
    </row>
    <row r="45" spans="1:22" ht="21" customHeight="1" x14ac:dyDescent="0.15">
      <c r="K45" s="1"/>
    </row>
    <row r="46" spans="1:22" ht="21" customHeight="1" x14ac:dyDescent="0.15">
      <c r="K46" s="1"/>
    </row>
    <row r="47" spans="1:22" ht="21" customHeight="1" x14ac:dyDescent="0.15">
      <c r="K47" s="1"/>
    </row>
    <row r="48" spans="1:22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5" t="s">
        <v>47</v>
      </c>
      <c r="B1" s="35"/>
    </row>
    <row r="2" spans="1:2" x14ac:dyDescent="0.15">
      <c r="A2" s="29" t="s">
        <v>1</v>
      </c>
      <c r="B2" s="34" t="s">
        <v>51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29">
        <v>169</v>
      </c>
      <c r="B6" s="34" t="str">
        <f>VLOOKUP(A6,[1]characters!$A:$C,3,FALSE)</f>
        <v>オセ</v>
      </c>
    </row>
    <row r="7" spans="1:2" x14ac:dyDescent="0.15">
      <c r="A7" s="29">
        <v>170</v>
      </c>
      <c r="B7" s="34" t="str">
        <f>VLOOKUP(A7,[1]characters!$A:$C,3,FALSE)</f>
        <v>識徒 オセ</v>
      </c>
    </row>
    <row r="8" spans="1:2" x14ac:dyDescent="0.15">
      <c r="A8" s="29">
        <v>171</v>
      </c>
      <c r="B8" s="34" t="str">
        <f>VLOOKUP(A8,[1]characters!$A:$C,3,FALSE)</f>
        <v>精解の預知者 オセ</v>
      </c>
    </row>
    <row r="9" spans="1:2" x14ac:dyDescent="0.15">
      <c r="A9" s="29">
        <v>172</v>
      </c>
      <c r="B9" s="34" t="str">
        <f>VLOOKUP(A9,[1]characters!$A:$C,3,FALSE)</f>
        <v>フォルネウス</v>
      </c>
    </row>
    <row r="10" spans="1:2" x14ac:dyDescent="0.15">
      <c r="A10" s="29">
        <v>173</v>
      </c>
      <c r="B10" s="34" t="str">
        <f>VLOOKUP(A10,[1]characters!$A:$C,3,FALSE)</f>
        <v>公爵 フォルネウス</v>
      </c>
    </row>
    <row r="11" spans="1:2" x14ac:dyDescent="0.15">
      <c r="A11" s="29">
        <v>174</v>
      </c>
      <c r="B11" s="34" t="str">
        <f>VLOOKUP(A11,[1]characters!$A:$C,3,FALSE)</f>
        <v>偽愛の大公爵 フォルネウス</v>
      </c>
    </row>
    <row r="12" spans="1:2" x14ac:dyDescent="0.15">
      <c r="A12" s="29">
        <v>235</v>
      </c>
      <c r="B12" s="34" t="str">
        <f>VLOOKUP(A12,[1]characters!$A:$C,3,FALSE)</f>
        <v>イザナミ</v>
      </c>
    </row>
    <row r="13" spans="1:2" x14ac:dyDescent="0.15">
      <c r="A13" s="29">
        <v>236</v>
      </c>
      <c r="B13" s="34" t="str">
        <f>VLOOKUP(A13,[1]characters!$A:$C,3,FALSE)</f>
        <v>神産 イザナミ</v>
      </c>
    </row>
    <row r="14" spans="1:2" x14ac:dyDescent="0.15">
      <c r="A14" s="29">
        <v>237</v>
      </c>
      <c r="B14" s="34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input_settle_7114100</vt:lpstr>
      <vt:lpstr>tables_settle_7114100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2016-08-31T05:24:30Z</dcterms:modified>
</cp:coreProperties>
</file>