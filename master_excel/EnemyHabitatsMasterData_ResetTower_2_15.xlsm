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4420" yWindow="740" windowWidth="29620" windowHeight="1974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  <definedName name="_xlnm.Print_Area" localSheetId="5">enemy_skills!$A$1:$F$49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21" l="1"/>
  <c r="O10" i="21"/>
  <c r="O9" i="21"/>
  <c r="O8" i="21"/>
  <c r="O7" i="21"/>
  <c r="O6" i="21"/>
  <c r="O5" i="21"/>
  <c r="O4" i="21"/>
  <c r="O3" i="21"/>
  <c r="P11" i="21"/>
  <c r="P10" i="21"/>
  <c r="P9" i="21"/>
  <c r="P8" i="21"/>
  <c r="P7" i="21"/>
  <c r="P6" i="21"/>
  <c r="P5" i="21"/>
  <c r="P4" i="21"/>
  <c r="P3" i="21"/>
  <c r="P2" i="21"/>
  <c r="O2" i="21"/>
  <c r="AF3" i="1"/>
  <c r="AI3" i="1"/>
  <c r="J9" i="21"/>
  <c r="G9" i="21"/>
  <c r="F9" i="21"/>
  <c r="D9" i="21"/>
  <c r="C9" i="21"/>
  <c r="J8" i="21"/>
  <c r="G8" i="21"/>
  <c r="F8" i="21"/>
  <c r="D8" i="21"/>
  <c r="C8" i="21"/>
  <c r="J7" i="21"/>
  <c r="G7" i="21"/>
  <c r="F7" i="21"/>
  <c r="D7" i="21"/>
  <c r="C7" i="21"/>
  <c r="J6" i="21"/>
  <c r="G6" i="21"/>
  <c r="F6" i="21"/>
  <c r="D6" i="21"/>
  <c r="C6" i="21"/>
  <c r="J5" i="21"/>
  <c r="G5" i="21"/>
  <c r="F5" i="21"/>
  <c r="D5" i="21"/>
  <c r="C5" i="21"/>
  <c r="J4" i="21"/>
  <c r="G4" i="21"/>
  <c r="F4" i="21"/>
  <c r="D4" i="21"/>
  <c r="C4" i="21"/>
  <c r="J11" i="21"/>
  <c r="G11" i="21"/>
  <c r="F11" i="21"/>
  <c r="D11" i="21"/>
  <c r="C11" i="21"/>
  <c r="J3" i="21"/>
  <c r="G3" i="21"/>
  <c r="F3" i="21"/>
  <c r="D3" i="21"/>
  <c r="C3" i="21"/>
  <c r="M38" i="9"/>
  <c r="M39" i="9"/>
  <c r="J39" i="11"/>
  <c r="O39" i="9"/>
  <c r="N39" i="9"/>
  <c r="L39" i="9"/>
  <c r="K39" i="9"/>
  <c r="J39" i="9"/>
  <c r="I39" i="9"/>
  <c r="H39" i="9"/>
  <c r="G39" i="9"/>
  <c r="E39" i="9"/>
  <c r="D39" i="9"/>
  <c r="A39" i="9"/>
  <c r="H37" i="9"/>
  <c r="H38" i="9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J38" i="11"/>
  <c r="O38" i="9"/>
  <c r="N38" i="9"/>
  <c r="L38" i="9"/>
  <c r="K38" i="9"/>
  <c r="J38" i="9"/>
  <c r="I38" i="9"/>
  <c r="G38" i="9"/>
  <c r="E38" i="9"/>
  <c r="D38" i="9"/>
  <c r="A38" i="9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J37" i="11"/>
  <c r="O37" i="9"/>
  <c r="N37" i="9"/>
  <c r="M37" i="9"/>
  <c r="L37" i="9"/>
  <c r="K37" i="9"/>
  <c r="J37" i="9"/>
  <c r="I37" i="9"/>
  <c r="G37" i="9"/>
  <c r="E37" i="9"/>
  <c r="D37" i="9"/>
  <c r="A37" i="9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W4" i="7"/>
  <c r="W3" i="7"/>
  <c r="W2" i="7"/>
  <c r="U4" i="7"/>
  <c r="U3" i="7"/>
  <c r="U2" i="7"/>
  <c r="V2" i="1"/>
  <c r="V3" i="1"/>
  <c r="T3" i="1"/>
  <c r="T2" i="1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H40" i="9"/>
  <c r="I40" i="9"/>
  <c r="J40" i="9"/>
  <c r="K40" i="9"/>
  <c r="L40" i="9"/>
  <c r="M40" i="9"/>
  <c r="N40" i="9"/>
  <c r="H41" i="9"/>
  <c r="I41" i="9"/>
  <c r="J41" i="9"/>
  <c r="K41" i="9"/>
  <c r="L41" i="9"/>
  <c r="M41" i="9"/>
  <c r="N41" i="9"/>
  <c r="H42" i="9"/>
  <c r="I42" i="9"/>
  <c r="J42" i="9"/>
  <c r="K42" i="9"/>
  <c r="L42" i="9"/>
  <c r="M42" i="9"/>
  <c r="N42" i="9"/>
  <c r="H43" i="9"/>
  <c r="I43" i="9"/>
  <c r="J43" i="9"/>
  <c r="K43" i="9"/>
  <c r="L43" i="9"/>
  <c r="M43" i="9"/>
  <c r="N43" i="9"/>
  <c r="H44" i="9"/>
  <c r="I44" i="9"/>
  <c r="J44" i="9"/>
  <c r="K44" i="9"/>
  <c r="L44" i="9"/>
  <c r="M44" i="9"/>
  <c r="N44" i="9"/>
  <c r="H45" i="9"/>
  <c r="I45" i="9"/>
  <c r="J45" i="9"/>
  <c r="K45" i="9"/>
  <c r="L45" i="9"/>
  <c r="M45" i="9"/>
  <c r="N45" i="9"/>
  <c r="H46" i="9"/>
  <c r="I46" i="9"/>
  <c r="J46" i="9"/>
  <c r="K46" i="9"/>
  <c r="L46" i="9"/>
  <c r="M46" i="9"/>
  <c r="N46" i="9"/>
  <c r="H47" i="9"/>
  <c r="I47" i="9"/>
  <c r="J47" i="9"/>
  <c r="K47" i="9"/>
  <c r="L47" i="9"/>
  <c r="M47" i="9"/>
  <c r="N47" i="9"/>
  <c r="H48" i="9"/>
  <c r="I48" i="9"/>
  <c r="J48" i="9"/>
  <c r="K48" i="9"/>
  <c r="L48" i="9"/>
  <c r="M48" i="9"/>
  <c r="N48" i="9"/>
  <c r="H49" i="9"/>
  <c r="I49" i="9"/>
  <c r="J49" i="9"/>
  <c r="K49" i="9"/>
  <c r="L49" i="9"/>
  <c r="M49" i="9"/>
  <c r="N49" i="9"/>
  <c r="H50" i="9"/>
  <c r="I50" i="9"/>
  <c r="J50" i="9"/>
  <c r="K50" i="9"/>
  <c r="L50" i="9"/>
  <c r="M50" i="9"/>
  <c r="N50" i="9"/>
  <c r="H51" i="9"/>
  <c r="I51" i="9"/>
  <c r="J51" i="9"/>
  <c r="K51" i="9"/>
  <c r="L51" i="9"/>
  <c r="M51" i="9"/>
  <c r="N51" i="9"/>
  <c r="H52" i="9"/>
  <c r="I52" i="9"/>
  <c r="J52" i="9"/>
  <c r="K52" i="9"/>
  <c r="L52" i="9"/>
  <c r="M52" i="9"/>
  <c r="N52" i="9"/>
  <c r="J31" i="9"/>
  <c r="J52" i="11"/>
  <c r="O52" i="9"/>
  <c r="E52" i="9"/>
  <c r="D52" i="9"/>
  <c r="A52" i="9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J51" i="11"/>
  <c r="J50" i="11"/>
  <c r="J49" i="11"/>
  <c r="J48" i="11"/>
  <c r="J47" i="11"/>
  <c r="J46" i="11"/>
  <c r="J45" i="11"/>
  <c r="J44" i="11"/>
  <c r="J43" i="11"/>
  <c r="J42" i="11"/>
  <c r="J41" i="11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O51" i="9"/>
  <c r="E51" i="9"/>
  <c r="D51" i="9"/>
  <c r="A51" i="9"/>
  <c r="O50" i="9"/>
  <c r="E50" i="9"/>
  <c r="D50" i="9"/>
  <c r="A50" i="9"/>
  <c r="O49" i="9"/>
  <c r="E49" i="9"/>
  <c r="D49" i="9"/>
  <c r="A49" i="9"/>
  <c r="O48" i="9"/>
  <c r="E48" i="9"/>
  <c r="D48" i="9"/>
  <c r="A48" i="9"/>
  <c r="O47" i="9"/>
  <c r="E47" i="9"/>
  <c r="D47" i="9"/>
  <c r="A47" i="9"/>
  <c r="O46" i="9"/>
  <c r="E46" i="9"/>
  <c r="D46" i="9"/>
  <c r="A46" i="9"/>
  <c r="O45" i="9"/>
  <c r="E45" i="9"/>
  <c r="D45" i="9"/>
  <c r="A45" i="9"/>
  <c r="O44" i="9"/>
  <c r="E44" i="9"/>
  <c r="D44" i="9"/>
  <c r="A44" i="9"/>
  <c r="O43" i="9"/>
  <c r="E43" i="9"/>
  <c r="D43" i="9"/>
  <c r="A43" i="9"/>
  <c r="O42" i="9"/>
  <c r="E42" i="9"/>
  <c r="D42" i="9"/>
  <c r="A42" i="9"/>
  <c r="O41" i="9"/>
  <c r="E41" i="9"/>
  <c r="D41" i="9"/>
  <c r="A41" i="9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J29" i="11"/>
  <c r="O29" i="9"/>
  <c r="E29" i="9"/>
  <c r="D29" i="9"/>
  <c r="A29" i="9"/>
  <c r="J36" i="11"/>
  <c r="J35" i="11"/>
  <c r="O36" i="9"/>
  <c r="E36" i="9"/>
  <c r="D36" i="9"/>
  <c r="A36" i="9"/>
  <c r="J34" i="11"/>
  <c r="J33" i="11"/>
  <c r="J32" i="11"/>
  <c r="J31" i="11"/>
  <c r="J30" i="11"/>
  <c r="J28" i="11"/>
  <c r="J27" i="11"/>
  <c r="J26" i="11"/>
  <c r="O26" i="9"/>
  <c r="O27" i="9"/>
  <c r="O28" i="9"/>
  <c r="O30" i="9"/>
  <c r="O31" i="9"/>
  <c r="O32" i="9"/>
  <c r="O33" i="9"/>
  <c r="O34" i="9"/>
  <c r="O35" i="9"/>
  <c r="J40" i="11"/>
  <c r="O40" i="9"/>
  <c r="E35" i="9"/>
  <c r="D35" i="9"/>
  <c r="A35" i="9"/>
  <c r="E34" i="9"/>
  <c r="D34" i="9"/>
  <c r="A34" i="9"/>
  <c r="E33" i="9"/>
  <c r="D33" i="9"/>
  <c r="A33" i="9"/>
  <c r="E32" i="9"/>
  <c r="D32" i="9"/>
  <c r="A32" i="9"/>
  <c r="E31" i="9"/>
  <c r="D31" i="9"/>
  <c r="A31" i="9"/>
  <c r="E30" i="9"/>
  <c r="D30" i="9"/>
  <c r="A30" i="9"/>
  <c r="E28" i="9"/>
  <c r="D28" i="9"/>
  <c r="A28" i="9"/>
  <c r="E27" i="9"/>
  <c r="A27" i="9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E24" i="9"/>
  <c r="J24" i="11"/>
  <c r="O24" i="9"/>
  <c r="N24" i="9"/>
  <c r="M24" i="9"/>
  <c r="L24" i="9"/>
  <c r="K24" i="9"/>
  <c r="J24" i="9"/>
  <c r="I24" i="9"/>
  <c r="H24" i="9"/>
  <c r="G24" i="9"/>
  <c r="D24" i="9"/>
  <c r="A24" i="9"/>
  <c r="J21" i="11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7" i="11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G6" i="9"/>
  <c r="H6" i="9"/>
  <c r="I6" i="9"/>
  <c r="J6" i="9"/>
  <c r="K6" i="9"/>
  <c r="L6" i="9"/>
  <c r="M6" i="9"/>
  <c r="N6" i="9"/>
  <c r="J6" i="11"/>
  <c r="O6" i="9"/>
  <c r="G7" i="9"/>
  <c r="H7" i="9"/>
  <c r="I7" i="9"/>
  <c r="J7" i="9"/>
  <c r="K7" i="9"/>
  <c r="L7" i="9"/>
  <c r="M7" i="9"/>
  <c r="N7" i="9"/>
  <c r="O7" i="9"/>
  <c r="G8" i="9"/>
  <c r="H8" i="9"/>
  <c r="I8" i="9"/>
  <c r="J8" i="9"/>
  <c r="K8" i="9"/>
  <c r="L8" i="9"/>
  <c r="M8" i="9"/>
  <c r="N8" i="9"/>
  <c r="J8" i="11"/>
  <c r="O8" i="9"/>
  <c r="G9" i="9"/>
  <c r="H9" i="9"/>
  <c r="I9" i="9"/>
  <c r="J9" i="9"/>
  <c r="K9" i="9"/>
  <c r="L9" i="9"/>
  <c r="M9" i="9"/>
  <c r="N9" i="9"/>
  <c r="J9" i="11"/>
  <c r="O9" i="9"/>
  <c r="G10" i="9"/>
  <c r="H10" i="9"/>
  <c r="I10" i="9"/>
  <c r="J10" i="9"/>
  <c r="K10" i="9"/>
  <c r="L10" i="9"/>
  <c r="M10" i="9"/>
  <c r="N10" i="9"/>
  <c r="J10" i="11"/>
  <c r="O10" i="9"/>
  <c r="G11" i="9"/>
  <c r="H11" i="9"/>
  <c r="I11" i="9"/>
  <c r="J11" i="9"/>
  <c r="K11" i="9"/>
  <c r="L11" i="9"/>
  <c r="M11" i="9"/>
  <c r="N11" i="9"/>
  <c r="J11" i="11"/>
  <c r="O11" i="9"/>
  <c r="G12" i="9"/>
  <c r="H12" i="9"/>
  <c r="I12" i="9"/>
  <c r="J12" i="9"/>
  <c r="K12" i="9"/>
  <c r="L12" i="9"/>
  <c r="M12" i="9"/>
  <c r="N12" i="9"/>
  <c r="J12" i="11"/>
  <c r="O12" i="9"/>
  <c r="G13" i="9"/>
  <c r="H13" i="9"/>
  <c r="I13" i="9"/>
  <c r="J13" i="9"/>
  <c r="K13" i="9"/>
  <c r="L13" i="9"/>
  <c r="M13" i="9"/>
  <c r="N13" i="9"/>
  <c r="J13" i="11"/>
  <c r="O13" i="9"/>
  <c r="G14" i="9"/>
  <c r="H14" i="9"/>
  <c r="I14" i="9"/>
  <c r="J14" i="9"/>
  <c r="K14" i="9"/>
  <c r="L14" i="9"/>
  <c r="M14" i="9"/>
  <c r="N14" i="9"/>
  <c r="J14" i="11"/>
  <c r="O14" i="9"/>
  <c r="G15" i="9"/>
  <c r="H15" i="9"/>
  <c r="I15" i="9"/>
  <c r="J15" i="9"/>
  <c r="K15" i="9"/>
  <c r="L15" i="9"/>
  <c r="M15" i="9"/>
  <c r="N15" i="9"/>
  <c r="J15" i="11"/>
  <c r="O15" i="9"/>
  <c r="G16" i="9"/>
  <c r="H16" i="9"/>
  <c r="I16" i="9"/>
  <c r="J16" i="9"/>
  <c r="K16" i="9"/>
  <c r="L16" i="9"/>
  <c r="M16" i="9"/>
  <c r="N16" i="9"/>
  <c r="J16" i="11"/>
  <c r="O16" i="9"/>
  <c r="G17" i="9"/>
  <c r="H17" i="9"/>
  <c r="I17" i="9"/>
  <c r="J17" i="9"/>
  <c r="K17" i="9"/>
  <c r="L17" i="9"/>
  <c r="M17" i="9"/>
  <c r="N17" i="9"/>
  <c r="J17" i="11"/>
  <c r="O17" i="9"/>
  <c r="G18" i="9"/>
  <c r="H18" i="9"/>
  <c r="I18" i="9"/>
  <c r="J18" i="9"/>
  <c r="K18" i="9"/>
  <c r="L18" i="9"/>
  <c r="M18" i="9"/>
  <c r="N18" i="9"/>
  <c r="J18" i="11"/>
  <c r="O18" i="9"/>
  <c r="G19" i="9"/>
  <c r="H19" i="9"/>
  <c r="I19" i="9"/>
  <c r="J19" i="9"/>
  <c r="K19" i="9"/>
  <c r="L19" i="9"/>
  <c r="M19" i="9"/>
  <c r="N19" i="9"/>
  <c r="J19" i="11"/>
  <c r="O19" i="9"/>
  <c r="G20" i="9"/>
  <c r="H20" i="9"/>
  <c r="I20" i="9"/>
  <c r="J20" i="9"/>
  <c r="K20" i="9"/>
  <c r="L20" i="9"/>
  <c r="M20" i="9"/>
  <c r="N20" i="9"/>
  <c r="J20" i="11"/>
  <c r="O20" i="9"/>
  <c r="G21" i="9"/>
  <c r="H21" i="9"/>
  <c r="I21" i="9"/>
  <c r="J21" i="9"/>
  <c r="K21" i="9"/>
  <c r="L21" i="9"/>
  <c r="M21" i="9"/>
  <c r="N21" i="9"/>
  <c r="J22" i="11"/>
  <c r="O21" i="9"/>
  <c r="G22" i="9"/>
  <c r="H22" i="9"/>
  <c r="I22" i="9"/>
  <c r="J22" i="9"/>
  <c r="K22" i="9"/>
  <c r="L22" i="9"/>
  <c r="M22" i="9"/>
  <c r="N22" i="9"/>
  <c r="J23" i="11"/>
  <c r="O22" i="9"/>
  <c r="G23" i="9"/>
  <c r="H23" i="9"/>
  <c r="I23" i="9"/>
  <c r="J23" i="9"/>
  <c r="K23" i="9"/>
  <c r="L23" i="9"/>
  <c r="M23" i="9"/>
  <c r="N23" i="9"/>
  <c r="O23" i="9"/>
  <c r="J3" i="11"/>
  <c r="O3" i="9"/>
  <c r="J4" i="11"/>
  <c r="O4" i="9"/>
  <c r="J5" i="11"/>
  <c r="O5" i="9"/>
  <c r="E23" i="9"/>
  <c r="D23" i="9"/>
  <c r="A23" i="9"/>
  <c r="E22" i="9"/>
  <c r="D22" i="9"/>
  <c r="A22" i="9"/>
  <c r="E21" i="9"/>
  <c r="D21" i="9"/>
  <c r="A21" i="9"/>
  <c r="E20" i="9"/>
  <c r="D20" i="9"/>
  <c r="A20" i="9"/>
  <c r="E19" i="9"/>
  <c r="D19" i="9"/>
  <c r="A19" i="9"/>
  <c r="E18" i="9"/>
  <c r="D18" i="9"/>
  <c r="A18" i="9"/>
  <c r="E17" i="9"/>
  <c r="D17" i="9"/>
  <c r="A17" i="9"/>
  <c r="E16" i="9"/>
  <c r="D16" i="9"/>
  <c r="A16" i="9"/>
  <c r="E15" i="9"/>
  <c r="D15" i="9"/>
  <c r="A15" i="9"/>
  <c r="E14" i="9"/>
  <c r="D14" i="9"/>
  <c r="A14" i="9"/>
  <c r="E13" i="9"/>
  <c r="D13" i="9"/>
  <c r="A13" i="9"/>
  <c r="E12" i="9"/>
  <c r="D12" i="9"/>
  <c r="A12" i="9"/>
  <c r="E11" i="9"/>
  <c r="D11" i="9"/>
  <c r="A11" i="9"/>
  <c r="E10" i="9"/>
  <c r="D10" i="9"/>
  <c r="A10" i="9"/>
  <c r="E9" i="9"/>
  <c r="D9" i="9"/>
  <c r="A9" i="9"/>
  <c r="E8" i="9"/>
  <c r="D8" i="9"/>
  <c r="A8" i="9"/>
  <c r="E7" i="9"/>
  <c r="D7" i="9"/>
  <c r="A7" i="9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R2" i="7"/>
  <c r="Q2" i="7"/>
  <c r="P2" i="7"/>
  <c r="O2" i="7"/>
  <c r="N2" i="7"/>
  <c r="H2" i="7"/>
  <c r="D2" i="7"/>
  <c r="F2" i="7"/>
  <c r="E2" i="7"/>
  <c r="A2" i="7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J2" i="11"/>
  <c r="E5" i="9"/>
  <c r="D5" i="9"/>
  <c r="A5" i="9"/>
  <c r="E4" i="9"/>
  <c r="D4" i="9"/>
  <c r="A4" i="9"/>
  <c r="E3" i="9"/>
  <c r="D3" i="9"/>
  <c r="A3" i="9"/>
  <c r="E2" i="9"/>
  <c r="AD2" i="1"/>
  <c r="AF2" i="1"/>
  <c r="AI2" i="1"/>
  <c r="AG2" i="1"/>
  <c r="AE2" i="1"/>
  <c r="X2" i="1"/>
  <c r="Q2" i="1"/>
  <c r="P2" i="1"/>
  <c r="O2" i="1"/>
  <c r="N2" i="1"/>
  <c r="M2" i="1"/>
  <c r="H2" i="1"/>
  <c r="G2" i="2"/>
  <c r="A2" i="2"/>
  <c r="G3" i="2"/>
  <c r="A3" i="2"/>
  <c r="J2" i="1"/>
  <c r="I2" i="1"/>
  <c r="D2" i="1"/>
  <c r="F2" i="1"/>
  <c r="E2" i="1"/>
  <c r="A2" i="1"/>
  <c r="R3" i="7"/>
  <c r="Q3" i="7"/>
  <c r="P3" i="7"/>
  <c r="O3" i="7"/>
  <c r="N3" i="7"/>
  <c r="H3" i="7"/>
  <c r="D3" i="7"/>
  <c r="F3" i="7"/>
  <c r="E3" i="7"/>
  <c r="A3" i="7"/>
  <c r="E26" i="9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J10" i="21"/>
  <c r="G10" i="21"/>
  <c r="F10" i="21"/>
  <c r="D10" i="21"/>
  <c r="C10" i="21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E40" i="9"/>
  <c r="D40" i="9"/>
  <c r="D26" i="9"/>
  <c r="A40" i="9"/>
  <c r="A26" i="9"/>
  <c r="E6" i="9"/>
  <c r="D6" i="9"/>
  <c r="A6" i="9"/>
  <c r="R4" i="7"/>
  <c r="Q4" i="7"/>
  <c r="P4" i="7"/>
  <c r="O4" i="7"/>
  <c r="N4" i="7"/>
  <c r="H4" i="7"/>
  <c r="D4" i="7"/>
  <c r="F4" i="7"/>
  <c r="E4" i="7"/>
  <c r="A4" i="7"/>
  <c r="AG3" i="1"/>
  <c r="AE3" i="1"/>
  <c r="X3" i="1"/>
  <c r="Q3" i="1"/>
  <c r="P3" i="1"/>
  <c r="O3" i="1"/>
  <c r="N3" i="1"/>
  <c r="M3" i="1"/>
  <c r="H3" i="1"/>
  <c r="J3" i="1"/>
  <c r="I3" i="1"/>
  <c r="D3" i="1"/>
  <c r="F3" i="1"/>
  <c r="E3" i="1"/>
  <c r="A3" i="1"/>
  <c r="H3" i="2"/>
  <c r="E3" i="2"/>
  <c r="D3" i="2"/>
  <c r="B3" i="2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J2" i="21"/>
  <c r="G2" i="21"/>
  <c r="F2" i="21"/>
  <c r="D2" i="21"/>
  <c r="C2" i="21"/>
  <c r="E12" i="16"/>
  <c r="E11" i="16"/>
  <c r="E10" i="16"/>
  <c r="C2" i="18"/>
  <c r="D2" i="18"/>
  <c r="O2" i="9"/>
  <c r="N2" i="9"/>
  <c r="M2" i="9"/>
  <c r="L2" i="9"/>
  <c r="K2" i="9"/>
  <c r="J2" i="9"/>
  <c r="I2" i="9"/>
  <c r="H2" i="9"/>
  <c r="G2" i="9"/>
  <c r="D2" i="9"/>
  <c r="E9" i="16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E8" i="16"/>
  <c r="E7" i="16"/>
  <c r="E6" i="16"/>
  <c r="E5" i="16"/>
  <c r="E4" i="16"/>
  <c r="E3" i="16"/>
  <c r="E2" i="16"/>
  <c r="A2" i="9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<sst xmlns="http://schemas.openxmlformats.org/spreadsheetml/2006/main" count="818" uniqueCount="434">
  <si>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</si>
  <si>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</si>
  <si>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</si>
  <si>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</si>
  <si>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</si>
  <si>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</si>
  <si>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</si>
  <si>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</si>
  <si>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</si>
  <si>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</si>
  <si>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</si>
  <si>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</si>
  <si>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</si>
  <si>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</si>
  <si>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</si>
  <si>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</si>
  <si>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</si>
  <si>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</si>
  <si>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</si>
  <si>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</si>
  <si>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</si>
  <si>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</si>
  <si>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</si>
  <si>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</si>
  <si>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</si>
  <si>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</si>
  <si>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</si>
  <si>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</si>
  <si>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</si>
  <si>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</si>
  <si>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</si>
  <si>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</si>
  <si>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</si>
  <si>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</si>
  <si>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</si>
  <si>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</si>
  <si>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</si>
  <si>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</si>
  <si>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</si>
  <si>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</si>
  <si>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</si>
  <si>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</si>
  <si>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</si>
  <si>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</si>
  <si>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</si>
  <si>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</si>
  <si>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</si>
  <si>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</si>
  <si>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</si>
  <si>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</si>
  <si>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</si>
  <si>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</si>
  <si>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</si>
  <si>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</si>
  <si>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</si>
  <si>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</si>
  <si>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</si>
  <si>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</si>
  <si>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</si>
  <si>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</si>
  <si>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</si>
  <si>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</si>
  <si>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</si>
  <si>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</si>
  <si>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</si>
  <si>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</si>
  <si>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</si>
  <si>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</si>
  <si>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</si>
  <si>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</si>
  <si>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</si>
  <si>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</si>
  <si>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</si>
  <si>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</si>
  <si>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</si>
  <si>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</si>
  <si>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</si>
  <si>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</si>
  <si>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</si>
  <si>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</si>
  <si>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</si>
  <si>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</si>
  <si>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</si>
  <si>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</si>
  <si>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</si>
  <si>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</si>
  <si>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</si>
  <si>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</si>
  <si>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</si>
  <si>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</si>
  <si>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</si>
  <si>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</si>
  <si>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</si>
  <si>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</si>
  <si>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</si>
  <si>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</si>
  <si>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</si>
  <si>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</si>
  <si>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</si>
  <si>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</si>
  <si>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</si>
  <si>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</si>
  <si>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</si>
  <si>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</si>
  <si>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</si>
  <si>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</si>
  <si>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</si>
  <si>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</si>
  <si>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</si>
  <si>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</si>
  <si>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</si>
  <si>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</si>
  <si>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</si>
  <si>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</si>
  <si>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</si>
  <si>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</si>
  <si>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</si>
  <si>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</si>
  <si>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</si>
  <si>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</si>
  <si>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</si>
  <si>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</si>
  <si>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</si>
  <si>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</si>
  <si>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</si>
  <si>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</si>
  <si>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</si>
  <si>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</si>
  <si>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</si>
  <si>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</si>
  <si>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</si>
  <si>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</si>
  <si>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</si>
  <si>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</si>
  <si>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</si>
  <si>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</si>
  <si>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</si>
  <si>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</si>
  <si>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</si>
  <si>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</si>
  <si>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</si>
  <si>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</si>
  <si>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</si>
  <si>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</si>
  <si>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</si>
  <si>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</si>
  <si>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</si>
  <si>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</si>
  <si>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</si>
  <si>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</si>
  <si>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</si>
  <si>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</si>
  <si>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</si>
  <si>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</si>
  <si>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</si>
  <si>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</si>
  <si>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</si>
  <si>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</si>
  <si>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</si>
  <si>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</si>
  <si>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</si>
  <si>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</si>
  <si>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</si>
  <si>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</si>
  <si>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</si>
  <si>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</si>
  <si>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</si>
  <si>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</si>
  <si>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</si>
  <si>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</si>
  <si>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</si>
  <si>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</si>
  <si>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</si>
  <si>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</si>
  <si>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</si>
  <si>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</si>
  <si>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</si>
  <si>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</si>
  <si>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</si>
  <si>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</si>
  <si>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</si>
  <si>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</si>
  <si>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</si>
  <si>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</si>
  <si>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</si>
  <si>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</si>
  <si>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</si>
  <si>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</si>
  <si>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</si>
  <si>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</si>
  <si>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</si>
  <si>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</si>
  <si>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</si>
  <si>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</si>
  <si>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</si>
  <si>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</si>
  <si>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</si>
  <si>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</si>
  <si>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</si>
  <si>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</si>
  <si>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</si>
  <si>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</si>
  <si>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</si>
  <si>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</si>
  <si>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</si>
  <si>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</si>
  <si>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</si>
  <si>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</si>
  <si>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</si>
  <si>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</si>
  <si>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</si>
  <si>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</si>
  <si>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</si>
  <si>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</si>
  <si>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</si>
  <si>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</si>
  <si>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</si>
  <si>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</si>
  <si>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</si>
  <si>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</si>
  <si>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</si>
  <si>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</si>
  <si>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</si>
  <si>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</si>
  <si>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</si>
  <si>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</si>
  <si>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</si>
  <si>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</si>
  <si>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</si>
  <si>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</si>
  <si>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</si>
  <si>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</si>
  <si>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</si>
  <si>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</si>
  <si>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</si>
  <si>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</si>
  <si>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</si>
  <si>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</si>
  <si>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</si>
  <si>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</si>
  <si>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</si>
  <si>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</si>
  <si>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</si>
  <si>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</si>
  <si>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</si>
  <si>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</si>
  <si>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</si>
  <si>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</si>
  <si>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</si>
  <si>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</si>
  <si>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</si>
  <si>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</si>
  <si>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ja</t>
    <phoneticPr fontId="5"/>
  </si>
  <si>
    <t>文字数確認欄</t>
    <rPh sb="0" eb="6">
      <t>モジス</t>
    </rPh>
    <phoneticPr fontId="5"/>
  </si>
  <si>
    <t>13400_15</t>
    <phoneticPr fontId="5"/>
  </si>
  <si>
    <t>bit</t>
    <phoneticPr fontId="5"/>
  </si>
  <si>
    <t>bit</t>
    <phoneticPr fontId="5"/>
  </si>
  <si>
    <t>null</t>
  </si>
  <si>
    <t>null</t>
    <phoneticPr fontId="5"/>
  </si>
  <si>
    <t>null</t>
    <phoneticPr fontId="5"/>
  </si>
  <si>
    <t>singleonly</t>
    <phoneticPr fontId="5"/>
  </si>
  <si>
    <t>singleonly</t>
    <phoneticPr fontId="5"/>
  </si>
  <si>
    <t>unit</t>
  </si>
  <si>
    <t>link</t>
  </si>
  <si>
    <t>null</t>
    <phoneticPr fontId="5"/>
  </si>
  <si>
    <t>null</t>
    <phoneticPr fontId="5"/>
  </si>
  <si>
    <t>null</t>
    <phoneticPr fontId="5"/>
  </si>
  <si>
    <t>old</t>
  </si>
  <si>
    <t>null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</si>
  <si>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</si>
  <si>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</si>
  <si>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</si>
  <si>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</si>
  <si>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1t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</si>
  <si>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</si>
  <si>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</si>
  <si>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</si>
  <si>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</si>
  <si>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</si>
  <si>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</si>
  <si>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不思議そうな表情を浮かべている</t>
    <phoneticPr fontId="5"/>
  </si>
  <si>
    <t>ハッピーの姿が…？</t>
    <phoneticPr fontId="5"/>
  </si>
  <si>
    <t>[effect:enemy_message, val1:1.2, val2:1.5],[effect:fix_speed, target:myself, turn:1]</t>
  </si>
  <si>
    <t>[effect:enemy_message, val1:1.2, val2:2.1],[effect:suicide, val:1, dead_type:escape]</t>
  </si>
  <si>
    <t>[effect:enemy_message, val1:1.2, val2:1.2],[effect:enhance_enemy, target:myself, turn:-1, status:attack, val:0.5, calc:mul, animation:enemy_enhance_attack]</t>
  </si>
  <si>
    <t>お邪魔パネルを吸収して全体攻撃</t>
    <phoneticPr fontId="5"/>
  </si>
  <si>
    <t>攻撃力大UP</t>
    <phoneticPr fontId="5"/>
  </si>
  <si>
    <t>赤&amp;ハートパネルを吸収して防御力激烈UP</t>
    <phoneticPr fontId="5"/>
  </si>
  <si>
    <t xml:space="preserve">[effect:enemy_message, val1:1.2, val2:1.5],[effect:break_attack, target:unit_all, val:0.025, lowest_val:2000, count:-1, color:red, block01:jammer]    </t>
  </si>
  <si>
    <t>低確率でダメージパネル&amp;お邪魔パネルをドロップ+
3ターン全属性ダメージ30%軽減+状態異常無効+
残りHPの30％消費</t>
    <phoneticPr fontId="5"/>
  </si>
  <si>
    <t>赤属性に変化+青属性以外のダメージ90%軽減+
4ターン青属性ユニットの攻撃力90%DOWN</t>
    <phoneticPr fontId="5"/>
  </si>
  <si>
    <t>青属性に変化+黄属性以外のダメージ90%軽減+
4ターン黄属性ユニットの攻撃力90%DOWN</t>
    <phoneticPr fontId="5"/>
  </si>
  <si>
    <t>1ターン低確率でダメージパネル&amp;CBPをドロップ+
クリティカル！</t>
    <phoneticPr fontId="5"/>
  </si>
  <si>
    <t>1ターン高確率でお邪魔パネルドロップ+
1ターン超強力なウィルス</t>
    <phoneticPr fontId="5"/>
  </si>
  <si>
    <t>お邪魔パネルを吸収して全体攻撃</t>
    <phoneticPr fontId="5"/>
  </si>
  <si>
    <t>中確率でダメージパネル&amp;お邪魔パネルをドロップ+
解除するまでウィルス</t>
    <phoneticPr fontId="5"/>
  </si>
  <si>
    <t>赤&amp;ハートパネルを吸収して防御力激烈UP+
1ターン攻撃力超大UP</t>
    <phoneticPr fontId="5"/>
  </si>
  <si>
    <t>エルフラムの塔・制覇</t>
    <phoneticPr fontId="5"/>
  </si>
  <si>
    <t>青属性以外のダメージ90%軽減+
全てのプラス効果を解除+状態異常耐性</t>
    <phoneticPr fontId="5"/>
  </si>
  <si>
    <t>2ターン強力なウィルス+全体攻撃</t>
    <phoneticPr fontId="5"/>
  </si>
  <si>
    <t>1ターン攻撃力超大UP+防御力激烈UP</t>
    <phoneticPr fontId="5"/>
  </si>
  <si>
    <t>黄属性以外のユニットに大ダメージ</t>
    <phoneticPr fontId="5"/>
  </si>
  <si>
    <t>青属性以外のユニットに大ダメージ</t>
    <phoneticPr fontId="5"/>
  </si>
  <si>
    <r>
      <t>全ての効果を解除+状態異常耐性+</t>
    </r>
    <r>
      <rPr>
        <sz val="10"/>
        <color rgb="FFFF0000"/>
        <rFont val="ＭＳ Ｐゴシック (本文)"/>
        <family val="3"/>
        <charset val="128"/>
      </rPr>
      <t>タップ時間制限10秒</t>
    </r>
    <phoneticPr fontId="5"/>
  </si>
  <si>
    <t>3ターン防御力超大UP+自己回復+クリティカル！</t>
    <phoneticPr fontId="5"/>
  </si>
  <si>
    <t>タワー中を緑の光がほとばしる！
【全ユニットのスキルゲージMAX！】</t>
    <phoneticPr fontId="5"/>
  </si>
  <si>
    <t>ハッピーは静かに微笑みながら去っていった！</t>
    <phoneticPr fontId="5"/>
  </si>
  <si>
    <t>ja</t>
    <phoneticPr fontId="5"/>
  </si>
  <si>
    <t>エルフラムの機想郷【μ】</t>
    <phoneticPr fontId="5"/>
  </si>
  <si>
    <t>エルフラムの機想郷【λ】</t>
    <phoneticPr fontId="5"/>
  </si>
  <si>
    <t>エルフラムの機想郷【κ】</t>
    <phoneticPr fontId="5"/>
  </si>
  <si>
    <t>エルフラムの武桑【λ】</t>
    <phoneticPr fontId="5"/>
  </si>
  <si>
    <t>エルフラムの武桑【κ】</t>
    <phoneticPr fontId="5"/>
  </si>
  <si>
    <t>あーあ、つまんないのー！</t>
    <phoneticPr fontId="5"/>
  </si>
  <si>
    <t>へぇ、驚いた。ここまで上がって来れたんだ</t>
    <phoneticPr fontId="5"/>
  </si>
  <si>
    <t>はーい、残念でしたっ！</t>
    <phoneticPr fontId="5"/>
  </si>
  <si>
    <t>これが攻撃？　がっかりだわ…</t>
    <phoneticPr fontId="5"/>
  </si>
  <si>
    <t>やっぱり人間なんてこんなものね…</t>
    <phoneticPr fontId="5"/>
  </si>
  <si>
    <t>ウィルス状態でないユニットに大ダメージ</t>
    <phoneticPr fontId="5"/>
  </si>
  <si>
    <t>ja</t>
    <phoneticPr fontId="5"/>
  </si>
  <si>
    <t>あんた達なんて所詮オモチャなんだから♪</t>
    <phoneticPr fontId="5"/>
  </si>
  <si>
    <t>攻撃力大UP</t>
    <phoneticPr fontId="5"/>
  </si>
  <si>
    <t>ウィルス状態でないユニットに大ダメージ</t>
    <phoneticPr fontId="5"/>
  </si>
  <si>
    <t>あたしは…！！　あたしはまだ…っ！！！</t>
    <phoneticPr fontId="5"/>
  </si>
  <si>
    <t>超臨界イグニッション</t>
    <phoneticPr fontId="5"/>
  </si>
  <si>
    <t>超臨界イグニッション</t>
    <phoneticPr fontId="5"/>
  </si>
  <si>
    <t>いいわね！　これよ！　これを待ってたの！</t>
    <phoneticPr fontId="5"/>
  </si>
  <si>
    <t>消えろぉぉぉおおおおおっ！！</t>
    <phoneticPr fontId="5"/>
  </si>
  <si>
    <t>雀躍する破壊衝動</t>
    <phoneticPr fontId="5"/>
  </si>
  <si>
    <t>ALICEに…いらないあんた達が…</t>
    <phoneticPr fontId="5"/>
  </si>
  <si>
    <t>侵食するバグクラスター</t>
    <phoneticPr fontId="5"/>
  </si>
  <si>
    <t>気に入らないのよ…その眼が…！！</t>
    <phoneticPr fontId="5"/>
  </si>
  <si>
    <t>哀れね…踊らされているとも知らないで</t>
    <phoneticPr fontId="5"/>
  </si>
  <si>
    <t>チクチクと…不愉快！</t>
    <phoneticPr fontId="5"/>
  </si>
  <si>
    <t>これが！　女王たる所以よ！！</t>
    <phoneticPr fontId="5"/>
  </si>
  <si>
    <t>その意志ごと排除してあげるわ！</t>
    <phoneticPr fontId="5"/>
  </si>
  <si>
    <t>4ターン全ユニットの回復力100%DOWN+全体攻撃</t>
    <phoneticPr fontId="5"/>
  </si>
  <si>
    <t>4ターン全ユニットの回復力100%DOWN+全体攻撃</t>
    <phoneticPr fontId="5"/>
  </si>
  <si>
    <t>4ターン全ユニットの回復力100%DOWN+全体攻撃</t>
    <phoneticPr fontId="5"/>
  </si>
  <si>
    <t>2ターン全ユニットの回復力100%DOWN+全体攻撃</t>
    <phoneticPr fontId="5"/>
  </si>
  <si>
    <t>2ターン全ユニットの回復力100%DOWN+クリティカル！
【次ターン、超大ダメージ！】</t>
    <phoneticPr fontId="5"/>
  </si>
  <si>
    <t>4ターン全ユニットの回復力100%DOWN+単体攻撃</t>
    <phoneticPr fontId="5"/>
  </si>
  <si>
    <t>4ターン全ユニットの回復力100%DOWN+単体攻撃</t>
    <phoneticPr fontId="5"/>
  </si>
  <si>
    <t>防御力激烈UP+4ターン全ユニットの回復力100%DOWN+
単体攻撃</t>
    <phoneticPr fontId="5"/>
  </si>
  <si>
    <t>緑パネルを吸収して攻撃+
2ターン全ユニットの回復力100%DOWN</t>
    <phoneticPr fontId="5"/>
  </si>
  <si>
    <t>自己回復+青属性のユニットに大ダメージの全体攻撃</t>
    <phoneticPr fontId="5"/>
  </si>
  <si>
    <t>自己回復+青属性のユニットに大ダメージの全体攻撃</t>
    <phoneticPr fontId="5"/>
  </si>
  <si>
    <t>自己回復+青属性のユニットに大ダメージの全体攻撃</t>
    <phoneticPr fontId="5"/>
  </si>
  <si>
    <t>青属性のユニットに大ダメージの全体攻撃</t>
    <phoneticPr fontId="5"/>
  </si>
  <si>
    <t>青属性のユニットに大ダメージの全体攻撃</t>
    <phoneticPr fontId="5"/>
  </si>
  <si>
    <t>[effect:enemy_message, val1:1.2, val2:1.2],[effect:suicide, val:1, dead_type:escape]</t>
  </si>
  <si>
    <t>[effect:enemy_message, val1:1.2, val2:3.3],[effect:sp_boost, target:unit_all, val:99, animation:sp_boost_one03],[effect:fix_speed, target:myself, turn:1]</t>
  </si>
  <si>
    <t>[effect:enemy_message, val1:1.4, val2:1.2],[effect:spread, val:2.0],[effect:spread, val:2.0],[effect:spread, val:2.0],[effect:spread, val:2.0],[effect:spread, val:2.0]</t>
  </si>
  <si>
    <t>[effect:enemy_message, val1:1.2, val2:3.1],[effect:heal, target:myself, val:0.2, animation:enemy_heal],[effect:degrade_unit, target:unit_all, turn:2, status:heal, val:1.0, calc:mul, animation:degrade_unit_all_heal],[effect:spread, val:0.5]</t>
  </si>
  <si>
    <t>[effect:enemy_message, val1:1.2, val2:3.1],[effect:heal, target:myself, val:0.2, animation:enemy_heal],[effect:degrade_unit, target:unit_all, turn:2, status:heal, val:1.0, calc:mul, animation:degrade_unit_all_heal],[effect:spread, val:0.4]</t>
  </si>
  <si>
    <t>[effect:enemy_message, val1:1.2, val2:3.1],[effect:heal, target:myself, val:0.2, animation:enemy_heal],[effect:degrade_unit, target:unit_all, turn:2, status:heal, val:1.0, calc:mul, animation:degrade_unit_all_heal],[effect:spread, val:0.3]</t>
  </si>
  <si>
    <t>[effect:enemy_message, val1:1.2, val2:2.4],[effect:heal, target:myself, val:0.2, animation:enemy_heal],[effect:damage_anti_color, target:unit_all, color:blue, val1:0.65, val2:0.25]</t>
  </si>
  <si>
    <t>[effect:enemy_message, val1:1.2, val2:2.4],[effect:heal, target:myself, val:0.2, animation:enemy_heal],[effect:damage_anti_color, target:unit_all, color:blue, val1:0.6, val2:0.25]</t>
  </si>
  <si>
    <t>[effect:enemy_message, val1:1.2, val2:2.4],[effect:heal, target:myself, val:0.2, animation:enemy_heal],[effect:damage_anti_color, target:unit_all, color:blue, val1:0.55, val2:0.2]</t>
  </si>
  <si>
    <t>[effect:enemy_message, val1:1.9, val2:2.6],[effect:degrade_unit, target:unit_all, turn:4, status:heal, val:1.0, calc:mul, animation:degrade_unit_all_heal],[effect:spread, val:0.5]</t>
  </si>
  <si>
    <t>[effect:enemy_message, val1:1.2, val2:1.9],[effect:damage_anti_abnormal, target:unit_all, target_effect01:virus, val1:0.01, val2:0.35]</t>
  </si>
  <si>
    <t>[effect:enemy_message, val1:1.2, val2:1.9],[effect:damage_anti_color, target:unit_all, color:blue, val1:0.5, val2:0.25]</t>
  </si>
  <si>
    <t>[effect:enemy_message, val1:1.6, val2:1.2],[effect:spread, val:2.0],[effect:spread, val:2.0],[effect:spread, val:2.0],[effect:spread, val:2.0],[effect:spread, val:2.0]</t>
  </si>
  <si>
    <t>[effect:enemy_message, val1:2.0, val2:4.5],[effect:change_attribute, target:myself, turn:-1, color:red, animation:change_attribute_red],[effect:reduction, target:myself, reduction_target:unit_blue/not, turn:-1, val:0.9, animation:reduction_one03],[effect:attack_break, target:unit_blue, turn:4, val:0.9, calc:mul, animation:attack_break02]</t>
  </si>
  <si>
    <t>[effect:enemy_message, val1:1.2, val2:1.6],[effect:damage_anti_color, target:unit_all, color:yellow, val1:0.01, val2:0.6]</t>
  </si>
  <si>
    <t>[effect:enemy_message, val1:1.2, val2:1.6],[effect:damage_anti_color, target:unit_all, color:blue, val1:0.01, val2:0.6]</t>
  </si>
  <si>
    <t>[effect:enemy_message, val1:2.6, val2:2.6],[effect:remove_enhancement, target:unit_all, target_effect:all, animation:frozen_wave],[effect:tolerance, target:myself, turn:-1, count:-1, tolerance_effect:all, animation:enemy_tolerance],[effect:time_limit, target:unit_all, turn:-1, count:10, animation:enemy_time_limit],[effect:fix_speed, target:myself, turn:1]</t>
  </si>
  <si>
    <t>[effect:enemy_message, val1:1.2, val2:3.1],[effect:drop_block, block_type:jammer, color:block_all, val:0, rate:0.2, turn:1, animation:jammer_influence04],[effect:virus, target:unit_all, turn:1, rate:1, val:0.5, animation:enemy_virus]</t>
  </si>
  <si>
    <t>[effect:enemy_message, val1:1.2, val2:2.6],[effect:degrade_unit, target:unit_all, turn:4, status:heal, val:1.0, calc:mul, animation:degrade_unit_all_heal],[effect:rush, count:1, val:1.0]</t>
  </si>
  <si>
    <t>[effect:enemy_message, val1:1.5, val2:3.3],[effect:break_attack, target:unit_one, val:0.025, lowest_val:13000, count:-1, color:red, block01:block_green],[effect:degrade_unit, target:unit_all, turn:2, status:heal, val:1.0, calc:mul, animation:degrade_unit_all_heal]</t>
  </si>
  <si>
    <t>[effect:enemy_message, val1:1.4, val2:1.9],[effect:damage_anti_color, target:unit_all, color:blue, val1:0.5, val2:0.25]</t>
  </si>
  <si>
    <t>[effect:enemy_message, val1:1.6, val2:1.9],[effect:damage_anti_abnormal, target:unit_all, target_effect01:virus, val1:0.05, val2:0.55]</t>
  </si>
  <si>
    <t>自己回復+2ターン全ユニットの回復力100%DOWN+
全体攻撃</t>
    <phoneticPr fontId="5"/>
  </si>
  <si>
    <t>自己回復+2ターン全ユニットの回復力100%DOWN+
全体攻撃</t>
    <phoneticPr fontId="5"/>
  </si>
  <si>
    <t>自己回復+2ターン全ユニットの回復力100%DOWN+
全体攻撃</t>
    <phoneticPr fontId="5"/>
  </si>
  <si>
    <t>[effect:enemy_message, val1:1.9, val2:2.6],[effect:degrade_unit, target:unit_all, turn:4, status:heal, val:1.0, calc:mul, animation:degrade_unit_all_heal],[effect:spread, val:0.25]</t>
  </si>
  <si>
    <t>[effect:enemy_message, val1:1.9, val2:2.6],[effect:degrade_unit, target:unit_all, turn:4, status:heal, val:1.0, calc:mul, animation:degrade_unit_all_heal],[effect:spread, val:0.35]</t>
  </si>
  <si>
    <t>エルフラムの武桑【μ】</t>
    <phoneticPr fontId="5"/>
  </si>
  <si>
    <t>ローズの1ゲージ目は開幕から数ターン
残りHPに応じて攻撃力が変わります
即死級のダメージとなる事もあるため
注意しましょう</t>
    <phoneticPr fontId="5"/>
  </si>
  <si>
    <t>ローズの2ゲージ目は残りHPに応じて
属性が変化しそれぞれ有利属性以外の
攻撃がほとんど通らなくなってしまいます</t>
    <phoneticPr fontId="5"/>
  </si>
  <si>
    <t>ローズの3ゲージ目はHPが一定以下になると
永続のウィルスを付与してきます</t>
    <phoneticPr fontId="5"/>
  </si>
  <si>
    <t>ローズは頻繁に防御力が激烈UPしますが
効果が永続の場合もあるようです
防御力DOWNスキルは必須といえるでしょう</t>
    <phoneticPr fontId="5"/>
  </si>
  <si>
    <t>ローズは度々ウィルスを付与してきますが
ウィルス状態でないユニットへ
大ダメージを与える攻撃も行います</t>
    <phoneticPr fontId="5"/>
  </si>
  <si>
    <t>ローズの1ゲージ目はHPが一定以下になると
2ターン後の超大ダメージ攻撃を予告します
速やかに突破できるよう準備しましょう</t>
    <phoneticPr fontId="5"/>
  </si>
  <si>
    <t>ローズの2・3ゲージ目は一定のターンが
経過すると攻撃力が大UPします
耐久は困難となるため速やかに
突破しましょう</t>
    <phoneticPr fontId="5"/>
  </si>
  <si>
    <t>じゃあ、バイバーイ♪</t>
    <phoneticPr fontId="5"/>
  </si>
  <si>
    <t>あんた達はこの世界に必要ないの…分かんないの？</t>
    <phoneticPr fontId="5"/>
  </si>
  <si>
    <t>エルフラムの踏破おめでとうございます！
ローズを完全に撃破するには他に手立てが
必要なようですが
今はこの勝利を喜びましょう！</t>
    <phoneticPr fontId="5"/>
  </si>
  <si>
    <t>[effect:enemy_message, val1:1.4, val2:2.6],[effect:degrade_unit, target:unit_all, turn:2, status:heal, val:1.0, calc:mul, animation:degrade_unit_all_heal],[effect:spread, val:0.25]</t>
  </si>
  <si>
    <t>[effect:enemy_message, val1:2.3, val2:3.4],[effect:enhance_enemy, target:myself, turn:-1, status:defense, val:65535, calc:add, animation:enemy_enhance_defense],[effect:degrade_unit, target:unit_all, turn:4, status:heal, val:1.0, calc:mul, animation:degrade_unit_all_heal],[effect:rush, count:1, val:1.0]</t>
  </si>
  <si>
    <t>[effect:enemy_message, val1:2.4, val2:2.2]</t>
    <phoneticPr fontId="5"/>
  </si>
  <si>
    <t>いいわ…せいぜい退屈させないでよね。人間！</t>
    <phoneticPr fontId="5"/>
  </si>
  <si>
    <t>排除排除っと♪</t>
    <phoneticPr fontId="5"/>
  </si>
  <si>
    <t>感応型アーリィ・エフェクト</t>
    <phoneticPr fontId="5"/>
  </si>
  <si>
    <t>そっかぁ、本気であたしを倒すつもりなのね♪</t>
    <phoneticPr fontId="5"/>
  </si>
  <si>
    <t>アハハッ！　壊すって、楽しいっ！</t>
    <phoneticPr fontId="5"/>
  </si>
  <si>
    <t>さぁっ♪　早く引き出してよ、私の本気を！</t>
    <phoneticPr fontId="5"/>
  </si>
  <si>
    <t>ハッ！　笑わせるわね♪</t>
    <phoneticPr fontId="5"/>
  </si>
  <si>
    <t>なんか調子狂うわ…ムカツク…</t>
    <phoneticPr fontId="5"/>
  </si>
  <si>
    <r>
      <t>2ターン全ユニットの攻撃力80%DOWN+
防御力激烈UP+</t>
    </r>
    <r>
      <rPr>
        <sz val="10"/>
        <color rgb="FFFF0000"/>
        <rFont val="ＭＳ Ｐゴシック (本文)"/>
        <family val="3"/>
        <charset val="128"/>
      </rPr>
      <t>2ターンタップ時間制限10秒</t>
    </r>
    <r>
      <rPr>
        <sz val="10"/>
        <color theme="1"/>
        <rFont val="ＭＳ Ｐゴシック"/>
        <family val="3"/>
        <charset val="128"/>
        <scheme val="minor"/>
      </rPr>
      <t xml:space="preserve">
【2ターン後、超大ダメージ！】</t>
    </r>
    <phoneticPr fontId="5"/>
  </si>
  <si>
    <t>まだ始まってもないんだけどー</t>
    <phoneticPr fontId="5"/>
  </si>
  <si>
    <t>甘いって言ってんのよ！</t>
    <phoneticPr fontId="5"/>
  </si>
  <si>
    <t>こんな事もできるのよね♪</t>
    <phoneticPr fontId="5"/>
  </si>
  <si>
    <t>マッシヴ・プロペラント</t>
    <phoneticPr fontId="5"/>
  </si>
  <si>
    <t>さ〜て、消される覚悟は出来たかしら？</t>
    <phoneticPr fontId="5"/>
  </si>
  <si>
    <t>あ〜あ、そろそろ飽きてきちゃった</t>
    <phoneticPr fontId="5"/>
  </si>
  <si>
    <t>相似形スウィング・バイ</t>
    <phoneticPr fontId="5"/>
  </si>
  <si>
    <t>[effect:enemy_message, val1:2.1, val2:2.4],[effect:enhance_enemy, target:myself, turn:3, status:defense, val:15000, calc:add, animation:enemy_enhance_defense],[effect:heal, target:myself, val:0.2, animation:enemy_heal],[effect:critical, val:1.5, animation:enemy_critical]</t>
  </si>
  <si>
    <t>[effect:enemy_message, val1:1.3, val2:1.6],[effect:virus, target:unit_all, turn:2, rate:1, val:0.35, animation:enemy_virus],[effect:spread, val:0.2]</t>
  </si>
  <si>
    <t>[effect:enemy_message, val1:2.1, val2:3.4],[effect:reduction, target:myself, reduction_target:unit_blue/not, turn:-1, val:0.9, animation:reduction_one03],[effect:remove_enhancement, target:unit_all, target_effect:all, target_type:buff, animation:frozen_wave],[effect:tolerance, target:myself, turn:-1, count:-1, tolerance_effect:all, animation:enemy_tolerance],[effect:fix_speed, target:myself, turn:1]</t>
  </si>
  <si>
    <t>[effect:enemy_message, val1:1.6, val2:2.6],[effect:degrade_unit, target:unit_all, turn:4, status:heal, val:1.0, calc:mul, animation:degrade_unit_all_heal],[effect:rush, count:1, val:1.0]</t>
  </si>
  <si>
    <t>[effect:enemy_message, val1:2.0, val2:4.5],[effect:change_attribute, target:myself, turn:-1, color:blue, animation:change_attribute_blue],[effect:reduction, target:myself, reduction_target:unit_yellow/not, turn:-1, val:0.9, animation:reduction_one03],[effect:attack_break, target:unit_yellow, turn:4, val:0.9, calc:mul, animation:attack_break02]</t>
  </si>
  <si>
    <t xml:space="preserve">[effect:enemy_message, val1:1.8, val2:2.0],[effect:break_enchance_enemy, target:myself, val:1, lowest_val:65535, count:-1, status:defense, turn:3, block01:block_red, block02:block_heart, calc:add, animation:enemy_enhance_defense]    </t>
  </si>
  <si>
    <t>[effect:enemy_message, val1:1.6, val2:1.9],[effect:enhance_enemy, target:myself, turn:1, status:attack, val:2.0, calc:mul, animation:enemy_enhance_attack],[effect:enhance_enemy, target:myself, turn:-1, status:defense, val:65535, calc:add, animation:enemy_enhance_defense]</t>
  </si>
  <si>
    <t>ローズの3ゲージ目は
お邪魔パネル吸収攻撃を使用します
お邪魔パネルがドロップしないターンに
整地を行いダメージを抑えましょう</t>
    <phoneticPr fontId="5"/>
  </si>
  <si>
    <t>[effect:enemy_message, val1:1.2, val2:1.5],[effect:break_attack, target:unit_all, val:0.02, lowest_val:3200, count:-1, color:red, block01:jammer]</t>
    <phoneticPr fontId="5"/>
  </si>
  <si>
    <t>残りHPの99%ダメージ！</t>
    <phoneticPr fontId="5"/>
  </si>
  <si>
    <t>[effect:enemy_message, val1:1.2, val2:1.3],[effect:damage_gravity, val:0.99, animation:fevergauge_down]</t>
    <phoneticPr fontId="5"/>
  </si>
  <si>
    <t>[effect:enemy_message, val1:1.4, val2:4.3],[effect:degrade_unit, target:unit_all, turn:2, status:heal, val:1.0, calc:mul, animation:degrade_unit_all_heal],[effect:critical, val:1.2, animation:enemy_critical]</t>
    <phoneticPr fontId="5"/>
  </si>
  <si>
    <t>[effect:enemy_message, val1:1.2, val2:2.2],[effect:force_change_block, new_block:color_break, target:normal, count:1, val:0],[effect:critical, val:1.1, animation:enemy_critical]</t>
    <phoneticPr fontId="5"/>
  </si>
  <si>
    <t>属性パネルをCBPに1個変換+クリティカル！</t>
    <phoneticPr fontId="5"/>
  </si>
  <si>
    <t>＊＊＊＊！　なんなのこいつら！　話が違うじゃない！</t>
    <phoneticPr fontId="5"/>
  </si>
  <si>
    <t>[effect:enemy_message, val1:2.0, val2:5.8],[effect:drop_block, block_type:damage, color:block_red, val:0.2, rate:0.1, turn:-1],[effect:drop_block, block_type:damage, color:block_green, val:0.2, rate:0.1, turn:-1],[effect:drop_block, block_type:damage, color:block_yellow, val:0.2, rate:0.1, turn:-1],[effect:drop_block, block_type:damage, color:block_blue, val:0.2, rate:0.1, turn:-1],[effect:drop_block, block_type:jammer, color:block_all, val:0, rate:0.05, turn:-1, animation:jammer_influence04],[effect:reduction, target:myself, color:all, turn:3, val:0.3, animation:reduction_one03],[effect:tolerance, target:myself, turn:-1, count:-1, tolerance_effect:all, animation:enemy_tolerance],[effect:suicide, val:0.3],[effect:fix_speed, target:myself, turn:1]</t>
    <phoneticPr fontId="5"/>
  </si>
  <si>
    <t>[effect:enemy_message, val1:1.8, val2:3.4],[effect:drop_block, block_type:damage, color:block_red, val:0.2, rate:0.13, turn:-1],[effect:drop_block, block_type:damage, color:block_green, val:0.2, rate:0.13, turn:-1],[effect:drop_block, block_type:damage, color:block_yellow, val:0.2, rate:0.13, turn:-1],[effect:drop_block, block_type:damage, color:block_blue, val:0.2, rate:0.13, turn:-1],[effect:drop_block, block_type:jammer, color:block_all, val:0, rate:0.1, turn:-1, animation:jammer_influence04],[effect:virus, target:unit_all, turn:-1, rate:1, val:0.25, animation:enemy_virus]</t>
    <phoneticPr fontId="5"/>
  </si>
  <si>
    <t>[effect:enemy_message, val1:1.4, val2:3.2],[effect:drop_block, block_type:damage, color:block_red, val:0.2, rate:0.05, turn:1,],[effect:drop_block, block_type:damage, color:block_green, val:0.2, rate:0.05, turn:1],[effect:drop_block, block_type:damage, color:block_yellow, val:0.2, rate:0.05, turn:1],[effect:drop_block, block_type:damage, color:block_blue, val:0.2, rate:0.05, turn:1],[effect:drop_block, block_type:color_break, color:block_all, val:0, rate:0.02, turn:1, animation:color_break_influence04],[effect:critical, val:1.2, animation:enemy_critical]</t>
    <phoneticPr fontId="5"/>
  </si>
  <si>
    <t>エルフラムの踏破おめでとうございます！
ローズの残した言葉は気になるものの
その謎が解けるのは当分先になりそうです</t>
    <phoneticPr fontId="5"/>
  </si>
  <si>
    <t>[effect:enemy_message, val1:1.8, val2:5.8],[effect:attack_break, target:unit_all, turn:2, val:0.8, calc:mul, animation:attack_break02],[effect:enhance_enemy, target:myself, turn:-1, status:defense, val:65535, calc:add, animation:enemy_enhance_defense],[effect:time_limit, target:unit_all, turn:2, count:10, animation:enemy_time_limit]</t>
    <phoneticPr fontId="5"/>
  </si>
  <si>
    <t>ほらほら♪　楽しませてくれるでしょ？</t>
    <phoneticPr fontId="5"/>
  </si>
  <si>
    <t>ハッピー♪</t>
    <phoneticPr fontId="5"/>
  </si>
  <si>
    <t>ハッピー？</t>
    <phoneticPr fontId="5"/>
  </si>
  <si>
    <t>ハッピー！？</t>
    <phoneticPr fontId="5"/>
  </si>
  <si>
    <t>ハッピー☆</t>
    <phoneticPr fontId="5"/>
  </si>
  <si>
    <t>足りないっ！　足りないわっ！</t>
    <phoneticPr fontId="5"/>
  </si>
  <si>
    <t>[effect:enemy_message, val1:1.4, val2:3.2],[effect:break_enchance_enemy, target:myself, val:1, lowest_val:65535, count:-1, status:defense, turn:-1, block01:block_red, block02:block_heart, calc:add, animation:enemy_enhance_defense],[effect:enhance_enemy, target:myself, turn:1, status:attack, val:2.0, calc:mul, animation:enemy_enhance_attack]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</si>
</sst>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0070C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FF0000"/>
      <name val="ＭＳ Ｐゴシック (本文)"/>
      <family val="3"/>
      <charset val="128"/>
    </font>
    <font>
      <sz val="10"/>
      <color theme="1"/>
      <name val="ＭＳ 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</borders>
  <cellStyleXfs count="70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6" fillId="0" borderId="9" xfId="0" applyFont="1" applyFill="1" applyBorder="1" applyAlignment="1">
      <alignment vertical="center"/>
    </xf>
    <xf numFmtId="0" fontId="6" fillId="5" borderId="22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0" fontId="4" fillId="13" borderId="6" xfId="0" applyFont="1" applyFill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177" fontId="8" fillId="13" borderId="4" xfId="0" applyNumberFormat="1" applyFont="1" applyFill="1" applyBorder="1" applyAlignment="1">
      <alignment vertical="center"/>
    </xf>
    <xf numFmtId="0" fontId="27" fillId="0" borderId="7" xfId="0" applyFont="1" applyFill="1" applyBorder="1" applyAlignment="1"/>
    <xf numFmtId="0" fontId="28" fillId="0" borderId="7" xfId="0" applyFont="1" applyFill="1" applyBorder="1" applyAlignment="1"/>
    <xf numFmtId="0" fontId="29" fillId="3" borderId="11" xfId="0" applyFont="1" applyFill="1" applyBorder="1" applyAlignment="1"/>
    <xf numFmtId="0" fontId="30" fillId="0" borderId="7" xfId="0" applyFont="1" applyFill="1" applyBorder="1" applyAlignment="1"/>
    <xf numFmtId="0" fontId="29" fillId="0" borderId="11" xfId="0" applyFont="1" applyFill="1" applyBorder="1" applyAlignment="1"/>
    <xf numFmtId="0" fontId="30" fillId="30" borderId="7" xfId="0" applyFont="1" applyFill="1" applyBorder="1" applyAlignment="1"/>
    <xf numFmtId="0" fontId="30" fillId="14" borderId="7" xfId="0" applyFont="1" applyFill="1" applyBorder="1" applyAlignment="1"/>
    <xf numFmtId="0" fontId="0" fillId="0" borderId="7" xfId="0" applyBorder="1" applyAlignment="1"/>
    <xf numFmtId="0" fontId="16" fillId="13" borderId="7" xfId="0" applyFont="1" applyFill="1" applyBorder="1" applyAlignment="1">
      <alignment vertical="center"/>
    </xf>
    <xf numFmtId="0" fontId="52" fillId="0" borderId="7" xfId="0" applyFont="1" applyFill="1" applyBorder="1" applyAlignment="1">
      <alignment horizontal="left" vertical="center" wrapText="1"/>
    </xf>
    <xf numFmtId="0" fontId="53" fillId="0" borderId="7" xfId="0" applyFont="1" applyFill="1" applyBorder="1" applyAlignment="1">
      <alignment horizontal="left" vertical="center" wrapText="1"/>
    </xf>
    <xf numFmtId="0" fontId="54" fillId="0" borderId="7" xfId="0" applyFont="1" applyFill="1" applyBorder="1" applyAlignment="1">
      <alignment horizontal="left" vertical="center" wrapText="1"/>
    </xf>
    <xf numFmtId="0" fontId="16" fillId="13" borderId="7" xfId="0" applyFont="1" applyFill="1" applyBorder="1" applyAlignment="1">
      <alignment horizontal="left" vertical="center"/>
    </xf>
    <xf numFmtId="0" fontId="16" fillId="13" borderId="7" xfId="0" applyFont="1" applyFill="1" applyBorder="1" applyAlignment="1">
      <alignment horizontal="left" vertical="center" wrapText="1"/>
    </xf>
    <xf numFmtId="0" fontId="53" fillId="13" borderId="7" xfId="0" applyFont="1" applyFill="1" applyBorder="1" applyAlignment="1">
      <alignment horizontal="left" vertical="center" wrapText="1"/>
    </xf>
    <xf numFmtId="0" fontId="27" fillId="13" borderId="7" xfId="0" applyFont="1" applyFill="1" applyBorder="1" applyAlignment="1"/>
    <xf numFmtId="0" fontId="28" fillId="13" borderId="7" xfId="0" applyFont="1" applyFill="1" applyBorder="1" applyAlignment="1"/>
    <xf numFmtId="0" fontId="29" fillId="13" borderId="11" xfId="0" applyFont="1" applyFill="1" applyBorder="1" applyAlignment="1"/>
    <xf numFmtId="0" fontId="30" fillId="13" borderId="7" xfId="0" applyFont="1" applyFill="1" applyBorder="1" applyAlignment="1"/>
    <xf numFmtId="0" fontId="4" fillId="13" borderId="1" xfId="0" applyFont="1" applyFill="1" applyBorder="1" applyAlignment="1">
      <alignment vertical="center"/>
    </xf>
    <xf numFmtId="0" fontId="31" fillId="0" borderId="7" xfId="0" applyFont="1" applyFill="1" applyBorder="1" applyAlignment="1">
      <alignment vertical="top"/>
    </xf>
    <xf numFmtId="38" fontId="16" fillId="0" borderId="7" xfId="628" applyFont="1" applyFill="1" applyBorder="1" applyAlignment="1">
      <alignment vertical="top" wrapText="1"/>
    </xf>
    <xf numFmtId="0" fontId="31" fillId="13" borderId="7" xfId="0" applyFont="1" applyFill="1" applyBorder="1" applyAlignment="1">
      <alignment vertical="top"/>
    </xf>
    <xf numFmtId="38" fontId="16" fillId="13" borderId="7" xfId="628" applyFont="1" applyFill="1" applyBorder="1" applyAlignment="1">
      <alignment vertical="top" wrapText="1"/>
    </xf>
    <xf numFmtId="0" fontId="56" fillId="14" borderId="11" xfId="0" applyNumberFormat="1" applyFont="1" applyFill="1" applyBorder="1" applyAlignment="1">
      <alignment vertical="top" wrapText="1"/>
    </xf>
  </cellXfs>
  <cellStyles count="70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赤字強調" xfId="431"/>
    <cellStyle name="青字強調" xfId="43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39001</v>
          </cell>
        </row>
        <row r="182">
          <cell r="A182">
            <v>39002</v>
          </cell>
        </row>
        <row r="183">
          <cell r="A183">
            <v>39003</v>
          </cell>
        </row>
        <row r="184">
          <cell r="A184">
            <v>39004</v>
          </cell>
        </row>
        <row r="185">
          <cell r="A185">
            <v>39005</v>
          </cell>
        </row>
        <row r="186">
          <cell r="A186">
            <v>39006</v>
          </cell>
        </row>
        <row r="187">
          <cell r="A187">
            <v>39007</v>
          </cell>
        </row>
        <row r="188">
          <cell r="A188">
            <v>39008</v>
          </cell>
        </row>
        <row r="189">
          <cell r="A189">
            <v>39009</v>
          </cell>
        </row>
        <row r="190">
          <cell r="A190">
            <v>39010</v>
          </cell>
        </row>
        <row r="191">
          <cell r="A191">
            <v>39011</v>
          </cell>
        </row>
        <row r="192">
          <cell r="A192">
            <v>39012</v>
          </cell>
        </row>
        <row r="193">
          <cell r="A193">
            <v>40001</v>
          </cell>
        </row>
        <row r="194">
          <cell r="A194">
            <v>40002</v>
          </cell>
        </row>
        <row r="195">
          <cell r="A195">
            <v>40003</v>
          </cell>
        </row>
        <row r="196">
          <cell r="A196">
            <v>40004</v>
          </cell>
        </row>
        <row r="197">
          <cell r="A197">
            <v>40005</v>
          </cell>
        </row>
        <row r="198">
          <cell r="A198">
            <v>40006</v>
          </cell>
        </row>
        <row r="199">
          <cell r="A199">
            <v>40007</v>
          </cell>
        </row>
        <row r="200">
          <cell r="A200">
            <v>40008</v>
          </cell>
        </row>
        <row r="201">
          <cell r="A201">
            <v>40009</v>
          </cell>
        </row>
        <row r="202">
          <cell r="A202">
            <v>40010</v>
          </cell>
        </row>
        <row r="203">
          <cell r="A203">
            <v>40011</v>
          </cell>
        </row>
        <row r="204">
          <cell r="A204">
            <v>40012</v>
          </cell>
        </row>
        <row r="205">
          <cell r="A205">
            <v>40013</v>
          </cell>
        </row>
        <row r="206">
          <cell r="A206">
            <v>40014</v>
          </cell>
        </row>
        <row r="207">
          <cell r="A207">
            <v>40015</v>
          </cell>
        </row>
        <row r="208">
          <cell r="A208">
            <v>40016</v>
          </cell>
        </row>
        <row r="209">
          <cell r="A209">
            <v>40017</v>
          </cell>
        </row>
        <row r="210">
          <cell r="A210">
            <v>40018</v>
          </cell>
        </row>
        <row r="211">
          <cell r="A211">
            <v>40019</v>
          </cell>
        </row>
        <row r="212">
          <cell r="A212">
            <v>40021</v>
          </cell>
        </row>
        <row r="213">
          <cell r="A213">
            <v>40022</v>
          </cell>
        </row>
        <row r="214">
          <cell r="A214">
            <v>40023</v>
          </cell>
        </row>
        <row r="215">
          <cell r="A215">
            <v>40024</v>
          </cell>
        </row>
        <row r="216">
          <cell r="A216">
            <v>40025</v>
          </cell>
        </row>
        <row r="217">
          <cell r="A217">
            <v>40026</v>
          </cell>
        </row>
        <row r="218">
          <cell r="A218">
            <v>40027</v>
          </cell>
        </row>
        <row r="219">
          <cell r="A219">
            <v>40028</v>
          </cell>
        </row>
        <row r="220">
          <cell r="A220">
            <v>40029</v>
          </cell>
        </row>
        <row r="221">
          <cell r="A221">
            <v>40030</v>
          </cell>
        </row>
        <row r="222">
          <cell r="A222">
            <v>40031</v>
          </cell>
        </row>
        <row r="223">
          <cell r="A223">
            <v>40032</v>
          </cell>
        </row>
        <row r="224">
          <cell r="A224">
            <v>40033</v>
          </cell>
        </row>
        <row r="225">
          <cell r="A225">
            <v>40034</v>
          </cell>
        </row>
        <row r="226">
          <cell r="A226">
            <v>40035</v>
          </cell>
        </row>
        <row r="227">
          <cell r="A227">
            <v>40036</v>
          </cell>
        </row>
        <row r="228">
          <cell r="A228">
            <v>40037</v>
          </cell>
        </row>
        <row r="229">
          <cell r="A229">
            <v>40038</v>
          </cell>
        </row>
        <row r="230">
          <cell r="A230">
            <v>40039</v>
          </cell>
        </row>
        <row r="231">
          <cell r="A231">
            <v>40040</v>
          </cell>
        </row>
        <row r="232">
          <cell r="A232">
            <v>40041</v>
          </cell>
        </row>
        <row r="233">
          <cell r="A233">
            <v>40042</v>
          </cell>
        </row>
        <row r="234">
          <cell r="A234">
            <v>40043</v>
          </cell>
        </row>
        <row r="235">
          <cell r="A235">
            <v>48001</v>
          </cell>
        </row>
        <row r="236">
          <cell r="A236">
            <v>48002</v>
          </cell>
        </row>
        <row r="237">
          <cell r="A237">
            <v>48003</v>
          </cell>
        </row>
        <row r="238">
          <cell r="A238">
            <v>48004</v>
          </cell>
        </row>
        <row r="239">
          <cell r="A239">
            <v>48005</v>
          </cell>
        </row>
        <row r="240">
          <cell r="A240">
            <v>48006</v>
          </cell>
        </row>
        <row r="241">
          <cell r="A241">
            <v>48007</v>
          </cell>
        </row>
        <row r="242">
          <cell r="A242">
            <v>48008</v>
          </cell>
        </row>
        <row r="243">
          <cell r="A243">
            <v>48009</v>
          </cell>
        </row>
        <row r="244">
          <cell r="A244">
            <v>48010</v>
          </cell>
        </row>
        <row r="245">
          <cell r="A245">
            <v>48011</v>
          </cell>
        </row>
        <row r="246">
          <cell r="A246">
            <v>48012</v>
          </cell>
        </row>
        <row r="247">
          <cell r="A247">
            <v>48501</v>
          </cell>
        </row>
        <row r="248">
          <cell r="A248">
            <v>48502</v>
          </cell>
        </row>
        <row r="249">
          <cell r="A249">
            <v>48701</v>
          </cell>
        </row>
        <row r="250">
          <cell r="A250">
            <v>41001</v>
          </cell>
        </row>
        <row r="251">
          <cell r="A251">
            <v>41002</v>
          </cell>
        </row>
        <row r="252">
          <cell r="A252">
            <v>41003</v>
          </cell>
        </row>
        <row r="253">
          <cell r="A253">
            <v>41004</v>
          </cell>
        </row>
        <row r="254">
          <cell r="A254">
            <v>41005</v>
          </cell>
        </row>
        <row r="255">
          <cell r="A255">
            <v>41006</v>
          </cell>
        </row>
        <row r="256">
          <cell r="A256">
            <v>41007</v>
          </cell>
        </row>
        <row r="257">
          <cell r="A257">
            <v>41008</v>
          </cell>
        </row>
        <row r="258">
          <cell r="A258">
            <v>41009</v>
          </cell>
        </row>
        <row r="259">
          <cell r="A259">
            <v>41010</v>
          </cell>
        </row>
        <row r="260">
          <cell r="A260">
            <v>41011</v>
          </cell>
        </row>
        <row r="261">
          <cell r="A261">
            <v>41012</v>
          </cell>
        </row>
        <row r="262">
          <cell r="A262">
            <v>41013</v>
          </cell>
        </row>
        <row r="263">
          <cell r="A263">
            <v>41014</v>
          </cell>
        </row>
        <row r="264">
          <cell r="A264">
            <v>41015</v>
          </cell>
        </row>
        <row r="265">
          <cell r="A265">
            <v>47001</v>
          </cell>
        </row>
        <row r="266">
          <cell r="A266">
            <v>47002</v>
          </cell>
        </row>
        <row r="267">
          <cell r="A267">
            <v>47003</v>
          </cell>
        </row>
        <row r="268">
          <cell r="A268">
            <v>47004</v>
          </cell>
        </row>
        <row r="269">
          <cell r="A269">
            <v>47005</v>
          </cell>
        </row>
        <row r="270">
          <cell r="A270">
            <v>47006</v>
          </cell>
        </row>
        <row r="271">
          <cell r="A271">
            <v>47007</v>
          </cell>
        </row>
        <row r="272">
          <cell r="A272">
            <v>47008</v>
          </cell>
        </row>
        <row r="273">
          <cell r="A273">
            <v>47009</v>
          </cell>
        </row>
        <row r="274">
          <cell r="A274">
            <v>47010</v>
          </cell>
        </row>
        <row r="275">
          <cell r="A275">
            <v>47011</v>
          </cell>
        </row>
        <row r="276">
          <cell r="A276">
            <v>47012</v>
          </cell>
        </row>
        <row r="277">
          <cell r="A277">
            <v>49001</v>
          </cell>
        </row>
        <row r="278">
          <cell r="A278">
            <v>49002</v>
          </cell>
        </row>
        <row r="279">
          <cell r="A279">
            <v>49003</v>
          </cell>
        </row>
        <row r="280">
          <cell r="A280">
            <v>49004</v>
          </cell>
        </row>
        <row r="281">
          <cell r="A281">
            <v>49005</v>
          </cell>
        </row>
        <row r="282">
          <cell r="A282">
            <v>49006</v>
          </cell>
        </row>
        <row r="283">
          <cell r="A283">
            <v>49007</v>
          </cell>
        </row>
        <row r="284">
          <cell r="A284">
            <v>49008</v>
          </cell>
        </row>
        <row r="285">
          <cell r="A285">
            <v>49009</v>
          </cell>
        </row>
        <row r="286">
          <cell r="A286">
            <v>49010</v>
          </cell>
        </row>
        <row r="287">
          <cell r="A287">
            <v>49011</v>
          </cell>
        </row>
        <row r="288">
          <cell r="A288">
            <v>49012</v>
          </cell>
        </row>
        <row r="289">
          <cell r="A289">
            <v>49013</v>
          </cell>
        </row>
        <row r="290">
          <cell r="A290">
            <v>49014</v>
          </cell>
        </row>
        <row r="291">
          <cell r="A291">
            <v>49015</v>
          </cell>
        </row>
        <row r="292">
          <cell r="A292">
            <v>50001</v>
          </cell>
        </row>
        <row r="293">
          <cell r="A293">
            <v>50002</v>
          </cell>
        </row>
        <row r="294">
          <cell r="A294">
            <v>50003</v>
          </cell>
        </row>
        <row r="295">
          <cell r="A295">
            <v>50004</v>
          </cell>
        </row>
        <row r="296">
          <cell r="A296">
            <v>50005</v>
          </cell>
        </row>
        <row r="297">
          <cell r="A297">
            <v>50006</v>
          </cell>
        </row>
        <row r="298">
          <cell r="A298">
            <v>50007</v>
          </cell>
        </row>
        <row r="299">
          <cell r="A299">
            <v>50008</v>
          </cell>
        </row>
        <row r="300">
          <cell r="A300">
            <v>50009</v>
          </cell>
        </row>
        <row r="301">
          <cell r="A301">
            <v>50010</v>
          </cell>
        </row>
        <row r="302">
          <cell r="A302">
            <v>50011</v>
          </cell>
        </row>
        <row r="303">
          <cell r="A303">
            <v>50012</v>
          </cell>
        </row>
        <row r="304">
          <cell r="A304">
            <v>50013</v>
          </cell>
        </row>
        <row r="305">
          <cell r="A305">
            <v>50014</v>
          </cell>
        </row>
        <row r="306">
          <cell r="A306">
            <v>51001</v>
          </cell>
        </row>
        <row r="307">
          <cell r="A307">
            <v>51002</v>
          </cell>
        </row>
        <row r="308">
          <cell r="A308">
            <v>58001</v>
          </cell>
        </row>
        <row r="309">
          <cell r="A309">
            <v>59001</v>
          </cell>
        </row>
        <row r="310">
          <cell r="A310">
            <v>59002</v>
          </cell>
        </row>
        <row r="311">
          <cell r="A311">
            <v>60001</v>
          </cell>
        </row>
        <row r="312">
          <cell r="A312">
            <v>60002</v>
          </cell>
        </row>
        <row r="313">
          <cell r="A313">
            <v>60003</v>
          </cell>
        </row>
        <row r="314">
          <cell r="A314">
            <v>60004</v>
          </cell>
        </row>
        <row r="315">
          <cell r="A315">
            <v>60005</v>
          </cell>
        </row>
        <row r="316">
          <cell r="A316">
            <v>60006</v>
          </cell>
        </row>
        <row r="317">
          <cell r="A317">
            <v>60007</v>
          </cell>
        </row>
        <row r="318">
          <cell r="A318">
            <v>60010</v>
          </cell>
        </row>
        <row r="319">
          <cell r="A319">
            <v>60011</v>
          </cell>
        </row>
        <row r="320">
          <cell r="A320">
            <v>61011</v>
          </cell>
        </row>
        <row r="321">
          <cell r="A321">
            <v>60012</v>
          </cell>
        </row>
        <row r="322">
          <cell r="A322">
            <v>60013</v>
          </cell>
        </row>
        <row r="323">
          <cell r="A323">
            <v>60014</v>
          </cell>
        </row>
        <row r="324">
          <cell r="A324">
            <v>60015</v>
          </cell>
        </row>
        <row r="325">
          <cell r="A325">
            <v>60016</v>
          </cell>
        </row>
        <row r="326">
          <cell r="A326">
            <v>60017</v>
          </cell>
        </row>
        <row r="327">
          <cell r="A327">
            <v>60018</v>
          </cell>
        </row>
        <row r="328">
          <cell r="A328">
            <v>60019</v>
          </cell>
        </row>
        <row r="329">
          <cell r="A329">
            <v>60020</v>
          </cell>
        </row>
        <row r="330">
          <cell r="A330">
            <v>60025</v>
          </cell>
        </row>
        <row r="331">
          <cell r="A331">
            <v>60026</v>
          </cell>
        </row>
        <row r="332">
          <cell r="A332">
            <v>60027</v>
          </cell>
        </row>
        <row r="333">
          <cell r="A333">
            <v>60028</v>
          </cell>
        </row>
        <row r="334">
          <cell r="A334">
            <v>65525</v>
          </cell>
        </row>
        <row r="335">
          <cell r="A335">
            <v>65526</v>
          </cell>
        </row>
        <row r="336">
          <cell r="A336">
            <v>65527</v>
          </cell>
        </row>
        <row r="337">
          <cell r="A337">
            <v>65528</v>
          </cell>
        </row>
        <row r="338">
          <cell r="A338">
            <v>65529</v>
          </cell>
        </row>
        <row r="339">
          <cell r="A339">
            <v>65530</v>
          </cell>
        </row>
        <row r="340">
          <cell r="A340">
            <v>65531</v>
          </cell>
        </row>
        <row r="341">
          <cell r="A341">
            <v>65532</v>
          </cell>
        </row>
        <row r="342">
          <cell r="A342">
            <v>65533</v>
          </cell>
        </row>
        <row r="343">
          <cell r="A343">
            <v>65534</v>
          </cell>
        </row>
        <row r="344">
          <cell r="A344">
            <v>65535</v>
          </cell>
        </row>
        <row r="345">
          <cell r="A345">
            <v>60021</v>
          </cell>
        </row>
        <row r="346">
          <cell r="A346">
            <v>60022</v>
          </cell>
        </row>
        <row r="347">
          <cell r="A347">
            <v>60023</v>
          </cell>
        </row>
        <row r="348">
          <cell r="A348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39001_1</v>
          </cell>
        </row>
        <row r="662">
          <cell r="A662" t="str">
            <v>39001_2</v>
          </cell>
        </row>
        <row r="663">
          <cell r="A663" t="str">
            <v>39001_3</v>
          </cell>
        </row>
        <row r="664">
          <cell r="A664" t="str">
            <v>39001_4</v>
          </cell>
        </row>
        <row r="665">
          <cell r="A665" t="str">
            <v>39001_5</v>
          </cell>
        </row>
        <row r="666">
          <cell r="A666" t="str">
            <v>39002_1</v>
          </cell>
        </row>
        <row r="667">
          <cell r="A667" t="str">
            <v>39002_2</v>
          </cell>
        </row>
        <row r="668">
          <cell r="A668" t="str">
            <v>39002_3</v>
          </cell>
        </row>
        <row r="669">
          <cell r="A669" t="str">
            <v>39002_4</v>
          </cell>
        </row>
        <row r="670">
          <cell r="A670" t="str">
            <v>39003_1</v>
          </cell>
        </row>
        <row r="671">
          <cell r="A671" t="str">
            <v>39003_2</v>
          </cell>
        </row>
        <row r="672">
          <cell r="A672" t="str">
            <v>39003_3</v>
          </cell>
        </row>
        <row r="673">
          <cell r="A673" t="str">
            <v>39003_4</v>
          </cell>
        </row>
        <row r="674">
          <cell r="A674" t="str">
            <v>39004_1</v>
          </cell>
        </row>
        <row r="675">
          <cell r="A675" t="str">
            <v>39004_2</v>
          </cell>
        </row>
        <row r="676">
          <cell r="A676" t="str">
            <v>39004_3</v>
          </cell>
        </row>
        <row r="677">
          <cell r="A677" t="str">
            <v>39004_4</v>
          </cell>
        </row>
        <row r="678">
          <cell r="A678" t="str">
            <v>39005_1</v>
          </cell>
        </row>
        <row r="679">
          <cell r="A679" t="str">
            <v>39005_2</v>
          </cell>
        </row>
        <row r="680">
          <cell r="A680" t="str">
            <v>39005_3</v>
          </cell>
        </row>
        <row r="681">
          <cell r="A681" t="str">
            <v>39005_4</v>
          </cell>
        </row>
        <row r="682">
          <cell r="A682" t="str">
            <v>39005_5</v>
          </cell>
        </row>
        <row r="683">
          <cell r="A683" t="str">
            <v>39006_1</v>
          </cell>
        </row>
        <row r="684">
          <cell r="A684" t="str">
            <v>39006_2</v>
          </cell>
        </row>
        <row r="685">
          <cell r="A685" t="str">
            <v>39006_3</v>
          </cell>
        </row>
        <row r="686">
          <cell r="A686" t="str">
            <v>39006_4</v>
          </cell>
        </row>
        <row r="687">
          <cell r="A687" t="str">
            <v>39007_1</v>
          </cell>
        </row>
        <row r="688">
          <cell r="A688" t="str">
            <v>39007_2</v>
          </cell>
        </row>
        <row r="689">
          <cell r="A689" t="str">
            <v>39007_3</v>
          </cell>
        </row>
        <row r="690">
          <cell r="A690" t="str">
            <v>39007_4</v>
          </cell>
        </row>
        <row r="691">
          <cell r="A691" t="str">
            <v>39008_1</v>
          </cell>
        </row>
        <row r="692">
          <cell r="A692" t="str">
            <v>39008_2</v>
          </cell>
        </row>
        <row r="693">
          <cell r="A693" t="str">
            <v>39008_3</v>
          </cell>
        </row>
        <row r="694">
          <cell r="A694" t="str">
            <v>39008_4</v>
          </cell>
        </row>
        <row r="695">
          <cell r="A695" t="str">
            <v>39008_5</v>
          </cell>
        </row>
        <row r="696">
          <cell r="A696" t="str">
            <v>39009_1</v>
          </cell>
        </row>
        <row r="697">
          <cell r="A697" t="str">
            <v>39009_2</v>
          </cell>
        </row>
        <row r="698">
          <cell r="A698" t="str">
            <v>39009_3</v>
          </cell>
        </row>
        <row r="699">
          <cell r="A699" t="str">
            <v>39009_4</v>
          </cell>
        </row>
        <row r="700">
          <cell r="A700" t="str">
            <v>39009_5</v>
          </cell>
        </row>
        <row r="701">
          <cell r="A701" t="str">
            <v>39010_1</v>
          </cell>
        </row>
        <row r="702">
          <cell r="A702" t="str">
            <v>39010_2</v>
          </cell>
        </row>
        <row r="703">
          <cell r="A703" t="str">
            <v>39010_3</v>
          </cell>
        </row>
        <row r="704">
          <cell r="A704" t="str">
            <v>39010_4</v>
          </cell>
        </row>
        <row r="705">
          <cell r="A705" t="str">
            <v>39011_1</v>
          </cell>
        </row>
        <row r="706">
          <cell r="A706" t="str">
            <v>39011_2</v>
          </cell>
        </row>
        <row r="707">
          <cell r="A707" t="str">
            <v>39011_3</v>
          </cell>
        </row>
        <row r="708">
          <cell r="A708" t="str">
            <v>39011_4</v>
          </cell>
        </row>
        <row r="709">
          <cell r="A709" t="str">
            <v>39012_1</v>
          </cell>
        </row>
        <row r="710">
          <cell r="A710" t="str">
            <v>39012_2</v>
          </cell>
        </row>
        <row r="711">
          <cell r="A711" t="str">
            <v>39012_3</v>
          </cell>
        </row>
        <row r="712">
          <cell r="A712" t="str">
            <v>39012_4</v>
          </cell>
        </row>
        <row r="713">
          <cell r="A713" t="str">
            <v>39012_5</v>
          </cell>
        </row>
        <row r="714">
          <cell r="A714" t="str">
            <v>40001_1</v>
          </cell>
        </row>
        <row r="715">
          <cell r="A715" t="str">
            <v>40002_1</v>
          </cell>
        </row>
        <row r="716">
          <cell r="A716" t="str">
            <v>40002_2</v>
          </cell>
        </row>
        <row r="717">
          <cell r="A717" t="str">
            <v>40002_3</v>
          </cell>
        </row>
        <row r="718">
          <cell r="A718" t="str">
            <v>40003_1</v>
          </cell>
        </row>
        <row r="719">
          <cell r="A719" t="str">
            <v>40004_1</v>
          </cell>
        </row>
        <row r="720">
          <cell r="A720" t="str">
            <v>40005_1</v>
          </cell>
        </row>
        <row r="721">
          <cell r="A721" t="str">
            <v>40006_1</v>
          </cell>
        </row>
        <row r="722">
          <cell r="A722" t="str">
            <v>40007_1</v>
          </cell>
        </row>
        <row r="723">
          <cell r="A723" t="str">
            <v>40008_1</v>
          </cell>
        </row>
        <row r="724">
          <cell r="A724" t="str">
            <v>40009_1</v>
          </cell>
        </row>
        <row r="725">
          <cell r="A725" t="str">
            <v>40010_1</v>
          </cell>
        </row>
        <row r="726">
          <cell r="A726" t="str">
            <v>40011_1</v>
          </cell>
        </row>
        <row r="727">
          <cell r="A727" t="str">
            <v>40012_1</v>
          </cell>
        </row>
        <row r="728">
          <cell r="A728" t="str">
            <v>40013_1</v>
          </cell>
        </row>
        <row r="729">
          <cell r="A729" t="str">
            <v>40014_1</v>
          </cell>
        </row>
        <row r="730">
          <cell r="A730" t="str">
            <v>40015_1</v>
          </cell>
        </row>
        <row r="731">
          <cell r="A731" t="str">
            <v>40016_1</v>
          </cell>
        </row>
        <row r="732">
          <cell r="A732" t="str">
            <v>40016_2</v>
          </cell>
        </row>
        <row r="733">
          <cell r="A733" t="str">
            <v>40017_1</v>
          </cell>
        </row>
        <row r="734">
          <cell r="A734" t="str">
            <v>40017_2</v>
          </cell>
        </row>
        <row r="735">
          <cell r="A735" t="str">
            <v>40017_3</v>
          </cell>
        </row>
        <row r="736">
          <cell r="A736" t="str">
            <v>40018_1</v>
          </cell>
        </row>
        <row r="737">
          <cell r="A737" t="str">
            <v>40018_2</v>
          </cell>
        </row>
        <row r="738">
          <cell r="A738" t="str">
            <v>40018_3</v>
          </cell>
        </row>
        <row r="739">
          <cell r="A739" t="str">
            <v>40019_1</v>
          </cell>
        </row>
        <row r="740">
          <cell r="A740" t="str">
            <v>40019_2</v>
          </cell>
        </row>
        <row r="741">
          <cell r="A741" t="str">
            <v>40019_3</v>
          </cell>
        </row>
        <row r="742">
          <cell r="A742" t="str">
            <v>40021_1</v>
          </cell>
        </row>
        <row r="743">
          <cell r="A743" t="str">
            <v>40021_2</v>
          </cell>
        </row>
        <row r="744">
          <cell r="A744" t="str">
            <v>40022_1</v>
          </cell>
        </row>
        <row r="745">
          <cell r="A745" t="str">
            <v>40022_2</v>
          </cell>
        </row>
        <row r="746">
          <cell r="A746" t="str">
            <v>40023_1</v>
          </cell>
        </row>
        <row r="747">
          <cell r="A747" t="str">
            <v>40023_2</v>
          </cell>
        </row>
        <row r="748">
          <cell r="A748" t="str">
            <v>40024_1</v>
          </cell>
        </row>
        <row r="749">
          <cell r="A749" t="str">
            <v>40024_2</v>
          </cell>
        </row>
        <row r="750">
          <cell r="A750" t="str">
            <v>40025_1</v>
          </cell>
        </row>
        <row r="751">
          <cell r="A751" t="str">
            <v>40025_2</v>
          </cell>
        </row>
        <row r="752">
          <cell r="A752" t="str">
            <v>40026_1</v>
          </cell>
        </row>
        <row r="753">
          <cell r="A753" t="str">
            <v>40026_2</v>
          </cell>
        </row>
        <row r="754">
          <cell r="A754" t="str">
            <v>40027_1</v>
          </cell>
        </row>
        <row r="755">
          <cell r="A755" t="str">
            <v>40027_2</v>
          </cell>
        </row>
        <row r="756">
          <cell r="A756" t="str">
            <v>40028_1</v>
          </cell>
        </row>
        <row r="757">
          <cell r="A757" t="str">
            <v>40028_2</v>
          </cell>
        </row>
        <row r="758">
          <cell r="A758" t="str">
            <v>40029_1</v>
          </cell>
        </row>
        <row r="759">
          <cell r="A759" t="str">
            <v>40029_2</v>
          </cell>
        </row>
        <row r="760">
          <cell r="A760" t="str">
            <v>40030_1</v>
          </cell>
        </row>
        <row r="761">
          <cell r="A761" t="str">
            <v>40030_2</v>
          </cell>
        </row>
        <row r="762">
          <cell r="A762" t="str">
            <v>40031_1</v>
          </cell>
        </row>
        <row r="763">
          <cell r="A763" t="str">
            <v>40031_2</v>
          </cell>
        </row>
        <row r="764">
          <cell r="A764" t="str">
            <v>40032_1</v>
          </cell>
        </row>
        <row r="765">
          <cell r="A765" t="str">
            <v>40032_2</v>
          </cell>
        </row>
        <row r="766">
          <cell r="A766" t="str">
            <v>40033_1</v>
          </cell>
        </row>
        <row r="767">
          <cell r="A767" t="str">
            <v>40033_2</v>
          </cell>
        </row>
        <row r="768">
          <cell r="A768" t="str">
            <v>40034_1</v>
          </cell>
        </row>
        <row r="769">
          <cell r="A769" t="str">
            <v>40034_2</v>
          </cell>
        </row>
        <row r="770">
          <cell r="A770" t="str">
            <v>40035_1</v>
          </cell>
        </row>
        <row r="771">
          <cell r="A771" t="str">
            <v>40035_2</v>
          </cell>
        </row>
        <row r="772">
          <cell r="A772" t="str">
            <v>40036_1</v>
          </cell>
        </row>
        <row r="773">
          <cell r="A773" t="str">
            <v>40036_2</v>
          </cell>
        </row>
        <row r="774">
          <cell r="A774" t="str">
            <v>40037_1</v>
          </cell>
        </row>
        <row r="775">
          <cell r="A775" t="str">
            <v>40037_2</v>
          </cell>
        </row>
        <row r="776">
          <cell r="A776" t="str">
            <v>40038_1</v>
          </cell>
        </row>
        <row r="777">
          <cell r="A777" t="str">
            <v>40038_2</v>
          </cell>
        </row>
        <row r="778">
          <cell r="A778" t="str">
            <v>40039_1</v>
          </cell>
        </row>
        <row r="779">
          <cell r="A779" t="str">
            <v>40039_2</v>
          </cell>
        </row>
        <row r="780">
          <cell r="A780" t="str">
            <v>40040_1</v>
          </cell>
        </row>
        <row r="781">
          <cell r="A781" t="str">
            <v>40040_2</v>
          </cell>
        </row>
        <row r="782">
          <cell r="A782" t="str">
            <v>40041_1</v>
          </cell>
        </row>
        <row r="783">
          <cell r="A783" t="str">
            <v>40041_2</v>
          </cell>
        </row>
        <row r="784">
          <cell r="A784" t="str">
            <v>40042_1</v>
          </cell>
        </row>
        <row r="785">
          <cell r="A785" t="str">
            <v>40042_2</v>
          </cell>
        </row>
        <row r="786">
          <cell r="A786" t="str">
            <v>40043_1</v>
          </cell>
        </row>
        <row r="787">
          <cell r="A787" t="str">
            <v>40043_2</v>
          </cell>
        </row>
        <row r="788">
          <cell r="A788" t="str">
            <v>41001_1</v>
          </cell>
        </row>
        <row r="789">
          <cell r="A789" t="str">
            <v>41001_2</v>
          </cell>
        </row>
        <row r="790">
          <cell r="A790" t="str">
            <v>41001_3</v>
          </cell>
        </row>
        <row r="791">
          <cell r="A791" t="str">
            <v>41002_1</v>
          </cell>
        </row>
        <row r="792">
          <cell r="A792" t="str">
            <v>41002_2</v>
          </cell>
        </row>
        <row r="793">
          <cell r="A793" t="str">
            <v>41002_3</v>
          </cell>
        </row>
        <row r="794">
          <cell r="A794" t="str">
            <v>41003_1</v>
          </cell>
        </row>
        <row r="795">
          <cell r="A795" t="str">
            <v>41003_2</v>
          </cell>
        </row>
        <row r="796">
          <cell r="A796" t="str">
            <v>41003_3</v>
          </cell>
        </row>
        <row r="797">
          <cell r="A797" t="str">
            <v>41004_1</v>
          </cell>
        </row>
        <row r="798">
          <cell r="A798" t="str">
            <v>41004_2</v>
          </cell>
        </row>
        <row r="799">
          <cell r="A799" t="str">
            <v>41004_3</v>
          </cell>
        </row>
        <row r="800">
          <cell r="A800" t="str">
            <v>41005_1</v>
          </cell>
        </row>
        <row r="801">
          <cell r="A801" t="str">
            <v>41005_2</v>
          </cell>
        </row>
        <row r="802">
          <cell r="A802" t="str">
            <v>41005_3</v>
          </cell>
        </row>
        <row r="803">
          <cell r="A803" t="str">
            <v>41006_1</v>
          </cell>
        </row>
        <row r="804">
          <cell r="A804" t="str">
            <v>41006_2</v>
          </cell>
        </row>
        <row r="805">
          <cell r="A805" t="str">
            <v>41006_3</v>
          </cell>
        </row>
        <row r="806">
          <cell r="A806" t="str">
            <v>41007_1</v>
          </cell>
        </row>
        <row r="807">
          <cell r="A807" t="str">
            <v>41007_2</v>
          </cell>
        </row>
        <row r="808">
          <cell r="A808" t="str">
            <v>41007_3</v>
          </cell>
        </row>
        <row r="809">
          <cell r="A809" t="str">
            <v>41008_1</v>
          </cell>
        </row>
        <row r="810">
          <cell r="A810" t="str">
            <v>41008_2</v>
          </cell>
        </row>
        <row r="811">
          <cell r="A811" t="str">
            <v>41008_3</v>
          </cell>
        </row>
        <row r="812">
          <cell r="A812" t="str">
            <v>41009_1</v>
          </cell>
        </row>
        <row r="813">
          <cell r="A813" t="str">
            <v>41009_2</v>
          </cell>
        </row>
        <row r="814">
          <cell r="A814" t="str">
            <v>41009_3</v>
          </cell>
        </row>
        <row r="815">
          <cell r="A815" t="str">
            <v>41010_1</v>
          </cell>
        </row>
        <row r="816">
          <cell r="A816" t="str">
            <v>41010_2</v>
          </cell>
        </row>
        <row r="817">
          <cell r="A817" t="str">
            <v>41010_3</v>
          </cell>
        </row>
        <row r="818">
          <cell r="A818" t="str">
            <v>41011_1</v>
          </cell>
        </row>
        <row r="819">
          <cell r="A819" t="str">
            <v>41011_2</v>
          </cell>
        </row>
        <row r="820">
          <cell r="A820" t="str">
            <v>41012_1</v>
          </cell>
        </row>
        <row r="821">
          <cell r="A821" t="str">
            <v>41012_2</v>
          </cell>
        </row>
        <row r="822">
          <cell r="A822" t="str">
            <v>41013_1</v>
          </cell>
        </row>
        <row r="823">
          <cell r="A823" t="str">
            <v>41013_2</v>
          </cell>
        </row>
        <row r="824">
          <cell r="A824" t="str">
            <v>41014_1</v>
          </cell>
        </row>
        <row r="825">
          <cell r="A825" t="str">
            <v>41014_2</v>
          </cell>
        </row>
        <row r="826">
          <cell r="A826" t="str">
            <v>41015_1</v>
          </cell>
        </row>
        <row r="827">
          <cell r="A827" t="str">
            <v>41015_2</v>
          </cell>
        </row>
        <row r="828">
          <cell r="A828" t="str">
            <v>47001_1</v>
          </cell>
        </row>
        <row r="829">
          <cell r="A829" t="str">
            <v>47001_2</v>
          </cell>
        </row>
        <row r="830">
          <cell r="A830" t="str">
            <v>47002_1</v>
          </cell>
        </row>
        <row r="831">
          <cell r="A831" t="str">
            <v>47002_2</v>
          </cell>
        </row>
        <row r="832">
          <cell r="A832" t="str">
            <v>47003_1</v>
          </cell>
        </row>
        <row r="833">
          <cell r="A833" t="str">
            <v>47003_2</v>
          </cell>
        </row>
        <row r="834">
          <cell r="A834" t="str">
            <v>47003_3</v>
          </cell>
        </row>
        <row r="835">
          <cell r="A835" t="str">
            <v>47003_4</v>
          </cell>
        </row>
        <row r="836">
          <cell r="A836" t="str">
            <v>47004_1</v>
          </cell>
        </row>
        <row r="837">
          <cell r="A837" t="str">
            <v>47004_2</v>
          </cell>
        </row>
        <row r="838">
          <cell r="A838" t="str">
            <v>47004_3</v>
          </cell>
        </row>
        <row r="839">
          <cell r="A839" t="str">
            <v>47004_4</v>
          </cell>
        </row>
        <row r="840">
          <cell r="A840" t="str">
            <v>47005_1</v>
          </cell>
        </row>
        <row r="841">
          <cell r="A841" t="str">
            <v>47006_1</v>
          </cell>
        </row>
        <row r="842">
          <cell r="A842" t="str">
            <v>47006_2</v>
          </cell>
        </row>
        <row r="843">
          <cell r="A843" t="str">
            <v>47007_1</v>
          </cell>
        </row>
        <row r="844">
          <cell r="A844" t="str">
            <v>47007_2</v>
          </cell>
        </row>
        <row r="845">
          <cell r="A845" t="str">
            <v>47008_1</v>
          </cell>
        </row>
        <row r="846">
          <cell r="A846" t="str">
            <v>47008_2</v>
          </cell>
        </row>
        <row r="847">
          <cell r="A847" t="str">
            <v>47009_1</v>
          </cell>
        </row>
        <row r="848">
          <cell r="A848" t="str">
            <v>47009_2</v>
          </cell>
        </row>
        <row r="849">
          <cell r="A849" t="str">
            <v>47010_1</v>
          </cell>
        </row>
        <row r="850">
          <cell r="A850" t="str">
            <v>47010_2</v>
          </cell>
        </row>
        <row r="851">
          <cell r="A851" t="str">
            <v>47011_1</v>
          </cell>
        </row>
        <row r="852">
          <cell r="A852" t="str">
            <v>47012_1</v>
          </cell>
        </row>
        <row r="853">
          <cell r="A853" t="str">
            <v>47012_2</v>
          </cell>
        </row>
        <row r="854">
          <cell r="A854" t="str">
            <v>48001_1</v>
          </cell>
        </row>
        <row r="855">
          <cell r="A855" t="str">
            <v>48002_1</v>
          </cell>
        </row>
        <row r="856">
          <cell r="A856" t="str">
            <v>48002_2</v>
          </cell>
        </row>
        <row r="857">
          <cell r="A857" t="str">
            <v>48002_3</v>
          </cell>
        </row>
        <row r="858">
          <cell r="A858" t="str">
            <v>48003_1</v>
          </cell>
        </row>
        <row r="859">
          <cell r="A859" t="str">
            <v>48003_2</v>
          </cell>
        </row>
        <row r="860">
          <cell r="A860" t="str">
            <v>48004_1</v>
          </cell>
        </row>
        <row r="861">
          <cell r="A861" t="str">
            <v>48004_2</v>
          </cell>
        </row>
        <row r="862">
          <cell r="A862" t="str">
            <v>48005_1</v>
          </cell>
        </row>
        <row r="863">
          <cell r="A863" t="str">
            <v>48005_2</v>
          </cell>
        </row>
        <row r="864">
          <cell r="A864" t="str">
            <v>48006_1</v>
          </cell>
        </row>
        <row r="865">
          <cell r="A865" t="str">
            <v>48006_2</v>
          </cell>
        </row>
        <row r="866">
          <cell r="A866" t="str">
            <v>48007_1</v>
          </cell>
        </row>
        <row r="867">
          <cell r="A867" t="str">
            <v>48007_2</v>
          </cell>
        </row>
        <row r="868">
          <cell r="A868" t="str">
            <v>48008_1</v>
          </cell>
        </row>
        <row r="869">
          <cell r="A869" t="str">
            <v>48008_2</v>
          </cell>
        </row>
        <row r="870">
          <cell r="A870" t="str">
            <v>48009_1</v>
          </cell>
        </row>
        <row r="871">
          <cell r="A871" t="str">
            <v>48009_2</v>
          </cell>
        </row>
        <row r="872">
          <cell r="A872" t="str">
            <v>48010_1</v>
          </cell>
        </row>
        <row r="873">
          <cell r="A873" t="str">
            <v>48011_1</v>
          </cell>
        </row>
        <row r="874">
          <cell r="A874" t="str">
            <v>48011_2</v>
          </cell>
        </row>
        <row r="875">
          <cell r="A875" t="str">
            <v>48012_1</v>
          </cell>
        </row>
        <row r="876">
          <cell r="A876" t="str">
            <v>48012_2</v>
          </cell>
        </row>
        <row r="877">
          <cell r="A877" t="str">
            <v>48501_1</v>
          </cell>
        </row>
        <row r="878">
          <cell r="A878" t="str">
            <v>48501_2</v>
          </cell>
        </row>
        <row r="879">
          <cell r="A879" t="str">
            <v>48502_1</v>
          </cell>
        </row>
        <row r="880">
          <cell r="A880" t="str">
            <v>48502_2</v>
          </cell>
        </row>
        <row r="881">
          <cell r="A881" t="str">
            <v>48701_1</v>
          </cell>
        </row>
        <row r="882">
          <cell r="A882" t="str">
            <v>48701_2</v>
          </cell>
        </row>
        <row r="883">
          <cell r="A883" t="str">
            <v>49001_1</v>
          </cell>
        </row>
        <row r="884">
          <cell r="A884" t="str">
            <v>49002_1</v>
          </cell>
        </row>
        <row r="885">
          <cell r="A885" t="str">
            <v>49002_2</v>
          </cell>
        </row>
        <row r="886">
          <cell r="A886" t="str">
            <v>49003_1</v>
          </cell>
        </row>
        <row r="887">
          <cell r="A887" t="str">
            <v>49003_2</v>
          </cell>
        </row>
        <row r="888">
          <cell r="A888" t="str">
            <v>49004_1</v>
          </cell>
        </row>
        <row r="889">
          <cell r="A889" t="str">
            <v>49004_2</v>
          </cell>
        </row>
        <row r="890">
          <cell r="A890" t="str">
            <v>49004_3</v>
          </cell>
        </row>
        <row r="891">
          <cell r="A891" t="str">
            <v>49005_1</v>
          </cell>
        </row>
        <row r="892">
          <cell r="A892" t="str">
            <v>49006_1</v>
          </cell>
        </row>
        <row r="893">
          <cell r="A893" t="str">
            <v>49006_2</v>
          </cell>
        </row>
        <row r="894">
          <cell r="A894" t="str">
            <v>49007_1</v>
          </cell>
        </row>
        <row r="895">
          <cell r="A895" t="str">
            <v>49007_2</v>
          </cell>
        </row>
        <row r="896">
          <cell r="A896" t="str">
            <v>49007_3</v>
          </cell>
        </row>
        <row r="897">
          <cell r="A897" t="str">
            <v>49008_1</v>
          </cell>
        </row>
        <row r="898">
          <cell r="A898" t="str">
            <v>49009_1</v>
          </cell>
        </row>
        <row r="899">
          <cell r="A899" t="str">
            <v>49010_1</v>
          </cell>
        </row>
        <row r="900">
          <cell r="A900" t="str">
            <v>49011_1</v>
          </cell>
        </row>
        <row r="901">
          <cell r="A901" t="str">
            <v>49012_1</v>
          </cell>
        </row>
        <row r="902">
          <cell r="A902" t="str">
            <v>49013_1</v>
          </cell>
        </row>
        <row r="903">
          <cell r="A903" t="str">
            <v>49014_1</v>
          </cell>
        </row>
        <row r="904">
          <cell r="A904" t="str">
            <v>49014_2</v>
          </cell>
        </row>
        <row r="905">
          <cell r="A905" t="str">
            <v>49015_1</v>
          </cell>
        </row>
        <row r="906">
          <cell r="A906" t="str">
            <v>49015_2</v>
          </cell>
        </row>
        <row r="907">
          <cell r="A907" t="str">
            <v>49015_3</v>
          </cell>
        </row>
        <row r="908">
          <cell r="A908" t="str">
            <v>50001_1</v>
          </cell>
        </row>
        <row r="909">
          <cell r="A909" t="str">
            <v>50002_1</v>
          </cell>
        </row>
        <row r="910">
          <cell r="A910" t="str">
            <v>50003_1</v>
          </cell>
        </row>
        <row r="911">
          <cell r="A911" t="str">
            <v>50004_1</v>
          </cell>
        </row>
        <row r="912">
          <cell r="A912" t="str">
            <v>50005_1</v>
          </cell>
        </row>
        <row r="913">
          <cell r="A913" t="str">
            <v>50006_1</v>
          </cell>
        </row>
        <row r="914">
          <cell r="A914" t="str">
            <v>50007_1</v>
          </cell>
        </row>
        <row r="915">
          <cell r="A915" t="str">
            <v>50008_1</v>
          </cell>
        </row>
        <row r="916">
          <cell r="A916" t="str">
            <v>50009_1</v>
          </cell>
        </row>
        <row r="917">
          <cell r="A917" t="str">
            <v>50010_1</v>
          </cell>
        </row>
        <row r="918">
          <cell r="A918" t="str">
            <v>50011_1</v>
          </cell>
        </row>
        <row r="919">
          <cell r="A919" t="str">
            <v>50012_1</v>
          </cell>
        </row>
        <row r="920">
          <cell r="A920" t="str">
            <v>50013_1</v>
          </cell>
        </row>
        <row r="921">
          <cell r="A921" t="str">
            <v>50014_1</v>
          </cell>
        </row>
        <row r="922">
          <cell r="A922" t="str">
            <v>51001_1</v>
          </cell>
        </row>
        <row r="923">
          <cell r="A923" t="str">
            <v>51002_1</v>
          </cell>
        </row>
        <row r="924">
          <cell r="A924" t="str">
            <v>58001_1</v>
          </cell>
        </row>
        <row r="925">
          <cell r="A925" t="str">
            <v>59001_1</v>
          </cell>
        </row>
        <row r="926">
          <cell r="A926" t="str">
            <v>59002_1</v>
          </cell>
        </row>
        <row r="927">
          <cell r="A927" t="str">
            <v>60001_1</v>
          </cell>
        </row>
        <row r="928">
          <cell r="A928" t="str">
            <v>60002_1</v>
          </cell>
        </row>
        <row r="929">
          <cell r="A929" t="str">
            <v>60002_2</v>
          </cell>
        </row>
        <row r="930">
          <cell r="A930" t="str">
            <v>60003_1</v>
          </cell>
        </row>
        <row r="931">
          <cell r="A931" t="str">
            <v>60003_2</v>
          </cell>
        </row>
        <row r="932">
          <cell r="A932" t="str">
            <v>60003_3</v>
          </cell>
        </row>
        <row r="933">
          <cell r="A933" t="str">
            <v>60004_1</v>
          </cell>
        </row>
        <row r="934">
          <cell r="A934" t="str">
            <v>60005_1</v>
          </cell>
        </row>
        <row r="935">
          <cell r="A935" t="str">
            <v>60006_1</v>
          </cell>
        </row>
        <row r="936">
          <cell r="A936" t="str">
            <v>60006_2</v>
          </cell>
        </row>
        <row r="937">
          <cell r="A937" t="str">
            <v>60006_3</v>
          </cell>
        </row>
        <row r="938">
          <cell r="A938" t="str">
            <v>60007_1</v>
          </cell>
        </row>
        <row r="939">
          <cell r="A939" t="str">
            <v>60007_2</v>
          </cell>
        </row>
        <row r="940">
          <cell r="A940" t="str">
            <v>60007_3</v>
          </cell>
        </row>
        <row r="941">
          <cell r="A941" t="str">
            <v>60010_1</v>
          </cell>
        </row>
        <row r="942">
          <cell r="A942" t="str">
            <v>60011_1</v>
          </cell>
        </row>
        <row r="943">
          <cell r="A943" t="str">
            <v>60011_2</v>
          </cell>
        </row>
        <row r="944">
          <cell r="A944" t="str">
            <v>60012_1</v>
          </cell>
        </row>
        <row r="945">
          <cell r="A945" t="str">
            <v>60013_1</v>
          </cell>
        </row>
        <row r="946">
          <cell r="A946" t="str">
            <v>60013_2</v>
          </cell>
        </row>
        <row r="947">
          <cell r="A947" t="str">
            <v>60013_3</v>
          </cell>
        </row>
        <row r="948">
          <cell r="A948" t="str">
            <v>60014_1</v>
          </cell>
        </row>
        <row r="949">
          <cell r="A949" t="str">
            <v>60015_1</v>
          </cell>
        </row>
        <row r="950">
          <cell r="A950" t="str">
            <v>60016_1</v>
          </cell>
        </row>
        <row r="951">
          <cell r="A951" t="str">
            <v>60017_1</v>
          </cell>
        </row>
        <row r="952">
          <cell r="A952" t="str">
            <v>60018_1</v>
          </cell>
        </row>
        <row r="953">
          <cell r="A953" t="str">
            <v>60019_1</v>
          </cell>
        </row>
        <row r="954">
          <cell r="A954" t="str">
            <v>60020_1</v>
          </cell>
        </row>
        <row r="955">
          <cell r="A955" t="str">
            <v>60021_3</v>
          </cell>
        </row>
        <row r="956">
          <cell r="A956" t="str">
            <v>60022_3</v>
          </cell>
        </row>
        <row r="957">
          <cell r="A957" t="str">
            <v>60023_3</v>
          </cell>
        </row>
        <row r="958">
          <cell r="A958" t="str">
            <v>60024_3</v>
          </cell>
        </row>
        <row r="959">
          <cell r="A959" t="str">
            <v>60025_1</v>
          </cell>
        </row>
        <row r="960">
          <cell r="A960" t="str">
            <v>60026_1</v>
          </cell>
        </row>
        <row r="961">
          <cell r="A961" t="str">
            <v>61011_1</v>
          </cell>
        </row>
        <row r="962">
          <cell r="A962" t="str">
            <v>60027_1</v>
          </cell>
        </row>
        <row r="963">
          <cell r="A963" t="str">
            <v>60028_1</v>
          </cell>
        </row>
        <row r="964">
          <cell r="A964" t="str">
            <v>65525_1</v>
          </cell>
        </row>
        <row r="965">
          <cell r="A965" t="str">
            <v>65526_1</v>
          </cell>
        </row>
        <row r="966">
          <cell r="A966" t="str">
            <v>65526_2</v>
          </cell>
        </row>
        <row r="967">
          <cell r="A967" t="str">
            <v>65527_1</v>
          </cell>
        </row>
        <row r="968">
          <cell r="A968" t="str">
            <v>65528_1</v>
          </cell>
        </row>
        <row r="969">
          <cell r="A969" t="str">
            <v>65529_1</v>
          </cell>
        </row>
        <row r="970">
          <cell r="A970" t="str">
            <v>65530_1</v>
          </cell>
        </row>
        <row r="971">
          <cell r="A971" t="str">
            <v>65531_1</v>
          </cell>
        </row>
        <row r="972">
          <cell r="A972" t="str">
            <v>65531_2</v>
          </cell>
        </row>
        <row r="973">
          <cell r="A973" t="str">
            <v>65532_1</v>
          </cell>
        </row>
        <row r="974">
          <cell r="A974" t="str">
            <v>65532_2</v>
          </cell>
        </row>
        <row r="975">
          <cell r="A975" t="str">
            <v>65533_1</v>
          </cell>
        </row>
        <row r="976">
          <cell r="A976" t="str">
            <v>65533_2</v>
          </cell>
        </row>
        <row r="977">
          <cell r="A977" t="str">
            <v>65534_1</v>
          </cell>
        </row>
        <row r="978">
          <cell r="A978" t="str">
            <v>65534_2</v>
          </cell>
        </row>
        <row r="979">
          <cell r="A979" t="str">
            <v>65535_1</v>
          </cell>
        </row>
        <row r="980">
          <cell r="A980" t="str">
            <v>65535_2</v>
          </cell>
        </row>
        <row r="981">
          <cell r="A981" t="str">
            <v>65535_3</v>
          </cell>
        </row>
        <row r="982">
          <cell r="A982" t="str">
            <v>65535_4</v>
          </cell>
        </row>
        <row r="983">
          <cell r="A983" t="str">
            <v>65535_5</v>
          </cell>
        </row>
        <row r="984">
          <cell r="A984" t="str">
            <v>65535_6</v>
          </cell>
        </row>
        <row r="985">
          <cell r="A985" t="str">
            <v>65535_7</v>
          </cell>
        </row>
        <row r="986">
          <cell r="A986" t="str">
            <v>65535_8</v>
          </cell>
        </row>
        <row r="987">
          <cell r="A987" t="str">
            <v>65535_9</v>
          </cell>
        </row>
        <row r="988">
          <cell r="A98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1471</v>
          </cell>
        </row>
        <row r="1346">
          <cell r="A1346">
            <v>1495</v>
          </cell>
        </row>
        <row r="1347">
          <cell r="A1347">
            <v>1496</v>
          </cell>
        </row>
        <row r="1348">
          <cell r="A1348">
            <v>1497</v>
          </cell>
        </row>
        <row r="1349">
          <cell r="A1349">
            <v>1498</v>
          </cell>
        </row>
        <row r="1350">
          <cell r="A1350">
            <v>1499</v>
          </cell>
        </row>
        <row r="1351">
          <cell r="A1351">
            <v>1500</v>
          </cell>
        </row>
        <row r="1352">
          <cell r="A1352">
            <v>1501</v>
          </cell>
        </row>
        <row r="1353">
          <cell r="A1353">
            <v>1502</v>
          </cell>
        </row>
        <row r="1354">
          <cell r="A1354">
            <v>1503</v>
          </cell>
        </row>
        <row r="1355">
          <cell r="A1355">
            <v>1504</v>
          </cell>
        </row>
        <row r="1356">
          <cell r="A1356">
            <v>1505</v>
          </cell>
        </row>
        <row r="1357">
          <cell r="A1357">
            <v>1506</v>
          </cell>
        </row>
        <row r="1358">
          <cell r="A1358">
            <v>1507</v>
          </cell>
        </row>
        <row r="1359">
          <cell r="A1359">
            <v>1508</v>
          </cell>
        </row>
        <row r="1360">
          <cell r="A1360">
            <v>1509</v>
          </cell>
        </row>
        <row r="1361">
          <cell r="A1361">
            <v>1510</v>
          </cell>
        </row>
        <row r="1362">
          <cell r="A1362">
            <v>1511</v>
          </cell>
        </row>
        <row r="1363">
          <cell r="A1363">
            <v>1512</v>
          </cell>
        </row>
        <row r="1364">
          <cell r="A1364">
            <v>1523</v>
          </cell>
        </row>
        <row r="1365">
          <cell r="A1365">
            <v>1524</v>
          </cell>
        </row>
        <row r="1366">
          <cell r="A1366">
            <v>1525</v>
          </cell>
        </row>
        <row r="1367">
          <cell r="A1367">
            <v>1526</v>
          </cell>
        </row>
        <row r="1368">
          <cell r="A1368">
            <v>5001</v>
          </cell>
        </row>
        <row r="1369">
          <cell r="A1369">
            <v>5002</v>
          </cell>
        </row>
        <row r="1370">
          <cell r="A1370">
            <v>5003</v>
          </cell>
        </row>
        <row r="1371">
          <cell r="A1371">
            <v>5004</v>
          </cell>
        </row>
        <row r="1372">
          <cell r="A1372">
            <v>5005</v>
          </cell>
        </row>
        <row r="1373">
          <cell r="A1373">
            <v>5006</v>
          </cell>
        </row>
        <row r="1374">
          <cell r="A1374">
            <v>5007</v>
          </cell>
        </row>
        <row r="1375">
          <cell r="A1375">
            <v>5008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8073</v>
          </cell>
        </row>
        <row r="1469">
          <cell r="A1469">
            <v>8074</v>
          </cell>
        </row>
        <row r="1470">
          <cell r="A1470">
            <v>8077</v>
          </cell>
        </row>
        <row r="1471">
          <cell r="A1471">
            <v>8078</v>
          </cell>
        </row>
        <row r="1472">
          <cell r="A1472">
            <v>8079</v>
          </cell>
        </row>
        <row r="1473">
          <cell r="A1473">
            <v>8080</v>
          </cell>
        </row>
        <row r="1474">
          <cell r="A1474">
            <v>8081</v>
          </cell>
        </row>
        <row r="1475">
          <cell r="A1475">
            <v>8082</v>
          </cell>
        </row>
        <row r="1476">
          <cell r="A1476">
            <v>8083</v>
          </cell>
        </row>
        <row r="1477">
          <cell r="A1477">
            <v>8084</v>
          </cell>
        </row>
        <row r="1478">
          <cell r="A1478">
            <v>8087</v>
          </cell>
        </row>
        <row r="1479">
          <cell r="A1479">
            <v>8088</v>
          </cell>
        </row>
        <row r="1480">
          <cell r="A1480">
            <v>8089</v>
          </cell>
        </row>
        <row r="1481">
          <cell r="A1481">
            <v>8090</v>
          </cell>
        </row>
        <row r="1482">
          <cell r="A1482">
            <v>8095</v>
          </cell>
        </row>
        <row r="1483">
          <cell r="A1483">
            <v>8096</v>
          </cell>
        </row>
        <row r="1484">
          <cell r="A1484">
            <v>8097</v>
          </cell>
        </row>
        <row r="1485">
          <cell r="A1485">
            <v>8098</v>
          </cell>
        </row>
        <row r="1486">
          <cell r="A1486">
            <v>8099</v>
          </cell>
        </row>
        <row r="1487">
          <cell r="A1487">
            <v>8100</v>
          </cell>
        </row>
        <row r="1488">
          <cell r="A1488">
            <v>8101</v>
          </cell>
        </row>
        <row r="1489">
          <cell r="A1489">
            <v>8102</v>
          </cell>
        </row>
        <row r="1490">
          <cell r="A1490">
            <v>9001</v>
          </cell>
        </row>
        <row r="1491">
          <cell r="A1491">
            <v>9002</v>
          </cell>
        </row>
        <row r="1492">
          <cell r="A1492">
            <v>9003</v>
          </cell>
        </row>
        <row r="1493">
          <cell r="A1493">
            <v>9004</v>
          </cell>
        </row>
        <row r="1494">
          <cell r="A1494">
            <v>9005</v>
          </cell>
        </row>
        <row r="1495">
          <cell r="A1495">
            <v>9006</v>
          </cell>
        </row>
        <row r="1496">
          <cell r="A1496">
            <v>9007</v>
          </cell>
        </row>
        <row r="1497">
          <cell r="A1497">
            <v>9008</v>
          </cell>
        </row>
        <row r="1498">
          <cell r="A1498">
            <v>10101</v>
          </cell>
        </row>
        <row r="1499">
          <cell r="A1499">
            <v>10102</v>
          </cell>
        </row>
        <row r="1500">
          <cell r="A1500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1431</v>
          </cell>
        </row>
        <row r="1403">
          <cell r="A1403">
            <v>1432</v>
          </cell>
        </row>
        <row r="1404">
          <cell r="A1404">
            <v>1433</v>
          </cell>
        </row>
        <row r="1405">
          <cell r="A1405">
            <v>1434</v>
          </cell>
        </row>
        <row r="1406">
          <cell r="A1406">
            <v>1435</v>
          </cell>
        </row>
        <row r="1407">
          <cell r="A1407">
            <v>1452</v>
          </cell>
        </row>
        <row r="1408">
          <cell r="A1408">
            <v>1453</v>
          </cell>
        </row>
        <row r="1409">
          <cell r="A1409">
            <v>1454</v>
          </cell>
        </row>
        <row r="1410">
          <cell r="A1410">
            <v>1455</v>
          </cell>
        </row>
        <row r="1411">
          <cell r="A1411">
            <v>1456</v>
          </cell>
        </row>
        <row r="1412">
          <cell r="A1412">
            <v>1457</v>
          </cell>
        </row>
        <row r="1413">
          <cell r="A1413">
            <v>1458</v>
          </cell>
        </row>
        <row r="1414">
          <cell r="A1414">
            <v>1459</v>
          </cell>
        </row>
        <row r="1415">
          <cell r="A1415">
            <v>1460</v>
          </cell>
        </row>
        <row r="1416">
          <cell r="A1416">
            <v>1461</v>
          </cell>
        </row>
        <row r="1417">
          <cell r="A1417">
            <v>1462</v>
          </cell>
        </row>
        <row r="1418">
          <cell r="A1418">
            <v>1463</v>
          </cell>
        </row>
        <row r="1419">
          <cell r="A1419">
            <v>1464</v>
          </cell>
        </row>
        <row r="1420">
          <cell r="A1420">
            <v>1465</v>
          </cell>
        </row>
        <row r="1421">
          <cell r="A1421">
            <v>1466</v>
          </cell>
        </row>
        <row r="1422">
          <cell r="A1422">
            <v>1467</v>
          </cell>
        </row>
        <row r="1423">
          <cell r="A1423">
            <v>1468</v>
          </cell>
        </row>
        <row r="1424">
          <cell r="A1424">
            <v>1469</v>
          </cell>
        </row>
        <row r="1425">
          <cell r="A1425">
            <v>1470</v>
          </cell>
        </row>
        <row r="1426">
          <cell r="A1426">
            <v>1471</v>
          </cell>
        </row>
        <row r="1427">
          <cell r="A1427">
            <v>1488</v>
          </cell>
        </row>
        <row r="1428">
          <cell r="A1428">
            <v>1489</v>
          </cell>
        </row>
        <row r="1429">
          <cell r="A1429">
            <v>1495</v>
          </cell>
        </row>
        <row r="1430">
          <cell r="A1430">
            <v>1496</v>
          </cell>
        </row>
        <row r="1431">
          <cell r="A1431">
            <v>1497</v>
          </cell>
        </row>
        <row r="1432">
          <cell r="A1432">
            <v>1498</v>
          </cell>
        </row>
        <row r="1433">
          <cell r="A1433">
            <v>1499</v>
          </cell>
        </row>
        <row r="1434">
          <cell r="A1434">
            <v>1500</v>
          </cell>
        </row>
        <row r="1435">
          <cell r="A1435">
            <v>1501</v>
          </cell>
        </row>
        <row r="1436">
          <cell r="A1436">
            <v>1502</v>
          </cell>
        </row>
        <row r="1437">
          <cell r="A1437">
            <v>1503</v>
          </cell>
        </row>
        <row r="1438">
          <cell r="A1438">
            <v>1504</v>
          </cell>
        </row>
        <row r="1439">
          <cell r="A1439">
            <v>1505</v>
          </cell>
        </row>
        <row r="1440">
          <cell r="A1440">
            <v>1506</v>
          </cell>
        </row>
        <row r="1441">
          <cell r="A1441">
            <v>1507</v>
          </cell>
        </row>
        <row r="1442">
          <cell r="A1442">
            <v>1508</v>
          </cell>
        </row>
        <row r="1443">
          <cell r="A1443">
            <v>1509</v>
          </cell>
        </row>
        <row r="1444">
          <cell r="A1444">
            <v>1510</v>
          </cell>
        </row>
        <row r="1445">
          <cell r="A1445">
            <v>1511</v>
          </cell>
        </row>
        <row r="1446">
          <cell r="A1446">
            <v>1512</v>
          </cell>
        </row>
        <row r="1447">
          <cell r="A1447">
            <v>1513</v>
          </cell>
        </row>
        <row r="1448">
          <cell r="A1448">
            <v>1514</v>
          </cell>
        </row>
        <row r="1449">
          <cell r="A1449">
            <v>1515</v>
          </cell>
        </row>
        <row r="1450">
          <cell r="A1450">
            <v>1516</v>
          </cell>
        </row>
        <row r="1451">
          <cell r="A1451">
            <v>1517</v>
          </cell>
        </row>
        <row r="1452">
          <cell r="A1452">
            <v>1518</v>
          </cell>
        </row>
        <row r="1453">
          <cell r="A1453">
            <v>1519</v>
          </cell>
        </row>
        <row r="1454">
          <cell r="A1454">
            <v>1520</v>
          </cell>
        </row>
        <row r="1455">
          <cell r="A1455">
            <v>1521</v>
          </cell>
        </row>
        <row r="1456">
          <cell r="A1456">
            <v>1522</v>
          </cell>
        </row>
        <row r="1457">
          <cell r="A1457">
            <v>1523</v>
          </cell>
        </row>
        <row r="1458">
          <cell r="A1458">
            <v>1524</v>
          </cell>
        </row>
        <row r="1459">
          <cell r="A1459">
            <v>1525</v>
          </cell>
        </row>
        <row r="1460">
          <cell r="A1460">
            <v>1526</v>
          </cell>
        </row>
        <row r="1461">
          <cell r="A1461">
            <v>1527</v>
          </cell>
        </row>
        <row r="1462">
          <cell r="A1462">
            <v>1528</v>
          </cell>
        </row>
        <row r="1463">
          <cell r="A1463">
            <v>1529</v>
          </cell>
        </row>
        <row r="1464">
          <cell r="A1464">
            <v>1530</v>
          </cell>
        </row>
        <row r="1465">
          <cell r="A1465">
            <v>1531</v>
          </cell>
        </row>
        <row r="1466">
          <cell r="A1466">
            <v>1532</v>
          </cell>
        </row>
        <row r="1467">
          <cell r="A1467">
            <v>1533</v>
          </cell>
        </row>
        <row r="1468">
          <cell r="A1468">
            <v>1534</v>
          </cell>
        </row>
        <row r="1469">
          <cell r="A1469">
            <v>1535</v>
          </cell>
        </row>
        <row r="1470">
          <cell r="A1470">
            <v>1536</v>
          </cell>
        </row>
        <row r="1471">
          <cell r="A1471">
            <v>1537</v>
          </cell>
        </row>
        <row r="1472">
          <cell r="A1472">
            <v>1538</v>
          </cell>
        </row>
        <row r="1473">
          <cell r="A1473">
            <v>1539</v>
          </cell>
        </row>
        <row r="1474">
          <cell r="A1474">
            <v>1540</v>
          </cell>
        </row>
        <row r="1475">
          <cell r="A1475">
            <v>1541</v>
          </cell>
        </row>
        <row r="1476">
          <cell r="A1476">
            <v>1542</v>
          </cell>
        </row>
        <row r="1477">
          <cell r="A1477">
            <v>1543</v>
          </cell>
        </row>
        <row r="1478">
          <cell r="A1478">
            <v>1544</v>
          </cell>
        </row>
        <row r="1479">
          <cell r="A1479">
            <v>1545</v>
          </cell>
        </row>
        <row r="1480">
          <cell r="A1480">
            <v>1546</v>
          </cell>
        </row>
        <row r="1481">
          <cell r="A1481">
            <v>1547</v>
          </cell>
        </row>
        <row r="1482">
          <cell r="A1482">
            <v>1548</v>
          </cell>
        </row>
        <row r="1483">
          <cell r="A1483">
            <v>1549</v>
          </cell>
        </row>
        <row r="1484">
          <cell r="A1484">
            <v>1550</v>
          </cell>
        </row>
        <row r="1485">
          <cell r="A1485">
            <v>5001</v>
          </cell>
        </row>
        <row r="1486">
          <cell r="A1486">
            <v>5002</v>
          </cell>
        </row>
        <row r="1487">
          <cell r="A1487">
            <v>5003</v>
          </cell>
        </row>
        <row r="1488">
          <cell r="A1488">
            <v>5004</v>
          </cell>
        </row>
        <row r="1489">
          <cell r="A1489">
            <v>5005</v>
          </cell>
        </row>
        <row r="1490">
          <cell r="A1490">
            <v>5006</v>
          </cell>
        </row>
        <row r="1491">
          <cell r="A1491">
            <v>5007</v>
          </cell>
        </row>
        <row r="1492">
          <cell r="A1492">
            <v>5008</v>
          </cell>
        </row>
        <row r="1493">
          <cell r="A1493">
            <v>6001</v>
          </cell>
        </row>
        <row r="1494">
          <cell r="A1494">
            <v>6002</v>
          </cell>
        </row>
        <row r="1495">
          <cell r="A1495">
            <v>6003</v>
          </cell>
        </row>
        <row r="1496">
          <cell r="A1496">
            <v>6004</v>
          </cell>
        </row>
        <row r="1497">
          <cell r="A1497">
            <v>6005</v>
          </cell>
        </row>
        <row r="1498">
          <cell r="A1498">
            <v>6006</v>
          </cell>
        </row>
        <row r="1499">
          <cell r="A1499">
            <v>6007</v>
          </cell>
        </row>
        <row r="1500">
          <cell r="A1500">
            <v>6008</v>
          </cell>
        </row>
        <row r="1501">
          <cell r="A1501">
            <v>6009</v>
          </cell>
        </row>
        <row r="1502">
          <cell r="A1502">
            <v>6010</v>
          </cell>
        </row>
        <row r="1503">
          <cell r="A1503">
            <v>6011</v>
          </cell>
        </row>
        <row r="1504">
          <cell r="A1504">
            <v>6012</v>
          </cell>
        </row>
        <row r="1505">
          <cell r="A1505">
            <v>6013</v>
          </cell>
        </row>
        <row r="1506">
          <cell r="A1506">
            <v>6014</v>
          </cell>
        </row>
        <row r="1507">
          <cell r="A1507">
            <v>6015</v>
          </cell>
        </row>
        <row r="1508">
          <cell r="A1508">
            <v>6016</v>
          </cell>
        </row>
        <row r="1509">
          <cell r="A1509">
            <v>6017</v>
          </cell>
        </row>
        <row r="1510">
          <cell r="A1510">
            <v>6018</v>
          </cell>
        </row>
        <row r="1511">
          <cell r="A1511">
            <v>6019</v>
          </cell>
        </row>
        <row r="1512">
          <cell r="A1512">
            <v>6020</v>
          </cell>
        </row>
        <row r="1513">
          <cell r="A1513">
            <v>8001</v>
          </cell>
        </row>
        <row r="1514">
          <cell r="A1514">
            <v>8002</v>
          </cell>
        </row>
        <row r="1515">
          <cell r="A1515">
            <v>8003</v>
          </cell>
        </row>
        <row r="1516">
          <cell r="A1516">
            <v>8004</v>
          </cell>
        </row>
        <row r="1517">
          <cell r="A1517">
            <v>8005</v>
          </cell>
        </row>
        <row r="1518">
          <cell r="A1518">
            <v>8006</v>
          </cell>
        </row>
        <row r="1519">
          <cell r="A1519">
            <v>8007</v>
          </cell>
        </row>
        <row r="1520">
          <cell r="A1520">
            <v>8008</v>
          </cell>
        </row>
        <row r="1521">
          <cell r="A1521">
            <v>8009</v>
          </cell>
        </row>
        <row r="1522">
          <cell r="A1522">
            <v>8010</v>
          </cell>
        </row>
        <row r="1523">
          <cell r="A1523">
            <v>8011</v>
          </cell>
        </row>
        <row r="1524">
          <cell r="A1524">
            <v>8012</v>
          </cell>
        </row>
        <row r="1525">
          <cell r="A1525">
            <v>8013</v>
          </cell>
        </row>
        <row r="1526">
          <cell r="A1526">
            <v>8014</v>
          </cell>
        </row>
        <row r="1527">
          <cell r="A1527">
            <v>8015</v>
          </cell>
        </row>
        <row r="1528">
          <cell r="A1528">
            <v>8016</v>
          </cell>
        </row>
        <row r="1529">
          <cell r="A1529">
            <v>8017</v>
          </cell>
        </row>
        <row r="1530">
          <cell r="A1530">
            <v>8018</v>
          </cell>
        </row>
        <row r="1531">
          <cell r="A1531">
            <v>8019</v>
          </cell>
        </row>
        <row r="1532">
          <cell r="A1532">
            <v>8020</v>
          </cell>
        </row>
        <row r="1533">
          <cell r="A1533">
            <v>8021</v>
          </cell>
        </row>
        <row r="1534">
          <cell r="A1534">
            <v>8022</v>
          </cell>
        </row>
        <row r="1535">
          <cell r="A1535">
            <v>8023</v>
          </cell>
        </row>
        <row r="1536">
          <cell r="A1536">
            <v>8024</v>
          </cell>
        </row>
        <row r="1537">
          <cell r="A1537">
            <v>8025</v>
          </cell>
        </row>
        <row r="1538">
          <cell r="A1538">
            <v>8026</v>
          </cell>
        </row>
        <row r="1539">
          <cell r="A1539">
            <v>8027</v>
          </cell>
        </row>
        <row r="1540">
          <cell r="A1540">
            <v>8028</v>
          </cell>
        </row>
        <row r="1541">
          <cell r="A1541">
            <v>8029</v>
          </cell>
        </row>
        <row r="1542">
          <cell r="A1542">
            <v>8030</v>
          </cell>
        </row>
        <row r="1543">
          <cell r="A1543">
            <v>8031</v>
          </cell>
        </row>
        <row r="1544">
          <cell r="A1544">
            <v>8032</v>
          </cell>
        </row>
        <row r="1545">
          <cell r="A1545">
            <v>8033</v>
          </cell>
        </row>
        <row r="1546">
          <cell r="A1546">
            <v>8034</v>
          </cell>
        </row>
        <row r="1547">
          <cell r="A1547">
            <v>8035</v>
          </cell>
        </row>
        <row r="1548">
          <cell r="A1548">
            <v>8036</v>
          </cell>
        </row>
        <row r="1549">
          <cell r="A1549">
            <v>8037</v>
          </cell>
        </row>
        <row r="1550">
          <cell r="A1550">
            <v>8038</v>
          </cell>
        </row>
        <row r="1551">
          <cell r="A1551">
            <v>8039</v>
          </cell>
        </row>
        <row r="1552">
          <cell r="A1552">
            <v>8040</v>
          </cell>
        </row>
        <row r="1553">
          <cell r="A1553">
            <v>8041</v>
          </cell>
        </row>
        <row r="1554">
          <cell r="A1554">
            <v>8042</v>
          </cell>
        </row>
        <row r="1555">
          <cell r="A1555">
            <v>8043</v>
          </cell>
        </row>
        <row r="1556">
          <cell r="A1556">
            <v>8044</v>
          </cell>
        </row>
        <row r="1557">
          <cell r="A1557">
            <v>8045</v>
          </cell>
        </row>
        <row r="1558">
          <cell r="A1558">
            <v>8046</v>
          </cell>
        </row>
        <row r="1559">
          <cell r="A1559">
            <v>8047</v>
          </cell>
        </row>
        <row r="1560">
          <cell r="A1560">
            <v>8048</v>
          </cell>
        </row>
        <row r="1561">
          <cell r="A1561">
            <v>8049</v>
          </cell>
        </row>
        <row r="1562">
          <cell r="A1562">
            <v>8050</v>
          </cell>
        </row>
        <row r="1563">
          <cell r="A1563">
            <v>8051</v>
          </cell>
        </row>
        <row r="1564">
          <cell r="A1564">
            <v>8052</v>
          </cell>
        </row>
        <row r="1565">
          <cell r="A1565">
            <v>8053</v>
          </cell>
        </row>
        <row r="1566">
          <cell r="A1566">
            <v>8054</v>
          </cell>
        </row>
        <row r="1567">
          <cell r="A1567">
            <v>8055</v>
          </cell>
        </row>
        <row r="1568">
          <cell r="A1568">
            <v>8056</v>
          </cell>
        </row>
        <row r="1569">
          <cell r="A1569">
            <v>8057</v>
          </cell>
        </row>
        <row r="1570">
          <cell r="A1570">
            <v>8058</v>
          </cell>
        </row>
        <row r="1571">
          <cell r="A1571">
            <v>8059</v>
          </cell>
        </row>
        <row r="1572">
          <cell r="A1572">
            <v>8060</v>
          </cell>
        </row>
        <row r="1573">
          <cell r="A1573">
            <v>8061</v>
          </cell>
        </row>
        <row r="1574">
          <cell r="A1574">
            <v>8062</v>
          </cell>
        </row>
        <row r="1575">
          <cell r="A1575">
            <v>8063</v>
          </cell>
        </row>
        <row r="1576">
          <cell r="A1576">
            <v>8064</v>
          </cell>
        </row>
        <row r="1577">
          <cell r="A1577">
            <v>8065</v>
          </cell>
        </row>
        <row r="1578">
          <cell r="A1578">
            <v>8066</v>
          </cell>
        </row>
        <row r="1579">
          <cell r="A1579">
            <v>8067</v>
          </cell>
        </row>
        <row r="1580">
          <cell r="A1580">
            <v>8068</v>
          </cell>
        </row>
        <row r="1581">
          <cell r="A1581">
            <v>8069</v>
          </cell>
        </row>
        <row r="1582">
          <cell r="A1582">
            <v>8070</v>
          </cell>
        </row>
        <row r="1583">
          <cell r="A1583">
            <v>8071</v>
          </cell>
        </row>
        <row r="1584">
          <cell r="A1584">
            <v>8072</v>
          </cell>
        </row>
        <row r="1585">
          <cell r="A1585">
            <v>8073</v>
          </cell>
        </row>
        <row r="1586">
          <cell r="A1586">
            <v>8074</v>
          </cell>
        </row>
        <row r="1587">
          <cell r="A1587">
            <v>8075</v>
          </cell>
        </row>
        <row r="1588">
          <cell r="A1588">
            <v>8076</v>
          </cell>
        </row>
        <row r="1589">
          <cell r="A1589">
            <v>8077</v>
          </cell>
        </row>
        <row r="1590">
          <cell r="A1590">
            <v>8078</v>
          </cell>
        </row>
        <row r="1591">
          <cell r="A1591">
            <v>8079</v>
          </cell>
        </row>
        <row r="1592">
          <cell r="A1592">
            <v>8080</v>
          </cell>
        </row>
        <row r="1593">
          <cell r="A1593">
            <v>8081</v>
          </cell>
        </row>
        <row r="1594">
          <cell r="A1594">
            <v>8082</v>
          </cell>
        </row>
        <row r="1595">
          <cell r="A1595">
            <v>8083</v>
          </cell>
        </row>
        <row r="1596">
          <cell r="A1596">
            <v>8084</v>
          </cell>
        </row>
        <row r="1597">
          <cell r="A1597">
            <v>8087</v>
          </cell>
        </row>
        <row r="1598">
          <cell r="A1598">
            <v>8088</v>
          </cell>
        </row>
        <row r="1599">
          <cell r="A1599">
            <v>8089</v>
          </cell>
        </row>
        <row r="1600">
          <cell r="A1600">
            <v>8090</v>
          </cell>
        </row>
        <row r="1601">
          <cell r="A1601">
            <v>8095</v>
          </cell>
        </row>
        <row r="1602">
          <cell r="A1602">
            <v>8096</v>
          </cell>
        </row>
        <row r="1603">
          <cell r="A1603">
            <v>8097</v>
          </cell>
        </row>
        <row r="1604">
          <cell r="A1604">
            <v>8098</v>
          </cell>
        </row>
        <row r="1605">
          <cell r="A1605">
            <v>8099</v>
          </cell>
        </row>
        <row r="1606">
          <cell r="A1606">
            <v>8100</v>
          </cell>
        </row>
        <row r="1607">
          <cell r="A1607">
            <v>8101</v>
          </cell>
        </row>
        <row r="1608">
          <cell r="A1608">
            <v>8102</v>
          </cell>
        </row>
        <row r="1609">
          <cell r="A1609">
            <v>9001</v>
          </cell>
        </row>
        <row r="1610">
          <cell r="A1610">
            <v>9002</v>
          </cell>
        </row>
        <row r="1611">
          <cell r="A1611">
            <v>9003</v>
          </cell>
        </row>
        <row r="1612">
          <cell r="A1612">
            <v>9004</v>
          </cell>
        </row>
        <row r="1613">
          <cell r="A1613">
            <v>9005</v>
          </cell>
        </row>
        <row r="1614">
          <cell r="A1614">
            <v>9006</v>
          </cell>
        </row>
        <row r="1615">
          <cell r="A1615">
            <v>9007</v>
          </cell>
        </row>
        <row r="1616">
          <cell r="A1616">
            <v>9008</v>
          </cell>
        </row>
        <row r="1617">
          <cell r="A1617">
            <v>10001</v>
          </cell>
        </row>
        <row r="1618">
          <cell r="A1618">
            <v>10002</v>
          </cell>
        </row>
        <row r="1619">
          <cell r="A1619">
            <v>10003</v>
          </cell>
        </row>
        <row r="1620">
          <cell r="A1620">
            <v>10004</v>
          </cell>
        </row>
        <row r="1621">
          <cell r="A1621">
            <v>10005</v>
          </cell>
        </row>
        <row r="1622">
          <cell r="A1622">
            <v>10006</v>
          </cell>
        </row>
        <row r="1623">
          <cell r="A1623">
            <v>10007</v>
          </cell>
        </row>
        <row r="1624">
          <cell r="A1624">
            <v>10008</v>
          </cell>
        </row>
        <row r="1625">
          <cell r="A1625">
            <v>10009</v>
          </cell>
        </row>
        <row r="1626">
          <cell r="A1626">
            <v>10010</v>
          </cell>
        </row>
        <row r="1627">
          <cell r="A1627">
            <v>10011</v>
          </cell>
        </row>
        <row r="1628">
          <cell r="A1628">
            <v>10012</v>
          </cell>
        </row>
        <row r="1629">
          <cell r="A1629">
            <v>10013</v>
          </cell>
        </row>
        <row r="1630">
          <cell r="A1630">
            <v>10014</v>
          </cell>
        </row>
        <row r="1631">
          <cell r="A1631">
            <v>10015</v>
          </cell>
        </row>
        <row r="1632">
          <cell r="A1632">
            <v>10016</v>
          </cell>
        </row>
        <row r="1633">
          <cell r="A1633">
            <v>10017</v>
          </cell>
        </row>
        <row r="1634">
          <cell r="A1634">
            <v>10018</v>
          </cell>
        </row>
        <row r="1635">
          <cell r="A1635">
            <v>10019</v>
          </cell>
        </row>
        <row r="1636">
          <cell r="A1636">
            <v>10020</v>
          </cell>
        </row>
        <row r="1637">
          <cell r="A1637">
            <v>10021</v>
          </cell>
        </row>
        <row r="1638">
          <cell r="A1638">
            <v>10022</v>
          </cell>
        </row>
        <row r="1639">
          <cell r="A1639">
            <v>10023</v>
          </cell>
        </row>
        <row r="1640">
          <cell r="A1640">
            <v>10024</v>
          </cell>
        </row>
        <row r="1641">
          <cell r="A1641">
            <v>10025</v>
          </cell>
        </row>
        <row r="1642">
          <cell r="A1642">
            <v>10026</v>
          </cell>
        </row>
        <row r="1643">
          <cell r="A1643">
            <v>10027</v>
          </cell>
        </row>
        <row r="1644">
          <cell r="A1644">
            <v>10028</v>
          </cell>
        </row>
        <row r="1645">
          <cell r="A1645">
            <v>10029</v>
          </cell>
        </row>
        <row r="1646">
          <cell r="A1646">
            <v>10030</v>
          </cell>
        </row>
        <row r="1647">
          <cell r="A1647">
            <v>10031</v>
          </cell>
        </row>
        <row r="1648">
          <cell r="A1648">
            <v>10032</v>
          </cell>
        </row>
        <row r="1649">
          <cell r="A1649">
            <v>10033</v>
          </cell>
        </row>
        <row r="1650">
          <cell r="A1650">
            <v>10034</v>
          </cell>
        </row>
        <row r="1651">
          <cell r="A1651">
            <v>10035</v>
          </cell>
        </row>
        <row r="1652">
          <cell r="A1652">
            <v>10036</v>
          </cell>
        </row>
        <row r="1653">
          <cell r="A1653">
            <v>10037</v>
          </cell>
        </row>
        <row r="1654">
          <cell r="A1654">
            <v>10038</v>
          </cell>
        </row>
        <row r="1655">
          <cell r="A1655">
            <v>10039</v>
          </cell>
        </row>
        <row r="1656">
          <cell r="A1656">
            <v>10040</v>
          </cell>
        </row>
        <row r="1657">
          <cell r="A1657">
            <v>10041</v>
          </cell>
        </row>
        <row r="1658">
          <cell r="A1658">
            <v>10042</v>
          </cell>
        </row>
        <row r="1659">
          <cell r="A1659">
            <v>10043</v>
          </cell>
        </row>
        <row r="1660">
          <cell r="A1660">
            <v>10044</v>
          </cell>
        </row>
        <row r="1661">
          <cell r="A1661">
            <v>10045</v>
          </cell>
        </row>
        <row r="1662">
          <cell r="A1662">
            <v>10046</v>
          </cell>
        </row>
        <row r="1663">
          <cell r="A1663">
            <v>10047</v>
          </cell>
        </row>
        <row r="1664">
          <cell r="A1664">
            <v>10048</v>
          </cell>
        </row>
        <row r="1665">
          <cell r="A1665">
            <v>10049</v>
          </cell>
        </row>
        <row r="1666">
          <cell r="A1666">
            <v>10050</v>
          </cell>
        </row>
        <row r="1667">
          <cell r="A1667">
            <v>10051</v>
          </cell>
        </row>
        <row r="1668">
          <cell r="A1668">
            <v>10052</v>
          </cell>
        </row>
        <row r="1669">
          <cell r="A1669">
            <v>10053</v>
          </cell>
        </row>
        <row r="1670">
          <cell r="A1670">
            <v>10054</v>
          </cell>
        </row>
        <row r="1671">
          <cell r="A1671">
            <v>10055</v>
          </cell>
        </row>
        <row r="1672">
          <cell r="A1672">
            <v>10056</v>
          </cell>
        </row>
        <row r="1673">
          <cell r="A1673">
            <v>10057</v>
          </cell>
        </row>
        <row r="1674">
          <cell r="A1674">
            <v>10058</v>
          </cell>
        </row>
        <row r="1675">
          <cell r="A1675">
            <v>10059</v>
          </cell>
        </row>
        <row r="1676">
          <cell r="A1676">
            <v>10060</v>
          </cell>
        </row>
        <row r="1677">
          <cell r="A1677">
            <v>10061</v>
          </cell>
        </row>
        <row r="1678">
          <cell r="A1678">
            <v>10062</v>
          </cell>
        </row>
        <row r="1679">
          <cell r="A1679">
            <v>10063</v>
          </cell>
        </row>
        <row r="1680">
          <cell r="A1680">
            <v>10064</v>
          </cell>
        </row>
        <row r="1681">
          <cell r="A1681">
            <v>10065</v>
          </cell>
        </row>
        <row r="1682">
          <cell r="A1682">
            <v>10066</v>
          </cell>
        </row>
        <row r="1683">
          <cell r="A1683">
            <v>10067</v>
          </cell>
        </row>
        <row r="1684">
          <cell r="A1684">
            <v>10068</v>
          </cell>
        </row>
        <row r="1685">
          <cell r="A1685">
            <v>10069</v>
          </cell>
        </row>
        <row r="1686">
          <cell r="A1686">
            <v>10070</v>
          </cell>
        </row>
        <row r="1687">
          <cell r="A1687">
            <v>10071</v>
          </cell>
        </row>
        <row r="1688">
          <cell r="A1688">
            <v>10072</v>
          </cell>
        </row>
        <row r="1689">
          <cell r="A1689">
            <v>10073</v>
          </cell>
        </row>
        <row r="1690">
          <cell r="A1690">
            <v>10074</v>
          </cell>
        </row>
        <row r="1691">
          <cell r="A1691">
            <v>10075</v>
          </cell>
        </row>
        <row r="1692">
          <cell r="A1692">
            <v>10076</v>
          </cell>
        </row>
        <row r="1693">
          <cell r="A1693">
            <v>10077</v>
          </cell>
        </row>
        <row r="1694">
          <cell r="A1694">
            <v>10078</v>
          </cell>
        </row>
        <row r="1695">
          <cell r="A1695">
            <v>10079</v>
          </cell>
        </row>
        <row r="1696">
          <cell r="A1696">
            <v>10080</v>
          </cell>
        </row>
        <row r="1697">
          <cell r="A1697">
            <v>10081</v>
          </cell>
        </row>
        <row r="1698">
          <cell r="A1698">
            <v>10082</v>
          </cell>
        </row>
        <row r="1699">
          <cell r="A1699">
            <v>10083</v>
          </cell>
        </row>
        <row r="1700">
          <cell r="A1700">
            <v>10084</v>
          </cell>
        </row>
        <row r="1701">
          <cell r="A1701">
            <v>10085</v>
          </cell>
        </row>
        <row r="1702">
          <cell r="A1702">
            <v>10086</v>
          </cell>
        </row>
        <row r="1703">
          <cell r="A1703">
            <v>10087</v>
          </cell>
        </row>
        <row r="1704">
          <cell r="A1704">
            <v>10088</v>
          </cell>
        </row>
        <row r="1705">
          <cell r="A1705">
            <v>10089</v>
          </cell>
        </row>
        <row r="1706">
          <cell r="A1706">
            <v>10090</v>
          </cell>
        </row>
        <row r="1707">
          <cell r="A1707">
            <v>10101</v>
          </cell>
        </row>
        <row r="1708">
          <cell r="A1708">
            <v>10102</v>
          </cell>
        </row>
        <row r="1709">
          <cell r="A1709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D13"/>
  <sheetViews>
    <sheetView workbookViewId="0">
      <selection activeCell="A10" sqref="A10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6" t="s">
        <v>129</v>
      </c>
      <c r="B1" s="51" t="s">
        <v>100</v>
      </c>
      <c r="C1" s="51" t="s">
        <v>101</v>
      </c>
      <c r="D1" s="51" t="s">
        <v>102</v>
      </c>
      <c r="E1" s="51" t="s">
        <v>103</v>
      </c>
      <c r="F1" s="51" t="s">
        <v>104</v>
      </c>
      <c r="G1" s="51" t="s">
        <v>105</v>
      </c>
      <c r="H1" s="51"/>
      <c r="I1" s="51"/>
      <c r="J1" s="51"/>
      <c r="K1" s="51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</row>
    <row r="2" spans="1:30" x14ac:dyDescent="0.15">
      <c r="A2" s="57" t="s">
        <v>267</v>
      </c>
      <c r="B2" s="53" t="s">
        <v>106</v>
      </c>
      <c r="C2" s="58" t="s">
        <v>254</v>
      </c>
      <c r="D2" s="53" t="s">
        <v>107</v>
      </c>
      <c r="E2" s="52" t="str">
        <f>B2&amp;C2&amp;D2</f>
        <v>floors_13400_15.tmp</v>
      </c>
      <c r="F2" s="53" t="s">
        <v>108</v>
      </c>
      <c r="G2" s="54" t="s">
        <v>0</v>
      </c>
      <c r="H2" s="54" t="s">
        <v>1</v>
      </c>
      <c r="I2" s="54" t="s">
        <v>13</v>
      </c>
      <c r="J2" s="54" t="s">
        <v>14</v>
      </c>
      <c r="K2" s="54" t="s">
        <v>15</v>
      </c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</row>
    <row r="3" spans="1:30" x14ac:dyDescent="0.15">
      <c r="A3" s="57" t="s">
        <v>267</v>
      </c>
      <c r="B3" s="53" t="s">
        <v>109</v>
      </c>
      <c r="C3" s="58" t="s">
        <v>254</v>
      </c>
      <c r="D3" s="53" t="s">
        <v>107</v>
      </c>
      <c r="E3" s="52" t="str">
        <f>B3&amp;C3&amp;D3</f>
        <v>enemy_habitats_13400_15.tmp</v>
      </c>
      <c r="F3" s="53" t="s">
        <v>110</v>
      </c>
      <c r="G3" s="54" t="s">
        <v>0</v>
      </c>
      <c r="H3" s="54" t="s">
        <v>1</v>
      </c>
      <c r="I3" s="54" t="s">
        <v>13</v>
      </c>
      <c r="J3" s="54" t="s">
        <v>2</v>
      </c>
      <c r="K3" s="54" t="s">
        <v>3</v>
      </c>
      <c r="L3" s="54" t="s">
        <v>47</v>
      </c>
      <c r="M3" s="54" t="s">
        <v>49</v>
      </c>
      <c r="N3" s="54" t="s">
        <v>51</v>
      </c>
      <c r="O3" s="54" t="s">
        <v>22</v>
      </c>
      <c r="P3" s="54" t="s">
        <v>5</v>
      </c>
      <c r="Q3" s="54" t="s">
        <v>6</v>
      </c>
      <c r="R3" s="54" t="s">
        <v>7</v>
      </c>
      <c r="S3" s="54" t="s">
        <v>8</v>
      </c>
      <c r="T3" s="54" t="s">
        <v>9</v>
      </c>
      <c r="U3" s="54" t="s">
        <v>10</v>
      </c>
      <c r="V3" s="54" t="s">
        <v>11</v>
      </c>
      <c r="W3" s="54" t="s">
        <v>12</v>
      </c>
      <c r="X3" s="54" t="s">
        <v>37</v>
      </c>
      <c r="Y3" s="54" t="s">
        <v>39</v>
      </c>
      <c r="Z3" s="54" t="s">
        <v>41</v>
      </c>
      <c r="AA3" s="54" t="s">
        <v>43</v>
      </c>
      <c r="AB3" s="54" t="s">
        <v>45</v>
      </c>
      <c r="AC3" s="54" t="s">
        <v>54</v>
      </c>
      <c r="AD3" s="54" t="s">
        <v>176</v>
      </c>
    </row>
    <row r="4" spans="1:30" x14ac:dyDescent="0.15">
      <c r="A4" s="57" t="s">
        <v>267</v>
      </c>
      <c r="B4" s="53" t="s">
        <v>111</v>
      </c>
      <c r="C4" s="58" t="s">
        <v>254</v>
      </c>
      <c r="D4" s="53" t="s">
        <v>107</v>
      </c>
      <c r="E4" s="52" t="str">
        <f>B4&amp;C4&amp;D4</f>
        <v>enemy_habitat_S_13400_15.tmp</v>
      </c>
      <c r="F4" s="53" t="s">
        <v>112</v>
      </c>
      <c r="G4" s="54" t="s">
        <v>0</v>
      </c>
      <c r="H4" s="54" t="s">
        <v>1</v>
      </c>
      <c r="I4" s="54" t="s">
        <v>13</v>
      </c>
      <c r="J4" s="54" t="s">
        <v>54</v>
      </c>
      <c r="K4" s="54" t="s">
        <v>55</v>
      </c>
      <c r="L4" s="54" t="s">
        <v>56</v>
      </c>
      <c r="M4" s="54" t="s">
        <v>57</v>
      </c>
      <c r="N4" s="54" t="s">
        <v>58</v>
      </c>
      <c r="O4" s="54" t="s">
        <v>59</v>
      </c>
      <c r="P4" s="54" t="s">
        <v>48</v>
      </c>
      <c r="Q4" s="54" t="s">
        <v>50</v>
      </c>
      <c r="R4" s="54" t="s">
        <v>52</v>
      </c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</row>
    <row r="5" spans="1:30" x14ac:dyDescent="0.15">
      <c r="A5" s="57" t="s">
        <v>267</v>
      </c>
      <c r="B5" s="53" t="s">
        <v>113</v>
      </c>
      <c r="C5" s="58" t="s">
        <v>254</v>
      </c>
      <c r="D5" s="53" t="s">
        <v>107</v>
      </c>
      <c r="E5" s="52" t="str">
        <f>B5&amp;C5&amp;D5</f>
        <v>enemy_skill_sets_13400_15.tmp</v>
      </c>
      <c r="F5" s="53" t="s">
        <v>114</v>
      </c>
      <c r="G5" s="55" t="s">
        <v>22</v>
      </c>
      <c r="H5" s="55" t="s">
        <v>99</v>
      </c>
      <c r="I5" s="55" t="s">
        <v>94</v>
      </c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</row>
    <row r="6" spans="1:30" x14ac:dyDescent="0.15">
      <c r="A6" s="57" t="s">
        <v>267</v>
      </c>
      <c r="B6" s="53" t="s">
        <v>115</v>
      </c>
      <c r="C6" s="58" t="s">
        <v>254</v>
      </c>
      <c r="D6" s="53" t="s">
        <v>116</v>
      </c>
      <c r="E6" s="52" t="str">
        <f t="shared" ref="E6:E10" si="0">B6&amp;C6&amp;D6</f>
        <v>enemy_skills_tmp_13400_15.tmp</v>
      </c>
      <c r="F6" s="53" t="s">
        <v>90</v>
      </c>
      <c r="G6" s="54" t="s">
        <v>79</v>
      </c>
      <c r="H6" s="54" t="s">
        <v>80</v>
      </c>
      <c r="I6" s="54" t="s">
        <v>81</v>
      </c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</row>
    <row r="7" spans="1:30" x14ac:dyDescent="0.15">
      <c r="A7" s="57" t="s">
        <v>267</v>
      </c>
      <c r="B7" s="53" t="s">
        <v>117</v>
      </c>
      <c r="C7" s="58" t="s">
        <v>254</v>
      </c>
      <c r="D7" s="53" t="s">
        <v>107</v>
      </c>
      <c r="E7" s="52" t="str">
        <f>B7&amp;C7&amp;D7</f>
        <v>enemy_skills_i18n_13400_15.tmp</v>
      </c>
      <c r="F7" s="53" t="s">
        <v>118</v>
      </c>
      <c r="G7" s="54" t="s">
        <v>79</v>
      </c>
      <c r="H7" s="54" t="s">
        <v>91</v>
      </c>
      <c r="I7" s="54" t="s">
        <v>92</v>
      </c>
      <c r="J7" s="54" t="s">
        <v>93</v>
      </c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</row>
    <row r="8" spans="1:30" x14ac:dyDescent="0.15">
      <c r="A8" s="57" t="s">
        <v>267</v>
      </c>
      <c r="B8" s="53" t="s">
        <v>119</v>
      </c>
      <c r="C8" s="58" t="s">
        <v>254</v>
      </c>
      <c r="D8" s="53" t="s">
        <v>120</v>
      </c>
      <c r="E8" s="52" t="str">
        <f t="shared" si="0"/>
        <v>enemy_skill_triggers_13400_15.tmp</v>
      </c>
      <c r="F8" s="53" t="s">
        <v>121</v>
      </c>
      <c r="G8" s="54" t="s">
        <v>94</v>
      </c>
      <c r="H8" s="54" t="s">
        <v>95</v>
      </c>
      <c r="I8" s="54" t="s">
        <v>96</v>
      </c>
      <c r="J8" s="54" t="s">
        <v>97</v>
      </c>
      <c r="K8" s="54" t="s">
        <v>122</v>
      </c>
      <c r="L8" s="54" t="s">
        <v>98</v>
      </c>
      <c r="M8" s="54" t="s">
        <v>123</v>
      </c>
      <c r="N8" s="54" t="s">
        <v>124</v>
      </c>
      <c r="O8" s="54" t="s">
        <v>125</v>
      </c>
      <c r="P8" s="54" t="s">
        <v>67</v>
      </c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</row>
    <row r="9" spans="1:30" x14ac:dyDescent="0.15">
      <c r="A9" s="57" t="s">
        <v>267</v>
      </c>
      <c r="B9" s="63" t="s">
        <v>175</v>
      </c>
      <c r="C9" s="58" t="s">
        <v>254</v>
      </c>
      <c r="D9" s="63" t="s">
        <v>169</v>
      </c>
      <c r="E9" s="64" t="str">
        <f t="shared" si="0"/>
        <v>stage_bug_bonuses_13400_15.tmp</v>
      </c>
      <c r="F9" s="63" t="s">
        <v>170</v>
      </c>
      <c r="G9" s="60" t="s">
        <v>149</v>
      </c>
      <c r="H9" s="60" t="s">
        <v>171</v>
      </c>
      <c r="I9" s="60" t="s">
        <v>172</v>
      </c>
      <c r="J9" s="62" t="s">
        <v>173</v>
      </c>
      <c r="K9" s="60" t="s">
        <v>174</v>
      </c>
      <c r="L9" s="60" t="s">
        <v>155</v>
      </c>
      <c r="M9" s="60" t="s">
        <v>156</v>
      </c>
      <c r="N9" s="60" t="s">
        <v>157</v>
      </c>
      <c r="O9" s="60" t="s">
        <v>158</v>
      </c>
      <c r="P9" s="60" t="s">
        <v>159</v>
      </c>
      <c r="Q9" s="60" t="s">
        <v>160</v>
      </c>
      <c r="R9" s="60" t="s">
        <v>161</v>
      </c>
      <c r="S9" s="60" t="s">
        <v>162</v>
      </c>
      <c r="T9" s="60" t="s">
        <v>163</v>
      </c>
      <c r="U9" s="60" t="s">
        <v>164</v>
      </c>
      <c r="V9" s="60" t="s">
        <v>165</v>
      </c>
      <c r="W9" s="60" t="s">
        <v>166</v>
      </c>
      <c r="X9" s="53"/>
      <c r="Y9" s="53"/>
      <c r="Z9" s="53"/>
      <c r="AA9" s="53"/>
      <c r="AB9" s="53"/>
      <c r="AC9" s="53"/>
      <c r="AD9" s="53"/>
    </row>
    <row r="10" spans="1:30" s="70" customFormat="1" x14ac:dyDescent="0.15">
      <c r="A10" s="57" t="s">
        <v>185</v>
      </c>
      <c r="B10" s="63" t="s">
        <v>199</v>
      </c>
      <c r="C10" s="58" t="s">
        <v>254</v>
      </c>
      <c r="D10" s="63" t="s">
        <v>178</v>
      </c>
      <c r="E10" s="64" t="str">
        <f t="shared" si="0"/>
        <v>stage_hints_data_c_13400_15.tmp</v>
      </c>
      <c r="F10" s="63" t="s">
        <v>207</v>
      </c>
      <c r="G10" s="68" t="s">
        <v>179</v>
      </c>
      <c r="H10" s="68" t="s">
        <v>171</v>
      </c>
      <c r="I10" s="69" t="s">
        <v>180</v>
      </c>
      <c r="J10" s="62" t="s">
        <v>181</v>
      </c>
      <c r="K10" s="62" t="s">
        <v>182</v>
      </c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</row>
    <row r="11" spans="1:30" s="70" customFormat="1" x14ac:dyDescent="0.15">
      <c r="A11" s="57" t="s">
        <v>267</v>
      </c>
      <c r="B11" s="63" t="s">
        <v>200</v>
      </c>
      <c r="C11" s="58" t="s">
        <v>254</v>
      </c>
      <c r="D11" s="63" t="s">
        <v>169</v>
      </c>
      <c r="E11" s="64" t="str">
        <f t="shared" ref="E11:E13" si="1">B11&amp;C11&amp;D11</f>
        <v>stage_hints_data_f_13400_15.tmp</v>
      </c>
      <c r="F11" s="63" t="s">
        <v>208</v>
      </c>
      <c r="G11" s="68" t="s">
        <v>179</v>
      </c>
      <c r="H11" s="68" t="s">
        <v>171</v>
      </c>
      <c r="I11" s="69" t="s">
        <v>180</v>
      </c>
      <c r="J11" s="62" t="s">
        <v>181</v>
      </c>
      <c r="K11" s="62" t="s">
        <v>182</v>
      </c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</row>
    <row r="12" spans="1:30" s="70" customFormat="1" x14ac:dyDescent="0.15">
      <c r="A12" s="57" t="s">
        <v>267</v>
      </c>
      <c r="B12" s="63" t="s">
        <v>201</v>
      </c>
      <c r="C12" s="58" t="s">
        <v>254</v>
      </c>
      <c r="D12" s="63" t="s">
        <v>169</v>
      </c>
      <c r="E12" s="64" t="str">
        <f t="shared" si="1"/>
        <v>stage_hints_i18n_13400_15.tmp</v>
      </c>
      <c r="F12" s="63" t="s">
        <v>209</v>
      </c>
      <c r="G12" s="69" t="s">
        <v>202</v>
      </c>
      <c r="H12" s="84" t="s">
        <v>203</v>
      </c>
      <c r="I12" s="68" t="s">
        <v>204</v>
      </c>
      <c r="J12" s="92" t="s">
        <v>205</v>
      </c>
      <c r="K12" s="62" t="s">
        <v>206</v>
      </c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</row>
    <row r="13" spans="1:30" s="70" customFormat="1" x14ac:dyDescent="0.15">
      <c r="A13" s="57" t="s">
        <v>267</v>
      </c>
      <c r="B13" s="63" t="s">
        <v>247</v>
      </c>
      <c r="C13" s="58" t="s">
        <v>254</v>
      </c>
      <c r="D13" s="63" t="s">
        <v>228</v>
      </c>
      <c r="E13" s="64" t="str">
        <f t="shared" si="1"/>
        <v>stage_bonuses_13400_15.tmp</v>
      </c>
      <c r="F13" s="63" t="s">
        <v>227</v>
      </c>
      <c r="G13" s="68" t="s">
        <v>229</v>
      </c>
      <c r="H13" s="68" t="s">
        <v>230</v>
      </c>
      <c r="I13" s="68" t="s">
        <v>231</v>
      </c>
      <c r="J13" s="68" t="s">
        <v>232</v>
      </c>
      <c r="K13" s="68" t="s">
        <v>233</v>
      </c>
      <c r="L13" s="68" t="s">
        <v>234</v>
      </c>
      <c r="M13" s="68" t="s">
        <v>235</v>
      </c>
      <c r="N13" s="68" t="s">
        <v>236</v>
      </c>
      <c r="O13" s="68" t="s">
        <v>237</v>
      </c>
      <c r="P13" s="68" t="s">
        <v>238</v>
      </c>
      <c r="Q13" s="68" t="s">
        <v>239</v>
      </c>
      <c r="R13" s="68" t="s">
        <v>240</v>
      </c>
      <c r="S13" s="68" t="s">
        <v>241</v>
      </c>
      <c r="T13" s="68" t="s">
        <v>242</v>
      </c>
      <c r="U13" s="68" t="s">
        <v>243</v>
      </c>
      <c r="V13" s="68" t="s">
        <v>244</v>
      </c>
      <c r="W13" s="68" t="s">
        <v>245</v>
      </c>
      <c r="X13" s="68" t="s">
        <v>246</v>
      </c>
      <c r="Y13" s="91"/>
      <c r="Z13" s="91"/>
      <c r="AA13" s="91"/>
      <c r="AB13" s="91"/>
      <c r="AC13" s="91"/>
      <c r="AD13" s="91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K3"/>
  <sheetViews>
    <sheetView showGridLines="0" workbookViewId="0">
      <pane ySplit="1" topLeftCell="A2" activePane="bottomLeft" state="frozen"/>
      <selection activeCell="V2" sqref="V2:X34"/>
      <selection pane="bottomLeft" activeCell="K3" sqref="K3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5" style="17" bestFit="1" customWidth="1"/>
    <col min="3" max="3" width="7.1640625" style="3" bestFit="1" customWidth="1"/>
    <col min="4" max="4" width="27.33203125" style="3" bestFit="1" customWidth="1" outlineLevel="1"/>
    <col min="5" max="5" width="20.5" style="3" bestFit="1" customWidth="1" outlineLevel="1"/>
    <col min="6" max="6" width="7" style="3" bestFit="1" customWidth="1"/>
    <col min="7" max="7" width="8.83203125" style="17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4" t="s">
        <v>30</v>
      </c>
      <c r="B1" s="14" t="s">
        <v>36</v>
      </c>
      <c r="C1" s="1" t="s">
        <v>0</v>
      </c>
      <c r="D1" s="2" t="s">
        <v>18</v>
      </c>
      <c r="E1" s="13" t="s">
        <v>33</v>
      </c>
      <c r="F1" s="1" t="s">
        <v>1</v>
      </c>
      <c r="G1" s="20" t="s">
        <v>32</v>
      </c>
      <c r="H1" s="13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4" t="str">
        <f>G2&amp;"-"&amp;I2</f>
        <v>13400_15-1</v>
      </c>
      <c r="B2" s="14" t="str">
        <f>IF(COUNTIF(enemy_habitats!$H:$H,A2),"OK","NG")</f>
        <v>OK</v>
      </c>
      <c r="C2" s="99">
        <v>13400</v>
      </c>
      <c r="D2" s="10" t="str">
        <f ca="1">VLOOKUP($C2,OFFSET([2]quests!$A$1,0,0,COUNTA([2]quests!$A:$A),MATCH(D$1,[2]quests!$1:$1,0)-MATCH($C$1,[2]quests!$1:$1,0)+1),MATCH(D$1,[2]quests!$1:$1,0)-MATCH($C$1,[2]quests!$1:$1,0)+1,FALSE)</f>
        <v>タワーオブザクイーン -エルフラム-</v>
      </c>
      <c r="E2" s="16" t="str">
        <f ca="1">VLOOKUP($C2,OFFSET([2]quests!$A$1,0,0,COUNTA([2]quests!$A:$A),MATCH(E$1,[2]quests!$1:$1,0)-MATCH($C$1,[2]quests!$1:$1,0)+1),MATCH(E$1,[2]quests!$1:$1,0)-MATCH($C$1,[2]quests!$1:$1,0)+1,FALSE)</f>
        <v>タワーオブザクイーン2本目</v>
      </c>
      <c r="F2" s="18">
        <v>15</v>
      </c>
      <c r="G2" s="20" t="str">
        <f>C2&amp;"_"&amp;F2</f>
        <v>13400_15</v>
      </c>
      <c r="H2" s="13" t="str">
        <f ca="1">VLOOKUP($G2,OFFSET([2]stages!$A$1,0,0,COUNTA([2]stages!$A:$A),MATCH(H$1,[2]stages!$2:$2,0)-MATCH($G$1,[2]stages!$2:$2,0)+1),MATCH(H$1,[2]stages!$2:$2,0)-MATCH($G$1,[2]stages!$2:$2,0)+1,FALSE)</f>
        <v>15階 エルフラムの女王 ローズ</v>
      </c>
      <c r="I2" s="18">
        <v>1</v>
      </c>
      <c r="J2" s="11">
        <v>20</v>
      </c>
      <c r="K2" s="11">
        <v>20</v>
      </c>
    </row>
    <row r="3" spans="1:11" ht="21" customHeight="1" x14ac:dyDescent="0.15">
      <c r="A3" s="14" t="str">
        <f t="shared" ref="A3" si="0">G3&amp;"-"&amp;I3</f>
        <v>13400_15-2</v>
      </c>
      <c r="B3" s="14" t="str">
        <f>IF(COUNTIF(enemy_habitats!$H:$H,A3),"OK","NG")</f>
        <v>OK</v>
      </c>
      <c r="C3" s="99">
        <v>13400</v>
      </c>
      <c r="D3" s="10" t="str">
        <f ca="1">VLOOKUP($C3,OFFSET([2]quests!$A$1,0,0,COUNTA([2]quests!$A:$A),MATCH(D$1,[2]quests!$1:$1,0)-MATCH($C$1,[2]quests!$1:$1,0)+1),MATCH(D$1,[2]quests!$1:$1,0)-MATCH($C$1,[2]quests!$1:$1,0)+1,FALSE)</f>
        <v>タワーオブザクイーン -エルフラム-</v>
      </c>
      <c r="E3" s="16" t="str">
        <f ca="1">VLOOKUP($C3,OFFSET([2]quests!$A$1,0,0,COUNTA([2]quests!$A:$A),MATCH(E$1,[2]quests!$1:$1,0)-MATCH($C$1,[2]quests!$1:$1,0)+1),MATCH(E$1,[2]quests!$1:$1,0)-MATCH($C$1,[2]quests!$1:$1,0)+1,FALSE)</f>
        <v>タワーオブザクイーン2本目</v>
      </c>
      <c r="F3" s="18">
        <v>15</v>
      </c>
      <c r="G3" s="20" t="str">
        <f t="shared" ref="G3" si="1">C3&amp;"_"&amp;F3</f>
        <v>13400_15</v>
      </c>
      <c r="H3" s="13" t="str">
        <f ca="1">VLOOKUP($G3,OFFSET([2]stages!$A$1,0,0,COUNTA([2]stages!$A:$A),MATCH(H$1,[2]stages!$2:$2,0)-MATCH($G$1,[2]stages!$2:$2,0)+1),MATCH(H$1,[2]stages!$2:$2,0)-MATCH($G$1,[2]stages!$2:$2,0)+1,FALSE)</f>
        <v>15階 エルフラムの女王 ローズ</v>
      </c>
      <c r="I3" s="18">
        <v>2</v>
      </c>
      <c r="J3" s="11">
        <v>60</v>
      </c>
      <c r="K3" s="11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P3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S20" sqref="S20"/>
    </sheetView>
  </sheetViews>
  <sheetFormatPr baseColWidth="12" defaultColWidth="13" defaultRowHeight="21" customHeight="1" outlineLevelCol="1" x14ac:dyDescent="0.15"/>
  <cols>
    <col min="1" max="1" width="15.83203125" style="17" bestFit="1" customWidth="1"/>
    <col min="2" max="2" width="10.83203125" style="3" bestFit="1" customWidth="1"/>
    <col min="3" max="3" width="7.6640625" style="3" customWidth="1" collapsed="1"/>
    <col min="4" max="4" width="10.83203125" style="9" hidden="1" customWidth="1" outlineLevel="1"/>
    <col min="5" max="6" width="7.6640625" style="3" hidden="1" customWidth="1" outlineLevel="1"/>
    <col min="7" max="7" width="7.6640625" style="3" customWidth="1" collapsed="1"/>
    <col min="8" max="10" width="12.33203125" style="3" hidden="1" customWidth="1" outlineLevel="1"/>
    <col min="11" max="11" width="6.6640625" style="3" customWidth="1"/>
    <col min="12" max="12" width="10.5" style="8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6.83203125" style="3" customWidth="1"/>
    <col min="20" max="20" width="6.83203125" style="9" customWidth="1"/>
    <col min="21" max="23" width="6.83203125" style="3" customWidth="1"/>
    <col min="24" max="24" width="10" style="3" customWidth="1" collapsed="1"/>
    <col min="25" max="25" width="12.1640625" style="3" hidden="1" customWidth="1" outlineLevel="1"/>
    <col min="26" max="27" width="9.5" style="3" customWidth="1"/>
    <col min="28" max="29" width="6.33203125" style="3" customWidth="1"/>
    <col min="30" max="30" width="6.83203125" style="3" customWidth="1" collapsed="1"/>
    <col min="31" max="31" width="8.83203125" style="98" hidden="1" customWidth="1" outlineLevel="1"/>
    <col min="32" max="32" width="8" style="9" hidden="1" customWidth="1" outlineLevel="1"/>
    <col min="33" max="33" width="12" style="9" hidden="1" customWidth="1" outlineLevel="1"/>
    <col min="34" max="34" width="15" style="9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1" customFormat="1" ht="21" customHeight="1" x14ac:dyDescent="0.15">
      <c r="A1" s="23" t="s">
        <v>29</v>
      </c>
      <c r="B1" s="24" t="s">
        <v>0</v>
      </c>
      <c r="C1" s="24" t="s">
        <v>1</v>
      </c>
      <c r="D1" s="25" t="s">
        <v>28</v>
      </c>
      <c r="E1" s="26" t="s">
        <v>20</v>
      </c>
      <c r="F1" s="26" t="s">
        <v>20</v>
      </c>
      <c r="G1" s="24" t="s">
        <v>19</v>
      </c>
      <c r="H1" s="25" t="s">
        <v>35</v>
      </c>
      <c r="I1" s="25" t="s">
        <v>14</v>
      </c>
      <c r="J1" s="25" t="s">
        <v>15</v>
      </c>
      <c r="K1" s="32" t="s">
        <v>54</v>
      </c>
      <c r="L1" s="33" t="s">
        <v>2</v>
      </c>
      <c r="M1" s="27" t="s">
        <v>21</v>
      </c>
      <c r="N1" s="25" t="s">
        <v>24</v>
      </c>
      <c r="O1" s="25" t="s">
        <v>23</v>
      </c>
      <c r="P1" s="28" t="s">
        <v>26</v>
      </c>
      <c r="Q1" s="26" t="s">
        <v>25</v>
      </c>
      <c r="R1" s="24" t="s">
        <v>3</v>
      </c>
      <c r="S1" s="22" t="s">
        <v>48</v>
      </c>
      <c r="T1" s="93" t="s">
        <v>248</v>
      </c>
      <c r="U1" s="22" t="s">
        <v>50</v>
      </c>
      <c r="V1" s="93" t="s">
        <v>249</v>
      </c>
      <c r="W1" s="22" t="s">
        <v>52</v>
      </c>
      <c r="X1" s="25" t="s">
        <v>31</v>
      </c>
      <c r="Y1" s="24" t="s">
        <v>4</v>
      </c>
      <c r="Z1" s="24" t="s">
        <v>5</v>
      </c>
      <c r="AA1" s="24" t="s">
        <v>6</v>
      </c>
      <c r="AB1" s="24" t="s">
        <v>7</v>
      </c>
      <c r="AC1" s="24" t="s">
        <v>8</v>
      </c>
      <c r="AD1" s="29" t="s">
        <v>9</v>
      </c>
      <c r="AE1" s="30" t="s">
        <v>16</v>
      </c>
      <c r="AF1" s="30" t="s">
        <v>17</v>
      </c>
      <c r="AG1" s="30" t="s">
        <v>27</v>
      </c>
      <c r="AH1" s="29" t="s">
        <v>10</v>
      </c>
      <c r="AI1" s="24" t="s">
        <v>11</v>
      </c>
      <c r="AJ1" s="24" t="s">
        <v>12</v>
      </c>
      <c r="AK1" s="24" t="s">
        <v>38</v>
      </c>
      <c r="AL1" s="24" t="s">
        <v>40</v>
      </c>
      <c r="AM1" s="24" t="s">
        <v>42</v>
      </c>
      <c r="AN1" s="24" t="s">
        <v>44</v>
      </c>
      <c r="AO1" s="24" t="s">
        <v>46</v>
      </c>
      <c r="AP1" s="32" t="s">
        <v>177</v>
      </c>
    </row>
    <row r="2" spans="1:42" ht="21" customHeight="1" x14ac:dyDescent="0.15">
      <c r="A2" s="14" t="str">
        <f t="shared" ref="A2" si="0">B2&amp;"_"&amp;C2&amp;"-"&amp;G2&amp;"/"&amp;L2&amp;"&lt;lv"&amp;R2&amp;"&gt;s"&amp;AC2</f>
        <v>13400_15-1/79&lt;lv99&gt;s1</v>
      </c>
      <c r="B2" s="19">
        <v>13400</v>
      </c>
      <c r="C2" s="18">
        <v>15</v>
      </c>
      <c r="D2" s="2" t="str">
        <f>B2&amp;"_"&amp;C2</f>
        <v>13400_15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-エルフラム-</v>
      </c>
      <c r="F2" s="4" t="str">
        <f ca="1">VLOOKUP($D2,OFFSET([2]stages!$A$1,0,0,COUNTA([2]stages!$A:$A),MATCH(F$1,[2]stages!$2:$2,0)-MATCH($D$1,[2]stages!$2:$2,0)+1),MATCH(F$1,[2]stages!$2:$2,0)-MATCH($D$1,[2]stages!$2:$2,0)+1,FALSE)</f>
        <v>15階 エルフラムの女王 ローズ</v>
      </c>
      <c r="G2" s="18">
        <v>1</v>
      </c>
      <c r="H2" s="13" t="str">
        <f>B2&amp;"_"&amp;C2&amp;"-"&amp;G2</f>
        <v>13400_15-1</v>
      </c>
      <c r="I2" s="4">
        <f ca="1">VLOOKUP($H2,OFFSET(floors!$A$1,0,0,COUNTA(floors!$A:$A),MATCH(I$1,floors!$1:$1,0)-MATCH($H$1,floors!$1:$1,0)+1),MATCH(I$1,floors!$1:$1,0)-MATCH($H$1,floors!$1:$1,0)+1,FALSE)</f>
        <v>20</v>
      </c>
      <c r="J2" s="4">
        <f ca="1">VLOOKUP($H2,OFFSET(floors!$A$1,0,0,COUNTA(floors!$A:$A),MATCH(J$1,floors!$1:$1,0)-MATCH($H$1,floors!$1:$1,0)+1),MATCH(J$1,floors!$1:$1,0)-MATCH($H$1,floors!$1:$1,0)+1,FALSE)</f>
        <v>20</v>
      </c>
      <c r="K2" s="34">
        <v>1</v>
      </c>
      <c r="L2" s="97">
        <v>79</v>
      </c>
      <c r="M2" s="96" t="str">
        <f ca="1">VLOOKUP($L2,OFFSET([3]enemies!$A$1,0,0,COUNTA([3]enemies!$A:$A),MATCH(M$1,[3]enemies!$1:$1,0)-MATCH($L$1,[3]enemies!$1:$1,0)+1),MATCH(M$1,[3]enemies!$1:$1,0)-MATCH($L$1,[3]enemies!$1:$1,0)+1,FALSE)</f>
        <v>ハッピー100</v>
      </c>
      <c r="N2" s="15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5" t="str">
        <f ca="1">VLOOKUP($L2,OFFSET([4]characters!$A$1,0,0,COUNTA([4]characters!$A:$A),MATCH(O$1,[4]characters!$1:$1,0)-MATCH($L$1,[4]characters!$1:$1,0)+1),MATCH(O$1,[4]characters!$1:$1,0)-MATCH($L$1,[4]characters!$1:$1,0)+1,FALSE)</f>
        <v>DropWizW</v>
      </c>
      <c r="P2" s="15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5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99</v>
      </c>
      <c r="S2" s="104">
        <v>99.9</v>
      </c>
      <c r="T2" s="94">
        <f>90209*S2</f>
        <v>9011879.0999999996</v>
      </c>
      <c r="U2" s="104">
        <v>1</v>
      </c>
      <c r="V2" s="94">
        <f>5394*U2</f>
        <v>5394</v>
      </c>
      <c r="W2" s="5">
        <v>65535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不思議そうな表情を浮かべている</v>
      </c>
      <c r="Y2" s="103">
        <v>13400900</v>
      </c>
      <c r="Z2" s="6">
        <v>1</v>
      </c>
      <c r="AA2" s="6">
        <v>100</v>
      </c>
      <c r="AB2" s="6">
        <v>0</v>
      </c>
      <c r="AC2" s="95">
        <v>1</v>
      </c>
      <c r="AD2" s="21">
        <f t="shared" ref="AD2" si="1">L2</f>
        <v>79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ハッピー100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2" s="7">
        <v>1</v>
      </c>
      <c r="AI2" s="21">
        <f ca="1">AF2</f>
        <v>3</v>
      </c>
      <c r="AJ2" s="102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5">
        <v>1</v>
      </c>
    </row>
    <row r="3" spans="1:42" ht="21" customHeight="1" x14ac:dyDescent="0.15">
      <c r="A3" s="14" t="str">
        <f t="shared" ref="A3" si="2">B3&amp;"_"&amp;C3&amp;"-"&amp;G3&amp;"/"&amp;L3&amp;"&lt;lv"&amp;R3&amp;"&gt;s"&amp;AC3</f>
        <v>13400_15-2/1268&lt;lv99&gt;s1</v>
      </c>
      <c r="B3" s="19">
        <v>13400</v>
      </c>
      <c r="C3" s="18">
        <v>15</v>
      </c>
      <c r="D3" s="2" t="str">
        <f t="shared" ref="D3" si="3">B3&amp;"_"&amp;C3</f>
        <v>13400_15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-エルフラム-</v>
      </c>
      <c r="F3" s="4" t="str">
        <f ca="1">VLOOKUP($D3,OFFSET([2]stages!$A$1,0,0,COUNTA([2]stages!$A:$A),MATCH(F$1,[2]stages!$2:$2,0)-MATCH($D$1,[2]stages!$2:$2,0)+1),MATCH(F$1,[2]stages!$2:$2,0)-MATCH($D$1,[2]stages!$2:$2,0)+1,FALSE)</f>
        <v>15階 エルフラムの女王 ローズ</v>
      </c>
      <c r="G3" s="18">
        <v>2</v>
      </c>
      <c r="H3" s="13" t="str">
        <f t="shared" ref="H3" si="4">B3&amp;"_"&amp;C3&amp;"-"&amp;G3</f>
        <v>13400_15-2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4">
        <v>2</v>
      </c>
      <c r="L3" s="97">
        <v>1268</v>
      </c>
      <c r="M3" s="96" t="str">
        <f ca="1">VLOOKUP($L3,OFFSET([3]enemies!$A$1,0,0,COUNTA([3]enemies!$A:$A),MATCH(M$1,[3]enemies!$1:$1,0)-MATCH($L$1,[3]enemies!$1:$1,0)+1),MATCH(M$1,[3]enemies!$1:$1,0)-MATCH($L$1,[3]enemies!$1:$1,0)+1,FALSE)</f>
        <v>ローズ</v>
      </c>
      <c r="N3" s="15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5" t="str">
        <f ca="1">VLOOKUP($L3,OFFSET([4]characters!$A$1,0,0,COUNTA([4]characters!$A:$A),MATCH(O$1,[4]characters!$1:$1,0)-MATCH($L$1,[4]characters!$1:$1,0)+1),MATCH(O$1,[4]characters!$1:$1,0)-MATCH($L$1,[4]characters!$1:$1,0)+1,FALSE)</f>
        <v>DropWizSSS</v>
      </c>
      <c r="P3" s="15" t="str">
        <f ca="1">VLOOKUP($L3,OFFSET([3]enemies!$A$1,0,0,COUNTA([3]enemies!$A:$A),MATCH(P$1,[3]enemies!$1:$1,0)-MATCH($L$1,[3]enemies!$1:$1,0)+1),MATCH(P$1,[3]enemies!$1:$1,0)-MATCH($L$1,[3]enemies!$1:$1,0)+1,FALSE)</f>
        <v>queen</v>
      </c>
      <c r="Q3" s="15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99</v>
      </c>
      <c r="S3" s="104">
        <v>11.8</v>
      </c>
      <c r="T3" s="94">
        <f>170850*S3</f>
        <v>2016030.0000000002</v>
      </c>
      <c r="U3" s="104">
        <v>0.7</v>
      </c>
      <c r="V3" s="94">
        <f>14888*U3</f>
        <v>10421.599999999999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低確率でダメージパネル&amp;お邪魔パネルをドロップ+_x000D_3ターン全属性ダメージ30%軽減+状態異常無効+_x000D_残りHPの30％消費</v>
      </c>
      <c r="Y3" s="103">
        <v>13400920</v>
      </c>
      <c r="Z3" s="6">
        <v>1</v>
      </c>
      <c r="AA3" s="6">
        <v>100</v>
      </c>
      <c r="AB3" s="6">
        <v>1</v>
      </c>
      <c r="AC3" s="95">
        <v>1</v>
      </c>
      <c r="AD3" s="124">
        <v>1268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ローズ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DropWizSSS</v>
      </c>
      <c r="AH3" s="7">
        <v>1</v>
      </c>
      <c r="AI3" s="21">
        <f t="shared" ref="AI3" ca="1" si="5">AF3</f>
        <v>5</v>
      </c>
      <c r="AJ3" s="102">
        <v>30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5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  <outlinePr summaryBelow="0" summaryRight="0"/>
  </sheetPr>
  <dimension ref="A1:AA4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3" sqref="S3"/>
    </sheetView>
  </sheetViews>
  <sheetFormatPr baseColWidth="12" defaultColWidth="13" defaultRowHeight="21" customHeight="1" outlineLevelCol="1" x14ac:dyDescent="0.15"/>
  <cols>
    <col min="1" max="1" width="17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8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 collapsed="1"/>
    <col min="26" max="26" width="11.5" style="3" hidden="1" customWidth="1" outlineLevel="1"/>
    <col min="27" max="27" width="9.33203125" style="3" bestFit="1" customWidth="1"/>
    <col min="28" max="16384" width="13" style="3"/>
  </cols>
  <sheetData>
    <row r="1" spans="1:27" s="31" customFormat="1" ht="21" customHeight="1" x14ac:dyDescent="0.15">
      <c r="A1" s="23" t="s">
        <v>29</v>
      </c>
      <c r="B1" s="24" t="s">
        <v>0</v>
      </c>
      <c r="C1" s="24" t="s">
        <v>1</v>
      </c>
      <c r="D1" s="25" t="s">
        <v>28</v>
      </c>
      <c r="E1" s="26" t="s">
        <v>16</v>
      </c>
      <c r="F1" s="26" t="s">
        <v>16</v>
      </c>
      <c r="G1" s="24" t="s">
        <v>19</v>
      </c>
      <c r="H1" s="25" t="s">
        <v>30</v>
      </c>
      <c r="I1" s="25" t="s">
        <v>14</v>
      </c>
      <c r="J1" s="25" t="s">
        <v>15</v>
      </c>
      <c r="K1" s="32" t="s">
        <v>54</v>
      </c>
      <c r="L1" s="32" t="s">
        <v>55</v>
      </c>
      <c r="M1" s="33" t="s">
        <v>2</v>
      </c>
      <c r="N1" s="27" t="s">
        <v>16</v>
      </c>
      <c r="O1" s="25" t="s">
        <v>24</v>
      </c>
      <c r="P1" s="25" t="s">
        <v>23</v>
      </c>
      <c r="Q1" s="28" t="s">
        <v>26</v>
      </c>
      <c r="R1" s="26" t="s">
        <v>25</v>
      </c>
      <c r="S1" s="24" t="s">
        <v>3</v>
      </c>
      <c r="T1" s="22" t="s">
        <v>48</v>
      </c>
      <c r="U1" s="93" t="s">
        <v>248</v>
      </c>
      <c r="V1" s="22" t="s">
        <v>50</v>
      </c>
      <c r="W1" s="93" t="s">
        <v>249</v>
      </c>
      <c r="X1" s="22" t="s">
        <v>52</v>
      </c>
      <c r="Y1" s="24" t="s">
        <v>128</v>
      </c>
      <c r="Z1" s="25" t="s">
        <v>127</v>
      </c>
      <c r="AA1" s="24" t="s">
        <v>8</v>
      </c>
    </row>
    <row r="2" spans="1:27" ht="21" customHeight="1" x14ac:dyDescent="0.15">
      <c r="A2" s="14" t="str">
        <f>B2&amp;"_"&amp;C2&amp;"-"&amp;G2&amp;"/"&amp;M2&amp;"&lt;lv"&amp;S2&amp;"&gt;sq"&amp;K2&amp;"st"&amp;L2</f>
        <v>13400_15-1/80&lt;lv99&gt;sq1st2</v>
      </c>
      <c r="B2" s="19">
        <v>13400</v>
      </c>
      <c r="C2" s="100">
        <v>15</v>
      </c>
      <c r="D2" s="13" t="str">
        <f>B2&amp;"_"&amp;C2</f>
        <v>13400_15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-エルフラム-</v>
      </c>
      <c r="F2" s="4" t="str">
        <f ca="1">VLOOKUP($D2,OFFSET([2]stages!$A$1,0,0,COUNTA([2]stages!$A:$A),MATCH(F$1,[2]stages!$2:$2,0)-MATCH($D$1,[2]stages!$2:$2,0)+1),MATCH(F$1,[2]stages!$2:$2,0)-MATCH($D$1,[2]stages!$2:$2,0)+1,FALSE)</f>
        <v>15階 エルフラムの女王 ローズ</v>
      </c>
      <c r="G2" s="100">
        <v>1</v>
      </c>
      <c r="H2" s="13" t="str">
        <f>B2&amp;"_"&amp;C2&amp;"-"&amp;G2</f>
        <v>13400_15-1</v>
      </c>
      <c r="I2" s="4"/>
      <c r="J2" s="4"/>
      <c r="K2" s="34">
        <v>1</v>
      </c>
      <c r="L2" s="34">
        <v>2</v>
      </c>
      <c r="M2" s="97">
        <v>80</v>
      </c>
      <c r="N2" s="15" t="str">
        <f ca="1">VLOOKUP($M2,OFFSET([3]enemies!$A$1,0,0,COUNTA([3]enemies!$A:$A),MATCH(N$1,[3]enemies!$1:$1,0)-MATCH($M$1,[3]enemies!$1:$1,0)+1),MATCH(N$1,[3]enemies!$1:$1,0)-MATCH($M$1,[3]enemies!$1:$1,0)+1,FALSE)</f>
        <v>ハッピー101</v>
      </c>
      <c r="O2" s="15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5" t="str">
        <f ca="1">VLOOKUP($M2,OFFSET([4]characters!$A$1,0,0,COUNTA([4]characters!$A:$A),MATCH(P$1,[4]characters!$1:$1,0)-MATCH($M$1,[4]characters!$1:$1,0)+1),MATCH(P$1,[4]characters!$1:$1,0)-MATCH($M$1,[4]characters!$1:$1,0)+1,FALSE)</f>
        <v>DropWizW</v>
      </c>
      <c r="Q2" s="15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5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99</v>
      </c>
      <c r="T2" s="104">
        <v>99.9</v>
      </c>
      <c r="U2" s="94">
        <f>106611*T2</f>
        <v>10650438.9</v>
      </c>
      <c r="V2" s="104">
        <v>1</v>
      </c>
      <c r="W2" s="94">
        <f>5842*V2</f>
        <v>5842</v>
      </c>
      <c r="X2" s="5">
        <v>65535</v>
      </c>
      <c r="Y2" s="4"/>
      <c r="Z2" s="103">
        <v>13400910</v>
      </c>
      <c r="AA2" s="101">
        <v>1</v>
      </c>
    </row>
    <row r="3" spans="1:27" ht="21" customHeight="1" x14ac:dyDescent="0.15">
      <c r="A3" s="14" t="str">
        <f>B3&amp;"_"&amp;C3&amp;"-"&amp;G3&amp;"/"&amp;M3&amp;"&lt;lv"&amp;S3&amp;"&gt;sq"&amp;K3&amp;"st"&amp;L3</f>
        <v>13400_15-2/1269&lt;lv99&gt;sq2st2</v>
      </c>
      <c r="B3" s="19">
        <v>13400</v>
      </c>
      <c r="C3" s="100">
        <v>15</v>
      </c>
      <c r="D3" s="13" t="str">
        <f>B3&amp;"_"&amp;C3</f>
        <v>13400_15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-エルフラム-</v>
      </c>
      <c r="F3" s="4" t="str">
        <f ca="1">VLOOKUP($D3,OFFSET([2]stages!$A$1,0,0,COUNTA([2]stages!$A:$A),MATCH(F$1,[2]stages!$2:$2,0)-MATCH($D$1,[2]stages!$2:$2,0)+1),MATCH(F$1,[2]stages!$2:$2,0)-MATCH($D$1,[2]stages!$2:$2,0)+1,FALSE)</f>
        <v>15階 エルフラムの女王 ローズ</v>
      </c>
      <c r="G3" s="100">
        <v>2</v>
      </c>
      <c r="H3" s="13" t="str">
        <f>B3&amp;"_"&amp;C3&amp;"-"&amp;G3</f>
        <v>13400_15-2</v>
      </c>
      <c r="I3" s="4"/>
      <c r="J3" s="4"/>
      <c r="K3" s="34">
        <v>2</v>
      </c>
      <c r="L3" s="34">
        <v>2</v>
      </c>
      <c r="M3" s="97">
        <v>1269</v>
      </c>
      <c r="N3" s="15" t="str">
        <f ca="1">VLOOKUP($M3,OFFSET([3]enemies!$A$1,0,0,COUNTA([3]enemies!$A:$A),MATCH(N$1,[3]enemies!$1:$1,0)-MATCH($M$1,[3]enemies!$1:$1,0)+1),MATCH(N$1,[3]enemies!$1:$1,0)-MATCH($M$1,[3]enemies!$1:$1,0)+1,FALSE)</f>
        <v>エルフラムの女王 ローズ</v>
      </c>
      <c r="O3" s="15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5" t="str">
        <f ca="1">VLOOKUP($M3,OFFSET([4]characters!$A$1,0,0,COUNTA([4]characters!$A:$A),MATCH(P$1,[4]characters!$1:$1,0)-MATCH($M$1,[4]characters!$1:$1,0)+1),MATCH(P$1,[4]characters!$1:$1,0)-MATCH($M$1,[4]characters!$1:$1,0)+1,FALSE)</f>
        <v>DropWizSSS</v>
      </c>
      <c r="Q3" s="15" t="str">
        <f ca="1">VLOOKUP($M3,OFFSET([3]enemies!$A$1,0,0,COUNTA([3]enemies!$A:$A),MATCH(Q$1,[3]enemies!$1:$1,0)-MATCH($M$1,[3]enemies!$1:$1,0)+1),MATCH(Q$1,[3]enemies!$1:$1,0)-MATCH($M$1,[3]enemies!$1:$1,0)+1,FALSE)</f>
        <v>queen</v>
      </c>
      <c r="R3" s="15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99</v>
      </c>
      <c r="T3" s="104">
        <v>15.2</v>
      </c>
      <c r="U3" s="94">
        <f>170850*T3</f>
        <v>2596920</v>
      </c>
      <c r="V3" s="104">
        <v>0.7</v>
      </c>
      <c r="W3" s="94">
        <f>14888*V3</f>
        <v>10421.599999999999</v>
      </c>
      <c r="X3" s="5">
        <v>0</v>
      </c>
      <c r="Y3" s="4"/>
      <c r="Z3" s="103">
        <v>13400950</v>
      </c>
      <c r="AA3" s="101">
        <v>1</v>
      </c>
    </row>
    <row r="4" spans="1:27" ht="21" customHeight="1" x14ac:dyDescent="0.15">
      <c r="A4" s="14" t="str">
        <f>B4&amp;"_"&amp;C4&amp;"-"&amp;G4&amp;"/"&amp;M4&amp;"&lt;lv"&amp;S4&amp;"&gt;sq"&amp;K4&amp;"st"&amp;L4</f>
        <v>13400_15-2/1269&lt;lv99&gt;sq2st3</v>
      </c>
      <c r="B4" s="19">
        <v>13400</v>
      </c>
      <c r="C4" s="100">
        <v>15</v>
      </c>
      <c r="D4" s="13" t="str">
        <f>B4&amp;"_"&amp;C4</f>
        <v>13400_15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-エルフラム-</v>
      </c>
      <c r="F4" s="4" t="str">
        <f ca="1">VLOOKUP($D4,OFFSET([2]stages!$A$1,0,0,COUNTA([2]stages!$A:$A),MATCH(F$1,[2]stages!$2:$2,0)-MATCH($D$1,[2]stages!$2:$2,0)+1),MATCH(F$1,[2]stages!$2:$2,0)-MATCH($D$1,[2]stages!$2:$2,0)+1,FALSE)</f>
        <v>15階 エルフラムの女王 ローズ</v>
      </c>
      <c r="G4" s="100">
        <v>2</v>
      </c>
      <c r="H4" s="13" t="str">
        <f>B4&amp;"_"&amp;C4&amp;"-"&amp;G4</f>
        <v>13400_15-2</v>
      </c>
      <c r="I4" s="4"/>
      <c r="J4" s="4"/>
      <c r="K4" s="34">
        <v>2</v>
      </c>
      <c r="L4" s="34">
        <v>3</v>
      </c>
      <c r="M4" s="97">
        <v>1269</v>
      </c>
      <c r="N4" s="15" t="str">
        <f ca="1">VLOOKUP($M4,OFFSET([3]enemies!$A$1,0,0,COUNTA([3]enemies!$A:$A),MATCH(N$1,[3]enemies!$1:$1,0)-MATCH($M$1,[3]enemies!$1:$1,0)+1),MATCH(N$1,[3]enemies!$1:$1,0)-MATCH($M$1,[3]enemies!$1:$1,0)+1,FALSE)</f>
        <v>エルフラムの女王 ローズ</v>
      </c>
      <c r="O4" s="15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5" t="str">
        <f ca="1">VLOOKUP($M4,OFFSET([4]characters!$A$1,0,0,COUNTA([4]characters!$A:$A),MATCH(P$1,[4]characters!$1:$1,0)-MATCH($M$1,[4]characters!$1:$1,0)+1),MATCH(P$1,[4]characters!$1:$1,0)-MATCH($M$1,[4]characters!$1:$1,0)+1,FALSE)</f>
        <v>DropWizSSS</v>
      </c>
      <c r="Q4" s="15" t="str">
        <f ca="1">VLOOKUP($M4,OFFSET([3]enemies!$A$1,0,0,COUNTA([3]enemies!$A:$A),MATCH(Q$1,[3]enemies!$1:$1,0)-MATCH($M$1,[3]enemies!$1:$1,0)+1),MATCH(Q$1,[3]enemies!$1:$1,0)-MATCH($M$1,[3]enemies!$1:$1,0)+1,FALSE)</f>
        <v>queen</v>
      </c>
      <c r="R4" s="15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99</v>
      </c>
      <c r="T4" s="104">
        <v>20</v>
      </c>
      <c r="U4" s="94">
        <f>170850*T4</f>
        <v>3417000</v>
      </c>
      <c r="V4" s="104">
        <v>0.7</v>
      </c>
      <c r="W4" s="94">
        <f>14888*V4</f>
        <v>10421.599999999999</v>
      </c>
      <c r="X4" s="5">
        <v>0</v>
      </c>
      <c r="Y4" s="4"/>
      <c r="Z4" s="103">
        <v>13400970</v>
      </c>
      <c r="AA4" s="101">
        <v>1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R52"/>
  <sheetViews>
    <sheetView showGridLines="0" workbookViewId="0">
      <pane xSplit="5" ySplit="1" topLeftCell="F11" activePane="bottomRight" state="frozen"/>
      <selection pane="topRight"/>
      <selection pane="bottomLeft"/>
      <selection pane="bottomRight" activeCell="F31" sqref="F31"/>
    </sheetView>
  </sheetViews>
  <sheetFormatPr baseColWidth="12" defaultColWidth="12.83203125" defaultRowHeight="21" customHeight="1" outlineLevelCol="1" x14ac:dyDescent="0.15"/>
  <cols>
    <col min="1" max="1" width="11.33203125" style="35" bestFit="1" customWidth="1"/>
    <col min="2" max="2" width="9.5" style="45" bestFit="1" customWidth="1"/>
    <col min="3" max="3" width="9.6640625" style="45" customWidth="1"/>
    <col min="4" max="4" width="18.5" style="45" customWidth="1" outlineLevel="1"/>
    <col min="5" max="5" width="44.1640625" style="45" customWidth="1" outlineLevel="1"/>
    <col min="6" max="6" width="10.83203125" style="45" bestFit="1" customWidth="1"/>
    <col min="7" max="7" width="8.33203125" style="45" bestFit="1" customWidth="1" outlineLevel="1"/>
    <col min="8" max="9" width="12.83203125" style="45" outlineLevel="1"/>
    <col min="10" max="10" width="17.6640625" style="45" bestFit="1" customWidth="1" outlineLevel="1"/>
    <col min="11" max="15" width="12.83203125" style="45" outlineLevel="1"/>
    <col min="16" max="16" width="8.33203125" style="41" bestFit="1" customWidth="1"/>
    <col min="17" max="17" width="9.6640625" style="41" customWidth="1"/>
    <col min="18" max="18" width="56.5" style="41" bestFit="1" customWidth="1"/>
    <col min="19" max="16384" width="12.83203125" style="41"/>
  </cols>
  <sheetData>
    <row r="1" spans="1:18" ht="21" customHeight="1" x14ac:dyDescent="0.15">
      <c r="A1" s="35" t="s">
        <v>60</v>
      </c>
      <c r="B1" s="36" t="s">
        <v>61</v>
      </c>
      <c r="C1" s="36" t="s">
        <v>62</v>
      </c>
      <c r="D1" s="37" t="s">
        <v>63</v>
      </c>
      <c r="E1" s="37" t="s">
        <v>64</v>
      </c>
      <c r="F1" s="38" t="s">
        <v>65</v>
      </c>
      <c r="G1" s="39" t="s">
        <v>66</v>
      </c>
      <c r="H1" s="39" t="s">
        <v>68</v>
      </c>
      <c r="I1" s="39" t="s">
        <v>69</v>
      </c>
      <c r="J1" s="39" t="s">
        <v>70</v>
      </c>
      <c r="K1" s="40" t="s">
        <v>71</v>
      </c>
      <c r="L1" s="40" t="s">
        <v>72</v>
      </c>
      <c r="M1" s="39" t="s">
        <v>73</v>
      </c>
      <c r="N1" s="39" t="s">
        <v>74</v>
      </c>
      <c r="O1" s="39" t="s">
        <v>75</v>
      </c>
      <c r="P1" s="37" t="s">
        <v>76</v>
      </c>
      <c r="Q1" s="37" t="s">
        <v>77</v>
      </c>
      <c r="R1" s="37" t="s">
        <v>78</v>
      </c>
    </row>
    <row r="2" spans="1:18" ht="21" customHeight="1" x14ac:dyDescent="0.15">
      <c r="A2" s="35" t="str">
        <f t="shared" ref="A2" si="0">B2&amp;"_"&amp;C2</f>
        <v>13400900_13400901</v>
      </c>
      <c r="B2" s="43">
        <v>13400900</v>
      </c>
      <c r="C2" s="43">
        <v>13400901</v>
      </c>
      <c r="D2" s="42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ハッピー？</v>
      </c>
      <c r="E2" s="42" t="str">
        <f ca="1">VLOOKUP($C2,OFFSET(enemy_skills!$A$1,0,0,COUNTA(enemy_skills!$A:$A),MATCH(E$1,enemy_skills!$1:$1,0)-MATCH("enemy_skill_id",enemy_skills!$1:$1,0)+1),MATCH(E$1,enemy_skills!$1:$1,0)-MATCH("enemy_skill_id",enemy_skills!$1:$1,0)+1,FALSE)</f>
        <v>不思議そうな表情を浮かべている</v>
      </c>
      <c r="F2" s="43">
        <v>13400901</v>
      </c>
      <c r="G2" s="44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4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4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4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4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4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4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4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4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3"/>
      <c r="Q2" s="43"/>
      <c r="R2" s="43"/>
    </row>
    <row r="3" spans="1:18" ht="21" customHeight="1" x14ac:dyDescent="0.15">
      <c r="A3" s="35" t="str">
        <f t="shared" ref="A3:A5" si="1">B3&amp;"_"&amp;C3</f>
        <v>13400900_13400902</v>
      </c>
      <c r="B3" s="43">
        <v>13400900</v>
      </c>
      <c r="C3" s="43">
        <v>13400902</v>
      </c>
      <c r="D3" s="42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ハッピー！？</v>
      </c>
      <c r="E3" s="42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ハッピーの姿が…？</v>
      </c>
      <c r="F3" s="43">
        <v>13400902</v>
      </c>
      <c r="G3" s="44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4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4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4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4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4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4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4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4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3"/>
      <c r="Q3" s="43"/>
      <c r="R3" s="43"/>
    </row>
    <row r="4" spans="1:18" ht="21" customHeight="1" x14ac:dyDescent="0.15">
      <c r="A4" s="35" t="str">
        <f t="shared" si="1"/>
        <v>13400910_13400911</v>
      </c>
      <c r="B4" s="43">
        <v>13400910</v>
      </c>
      <c r="C4" s="43">
        <v>13400911</v>
      </c>
      <c r="D4" s="42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ハッピー☆</v>
      </c>
      <c r="E4" s="42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タワー中を緑の光がほとばしる！_x000D_【全ユニットのスキルゲージMAX！】</v>
      </c>
      <c r="F4" s="43">
        <v>13400911</v>
      </c>
      <c r="G4" s="44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4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4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4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4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4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4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4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4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3"/>
      <c r="Q4" s="43"/>
      <c r="R4" s="43"/>
    </row>
    <row r="5" spans="1:18" ht="21" customHeight="1" x14ac:dyDescent="0.15">
      <c r="A5" s="35" t="str">
        <f t="shared" si="1"/>
        <v>13400910_13400912</v>
      </c>
      <c r="B5" s="43">
        <v>13400910</v>
      </c>
      <c r="C5" s="43">
        <v>13400912</v>
      </c>
      <c r="D5" s="42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ハッピー♪</v>
      </c>
      <c r="E5" s="42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ハッピーは静かに微笑みながら去っていった！</v>
      </c>
      <c r="F5" s="43">
        <v>13400912</v>
      </c>
      <c r="G5" s="44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4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4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4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4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4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4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4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4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3"/>
      <c r="Q5" s="43"/>
      <c r="R5" s="43"/>
    </row>
    <row r="6" spans="1:18" ht="20" customHeight="1" x14ac:dyDescent="0.15">
      <c r="A6" s="35" t="str">
        <f t="shared" ref="A6:A40" si="2">B6&amp;"_"&amp;C6</f>
        <v>13400920_13400921</v>
      </c>
      <c r="B6" s="113">
        <v>13400920</v>
      </c>
      <c r="C6" s="113">
        <v>13400921</v>
      </c>
      <c r="D6" s="42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へぇ、驚いた。ここまで上がって来れたんだ</v>
      </c>
      <c r="E6" s="42" t="str">
        <f ca="1">VLOOKUP($C6,OFFSET(enemy_skills!$A$1,0,0,COUNTA(enemy_skills!$A:$A),MATCH(E$1,enemy_skills!$1:$1,0)-MATCH("enemy_skill_id",enemy_skills!$1:$1,0)+1),MATCH(E$1,enemy_skills!$1:$1,0)-MATCH("enemy_skill_id",enemy_skills!$1:$1,0)+1,FALSE)</f>
        <v>低確率でダメージパネル&amp;お邪魔パネルをドロップ+_x000D_3ターン全属性ダメージ30%軽減+状態異常無効+_x000D_残りHPの30％消費</v>
      </c>
      <c r="F6" s="113">
        <v>13400921</v>
      </c>
      <c r="G6" s="44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4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4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4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4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4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4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4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4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3"/>
      <c r="Q6" s="43"/>
      <c r="R6" s="43"/>
    </row>
    <row r="7" spans="1:18" ht="20" customHeight="1" x14ac:dyDescent="0.15">
      <c r="A7" s="35" t="str">
        <f t="shared" ref="A7:A24" si="3">B7&amp;"_"&amp;C7</f>
        <v>13400920_13400922</v>
      </c>
      <c r="B7" s="113">
        <v>13400920</v>
      </c>
      <c r="C7" s="113">
        <v>13400922</v>
      </c>
      <c r="D7" s="42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いいわ…せいぜい退屈させないでよね。人間！</v>
      </c>
      <c r="E7" s="42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3ターン防御力超大UP+自己回復+クリティカル！</v>
      </c>
      <c r="F7" s="113">
        <v>13400922</v>
      </c>
      <c r="G7" s="44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4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7" s="44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4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4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4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4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4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4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3"/>
      <c r="Q7" s="43"/>
      <c r="R7" s="43"/>
    </row>
    <row r="8" spans="1:18" ht="20" customHeight="1" x14ac:dyDescent="0.15">
      <c r="A8" s="35" t="str">
        <f t="shared" si="3"/>
        <v>13400920_13400923</v>
      </c>
      <c r="B8" s="113">
        <v>13400920</v>
      </c>
      <c r="C8" s="113">
        <v>13400923</v>
      </c>
      <c r="D8" s="42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これが攻撃？　がっかりだわ…</v>
      </c>
      <c r="E8" s="42" t="str">
        <f ca="1">VLOOKUP($C8,OFFSET(enemy_skills!$A$1,0,0,COUNTA(enemy_skills!$A:$A),MATCH(E$1,enemy_skills!$1:$1,0)-MATCH("enemy_skill_id",enemy_skills!$1:$1,0)+1),MATCH(E$1,enemy_skills!$1:$1,0)-MATCH("enemy_skill_id",enemy_skills!$1:$1,0)+1,FALSE)</f>
        <v>あーあ、つまんないのー！</v>
      </c>
      <c r="F8" s="113">
        <v>13400923</v>
      </c>
      <c r="G8" s="44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4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4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4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4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90</v>
      </c>
      <c r="L8" s="44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4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4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4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3"/>
      <c r="Q8" s="43"/>
      <c r="R8" s="43"/>
    </row>
    <row r="9" spans="1:18" ht="20" customHeight="1" x14ac:dyDescent="0.15">
      <c r="A9" s="35" t="str">
        <f t="shared" si="3"/>
        <v>13400920_13400924</v>
      </c>
      <c r="B9" s="113">
        <v>13400920</v>
      </c>
      <c r="C9" s="113">
        <v>13400924</v>
      </c>
      <c r="D9" s="42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エルフラムの武桑【μ】</v>
      </c>
      <c r="E9" s="42" t="str">
        <f ca="1">VLOOKUP($C9,OFFSET(enemy_skills!$A$1,0,0,COUNTA(enemy_skills!$A:$A),MATCH(E$1,enemy_skills!$1:$1,0)-MATCH("enemy_skill_id",enemy_skills!$1:$1,0)+1),MATCH(E$1,enemy_skills!$1:$1,0)-MATCH("enemy_skill_id",enemy_skills!$1:$1,0)+1,FALSE)</f>
        <v>自己回復+2ターン全ユニットの回復力100%DOWN+_x000D_全体攻撃</v>
      </c>
      <c r="F9" s="113">
        <v>13400924</v>
      </c>
      <c r="G9" s="44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4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202</v>
      </c>
      <c r="I9" s="44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4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9" s="44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80</v>
      </c>
      <c r="L9" s="44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4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" s="44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4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3"/>
      <c r="Q9" s="43"/>
      <c r="R9" s="43"/>
    </row>
    <row r="10" spans="1:18" ht="20" customHeight="1" x14ac:dyDescent="0.15">
      <c r="A10" s="35" t="str">
        <f t="shared" si="3"/>
        <v>13400920_13400925</v>
      </c>
      <c r="B10" s="113">
        <v>13400920</v>
      </c>
      <c r="C10" s="113">
        <v>13400925</v>
      </c>
      <c r="D10" s="42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エルフラムの武桑【λ】</v>
      </c>
      <c r="E10" s="42" t="str">
        <f ca="1">VLOOKUP($C10,OFFSET(enemy_skills!$A$1,0,0,COUNTA(enemy_skills!$A:$A),MATCH(E$1,enemy_skills!$1:$1,0)-MATCH("enemy_skill_id",enemy_skills!$1:$1,0)+1),MATCH(E$1,enemy_skills!$1:$1,0)-MATCH("enemy_skill_id",enemy_skills!$1:$1,0)+1,FALSE)</f>
        <v>自己回復+2ターン全ユニットの回復力100%DOWN+_x000D_全体攻撃</v>
      </c>
      <c r="F10" s="113">
        <v>13400925</v>
      </c>
      <c r="G10" s="44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4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10" s="44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4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0" s="44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70</v>
      </c>
      <c r="L10" s="44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4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" s="44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4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3"/>
      <c r="Q10" s="43"/>
      <c r="R10" s="43"/>
    </row>
    <row r="11" spans="1:18" ht="20" customHeight="1" x14ac:dyDescent="0.15">
      <c r="A11" s="35" t="str">
        <f t="shared" si="3"/>
        <v>13400920_13400926</v>
      </c>
      <c r="B11" s="113">
        <v>13400920</v>
      </c>
      <c r="C11" s="113">
        <v>13400926</v>
      </c>
      <c r="D11" s="42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エルフラムの武桑【κ】</v>
      </c>
      <c r="E11" s="42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自己回復+2ターン全ユニットの回復力100%DOWN+_x000D_全体攻撃</v>
      </c>
      <c r="F11" s="113">
        <v>13400926</v>
      </c>
      <c r="G11" s="44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4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1" s="44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4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1" s="44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4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4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4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4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3"/>
      <c r="Q11" s="43"/>
      <c r="R11" s="43"/>
    </row>
    <row r="12" spans="1:18" ht="20" customHeight="1" x14ac:dyDescent="0.15">
      <c r="A12" s="35" t="str">
        <f t="shared" si="3"/>
        <v>13400920_13400927</v>
      </c>
      <c r="B12" s="113">
        <v>13400920</v>
      </c>
      <c r="C12" s="113">
        <v>13400927</v>
      </c>
      <c r="D12" s="42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エルフラムの機想郷【μ】</v>
      </c>
      <c r="E12" s="42" t="str">
        <f ca="1">VLOOKUP($C12,OFFSET(enemy_skills!$A$1,0,0,COUNTA(enemy_skills!$A:$A),MATCH(E$1,enemy_skills!$1:$1,0)-MATCH("enemy_skill_id",enemy_skills!$1:$1,0)+1),MATCH(E$1,enemy_skills!$1:$1,0)-MATCH("enemy_skill_id",enemy_skills!$1:$1,0)+1,FALSE)</f>
        <v>自己回復+青属性のユニットに大ダメージの全体攻撃</v>
      </c>
      <c r="F12" s="113">
        <v>13400927</v>
      </c>
      <c r="G12" s="44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4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12" s="44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4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12" s="44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80</v>
      </c>
      <c r="L12" s="44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4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" s="44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4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3"/>
      <c r="Q12" s="43"/>
      <c r="R12" s="43"/>
    </row>
    <row r="13" spans="1:18" ht="20" customHeight="1" x14ac:dyDescent="0.15">
      <c r="A13" s="35" t="str">
        <f t="shared" si="3"/>
        <v>13400920_13400928</v>
      </c>
      <c r="B13" s="113">
        <v>13400920</v>
      </c>
      <c r="C13" s="113">
        <v>13400928</v>
      </c>
      <c r="D13" s="42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エルフラムの機想郷【λ】</v>
      </c>
      <c r="E13" s="42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自己回復+青属性のユニットに大ダメージの全体攻撃</v>
      </c>
      <c r="F13" s="113">
        <v>13400928</v>
      </c>
      <c r="G13" s="44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4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302</v>
      </c>
      <c r="I13" s="44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4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3" s="44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70</v>
      </c>
      <c r="L13" s="44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4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3" s="44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4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3"/>
      <c r="Q13" s="43"/>
      <c r="R13" s="43"/>
    </row>
    <row r="14" spans="1:18" ht="20" customHeight="1" x14ac:dyDescent="0.15">
      <c r="A14" s="35" t="str">
        <f t="shared" si="3"/>
        <v>13400920_13400929</v>
      </c>
      <c r="B14" s="113">
        <v>13400920</v>
      </c>
      <c r="C14" s="113">
        <v>13400929</v>
      </c>
      <c r="D14" s="42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エルフラムの機想郷【κ】</v>
      </c>
      <c r="E14" s="42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自己回復+青属性のユニットに大ダメージの全体攻撃</v>
      </c>
      <c r="F14" s="113">
        <v>13400929</v>
      </c>
      <c r="G14" s="44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4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301</v>
      </c>
      <c r="I14" s="44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4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4" s="44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4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4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4" s="44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4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3"/>
      <c r="Q14" s="43"/>
      <c r="R14" s="43"/>
    </row>
    <row r="15" spans="1:18" ht="20" customHeight="1" x14ac:dyDescent="0.15">
      <c r="A15" s="35" t="str">
        <f t="shared" si="3"/>
        <v>13400920_13400930</v>
      </c>
      <c r="B15" s="113">
        <v>13400920</v>
      </c>
      <c r="C15" s="113">
        <v>13400930</v>
      </c>
      <c r="D15" s="42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あんた達なんて所詮オモチャなんだから♪</v>
      </c>
      <c r="E15" s="42" t="str">
        <f ca="1">VLOOKUP($C15,OFFSET(enemy_skills!$A$1,0,0,COUNTA(enemy_skills!$A:$A),MATCH(E$1,enemy_skills!$1:$1,0)-MATCH("enemy_skill_id",enemy_skills!$1:$1,0)+1),MATCH(E$1,enemy_skills!$1:$1,0)-MATCH("enemy_skill_id",enemy_skills!$1:$1,0)+1,FALSE)</f>
        <v>4ターン全ユニットの回復力100%DOWN+全体攻撃</v>
      </c>
      <c r="F15" s="113">
        <v>13400930</v>
      </c>
      <c r="G15" s="44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4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402</v>
      </c>
      <c r="I15" s="44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4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15" s="44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70</v>
      </c>
      <c r="L15" s="44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4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5" s="44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4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3"/>
      <c r="Q15" s="43"/>
      <c r="R15" s="43"/>
    </row>
    <row r="16" spans="1:18" ht="20" customHeight="1" x14ac:dyDescent="0.15">
      <c r="A16" s="35" t="str">
        <f t="shared" si="3"/>
        <v>13400920_13400931</v>
      </c>
      <c r="B16" s="113">
        <v>13400920</v>
      </c>
      <c r="C16" s="113">
        <v>13400931</v>
      </c>
      <c r="D16" s="42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あんた達なんて所詮オモチャなんだから♪</v>
      </c>
      <c r="E16" s="42" t="str">
        <f ca="1">VLOOKUP($C16,OFFSET(enemy_skills!$A$1,0,0,COUNTA(enemy_skills!$A:$A),MATCH(E$1,enemy_skills!$1:$1,0)-MATCH("enemy_skill_id",enemy_skills!$1:$1,0)+1),MATCH(E$1,enemy_skills!$1:$1,0)-MATCH("enemy_skill_id",enemy_skills!$1:$1,0)+1,FALSE)</f>
        <v>4ターン全ユニットの回復力100%DOWN+全体攻撃</v>
      </c>
      <c r="F16" s="113">
        <v>13400931</v>
      </c>
      <c r="G16" s="44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4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16" s="44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4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6" s="44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70</v>
      </c>
      <c r="L16" s="44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4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6" s="44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4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3"/>
      <c r="Q16" s="43"/>
      <c r="R16" s="43"/>
    </row>
    <row r="17" spans="1:18" ht="20" customHeight="1" x14ac:dyDescent="0.15">
      <c r="A17" s="35" t="str">
        <f t="shared" si="3"/>
        <v>13400920_13400932</v>
      </c>
      <c r="B17" s="113">
        <v>13400920</v>
      </c>
      <c r="C17" s="113">
        <v>13400932</v>
      </c>
      <c r="D17" s="42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あんた達なんて所詮オモチャなんだから♪</v>
      </c>
      <c r="E17" s="42" t="str">
        <f ca="1">VLOOKUP($C17,OFFSET(enemy_skills!$A$1,0,0,COUNTA(enemy_skills!$A:$A),MATCH(E$1,enemy_skills!$1:$1,0)-MATCH("enemy_skill_id",enemy_skills!$1:$1,0)+1),MATCH(E$1,enemy_skills!$1:$1,0)-MATCH("enemy_skill_id",enemy_skills!$1:$1,0)+1,FALSE)</f>
        <v>4ターン全ユニットの回復力100%DOWN+全体攻撃</v>
      </c>
      <c r="F17" s="113">
        <v>13400932</v>
      </c>
      <c r="G17" s="44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4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7" s="44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4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7" s="44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4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4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7" s="44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4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3"/>
      <c r="Q17" s="43"/>
      <c r="R17" s="43"/>
    </row>
    <row r="18" spans="1:18" ht="20" customHeight="1" x14ac:dyDescent="0.15">
      <c r="A18" s="35" t="str">
        <f t="shared" si="3"/>
        <v>13400920_13400933</v>
      </c>
      <c r="B18" s="113">
        <v>13400920</v>
      </c>
      <c r="C18" s="113">
        <v>13400933</v>
      </c>
      <c r="D18" s="42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感応型アーリィ・エフェクト</v>
      </c>
      <c r="E18" s="42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2ターン強力なウィルス+全体攻撃</v>
      </c>
      <c r="F18" s="113">
        <v>13400933</v>
      </c>
      <c r="G18" s="44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4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8" s="44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4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4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4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4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8" s="44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4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3"/>
      <c r="Q18" s="43"/>
      <c r="R18" s="43"/>
    </row>
    <row r="19" spans="1:18" ht="20" customHeight="1" x14ac:dyDescent="0.15">
      <c r="A19" s="35" t="str">
        <f t="shared" si="3"/>
        <v>13400920_13400934</v>
      </c>
      <c r="B19" s="113">
        <v>13400920</v>
      </c>
      <c r="C19" s="113">
        <v>13400934</v>
      </c>
      <c r="D19" s="42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はーい、残念でしたっ！</v>
      </c>
      <c r="E19" s="42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ウィルス状態でないユニットに大ダメージ</v>
      </c>
      <c r="F19" s="113">
        <v>13400934</v>
      </c>
      <c r="G19" s="44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4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19" s="44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4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4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4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4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9" s="44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4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3"/>
      <c r="Q19" s="43"/>
      <c r="R19" s="43"/>
    </row>
    <row r="20" spans="1:18" ht="20" customHeight="1" x14ac:dyDescent="0.15">
      <c r="A20" s="35" t="str">
        <f t="shared" si="3"/>
        <v>13400920_13400935</v>
      </c>
      <c r="B20" s="113">
        <v>13400920</v>
      </c>
      <c r="C20" s="113">
        <v>13400935</v>
      </c>
      <c r="D20" s="42" t="str">
        <f ca="1">VLOOKUP($C20,OFFSET(enemy_skills!$A$1,0,0,COUNTA(enemy_skills!$A:$A),MATCH(D$1,enemy_skills!$1:$1,0)-MATCH("enemy_skill_id",enemy_skills!$1:$1,0)+1),MATCH(D$1,enemy_skills!$1:$1,0)-MATCH("enemy_skill_id",enemy_skills!$1:$1,0)+1,FALSE)</f>
        <v>排除排除っと♪</v>
      </c>
      <c r="E20" s="42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20" s="113">
        <v>13400935</v>
      </c>
      <c r="G20" s="44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4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20" s="44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4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4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4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4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20" s="44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4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3"/>
      <c r="Q20" s="43"/>
      <c r="R20" s="43"/>
    </row>
    <row r="21" spans="1:18" ht="20" customHeight="1" x14ac:dyDescent="0.15">
      <c r="A21" s="35" t="str">
        <f t="shared" si="3"/>
        <v>13400920_13400936</v>
      </c>
      <c r="B21" s="113">
        <v>13400920</v>
      </c>
      <c r="C21" s="113">
        <v>13400936</v>
      </c>
      <c r="D21" s="42" t="str">
        <f ca="1">VLOOKUP($C21,OFFSET(enemy_skills!$A$1,0,0,COUNTA(enemy_skills!$A:$A),MATCH(D$1,enemy_skills!$1:$1,0)-MATCH("enemy_skill_id",enemy_skills!$1:$1,0)+1),MATCH(D$1,enemy_skills!$1:$1,0)-MATCH("enemy_skill_id",enemy_skills!$1:$1,0)+1,FALSE)</f>
        <v>足りないっ！　足りないわっ！</v>
      </c>
      <c r="E21" s="42" t="str">
        <f ca="1">VLOOKUP($C21,OFFSET(enemy_skills!$A$1,0,0,COUNTA(enemy_skills!$A:$A),MATCH(E$1,enemy_skills!$1:$1,0)-MATCH("enemy_skill_id",enemy_skills!$1:$1,0)+1),MATCH(E$1,enemy_skills!$1:$1,0)-MATCH("enemy_skill_id",enemy_skills!$1:$1,0)+1,FALSE)</f>
        <v>2ターン全ユニットの回復力100%DOWN+全体攻撃</v>
      </c>
      <c r="F21" s="113">
        <v>13400936</v>
      </c>
      <c r="G21" s="44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4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1" s="44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4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4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4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4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1" s="44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4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3"/>
      <c r="Q21" s="43"/>
      <c r="R21" s="43"/>
    </row>
    <row r="22" spans="1:18" ht="20" customHeight="1" x14ac:dyDescent="0.15">
      <c r="A22" s="35" t="str">
        <f t="shared" si="3"/>
        <v>13400920_13400937</v>
      </c>
      <c r="B22" s="113">
        <v>13400920</v>
      </c>
      <c r="C22" s="113">
        <v>13400937</v>
      </c>
      <c r="D22" s="42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相似形スウィング・バイ</v>
      </c>
      <c r="E22" s="42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青属性のユニットに大ダメージの全体攻撃</v>
      </c>
      <c r="F22" s="113">
        <v>13400937</v>
      </c>
      <c r="G22" s="44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4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22" s="44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4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4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4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4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22" s="44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4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3"/>
      <c r="Q22" s="43"/>
      <c r="R22" s="43"/>
    </row>
    <row r="23" spans="1:18" ht="20" customHeight="1" x14ac:dyDescent="0.15">
      <c r="A23" s="35" t="str">
        <f t="shared" si="3"/>
        <v>13400920_13400938</v>
      </c>
      <c r="B23" s="113">
        <v>13400920</v>
      </c>
      <c r="C23" s="113">
        <v>13400938</v>
      </c>
      <c r="D23" s="42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ほらほら♪　楽しませてくれるでしょ？</v>
      </c>
      <c r="E23" s="42" t="str">
        <f ca="1">VLOOKUP($C23,OFFSET(enemy_skills!$A$1,0,0,COUNTA(enemy_skills!$A:$A),MATCH(E$1,enemy_skills!$1:$1,0)-MATCH("enemy_skill_id",enemy_skills!$1:$1,0)+1),MATCH(E$1,enemy_skills!$1:$1,0)-MATCH("enemy_skill_id",enemy_skills!$1:$1,0)+1,FALSE)</f>
        <v>2ターン全ユニットの攻撃力80%DOWN+_x000D_防御力激烈UP+2ターンタップ時間制限10秒_x000D_【2ターン後、超大ダメージ！】</v>
      </c>
      <c r="F23" s="113">
        <v>13400938</v>
      </c>
      <c r="G23" s="44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4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912</v>
      </c>
      <c r="I23" s="44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4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23" s="44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4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4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4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4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3"/>
      <c r="Q23" s="43"/>
      <c r="R23" s="43"/>
    </row>
    <row r="24" spans="1:18" ht="20" customHeight="1" x14ac:dyDescent="0.15">
      <c r="A24" s="35" t="str">
        <f t="shared" si="3"/>
        <v>13400920_13400939</v>
      </c>
      <c r="B24" s="113">
        <v>13400920</v>
      </c>
      <c r="C24" s="113">
        <v>13400939</v>
      </c>
      <c r="D24" s="42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まだ始まってもないんだけどー</v>
      </c>
      <c r="E24" s="42" t="str">
        <f ca="1">VLOOKUP($C24,OFFSET(enemy_skills!$A$1,0,0,COUNTA(enemy_skills!$A:$A),MATCH(E$1,enemy_skills!$1:$1,0)-MATCH("enemy_skill_id",enemy_skills!$1:$1,0)+1),MATCH(E$1,enemy_skills!$1:$1,0)-MATCH("enemy_skill_id",enemy_skills!$1:$1,0)+1,FALSE)</f>
        <v>2ターン全ユニットの回復力100%DOWN+クリティカル！_x000D_【次ターン、超大ダメージ！】</v>
      </c>
      <c r="F24" s="113">
        <v>13400939</v>
      </c>
      <c r="G24" s="44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4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911</v>
      </c>
      <c r="I24" s="44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4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24" s="44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4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4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4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4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3"/>
      <c r="Q24" s="43"/>
      <c r="R24" s="43"/>
    </row>
    <row r="25" spans="1:18" ht="20" customHeight="1" x14ac:dyDescent="0.15">
      <c r="A25" s="35" t="str">
        <f t="shared" ref="A25" si="4">B25&amp;"_"&amp;C25</f>
        <v>13400920_13400940</v>
      </c>
      <c r="B25" s="113">
        <v>13400920</v>
      </c>
      <c r="C25" s="113">
        <v>13400940</v>
      </c>
      <c r="D25" s="42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やっぱり人間なんてこんなものね…</v>
      </c>
      <c r="E25" s="42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じゃあ、バイバーイ♪</v>
      </c>
      <c r="F25" s="113">
        <v>13400940</v>
      </c>
      <c r="G25" s="44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4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910</v>
      </c>
      <c r="I25" s="44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4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25" s="44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4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4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4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4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3"/>
      <c r="Q25" s="43"/>
      <c r="R25" s="43"/>
    </row>
    <row r="26" spans="1:18" ht="21" customHeight="1" x14ac:dyDescent="0.15">
      <c r="A26" s="35" t="str">
        <f t="shared" si="2"/>
        <v>13400950_13400951</v>
      </c>
      <c r="B26" s="43">
        <v>13400950</v>
      </c>
      <c r="C26" s="43">
        <v>13400951</v>
      </c>
      <c r="D26" s="42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そっかぁ、本気であたしを倒すつもりなのね♪</v>
      </c>
      <c r="E26" s="42" t="str">
        <f ca="1">VLOOKUP($C26,OFFSET(enemy_skills!$A$1,0,0,COUNTA(enemy_skills!$A:$A),MATCH(E$1,enemy_skills!$1:$1,0)-MATCH("enemy_skill_id",enemy_skills!$1:$1,0)+1),MATCH(E$1,enemy_skills!$1:$1,0)-MATCH("enemy_skill_id",enemy_skills!$1:$1,0)+1,FALSE)</f>
        <v>青属性以外のダメージ90%軽減+_x000D_全てのプラス効果を解除+状態異常耐性</v>
      </c>
      <c r="F26" s="43">
        <v>13400951</v>
      </c>
      <c r="G26" s="44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4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4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4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4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4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4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4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4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3"/>
      <c r="Q26" s="43"/>
      <c r="R26" s="43"/>
    </row>
    <row r="27" spans="1:18" ht="21" customHeight="1" x14ac:dyDescent="0.15">
      <c r="A27" s="35" t="str">
        <f t="shared" ref="A27:A35" si="5">B27&amp;"_"&amp;C27</f>
        <v>13400950_13400952</v>
      </c>
      <c r="B27" s="43">
        <v>13400950</v>
      </c>
      <c r="C27" s="43">
        <v>13400952</v>
      </c>
      <c r="D27" s="42" t="s">
        <v>273</v>
      </c>
      <c r="E27" s="42" t="str">
        <f ca="1">VLOOKUP($C27,OFFSET(enemy_skills!$A$1,0,0,COUNTA(enemy_skills!$A:$A),MATCH(E$1,enemy_skills!$1:$1,0)-MATCH("enemy_skill_id",enemy_skills!$1:$1,0)+1),MATCH(E$1,enemy_skills!$1:$1,0)-MATCH("enemy_skill_id",enemy_skills!$1:$1,0)+1,FALSE)</f>
        <v>4ターン全ユニットの回復力100%DOWN+単体攻撃</v>
      </c>
      <c r="F27" s="43">
        <v>13400952</v>
      </c>
      <c r="G27" s="44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4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44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4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4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4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4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4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4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3"/>
      <c r="Q27" s="43"/>
      <c r="R27" s="43"/>
    </row>
    <row r="28" spans="1:18" ht="21" customHeight="1" x14ac:dyDescent="0.15">
      <c r="A28" s="35" t="str">
        <f t="shared" si="5"/>
        <v>13400950_13400953</v>
      </c>
      <c r="B28" s="43">
        <v>13400950</v>
      </c>
      <c r="C28" s="43">
        <v>13400953</v>
      </c>
      <c r="D28" s="42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さぁっ♪　早く引き出してよ、私の本気を！</v>
      </c>
      <c r="E28" s="42" t="str">
        <f ca="1">VLOOKUP($C28,OFFSET(enemy_skills!$A$1,0,0,COUNTA(enemy_skills!$A:$A),MATCH(E$1,enemy_skills!$1:$1,0)-MATCH("enemy_skill_id",enemy_skills!$1:$1,0)+1),MATCH(E$1,enemy_skills!$1:$1,0)-MATCH("enemy_skill_id",enemy_skills!$1:$1,0)+1,FALSE)</f>
        <v>青属性に変化+黄属性以外のダメージ90%軽減+_x000D_4ターン黄属性ユニットの攻撃力90%DOWN</v>
      </c>
      <c r="F28" s="43">
        <v>13400953</v>
      </c>
      <c r="G28" s="44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4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28" s="44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4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28" s="44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8" s="44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4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4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4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3"/>
      <c r="Q28" s="43"/>
      <c r="R28" s="43"/>
    </row>
    <row r="29" spans="1:18" ht="21" customHeight="1" x14ac:dyDescent="0.15">
      <c r="A29" s="35" t="str">
        <f t="shared" ref="A29" si="6">B29&amp;"_"&amp;C29</f>
        <v>13400950_13400954</v>
      </c>
      <c r="B29" s="43">
        <v>13400950</v>
      </c>
      <c r="C29" s="43">
        <v>13400954</v>
      </c>
      <c r="D29" s="42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いいわね！　これよ！　これを待ってたの！</v>
      </c>
      <c r="E29" s="42" t="str">
        <f ca="1">VLOOKUP($C29,OFFSET(enemy_skills!$A$1,0,0,COUNTA(enemy_skills!$A:$A),MATCH(E$1,enemy_skills!$1:$1,0)-MATCH("enemy_skill_id",enemy_skills!$1:$1,0)+1),MATCH(E$1,enemy_skills!$1:$1,0)-MATCH("enemy_skill_id",enemy_skills!$1:$1,0)+1,FALSE)</f>
        <v>赤属性に変化+青属性以外のダメージ90%軽減+_x000D_4ターン青属性ユニットの攻撃力90%DOWN</v>
      </c>
      <c r="F29" s="43">
        <v>13400954</v>
      </c>
      <c r="G29" s="44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4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901</v>
      </c>
      <c r="I29" s="44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4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44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29" s="44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4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4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4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3"/>
      <c r="Q29" s="43"/>
      <c r="R29" s="43"/>
    </row>
    <row r="30" spans="1:18" ht="21" customHeight="1" x14ac:dyDescent="0.15">
      <c r="A30" s="35" t="str">
        <f t="shared" si="5"/>
        <v>13400950_13400953</v>
      </c>
      <c r="B30" s="43">
        <v>13400950</v>
      </c>
      <c r="C30" s="43">
        <v>13400953</v>
      </c>
      <c r="D30" s="42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さぁっ♪　早く引き出してよ、私の本気を！</v>
      </c>
      <c r="E30" s="42" t="str">
        <f ca="1">VLOOKUP($C30,OFFSET(enemy_skills!$A$1,0,0,COUNTA(enemy_skills!$A:$A),MATCH(E$1,enemy_skills!$1:$1,0)-MATCH("enemy_skill_id",enemy_skills!$1:$1,0)+1),MATCH(E$1,enemy_skills!$1:$1,0)-MATCH("enemy_skill_id",enemy_skills!$1:$1,0)+1,FALSE)</f>
        <v>青属性に変化+黄属性以外のダメージ90%軽減+_x000D_4ターン黄属性ユニットの攻撃力90%DOWN</v>
      </c>
      <c r="F30" s="43">
        <v>13400955</v>
      </c>
      <c r="G30" s="44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4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902</v>
      </c>
      <c r="I30" s="44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4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30" s="44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4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4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4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4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3"/>
      <c r="Q30" s="43"/>
      <c r="R30" s="43"/>
    </row>
    <row r="31" spans="1:18" ht="21" customHeight="1" x14ac:dyDescent="0.15">
      <c r="A31" s="35" t="str">
        <f t="shared" si="5"/>
        <v>13400950_13400955</v>
      </c>
      <c r="B31" s="43">
        <v>13400950</v>
      </c>
      <c r="C31" s="43">
        <v>13400955</v>
      </c>
      <c r="D31" s="42" t="str">
        <f ca="1">VLOOKUP($C31,OFFSET(enemy_skills!$A$1,0,0,COUNTA(enemy_skills!$A:$A),MATCH(D$1,enemy_skills!$1:$1,0)-MATCH("enemy_skill_id",enemy_skills!$1:$1,0)+1),MATCH(D$1,enemy_skills!$1:$1,0)-MATCH("enemy_skill_id",enemy_skills!$1:$1,0)+1,FALSE)</f>
        <v>甘いって言ってんのよ！</v>
      </c>
      <c r="E31" s="42" t="str">
        <f ca="1">VLOOKUP($C31,OFFSET(enemy_skills!$A$1,0,0,COUNTA(enemy_skills!$A:$A),MATCH(E$1,enemy_skills!$1:$1,0)-MATCH("enemy_skill_id",enemy_skills!$1:$1,0)+1),MATCH(E$1,enemy_skills!$1:$1,0)-MATCH("enemy_skill_id",enemy_skills!$1:$1,0)+1,FALSE)</f>
        <v>黄属性以外のユニットに大ダメージ</v>
      </c>
      <c r="F31" s="43">
        <v>13400956</v>
      </c>
      <c r="G31" s="44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4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1" s="44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4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4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75</v>
      </c>
      <c r="L31" s="44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4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" s="44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4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3"/>
      <c r="Q31" s="43"/>
      <c r="R31" s="43"/>
    </row>
    <row r="32" spans="1:18" ht="21" customHeight="1" x14ac:dyDescent="0.15">
      <c r="A32" s="35" t="str">
        <f t="shared" si="5"/>
        <v>13400950_13400956</v>
      </c>
      <c r="B32" s="43">
        <v>13400950</v>
      </c>
      <c r="C32" s="43">
        <v>13400956</v>
      </c>
      <c r="D32" s="42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こんな事もできるのよね♪</v>
      </c>
      <c r="E32" s="42" t="str">
        <f ca="1">VLOOKUP($C32,OFFSET(enemy_skills!$A$1,0,0,COUNTA(enemy_skills!$A:$A),MATCH(E$1,enemy_skills!$1:$1,0)-MATCH("enemy_skill_id",enemy_skills!$1:$1,0)+1),MATCH(E$1,enemy_skills!$1:$1,0)-MATCH("enemy_skill_id",enemy_skills!$1:$1,0)+1,FALSE)</f>
        <v>青属性以外のユニットに大ダメージ</v>
      </c>
      <c r="F32" s="43">
        <v>13400957</v>
      </c>
      <c r="G32" s="44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4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32" s="44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4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32" s="44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2" s="44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4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2" s="44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4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3"/>
      <c r="Q32" s="43"/>
      <c r="R32" s="43"/>
    </row>
    <row r="33" spans="1:18" ht="21" customHeight="1" x14ac:dyDescent="0.15">
      <c r="A33" s="35" t="str">
        <f t="shared" si="5"/>
        <v>13400950_13400955</v>
      </c>
      <c r="B33" s="43">
        <v>13400950</v>
      </c>
      <c r="C33" s="43">
        <v>13400955</v>
      </c>
      <c r="D33" s="42" t="str">
        <f ca="1">VLOOKUP($C33,OFFSET(enemy_skills!$A$1,0,0,COUNTA(enemy_skills!$A:$A),MATCH(D$1,enemy_skills!$1:$1,0)-MATCH("enemy_skill_id",enemy_skills!$1:$1,0)+1),MATCH(D$1,enemy_skills!$1:$1,0)-MATCH("enemy_skill_id",enemy_skills!$1:$1,0)+1,FALSE)</f>
        <v>甘いって言ってんのよ！</v>
      </c>
      <c r="E33" s="42" t="str">
        <f ca="1">VLOOKUP($C33,OFFSET(enemy_skills!$A$1,0,0,COUNTA(enemy_skills!$A:$A),MATCH(E$1,enemy_skills!$1:$1,0)-MATCH("enemy_skill_id",enemy_skills!$1:$1,0)+1),MATCH(E$1,enemy_skills!$1:$1,0)-MATCH("enemy_skill_id",enemy_skills!$1:$1,0)+1,FALSE)</f>
        <v>黄属性以外のユニットに大ダメージ</v>
      </c>
      <c r="F33" s="43">
        <v>13400958</v>
      </c>
      <c r="G33" s="44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4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202</v>
      </c>
      <c r="I33" s="44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4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" s="44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33" s="44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4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3" s="44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4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3"/>
      <c r="Q33" s="43"/>
      <c r="R33" s="43"/>
    </row>
    <row r="34" spans="1:18" ht="21" customHeight="1" x14ac:dyDescent="0.15">
      <c r="A34" s="35" t="str">
        <f t="shared" si="5"/>
        <v>13400950_13400956</v>
      </c>
      <c r="B34" s="43">
        <v>13400950</v>
      </c>
      <c r="C34" s="43">
        <v>13400956</v>
      </c>
      <c r="D34" s="42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こんな事もできるのよね♪</v>
      </c>
      <c r="E34" s="42" t="str">
        <f ca="1">VLOOKUP($C34,OFFSET(enemy_skills!$A$1,0,0,COUNTA(enemy_skills!$A:$A),MATCH(E$1,enemy_skills!$1:$1,0)-MATCH("enemy_skill_id",enemy_skills!$1:$1,0)+1),MATCH(E$1,enemy_skills!$1:$1,0)-MATCH("enemy_skill_id",enemy_skills!$1:$1,0)+1,FALSE)</f>
        <v>青属性以外のユニットに大ダメージ</v>
      </c>
      <c r="F34" s="43">
        <v>13400959</v>
      </c>
      <c r="G34" s="44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4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203</v>
      </c>
      <c r="I34" s="44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4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34" s="44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4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4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4" s="44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4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3"/>
      <c r="Q34" s="43"/>
      <c r="R34" s="43"/>
    </row>
    <row r="35" spans="1:18" ht="21" customHeight="1" x14ac:dyDescent="0.15">
      <c r="A35" s="35" t="str">
        <f t="shared" si="5"/>
        <v>13400950_13400960</v>
      </c>
      <c r="B35" s="43">
        <v>13400950</v>
      </c>
      <c r="C35" s="43">
        <v>13400960</v>
      </c>
      <c r="D35" s="42" t="str">
        <f ca="1">VLOOKUP($C35,OFFSET(enemy_skills!$A$1,0,0,COUNTA(enemy_skills!$A:$A),MATCH(D$1,enemy_skills!$1:$1,0)-MATCH("enemy_skill_id",enemy_skills!$1:$1,0)+1),MATCH(D$1,enemy_skills!$1:$1,0)-MATCH("enemy_skill_id",enemy_skills!$1:$1,0)+1,FALSE)</f>
        <v>雀躍する破壊衝動</v>
      </c>
      <c r="E35" s="42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属性パネルをCBPに1個変換+クリティカル！</v>
      </c>
      <c r="F35" s="43">
        <v>13400960</v>
      </c>
      <c r="G35" s="44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4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35" s="44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4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4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4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4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5" s="44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4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3"/>
      <c r="Q35" s="43"/>
      <c r="R35" s="43"/>
    </row>
    <row r="36" spans="1:18" ht="21" customHeight="1" x14ac:dyDescent="0.15">
      <c r="A36" s="35" t="str">
        <f t="shared" ref="A36" si="7">B36&amp;"_"&amp;C36</f>
        <v>13400950_13400961</v>
      </c>
      <c r="B36" s="43">
        <v>13400950</v>
      </c>
      <c r="C36" s="43">
        <v>13400961</v>
      </c>
      <c r="D36" s="42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マッシヴ・プロペラント</v>
      </c>
      <c r="E36" s="42" t="str">
        <f ca="1">VLOOKUP($C36,OFFSET(enemy_skills!$A$1,0,0,COUNTA(enemy_skills!$A:$A),MATCH(E$1,enemy_skills!$1:$1,0)-MATCH("enemy_skill_id",enemy_skills!$1:$1,0)+1),MATCH(E$1,enemy_skills!$1:$1,0)-MATCH("enemy_skill_id",enemy_skills!$1:$1,0)+1,FALSE)</f>
        <v>残りHPの99%ダメージ！</v>
      </c>
      <c r="F36" s="43">
        <v>13400961</v>
      </c>
      <c r="G36" s="44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4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36" s="44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4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4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4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4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6" s="44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4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3"/>
      <c r="Q36" s="43"/>
      <c r="R36" s="43"/>
    </row>
    <row r="37" spans="1:18" ht="21" customHeight="1" x14ac:dyDescent="0.15">
      <c r="A37" s="35" t="str">
        <f t="shared" ref="A37" si="8">B37&amp;"_"&amp;C37</f>
        <v>13400950_13400962</v>
      </c>
      <c r="B37" s="43">
        <v>13400950</v>
      </c>
      <c r="C37" s="43">
        <v>13400962</v>
      </c>
      <c r="D37" s="42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さ〜て、消される覚悟は出来たかしら？</v>
      </c>
      <c r="E37" s="42" t="str">
        <f ca="1">VLOOKUP($C37,OFFSET(enemy_skills!$A$1,0,0,COUNTA(enemy_skills!$A:$A),MATCH(E$1,enemy_skills!$1:$1,0)-MATCH("enemy_skill_id",enemy_skills!$1:$1,0)+1),MATCH(E$1,enemy_skills!$1:$1,0)-MATCH("enemy_skill_id",enemy_skills!$1:$1,0)+1,FALSE)</f>
        <v>赤&amp;ハートパネルを吸収して防御力激烈UP</v>
      </c>
      <c r="F37" s="43">
        <v>13400962</v>
      </c>
      <c r="G37" s="44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4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910</v>
      </c>
      <c r="I37" s="44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4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4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4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4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37" s="44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4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3"/>
      <c r="Q37" s="43"/>
      <c r="R37" s="43"/>
    </row>
    <row r="38" spans="1:18" ht="21" customHeight="1" x14ac:dyDescent="0.15">
      <c r="A38" s="35" t="str">
        <f t="shared" ref="A38" si="9">B38&amp;"_"&amp;C38</f>
        <v>13400950_13400963</v>
      </c>
      <c r="B38" s="43">
        <v>13400950</v>
      </c>
      <c r="C38" s="43">
        <v>13400963</v>
      </c>
      <c r="D38" s="42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あ〜あ、そろそろ飽きてきちゃった</v>
      </c>
      <c r="E38" s="42" t="str">
        <f ca="1">VLOOKUP($C38,OFFSET(enemy_skills!$A$1,0,0,COUNTA(enemy_skills!$A:$A),MATCH(E$1,enemy_skills!$1:$1,0)-MATCH("enemy_skill_id",enemy_skills!$1:$1,0)+1),MATCH(E$1,enemy_skills!$1:$1,0)-MATCH("enemy_skill_id",enemy_skills!$1:$1,0)+1,FALSE)</f>
        <v>1ターン攻撃力超大UP+防御力激烈UP</v>
      </c>
      <c r="F38" s="43">
        <v>13400963</v>
      </c>
      <c r="G38" s="44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4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911</v>
      </c>
      <c r="I38" s="44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4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4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4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4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14</v>
      </c>
      <c r="N38" s="44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4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3"/>
      <c r="Q38" s="43"/>
      <c r="R38" s="43"/>
    </row>
    <row r="39" spans="1:18" ht="21" customHeight="1" x14ac:dyDescent="0.15">
      <c r="A39" s="35" t="str">
        <f t="shared" ref="A39" si="10">B39&amp;"_"&amp;C39</f>
        <v>13400950_13400964</v>
      </c>
      <c r="B39" s="43">
        <v>13400950</v>
      </c>
      <c r="C39" s="43">
        <v>13400964</v>
      </c>
      <c r="D39" s="42" t="str">
        <f ca="1">VLOOKUP($C39,OFFSET(enemy_skills!$A$1,0,0,COUNTA(enemy_skills!$A:$A),MATCH(D$1,enemy_skills!$1:$1,0)-MATCH("enemy_skill_id",enemy_skills!$1:$1,0)+1),MATCH(D$1,enemy_skills!$1:$1,0)-MATCH("enemy_skill_id",enemy_skills!$1:$1,0)+1,FALSE)</f>
        <v>超臨界イグニッション</v>
      </c>
      <c r="E39" s="42" t="str">
        <f ca="1">VLOOKUP($C39,OFFSET(enemy_skills!$A$1,0,0,COUNTA(enemy_skills!$A:$A),MATCH(E$1,enemy_skills!$1:$1,0)-MATCH("enemy_skill_id",enemy_skills!$1:$1,0)+1),MATCH(E$1,enemy_skills!$1:$1,0)-MATCH("enemy_skill_id",enemy_skills!$1:$1,0)+1,FALSE)</f>
        <v>攻撃力大UP</v>
      </c>
      <c r="F39" s="43">
        <v>13400964</v>
      </c>
      <c r="G39" s="44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4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912</v>
      </c>
      <c r="I39" s="44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4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4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4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4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24</v>
      </c>
      <c r="N39" s="44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4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3"/>
      <c r="Q39" s="43"/>
      <c r="R39" s="43"/>
    </row>
    <row r="40" spans="1:18" ht="21" customHeight="1" x14ac:dyDescent="0.15">
      <c r="A40" s="35" t="str">
        <f t="shared" si="2"/>
        <v>13400970_13400971</v>
      </c>
      <c r="B40" s="113">
        <v>13400970</v>
      </c>
      <c r="C40" s="113">
        <v>13400971</v>
      </c>
      <c r="D40" s="42" t="str">
        <f ca="1">VLOOKUP($C40,OFFSET(enemy_skills!$A$1,0,0,COUNTA(enemy_skills!$A:$A),MATCH(D$1,enemy_skills!$1:$1,0)-MATCH("enemy_skill_id",enemy_skills!$1:$1,0)+1),MATCH(D$1,enemy_skills!$1:$1,0)-MATCH("enemy_skill_id",enemy_skills!$1:$1,0)+1,FALSE)</f>
        <v>＊＊＊＊！　なんなのこいつら！　話が違うじゃない！</v>
      </c>
      <c r="E40" s="42" t="str">
        <f ca="1">VLOOKUP($C40,OFFSET(enemy_skills!$A$1,0,0,COUNTA(enemy_skills!$A:$A),MATCH(E$1,enemy_skills!$1:$1,0)-MATCH("enemy_skill_id",enemy_skills!$1:$1,0)+1),MATCH(E$1,enemy_skills!$1:$1,0)-MATCH("enemy_skill_id",enemy_skills!$1:$1,0)+1,FALSE)</f>
        <v>全ての効果を解除+状態異常耐性+タップ時間制限10秒</v>
      </c>
      <c r="F40" s="113">
        <v>13400971</v>
      </c>
      <c r="G40" s="44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4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44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4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4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4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4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4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4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3"/>
      <c r="Q40" s="43"/>
      <c r="R40" s="43"/>
    </row>
    <row r="41" spans="1:18" ht="21" customHeight="1" x14ac:dyDescent="0.15">
      <c r="A41" s="35" t="str">
        <f t="shared" ref="A41:A51" si="11">B41&amp;"_"&amp;C41</f>
        <v>13400970_13400972</v>
      </c>
      <c r="B41" s="113">
        <v>13400970</v>
      </c>
      <c r="C41" s="113">
        <v>13400972</v>
      </c>
      <c r="D41" s="42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なんか調子狂うわ…ムカツク…</v>
      </c>
      <c r="E41" s="42" t="str">
        <f ca="1">VLOOKUP($C41,OFFSET(enemy_skills!$A$1,0,0,COUNTA(enemy_skills!$A:$A),MATCH(E$1,enemy_skills!$1:$1,0)-MATCH("enemy_skill_id",enemy_skills!$1:$1,0)+1),MATCH(E$1,enemy_skills!$1:$1,0)-MATCH("enemy_skill_id",enemy_skills!$1:$1,0)+1,FALSE)</f>
        <v>1ターン低確率でダメージパネル&amp;CBPをドロップ+_x000D_クリティカル！</v>
      </c>
      <c r="F41" s="113">
        <v>13400972</v>
      </c>
      <c r="G41" s="44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4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1" s="44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4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4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1" s="44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4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1" s="44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4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3"/>
      <c r="Q41" s="43"/>
      <c r="R41" s="43"/>
    </row>
    <row r="42" spans="1:18" ht="21" customHeight="1" x14ac:dyDescent="0.15">
      <c r="A42" s="35" t="str">
        <f t="shared" si="11"/>
        <v>13400970_13400973</v>
      </c>
      <c r="B42" s="113">
        <v>13400970</v>
      </c>
      <c r="C42" s="113">
        <v>13400973</v>
      </c>
      <c r="D42" s="42" t="str">
        <f ca="1">VLOOKUP($C42,OFFSET(enemy_skills!$A$1,0,0,COUNTA(enemy_skills!$A:$A),MATCH(D$1,enemy_skills!$1:$1,0)-MATCH("enemy_skill_id",enemy_skills!$1:$1,0)+1),MATCH(D$1,enemy_skills!$1:$1,0)-MATCH("enemy_skill_id",enemy_skills!$1:$1,0)+1,FALSE)</f>
        <v>侵食するバグクラスター</v>
      </c>
      <c r="E42" s="42" t="str">
        <f ca="1">VLOOKUP($C42,OFFSET(enemy_skills!$A$1,0,0,COUNTA(enemy_skills!$A:$A),MATCH(E$1,enemy_skills!$1:$1,0)-MATCH("enemy_skill_id",enemy_skills!$1:$1,0)+1),MATCH(E$1,enemy_skills!$1:$1,0)-MATCH("enemy_skill_id",enemy_skills!$1:$1,0)+1,FALSE)</f>
        <v>1ターン高確率でお邪魔パネルドロップ+_x000D_1ターン超強力なウィルス</v>
      </c>
      <c r="F42" s="113">
        <v>13400973</v>
      </c>
      <c r="G42" s="44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4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42" s="44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4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4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2" s="44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4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2" s="44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4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3"/>
      <c r="Q42" s="43"/>
      <c r="R42" s="43"/>
    </row>
    <row r="43" spans="1:18" ht="21" customHeight="1" x14ac:dyDescent="0.15">
      <c r="A43" s="35" t="str">
        <f t="shared" si="11"/>
        <v>13400970_13400974</v>
      </c>
      <c r="B43" s="113">
        <v>13400970</v>
      </c>
      <c r="C43" s="113">
        <v>13400974</v>
      </c>
      <c r="D43" s="42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ハッ！　笑わせるわね♪</v>
      </c>
      <c r="E43" s="42" t="str">
        <f ca="1">VLOOKUP($C43,OFFSET(enemy_skills!$A$1,0,0,COUNTA(enemy_skills!$A:$A),MATCH(E$1,enemy_skills!$1:$1,0)-MATCH("enemy_skill_id",enemy_skills!$1:$1,0)+1),MATCH(E$1,enemy_skills!$1:$1,0)-MATCH("enemy_skill_id",enemy_skills!$1:$1,0)+1,FALSE)</f>
        <v>4ターン全ユニットの回復力100%DOWN+単体攻撃</v>
      </c>
      <c r="F43" s="113">
        <v>13400974</v>
      </c>
      <c r="G43" s="44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4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43" s="44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4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4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3" s="44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4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3" s="44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4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3"/>
      <c r="Q43" s="43"/>
      <c r="R43" s="43"/>
    </row>
    <row r="44" spans="1:18" ht="21" customHeight="1" x14ac:dyDescent="0.15">
      <c r="A44" s="35" t="str">
        <f t="shared" si="11"/>
        <v>13400970_13400975</v>
      </c>
      <c r="B44" s="113">
        <v>13400970</v>
      </c>
      <c r="C44" s="113">
        <v>13400975</v>
      </c>
      <c r="D44" s="42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チクチクと…不愉快！</v>
      </c>
      <c r="E44" s="42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44" s="113">
        <v>13400975</v>
      </c>
      <c r="G44" s="44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4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44" s="44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4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4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4" s="44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4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4" s="44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4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3"/>
      <c r="Q44" s="43"/>
      <c r="R44" s="43"/>
    </row>
    <row r="45" spans="1:18" ht="21" customHeight="1" x14ac:dyDescent="0.15">
      <c r="A45" s="35" t="str">
        <f t="shared" si="11"/>
        <v>13400970_13400976</v>
      </c>
      <c r="B45" s="113">
        <v>13400970</v>
      </c>
      <c r="C45" s="113">
        <v>13400976</v>
      </c>
      <c r="D45" s="42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あんた達はこの世界に必要ないの…分かんないの？</v>
      </c>
      <c r="E45" s="42" t="str">
        <f ca="1">VLOOKUP($C45,OFFSET(enemy_skills!$A$1,0,0,COUNTA(enemy_skills!$A:$A),MATCH(E$1,enemy_skills!$1:$1,0)-MATCH("enemy_skill_id",enemy_skills!$1:$1,0)+1),MATCH(E$1,enemy_skills!$1:$1,0)-MATCH("enemy_skill_id",enemy_skills!$1:$1,0)+1,FALSE)</f>
        <v>防御力激烈UP+4ターン全ユニットの回復力100%DOWN+_x000D_単体攻撃</v>
      </c>
      <c r="F45" s="113">
        <v>13400976</v>
      </c>
      <c r="G45" s="44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4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45" s="44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4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4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5" s="44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4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45" s="44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4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3"/>
      <c r="Q45" s="43"/>
      <c r="R45" s="43"/>
    </row>
    <row r="46" spans="1:18" ht="21" customHeight="1" x14ac:dyDescent="0.15">
      <c r="A46" s="35" t="str">
        <f t="shared" si="11"/>
        <v>13400970_13400977</v>
      </c>
      <c r="B46" s="113">
        <v>13400970</v>
      </c>
      <c r="C46" s="113">
        <v>13400977</v>
      </c>
      <c r="D46" s="42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哀れね…踊らされているとも知らないで</v>
      </c>
      <c r="E46" s="42" t="str">
        <f ca="1">VLOOKUP($C46,OFFSET(enemy_skills!$A$1,0,0,COUNTA(enemy_skills!$A:$A),MATCH(E$1,enemy_skills!$1:$1,0)-MATCH("enemy_skill_id",enemy_skills!$1:$1,0)+1),MATCH(E$1,enemy_skills!$1:$1,0)-MATCH("enemy_skill_id",enemy_skills!$1:$1,0)+1,FALSE)</f>
        <v>中確率でダメージパネル&amp;お邪魔パネルをドロップ+_x000D_解除するまでウィルス</v>
      </c>
      <c r="F46" s="113">
        <v>13400977</v>
      </c>
      <c r="G46" s="44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4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46" s="44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4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6" s="44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4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4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4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4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3"/>
      <c r="Q46" s="43"/>
      <c r="R46" s="43"/>
    </row>
    <row r="47" spans="1:18" ht="21" customHeight="1" x14ac:dyDescent="0.15">
      <c r="A47" s="35" t="str">
        <f t="shared" si="11"/>
        <v>13400970_13400978</v>
      </c>
      <c r="B47" s="113">
        <v>13400970</v>
      </c>
      <c r="C47" s="113">
        <v>13400978</v>
      </c>
      <c r="D47" s="42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その意志ごと排除してあげるわ！</v>
      </c>
      <c r="E47" s="42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緑パネルを吸収して攻撃+_x000D_2ターン全ユニットの回復力100%DOWN</v>
      </c>
      <c r="F47" s="113">
        <v>13400978</v>
      </c>
      <c r="G47" s="44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4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47" s="44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4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7" s="44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4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4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4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4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3"/>
      <c r="Q47" s="43"/>
      <c r="R47" s="43"/>
    </row>
    <row r="48" spans="1:18" ht="21" customHeight="1" x14ac:dyDescent="0.15">
      <c r="A48" s="35" t="str">
        <f t="shared" si="11"/>
        <v>13400970_13400979</v>
      </c>
      <c r="B48" s="113">
        <v>13400970</v>
      </c>
      <c r="C48" s="113">
        <v>13400979</v>
      </c>
      <c r="D48" s="42" t="str">
        <f ca="1">VLOOKUP($C48,OFFSET(enemy_skills!$A$1,0,0,COUNTA(enemy_skills!$A:$A),MATCH(D$1,enemy_skills!$1:$1,0)-MATCH("enemy_skill_id",enemy_skills!$1:$1,0)+1),MATCH(D$1,enemy_skills!$1:$1,0)-MATCH("enemy_skill_id",enemy_skills!$1:$1,0)+1,FALSE)</f>
        <v>消えろぉぉぉおおおおおっ！！</v>
      </c>
      <c r="E48" s="42" t="str">
        <f ca="1">VLOOKUP($C48,OFFSET(enemy_skills!$A$1,0,0,COUNTA(enemy_skills!$A:$A),MATCH(E$1,enemy_skills!$1:$1,0)-MATCH("enemy_skill_id",enemy_skills!$1:$1,0)+1),MATCH(E$1,enemy_skills!$1:$1,0)-MATCH("enemy_skill_id",enemy_skills!$1:$1,0)+1,FALSE)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青属性のユニットに大ダメージの全体攻撃</v>
      </c>
      <c r="F48" s="113">
        <v>13400979</v>
      </c>
      <c r="G48" s="44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4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48" s="44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4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8" s="44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4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4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8" s="44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4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3"/>
      <c r="Q48" s="43"/>
      <c r="R48" s="43"/>
    </row>
    <row r="49" spans="1:18" ht="21" customHeight="1" x14ac:dyDescent="0.15">
      <c r="A49" s="35" t="str">
        <f t="shared" si="11"/>
        <v>13400970_13400980</v>
      </c>
      <c r="B49" s="113">
        <v>13400970</v>
      </c>
      <c r="C49" s="113">
        <v>13400980</v>
      </c>
      <c r="D49" s="42" t="str">
        <f ca="1">VLOOKUP($C49,OFFSET(enemy_skills!$A$1,0,0,COUNTA(enemy_skills!$A:$A),MATCH(D$1,enemy_skills!$1:$1,0)-MATCH("enemy_skill_id",enemy_skills!$1:$1,0)+1),MATCH(D$1,enemy_skills!$1:$1,0)-MATCH("enemy_skill_id",enemy_skills!$1:$1,0)+1,FALSE)</f>
        <v>気に入らないのよ…その眼が…！！</v>
      </c>
      <c r="E49" s="42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ウィルス状態でないユニットに大ダメージ</v>
      </c>
      <c r="F49" s="113">
        <v>13400980</v>
      </c>
      <c r="G49" s="44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4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540</v>
      </c>
      <c r="I49" s="44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4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9" s="44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4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4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9" s="44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4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3"/>
      <c r="Q49" s="43"/>
      <c r="R49" s="43"/>
    </row>
    <row r="50" spans="1:18" ht="21" customHeight="1" x14ac:dyDescent="0.15">
      <c r="A50" s="35" t="str">
        <f t="shared" si="11"/>
        <v>13400970_13400981</v>
      </c>
      <c r="B50" s="113">
        <v>13400970</v>
      </c>
      <c r="C50" s="113">
        <v>13400981</v>
      </c>
      <c r="D50" s="42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これが！　女王たる所以よ！！</v>
      </c>
      <c r="E50" s="42" t="str">
        <f ca="1">VLOOKUP($C50,OFFSET(enemy_skills!$A$1,0,0,COUNTA(enemy_skills!$A:$A),MATCH(E$1,enemy_skills!$1:$1,0)-MATCH("enemy_skill_id",enemy_skills!$1:$1,0)+1),MATCH(E$1,enemy_skills!$1:$1,0)-MATCH("enemy_skill_id",enemy_skills!$1:$1,0)+1,FALSE)</f>
        <v>赤&amp;ハートパネルを吸収して防御力激烈UP+_x000D_1ターン攻撃力超大UP</v>
      </c>
      <c r="F50" s="113">
        <v>13400981</v>
      </c>
      <c r="G50" s="44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4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801</v>
      </c>
      <c r="I50" s="44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4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0" s="44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4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4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50" s="44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4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3"/>
      <c r="Q50" s="43"/>
      <c r="R50" s="43"/>
    </row>
    <row r="51" spans="1:18" ht="21" customHeight="1" x14ac:dyDescent="0.15">
      <c r="A51" s="35" t="str">
        <f t="shared" si="11"/>
        <v>13400970_13400982</v>
      </c>
      <c r="B51" s="113">
        <v>13400970</v>
      </c>
      <c r="C51" s="113">
        <v>13400982</v>
      </c>
      <c r="D51" s="42" t="str">
        <f ca="1">VLOOKUP($C51,OFFSET(enemy_skills!$A$1,0,0,COUNTA(enemy_skills!$A:$A),MATCH(D$1,enemy_skills!$1:$1,0)-MATCH("enemy_skill_id",enemy_skills!$1:$1,0)+1),MATCH(D$1,enemy_skills!$1:$1,0)-MATCH("enemy_skill_id",enemy_skills!$1:$1,0)+1,FALSE)</f>
        <v>超臨界イグニッション</v>
      </c>
      <c r="E51" s="42" t="str">
        <f ca="1">VLOOKUP($C51,OFFSET(enemy_skills!$A$1,0,0,COUNTA(enemy_skills!$A:$A),MATCH(E$1,enemy_skills!$1:$1,0)-MATCH("enemy_skill_id",enemy_skills!$1:$1,0)+1),MATCH(E$1,enemy_skills!$1:$1,0)-MATCH("enemy_skill_id",enemy_skills!$1:$1,0)+1,FALSE)</f>
        <v>攻撃力大UP</v>
      </c>
      <c r="F51" s="113">
        <v>13400982</v>
      </c>
      <c r="G51" s="44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4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850</v>
      </c>
      <c r="I51" s="44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4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4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4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4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24</v>
      </c>
      <c r="N51" s="44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4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3"/>
      <c r="Q51" s="43"/>
      <c r="R51" s="43"/>
    </row>
    <row r="52" spans="1:18" ht="21" customHeight="1" x14ac:dyDescent="0.15">
      <c r="A52" s="35" t="str">
        <f t="shared" ref="A52" si="12">B52&amp;"_"&amp;C52</f>
        <v>13400970_13400983</v>
      </c>
      <c r="B52" s="113">
        <v>13400970</v>
      </c>
      <c r="C52" s="113">
        <v>13400983</v>
      </c>
      <c r="D52" s="42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あたしは…！！　あたしはまだ…っ！！！</v>
      </c>
      <c r="E52" s="42" t="str">
        <f ca="1">VLOOKUP($C52,OFFSET(enemy_skills!$A$1,0,0,COUNTA(enemy_skills!$A:$A),MATCH(E$1,enemy_skills!$1:$1,0)-MATCH("enemy_skill_id",enemy_skills!$1:$1,0)+1),MATCH(E$1,enemy_skills!$1:$1,0)-MATCH("enemy_skill_id",enemy_skills!$1:$1,0)+1,FALSE)</f>
        <v>ALICEに…いらないあんた達が…</v>
      </c>
      <c r="F52" s="113">
        <v>13400983</v>
      </c>
      <c r="G52" s="44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4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52" s="44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4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4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0</v>
      </c>
      <c r="L52" s="44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2" s="44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4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2" s="44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3"/>
      <c r="Q52" s="43"/>
      <c r="R52" s="43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AB49"/>
  <sheetViews>
    <sheetView showGridLines="0" tabSelected="1" workbookViewId="0">
      <pane ySplit="1" topLeftCell="A37" activePane="bottomLeft" state="frozenSplit"/>
      <selection pane="bottomLeft" activeCell="B48" sqref="B48"/>
    </sheetView>
  </sheetViews>
  <sheetFormatPr baseColWidth="12" defaultColWidth="12.83203125" defaultRowHeight="40" customHeight="1" outlineLevelCol="1" x14ac:dyDescent="0.15"/>
  <cols>
    <col min="1" max="1" width="12.83203125" style="45"/>
    <col min="2" max="2" width="98.83203125" style="45" customWidth="1"/>
    <col min="3" max="3" width="9.83203125" style="45" customWidth="1"/>
    <col min="4" max="4" width="8.33203125" style="45" customWidth="1"/>
    <col min="5" max="5" width="44.1640625" style="45" customWidth="1"/>
    <col min="6" max="6" width="44.1640625" style="45" bestFit="1" customWidth="1"/>
    <col min="7" max="7" width="52" style="45" hidden="1" customWidth="1" outlineLevel="1"/>
    <col min="8" max="8" width="18.33203125" style="45" hidden="1" customWidth="1" outlineLevel="1"/>
    <col min="9" max="11" width="18.6640625" style="45" hidden="1" customWidth="1" outlineLevel="1"/>
    <col min="12" max="12" width="12.83203125" style="45" customWidth="1" collapsed="1"/>
    <col min="13" max="18" width="23.6640625" style="45" hidden="1" customWidth="1" outlineLevel="1"/>
    <col min="19" max="19" width="12.6640625" style="45" customWidth="1" collapsed="1"/>
    <col min="20" max="24" width="23.6640625" style="45" hidden="1" customWidth="1" outlineLevel="1"/>
    <col min="25" max="25" width="11.5" style="45" customWidth="1" collapsed="1"/>
    <col min="26" max="27" width="12.83203125" style="45" customWidth="1"/>
    <col min="28" max="28" width="29.83203125" style="45" customWidth="1"/>
    <col min="29" max="16384" width="12.83203125" style="45"/>
  </cols>
  <sheetData>
    <row r="1" spans="1:28" ht="40" customHeight="1" x14ac:dyDescent="0.15">
      <c r="A1" s="36" t="s">
        <v>79</v>
      </c>
      <c r="B1" s="36" t="s">
        <v>80</v>
      </c>
      <c r="C1" s="36" t="s">
        <v>81</v>
      </c>
      <c r="D1" s="36" t="s">
        <v>126</v>
      </c>
      <c r="E1" s="36" t="s">
        <v>82</v>
      </c>
      <c r="F1" s="36" t="s">
        <v>83</v>
      </c>
      <c r="G1" s="37" t="s">
        <v>131</v>
      </c>
      <c r="H1" s="37" t="s">
        <v>137</v>
      </c>
      <c r="I1" s="37" t="s">
        <v>139</v>
      </c>
      <c r="J1" s="37" t="s">
        <v>138</v>
      </c>
      <c r="K1" s="37" t="s">
        <v>140</v>
      </c>
      <c r="L1" s="37" t="s">
        <v>132</v>
      </c>
      <c r="M1" s="37" t="s">
        <v>130</v>
      </c>
      <c r="N1" s="37" t="s">
        <v>133</v>
      </c>
      <c r="O1" s="37" t="s">
        <v>141</v>
      </c>
      <c r="P1" s="37" t="s">
        <v>142</v>
      </c>
      <c r="Q1" s="37" t="s">
        <v>143</v>
      </c>
      <c r="R1" s="37" t="s">
        <v>144</v>
      </c>
      <c r="S1" s="37" t="s">
        <v>134</v>
      </c>
      <c r="T1" s="37" t="s">
        <v>135</v>
      </c>
      <c r="U1" s="37" t="s">
        <v>145</v>
      </c>
      <c r="V1" s="37" t="s">
        <v>146</v>
      </c>
      <c r="W1" s="37" t="s">
        <v>147</v>
      </c>
      <c r="X1" s="37" t="s">
        <v>148</v>
      </c>
      <c r="Y1" s="37" t="s">
        <v>136</v>
      </c>
      <c r="Z1" s="37" t="s">
        <v>76</v>
      </c>
      <c r="AA1" s="37" t="s">
        <v>77</v>
      </c>
      <c r="AB1" s="37" t="s">
        <v>78</v>
      </c>
    </row>
    <row r="2" spans="1:28" ht="40" customHeight="1" x14ac:dyDescent="0.15">
      <c r="A2" s="43">
        <v>13400901</v>
      </c>
      <c r="B2" s="43" t="s">
        <v>282</v>
      </c>
      <c r="C2" s="46">
        <v>3</v>
      </c>
      <c r="D2" s="46" t="s">
        <v>252</v>
      </c>
      <c r="E2" s="47" t="s">
        <v>429</v>
      </c>
      <c r="F2" s="47" t="s">
        <v>280</v>
      </c>
      <c r="G2" s="59" t="str">
        <f>IFERROR(LEFT(B2,FIND("],",B2)),B2)</f>
        <v>[effect:enemy_message, val1:1.2, val2:1.5]</v>
      </c>
      <c r="H2" s="59">
        <f>FIND("effect:",G2)+7</f>
        <v>9</v>
      </c>
      <c r="I2" s="59">
        <f>IFERROR(FIND(",",G2),LEN(G2))</f>
        <v>22</v>
      </c>
      <c r="J2" s="59" t="e">
        <f>FIND("target:",G2)+7</f>
        <v>#VALUE!</v>
      </c>
      <c r="K2" s="59">
        <f>FIND(",",G2,I2+1)</f>
        <v>32</v>
      </c>
      <c r="L2" s="59" t="str">
        <f>IFERROR(VLOOKUP(MID(G2,J2,K2-J2),[5]skilldef!$C:$D,2,FALSE),"-") &amp; " / " &amp; IFERROR(VLOOKUP(MID(G2,H2,I2-H2),[5]skilldef!$A:$B,2,FALSE),"-")</f>
        <v>- / -</v>
      </c>
      <c r="M2" s="59" t="str">
        <f>IFERROR(RIGHT(B2,LEN(B2)-FIND("],",B2)-1),"none")</f>
        <v>[effect:fix_speed, target:myself, turn:1]</v>
      </c>
      <c r="N2" s="44" t="str">
        <f>IFERROR(LEFT(M2,FIND("],",M2)+#REF!),M2)</f>
        <v>[effect:fix_speed, target:myself, turn:1]</v>
      </c>
      <c r="O2" s="59">
        <f>FIND("effect:",N2)+7</f>
        <v>9</v>
      </c>
      <c r="P2" s="59">
        <f>IFERROR(FIND(",",N2),LEN(N2))</f>
        <v>18</v>
      </c>
      <c r="Q2" s="59">
        <f>FIND("target:",N2)+7</f>
        <v>27</v>
      </c>
      <c r="R2" s="59">
        <f>FIND(",",N2,P2+1)</f>
        <v>33</v>
      </c>
      <c r="S2" s="59" t="str">
        <f>IFERROR(VLOOKUP(MID(N2,Q2,R2-Q2),[5]skilldef!$C:$D,2,FALSE),"-") &amp; " / " &amp; IFERROR(VLOOKUP(MID(N2,O2,P2-O2),[5]skilldef!$A:$B,2,FALSE),"-")</f>
        <v>自分自身に / 行動値設定</v>
      </c>
      <c r="T2" s="44" t="str">
        <f>IFERROR(RIGHT(M2,LEN(M2)-FIND("],",M2)-1),"none")</f>
        <v>none</v>
      </c>
      <c r="U2" s="59" t="e">
        <f>FIND("effect:",T2)+7</f>
        <v>#VALUE!</v>
      </c>
      <c r="V2" s="59">
        <f>IFERROR(FIND(",",T2),LEN(T2))</f>
        <v>4</v>
      </c>
      <c r="W2" s="59" t="e">
        <f>FIND("target:",T2)+7</f>
        <v>#VALUE!</v>
      </c>
      <c r="X2" s="59" t="e">
        <f>FIND(",",T2,V2+1)</f>
        <v>#VALUE!</v>
      </c>
      <c r="Y2" s="59" t="str">
        <f>IFERROR(VLOOKUP(MID(T2,W2,X2-W2),[5]skilldef!$C:$D,2,FALSE),"-") &amp; " / " &amp; IFERROR(VLOOKUP(MID(T2,U2,V2-U2),[5]skilldef!$A:$B,2,FALSE),"-")</f>
        <v>- / -</v>
      </c>
      <c r="Z2" s="46"/>
      <c r="AA2" s="48"/>
      <c r="AB2" s="46"/>
    </row>
    <row r="3" spans="1:28" ht="40" customHeight="1" x14ac:dyDescent="0.15">
      <c r="A3" s="43">
        <v>13400902</v>
      </c>
      <c r="B3" s="43" t="s">
        <v>350</v>
      </c>
      <c r="C3" s="46">
        <v>3</v>
      </c>
      <c r="D3" s="46" t="s">
        <v>196</v>
      </c>
      <c r="E3" s="47" t="s">
        <v>430</v>
      </c>
      <c r="F3" s="47" t="s">
        <v>281</v>
      </c>
      <c r="G3" s="59" t="str">
        <f t="shared" ref="G3:G5" si="0">IFERROR(LEFT(B3,FIND("],",B3)),B3)</f>
        <v>[effect:enemy_message, val1:1.2, val2:1.2]</v>
      </c>
      <c r="H3" s="59">
        <f t="shared" ref="H3:H5" si="1">FIND("effect:",G3)+7</f>
        <v>9</v>
      </c>
      <c r="I3" s="59">
        <f t="shared" ref="I3:I5" si="2">IFERROR(FIND(",",G3),LEN(G3))</f>
        <v>22</v>
      </c>
      <c r="J3" s="59" t="e">
        <f t="shared" ref="J3:J5" si="3">FIND("target:",G3)+7</f>
        <v>#VALUE!</v>
      </c>
      <c r="K3" s="59">
        <f t="shared" ref="K3:K5" si="4">FIND(",",G3,I3+1)</f>
        <v>32</v>
      </c>
      <c r="L3" s="59" t="str">
        <f>IFERROR(VLOOKUP(MID(G3,J3,K3-J3),[5]skilldef!$C:$D,2,FALSE),"-") &amp; " / " &amp; IFERROR(VLOOKUP(MID(G3,H3,I3-H3),[5]skilldef!$A:$B,2,FALSE),"-")</f>
        <v>- / -</v>
      </c>
      <c r="M3" s="59" t="str">
        <f t="shared" ref="M3:M5" si="5">IFERROR(RIGHT(B3,LEN(B3)-FIND("],",B3)-1),"none")</f>
        <v>[effect:suicide, val:1, dead_type:escape]</v>
      </c>
      <c r="N3" s="44" t="str">
        <f>IFERROR(LEFT(M3,FIND("],",M3)+#REF!),M3)</f>
        <v>[effect:suicide, val:1, dead_type:escape]</v>
      </c>
      <c r="O3" s="59">
        <f t="shared" ref="O3:O5" si="6">FIND("effect:",N3)+7</f>
        <v>9</v>
      </c>
      <c r="P3" s="59">
        <f t="shared" ref="P3:P5" si="7">IFERROR(FIND(",",N3),LEN(N3))</f>
        <v>16</v>
      </c>
      <c r="Q3" s="59" t="e">
        <f t="shared" ref="Q3:Q5" si="8">FIND("target:",N3)+7</f>
        <v>#VALUE!</v>
      </c>
      <c r="R3" s="59">
        <f t="shared" ref="R3:R5" si="9">FIND(",",N3,P3+1)</f>
        <v>23</v>
      </c>
      <c r="S3" s="59" t="str">
        <f>IFERROR(VLOOKUP(MID(N3,Q3,R3-Q3),[5]skilldef!$C:$D,2,FALSE),"-") &amp; " / " &amp; IFERROR(VLOOKUP(MID(N3,O3,P3-O3),[5]skilldef!$A:$B,2,FALSE),"-")</f>
        <v>- / -</v>
      </c>
      <c r="T3" s="44" t="str">
        <f t="shared" ref="T3:T5" si="10">IFERROR(RIGHT(M3,LEN(M3)-FIND("],",M3)-1),"none")</f>
        <v>none</v>
      </c>
      <c r="U3" s="59" t="e">
        <f t="shared" ref="U3:U5" si="11">FIND("effect:",T3)+7</f>
        <v>#VALUE!</v>
      </c>
      <c r="V3" s="59">
        <f t="shared" ref="V3:V5" si="12">IFERROR(FIND(",",T3),LEN(T3))</f>
        <v>4</v>
      </c>
      <c r="W3" s="59" t="e">
        <f t="shared" ref="W3:W5" si="13">FIND("target:",T3)+7</f>
        <v>#VALUE!</v>
      </c>
      <c r="X3" s="59" t="e">
        <f t="shared" ref="X3:X5" si="14">FIND(",",T3,V3+1)</f>
        <v>#VALUE!</v>
      </c>
      <c r="Y3" s="59" t="str">
        <f>IFERROR(VLOOKUP(MID(T3,W3,X3-W3),[5]skilldef!$C:$D,2,FALSE),"-") &amp; " / " &amp; IFERROR(VLOOKUP(MID(T3,U3,V3-U3),[5]skilldef!$A:$B,2,FALSE),"-")</f>
        <v>- / -</v>
      </c>
      <c r="Z3" s="46"/>
      <c r="AA3" s="48"/>
      <c r="AB3" s="46"/>
    </row>
    <row r="4" spans="1:28" ht="40" customHeight="1" x14ac:dyDescent="0.15">
      <c r="A4" s="43">
        <v>13400911</v>
      </c>
      <c r="B4" s="43" t="s">
        <v>351</v>
      </c>
      <c r="C4" s="46">
        <v>3</v>
      </c>
      <c r="D4" s="46" t="s">
        <v>196</v>
      </c>
      <c r="E4" s="47" t="s">
        <v>431</v>
      </c>
      <c r="F4" s="47" t="s">
        <v>305</v>
      </c>
      <c r="G4" s="59" t="str">
        <f>IFERROR(LEFT(B4,FIND("],",B4)),B4)</f>
        <v>[effect:enemy_message, val1:1.2, val2:3.3]</v>
      </c>
      <c r="H4" s="59">
        <f>FIND("effect:",G4)+7</f>
        <v>9</v>
      </c>
      <c r="I4" s="59">
        <f>IFERROR(FIND(",",G4),LEN(G4))</f>
        <v>22</v>
      </c>
      <c r="J4" s="59" t="e">
        <f>FIND("target:",G4)+7</f>
        <v>#VALUE!</v>
      </c>
      <c r="K4" s="59">
        <f>FIND(",",G4,I4+1)</f>
        <v>32</v>
      </c>
      <c r="L4" s="59" t="str">
        <f>IFERROR(VLOOKUP(MID(G4,J4,K4-J4),[5]skilldef!$C:$D,2,FALSE),"-") &amp; " / " &amp; IFERROR(VLOOKUP(MID(G4,H4,I4-H4),[5]skilldef!$A:$B,2,FALSE),"-")</f>
        <v>- / -</v>
      </c>
      <c r="M4" s="59" t="str">
        <f>IFERROR(RIGHT(B4,LEN(B4)-FIND("],",B4)-1),"none")</f>
        <v>[effect:sp_boost, target:unit_all, val:99, animation:sp_boost_one03],[effect:fix_speed, target:myself, turn:1]</v>
      </c>
      <c r="N4" s="44" t="str">
        <f>IFERROR(LEFT(M4,FIND("],",M4)+#REF!),M4)</f>
        <v>[effect:sp_boost, target:unit_all, val:99, animation:sp_boost_one03],[effect:fix_speed, target:myself, turn:1]</v>
      </c>
      <c r="O4" s="59">
        <f>FIND("effect:",N4)+7</f>
        <v>9</v>
      </c>
      <c r="P4" s="59">
        <f>IFERROR(FIND(",",N4),LEN(N4))</f>
        <v>17</v>
      </c>
      <c r="Q4" s="59">
        <f>FIND("target:",N4)+7</f>
        <v>26</v>
      </c>
      <c r="R4" s="59">
        <f>FIND(",",N4,P4+1)</f>
        <v>34</v>
      </c>
      <c r="S4" s="59" t="str">
        <f>IFERROR(VLOOKUP(MID(N4,Q4,R4-Q4),[5]skilldef!$C:$D,2,FALSE),"-") &amp; " / " &amp; IFERROR(VLOOKUP(MID(N4,O4,P4-O4),[5]skilldef!$A:$B,2,FALSE),"-")</f>
        <v>味方全体に / -</v>
      </c>
      <c r="T4" s="44" t="str">
        <f>IFERROR(RIGHT(M4,LEN(M4)-FIND("],",M4)-1),"none")</f>
        <v>[effect:fix_speed, target:myself, turn:1]</v>
      </c>
      <c r="U4" s="59">
        <f>FIND("effect:",T4)+7</f>
        <v>9</v>
      </c>
      <c r="V4" s="59">
        <f>IFERROR(FIND(",",T4),LEN(T4))</f>
        <v>18</v>
      </c>
      <c r="W4" s="59">
        <f>FIND("target:",T4)+7</f>
        <v>27</v>
      </c>
      <c r="X4" s="59">
        <f>FIND(",",T4,V4+1)</f>
        <v>33</v>
      </c>
      <c r="Y4" s="59" t="str">
        <f>IFERROR(VLOOKUP(MID(T4,W4,X4-W4),[5]skilldef!$C:$D,2,FALSE),"-") &amp; " / " &amp; IFERROR(VLOOKUP(MID(T4,U4,V4-U4),[5]skilldef!$A:$B,2,FALSE),"-")</f>
        <v>自分自身に / 行動値設定</v>
      </c>
      <c r="Z4" s="46"/>
      <c r="AA4" s="48"/>
      <c r="AB4" s="46"/>
    </row>
    <row r="5" spans="1:28" ht="40" customHeight="1" x14ac:dyDescent="0.15">
      <c r="A5" s="43">
        <v>13400912</v>
      </c>
      <c r="B5" s="43" t="s">
        <v>283</v>
      </c>
      <c r="C5" s="46">
        <v>3</v>
      </c>
      <c r="D5" s="46" t="s">
        <v>196</v>
      </c>
      <c r="E5" s="47" t="s">
        <v>428</v>
      </c>
      <c r="F5" s="47" t="s">
        <v>306</v>
      </c>
      <c r="G5" s="59" t="str">
        <f t="shared" si="0"/>
        <v>[effect:enemy_message, val1:1.2, val2:2.1]</v>
      </c>
      <c r="H5" s="59">
        <f t="shared" si="1"/>
        <v>9</v>
      </c>
      <c r="I5" s="59">
        <f t="shared" si="2"/>
        <v>22</v>
      </c>
      <c r="J5" s="59" t="e">
        <f t="shared" si="3"/>
        <v>#VALUE!</v>
      </c>
      <c r="K5" s="59">
        <f t="shared" si="4"/>
        <v>32</v>
      </c>
      <c r="L5" s="59" t="str">
        <f>IFERROR(VLOOKUP(MID(G5,J5,K5-J5),[5]skilldef!$C:$D,2,FALSE),"-") &amp; " / " &amp; IFERROR(VLOOKUP(MID(G5,H5,I5-H5),[5]skilldef!$A:$B,2,FALSE),"-")</f>
        <v>- / -</v>
      </c>
      <c r="M5" s="59" t="str">
        <f t="shared" si="5"/>
        <v>[effect:suicide, val:1, dead_type:escape]</v>
      </c>
      <c r="N5" s="44" t="str">
        <f>IFERROR(LEFT(M5,FIND("],",M5)+#REF!),M5)</f>
        <v>[effect:suicide, val:1, dead_type:escape]</v>
      </c>
      <c r="O5" s="59">
        <f t="shared" si="6"/>
        <v>9</v>
      </c>
      <c r="P5" s="59">
        <f t="shared" si="7"/>
        <v>16</v>
      </c>
      <c r="Q5" s="59" t="e">
        <f t="shared" si="8"/>
        <v>#VALUE!</v>
      </c>
      <c r="R5" s="59">
        <f t="shared" si="9"/>
        <v>23</v>
      </c>
      <c r="S5" s="59" t="str">
        <f>IFERROR(VLOOKUP(MID(N5,Q5,R5-Q5),[5]skilldef!$C:$D,2,FALSE),"-") &amp; " / " &amp; IFERROR(VLOOKUP(MID(N5,O5,P5-O5),[5]skilldef!$A:$B,2,FALSE),"-")</f>
        <v>- / -</v>
      </c>
      <c r="T5" s="44" t="str">
        <f t="shared" si="10"/>
        <v>none</v>
      </c>
      <c r="U5" s="59" t="e">
        <f t="shared" si="11"/>
        <v>#VALUE!</v>
      </c>
      <c r="V5" s="59">
        <f t="shared" si="12"/>
        <v>4</v>
      </c>
      <c r="W5" s="59" t="e">
        <f t="shared" si="13"/>
        <v>#VALUE!</v>
      </c>
      <c r="X5" s="59" t="e">
        <f t="shared" si="14"/>
        <v>#VALUE!</v>
      </c>
      <c r="Y5" s="59" t="str">
        <f>IFERROR(VLOOKUP(MID(T5,W5,X5-W5),[5]skilldef!$C:$D,2,FALSE),"-") &amp; " / " &amp; IFERROR(VLOOKUP(MID(T5,U5,V5-U5),[5]skilldef!$A:$B,2,FALSE),"-")</f>
        <v>- / -</v>
      </c>
      <c r="Z5" s="46"/>
      <c r="AA5" s="48"/>
      <c r="AB5" s="46"/>
    </row>
    <row r="6" spans="1:28" ht="40" customHeight="1" x14ac:dyDescent="0.15">
      <c r="A6" s="113">
        <v>13400921</v>
      </c>
      <c r="B6" s="113" t="s">
        <v>422</v>
      </c>
      <c r="C6" s="117">
        <v>3</v>
      </c>
      <c r="D6" s="117" t="s">
        <v>252</v>
      </c>
      <c r="E6" s="118" t="s">
        <v>314</v>
      </c>
      <c r="F6" s="118" t="s">
        <v>289</v>
      </c>
      <c r="G6" s="59" t="str">
        <f t="shared" ref="G6:G7" si="15">IFERROR(LEFT(B6,FIND("],",B6)),B6)</f>
        <v>[effect:enemy_message, val1:2.0, val2:5.8]</v>
      </c>
      <c r="H6" s="59">
        <f t="shared" ref="H6:H37" si="16">FIND("effect:",G6)+7</f>
        <v>9</v>
      </c>
      <c r="I6" s="59">
        <f t="shared" ref="I6:I7" si="17">IFERROR(FIND(",",G6),LEN(G6))</f>
        <v>22</v>
      </c>
      <c r="J6" s="59" t="e">
        <f t="shared" ref="J6:J7" si="18">FIND("target:",G6)+7</f>
        <v>#VALUE!</v>
      </c>
      <c r="K6" s="59">
        <f t="shared" ref="K6:K7" si="19">FIND(",",G6,I6+1)</f>
        <v>32</v>
      </c>
      <c r="L6" s="59" t="str">
        <f>IFERROR(VLOOKUP(MID(G6,J6,K6-J6),[5]skilldef!$C:$D,2,FALSE),"-") &amp; " / " &amp; IFERROR(VLOOKUP(MID(G6,H6,I6-H6),[5]skilldef!$A:$B,2,FALSE),"-")</f>
        <v>- / -</v>
      </c>
      <c r="M6" s="59" t="str">
        <f t="shared" ref="M6:M7" si="20">IFERROR(RIGHT(B6,LEN(B6)-FIND("],",B6)-1),"none")</f>
        <v>[effect:drop_block, block_type:damage, color:block_red, val:0.2, rate:0.1, turn:-1],[effect:drop_block, block_type:damage, color:block_green, val:0.2, rate:0.1, turn:-1],[effect:drop_block, block_type:damage, color:block_yellow, val:0.2, rate:0.1, turn:-1],[effect:drop_block, block_type:damage, color:block_blue, val:0.2, rate:0.1, turn:-1],[effect:drop_block, block_type:jammer, color:block_all, val:0, rate:0.05, turn:-1, animation:jammer_influence04],[effect:reduction, target:myself, color:all, turn:3, val:0.3, animation:reduction_one03],[effect:tolerance, target:myself, turn:-1, count:-1, tolerance_effect:all, animation:enemy_tolerance],[effect:suicide, val:0.3],[effect:fix_speed, target:myself, turn:1]</v>
      </c>
      <c r="N6" s="44" t="str">
        <f>IFERROR(LEFT(M6,FIND("],",M6)+#REF!),M6)</f>
        <v>[effect:drop_block, block_type:damage, color:block_red, val:0.2, rate:0.1, turn:-1],[effect:drop_block, block_type:damage, color:block_green, val:0.2, rate:0.1, turn:-1],[effect:drop_block, block_type:damage, color:block_yellow, val:0.2, rate:0.1, turn:-1],[effect:drop_block, block_type:damage, color:block_blue, val:0.2, rate:0.1, turn:-1],[effect:drop_block, block_type:jammer, color:block_all, val:0, rate:0.05, turn:-1, animation:jammer_influence04],[effect:reduction, target:myself, color:all, turn:3, val:0.3, animation:reduction_one03],[effect:tolerance, target:myself, turn:-1, count:-1, tolerance_effect:all, animation:enemy_tolerance],[effect:suicide, val:0.3],[effect:fix_speed, target:myself, turn:1]</v>
      </c>
      <c r="O6" s="59">
        <f t="shared" ref="O6:O37" si="21">FIND("effect:",N6)+7</f>
        <v>9</v>
      </c>
      <c r="P6" s="59">
        <f t="shared" ref="P6:P7" si="22">IFERROR(FIND(",",N6),LEN(N6))</f>
        <v>19</v>
      </c>
      <c r="Q6" s="59">
        <f t="shared" ref="Q6:Q7" si="23">FIND("target:",N6)+7</f>
        <v>482</v>
      </c>
      <c r="R6" s="59">
        <f t="shared" ref="R6:R7" si="24">FIND(",",N6,P6+1)</f>
        <v>38</v>
      </c>
      <c r="S6" s="59" t="str">
        <f>IFERROR(VLOOKUP(MID(N6,Q6,R6-Q6),[5]skilldef!$C:$D,2,FALSE),"-") &amp; " / " &amp; IFERROR(VLOOKUP(MID(N6,O6,P6-O6),[5]skilldef!$A:$B,2,FALSE),"-")</f>
        <v>- / 特定ブロックの割合ドロップ</v>
      </c>
      <c r="T6" s="44" t="str">
        <f t="shared" ref="T6:T7" si="25">IFERROR(RIGHT(M6,LEN(M6)-FIND("],",M6)-1),"none")</f>
        <v>[effect:drop_block, block_type:damage, color:block_green, val:0.2, rate:0.1, turn:-1],[effect:drop_block, block_type:damage, color:block_yellow, val:0.2, rate:0.1, turn:-1],[effect:drop_block, block_type:damage, color:block_blue, val:0.2, rate:0.1, turn:-1],[effect:drop_block, block_type:jammer, color:block_all, val:0, rate:0.05, turn:-1, animation:jammer_influence04],[effect:reduction, target:myself, color:all, turn:3, val:0.3, animation:reduction_one03],[effect:tolerance, target:myself, turn:-1, count:-1, tolerance_effect:all, animation:enemy_tolerance],[effect:suicide, val:0.3],[effect:fix_speed, target:myself, turn:1]</v>
      </c>
      <c r="U6" s="59">
        <f t="shared" ref="U6:U37" si="26">FIND("effect:",T6)+7</f>
        <v>9</v>
      </c>
      <c r="V6" s="59">
        <f t="shared" ref="V6:V7" si="27">IFERROR(FIND(",",T6),LEN(T6))</f>
        <v>19</v>
      </c>
      <c r="W6" s="59">
        <f t="shared" ref="W6:W7" si="28">FIND("target:",T6)+7</f>
        <v>398</v>
      </c>
      <c r="X6" s="59">
        <f t="shared" ref="X6:X7" si="29">FIND(",",T6,V6+1)</f>
        <v>38</v>
      </c>
      <c r="Y6" s="59" t="str">
        <f>IFERROR(VLOOKUP(MID(T6,W6,X6-W6),[5]skilldef!$C:$D,2,FALSE),"-") &amp; " / " &amp; IFERROR(VLOOKUP(MID(T6,U6,V6-U6),[5]skilldef!$A:$B,2,FALSE),"-")</f>
        <v>- / 特定ブロックの割合ドロップ</v>
      </c>
      <c r="Z6" s="46"/>
      <c r="AA6" s="48"/>
      <c r="AB6" s="46"/>
    </row>
    <row r="7" spans="1:28" ht="40" customHeight="1" x14ac:dyDescent="0.15">
      <c r="A7" s="113">
        <v>13400922</v>
      </c>
      <c r="B7" s="113" t="s">
        <v>407</v>
      </c>
      <c r="C7" s="117">
        <v>3</v>
      </c>
      <c r="D7" s="117" t="s">
        <v>196</v>
      </c>
      <c r="E7" s="118" t="s">
        <v>391</v>
      </c>
      <c r="F7" s="118" t="s">
        <v>304</v>
      </c>
      <c r="G7" s="59" t="str">
        <f t="shared" si="15"/>
        <v>[effect:enemy_message, val1:2.1, val2:2.4]</v>
      </c>
      <c r="H7" s="59">
        <f t="shared" si="16"/>
        <v>9</v>
      </c>
      <c r="I7" s="59">
        <f t="shared" si="17"/>
        <v>22</v>
      </c>
      <c r="J7" s="59" t="e">
        <f t="shared" si="18"/>
        <v>#VALUE!</v>
      </c>
      <c r="K7" s="59">
        <f t="shared" si="19"/>
        <v>32</v>
      </c>
      <c r="L7" s="59" t="str">
        <f>IFERROR(VLOOKUP(MID(G7,J7,K7-J7),[5]skilldef!$C:$D,2,FALSE),"-") &amp; " / " &amp; IFERROR(VLOOKUP(MID(G7,H7,I7-H7),[5]skilldef!$A:$B,2,FALSE),"-")</f>
        <v>- / -</v>
      </c>
      <c r="M7" s="59" t="str">
        <f t="shared" si="20"/>
        <v>[effect:enhance_enemy, target:myself, turn:3, status:defense, val:15000, calc:add, animation:enemy_enhance_defense],[effect:heal, target:myself, val:0.2, animation:enemy_heal],[effect:critical, val:1.5, animation:enemy_critical]</v>
      </c>
      <c r="N7" s="44" t="str">
        <f>IFERROR(LEFT(M7,FIND("],",M7)+#REF!),M7)</f>
        <v>[effect:enhance_enemy, target:myself, turn:3, status:defense, val:15000, calc:add, animation:enemy_enhance_defense],[effect:heal, target:myself, val:0.2, animation:enemy_heal],[effect:critical, val:1.5, animation:enemy_critical]</v>
      </c>
      <c r="O7" s="59">
        <f t="shared" si="21"/>
        <v>9</v>
      </c>
      <c r="P7" s="59">
        <f t="shared" si="22"/>
        <v>22</v>
      </c>
      <c r="Q7" s="59">
        <f t="shared" si="23"/>
        <v>31</v>
      </c>
      <c r="R7" s="59">
        <f t="shared" si="24"/>
        <v>37</v>
      </c>
      <c r="S7" s="59" t="str">
        <f>IFERROR(VLOOKUP(MID(N7,Q7,R7-Q7),[5]skilldef!$C:$D,2,FALSE),"-") &amp; " / " &amp; IFERROR(VLOOKUP(MID(N7,O7,P7-O7),[5]skilldef!$A:$B,2,FALSE),"-")</f>
        <v>自分自身に / ステータス強化</v>
      </c>
      <c r="T7" s="44" t="str">
        <f t="shared" si="25"/>
        <v>[effect:heal, target:myself, val:0.2, animation:enemy_heal],[effect:critical, val:1.5, animation:enemy_critical]</v>
      </c>
      <c r="U7" s="59">
        <f t="shared" si="26"/>
        <v>9</v>
      </c>
      <c r="V7" s="59">
        <f t="shared" si="27"/>
        <v>13</v>
      </c>
      <c r="W7" s="59">
        <f t="shared" si="28"/>
        <v>22</v>
      </c>
      <c r="X7" s="59">
        <f t="shared" si="29"/>
        <v>28</v>
      </c>
      <c r="Y7" s="59" t="str">
        <f>IFERROR(VLOOKUP(MID(T7,W7,X7-W7),[5]skilldef!$C:$D,2,FALSE),"-") &amp; " / " &amp; IFERROR(VLOOKUP(MID(T7,U7,V7-U7),[5]skilldef!$A:$B,2,FALSE),"-")</f>
        <v>自分自身に / 回復</v>
      </c>
      <c r="Z7" s="46"/>
      <c r="AA7" s="48"/>
      <c r="AB7" s="46"/>
    </row>
    <row r="8" spans="1:28" ht="40" customHeight="1" x14ac:dyDescent="0.15">
      <c r="A8" s="113">
        <v>13400923</v>
      </c>
      <c r="B8" s="113" t="s">
        <v>352</v>
      </c>
      <c r="C8" s="117">
        <v>3</v>
      </c>
      <c r="D8" s="117" t="s">
        <v>271</v>
      </c>
      <c r="E8" s="118" t="s">
        <v>316</v>
      </c>
      <c r="F8" s="119" t="s">
        <v>313</v>
      </c>
      <c r="G8" s="59" t="str">
        <f t="shared" ref="G8:G22" si="30">IFERROR(LEFT(B8,FIND("],",B8)),B8)</f>
        <v>[effect:enemy_message, val1:1.4, val2:1.2]</v>
      </c>
      <c r="H8" s="59">
        <f t="shared" ref="H8:H22" si="31">FIND("effect:",G8)+7</f>
        <v>9</v>
      </c>
      <c r="I8" s="59">
        <f t="shared" ref="I8:I22" si="32">IFERROR(FIND(",",G8),LEN(G8))</f>
        <v>22</v>
      </c>
      <c r="J8" s="59" t="e">
        <f t="shared" ref="J8:J22" si="33">FIND("target:",G8)+7</f>
        <v>#VALUE!</v>
      </c>
      <c r="K8" s="59">
        <f t="shared" ref="K8:K22" si="34">FIND(",",G8,I8+1)</f>
        <v>32</v>
      </c>
      <c r="L8" s="59" t="str">
        <f>IFERROR(VLOOKUP(MID(G8,J8,K8-J8),[5]skilldef!$C:$D,2,FALSE),"-") &amp; " / " &amp; IFERROR(VLOOKUP(MID(G8,H8,I8-H8),[5]skilldef!$A:$B,2,FALSE),"-")</f>
        <v>- / -</v>
      </c>
      <c r="M8" s="59" t="str">
        <f t="shared" ref="M8:M22" si="35">IFERROR(RIGHT(B8,LEN(B8)-FIND("],",B8)-1),"none")</f>
        <v>[effect:spread, val:2.0],[effect:spread, val:2.0],[effect:spread, val:2.0],[effect:spread, val:2.0],[effect:spread, val:2.0]</v>
      </c>
      <c r="N8" s="44" t="str">
        <f>IFERROR(LEFT(M8,FIND("],",M8)+#REF!),M8)</f>
        <v>[effect:spread, val:2.0],[effect:spread, val:2.0],[effect:spread, val:2.0],[effect:spread, val:2.0],[effect:spread, val:2.0]</v>
      </c>
      <c r="O8" s="59">
        <f t="shared" ref="O8:O22" si="36">FIND("effect:",N8)+7</f>
        <v>9</v>
      </c>
      <c r="P8" s="59">
        <f t="shared" ref="P8:P22" si="37">IFERROR(FIND(",",N8),LEN(N8))</f>
        <v>15</v>
      </c>
      <c r="Q8" s="59" t="e">
        <f t="shared" ref="Q8:Q22" si="38">FIND("target:",N8)+7</f>
        <v>#VALUE!</v>
      </c>
      <c r="R8" s="59">
        <f t="shared" ref="R8:R22" si="39">FIND(",",N8,P8+1)</f>
        <v>25</v>
      </c>
      <c r="S8" s="59" t="str">
        <f>IFERROR(VLOOKUP(MID(N8,Q8,R8-Q8),[5]skilldef!$C:$D,2,FALSE),"-") &amp; " / " &amp; IFERROR(VLOOKUP(MID(N8,O8,P8-O8),[5]skilldef!$A:$B,2,FALSE),"-")</f>
        <v>- / 全体攻撃</v>
      </c>
      <c r="T8" s="44" t="str">
        <f t="shared" ref="T8:T22" si="40">IFERROR(RIGHT(M8,LEN(M8)-FIND("],",M8)-1),"none")</f>
        <v>[effect:spread, val:2.0],[effect:spread, val:2.0],[effect:spread, val:2.0],[effect:spread, val:2.0]</v>
      </c>
      <c r="U8" s="59">
        <f t="shared" ref="U8:U22" si="41">FIND("effect:",T8)+7</f>
        <v>9</v>
      </c>
      <c r="V8" s="59">
        <f t="shared" ref="V8:V22" si="42">IFERROR(FIND(",",T8),LEN(T8))</f>
        <v>15</v>
      </c>
      <c r="W8" s="59" t="e">
        <f t="shared" ref="W8:W22" si="43">FIND("target:",T8)+7</f>
        <v>#VALUE!</v>
      </c>
      <c r="X8" s="59">
        <f t="shared" ref="X8:X22" si="44">FIND(",",T8,V8+1)</f>
        <v>25</v>
      </c>
      <c r="Y8" s="59" t="str">
        <f>IFERROR(VLOOKUP(MID(T8,W8,X8-W8),[5]skilldef!$C:$D,2,FALSE),"-") &amp; " / " &amp; IFERROR(VLOOKUP(MID(T8,U8,V8-U8),[5]skilldef!$A:$B,2,FALSE),"-")</f>
        <v>- / 全体攻撃</v>
      </c>
      <c r="Z8" s="46"/>
      <c r="AA8" s="48"/>
      <c r="AB8" s="46"/>
    </row>
    <row r="9" spans="1:28" ht="40" customHeight="1" x14ac:dyDescent="0.15">
      <c r="A9" s="113">
        <v>13400924</v>
      </c>
      <c r="B9" s="113" t="s">
        <v>353</v>
      </c>
      <c r="C9" s="117">
        <v>3</v>
      </c>
      <c r="D9" s="117" t="s">
        <v>196</v>
      </c>
      <c r="E9" s="118" t="s">
        <v>377</v>
      </c>
      <c r="F9" s="118" t="s">
        <v>372</v>
      </c>
      <c r="G9" s="59" t="str">
        <f t="shared" si="30"/>
        <v>[effect:enemy_message, val1:1.2, val2:3.1]</v>
      </c>
      <c r="H9" s="59">
        <f t="shared" si="31"/>
        <v>9</v>
      </c>
      <c r="I9" s="59">
        <f t="shared" si="32"/>
        <v>22</v>
      </c>
      <c r="J9" s="59" t="e">
        <f t="shared" si="33"/>
        <v>#VALUE!</v>
      </c>
      <c r="K9" s="59">
        <f t="shared" si="34"/>
        <v>32</v>
      </c>
      <c r="L9" s="59" t="str">
        <f>IFERROR(VLOOKUP(MID(G9,J9,K9-J9),[5]skilldef!$C:$D,2,FALSE),"-") &amp; " / " &amp; IFERROR(VLOOKUP(MID(G9,H9,I9-H9),[5]skilldef!$A:$B,2,FALSE),"-")</f>
        <v>- / -</v>
      </c>
      <c r="M9" s="59" t="str">
        <f t="shared" si="35"/>
        <v>[effect:heal, target:myself, val:0.2, animation:enemy_heal],[effect:degrade_unit, target:unit_all, turn:2, status:heal, val:1.0, calc:mul, animation:degrade_unit_all_heal],[effect:spread, val:0.5]</v>
      </c>
      <c r="N9" s="44" t="str">
        <f>IFERROR(LEFT(M9,FIND("],",M9)+#REF!),M9)</f>
        <v>[effect:heal, target:myself, val:0.2, animation:enemy_heal],[effect:degrade_unit, target:unit_all, turn:2, status:heal, val:1.0, calc:mul, animation:degrade_unit_all_heal],[effect:spread, val:0.5]</v>
      </c>
      <c r="O9" s="59">
        <f t="shared" si="36"/>
        <v>9</v>
      </c>
      <c r="P9" s="59">
        <f t="shared" si="37"/>
        <v>13</v>
      </c>
      <c r="Q9" s="59">
        <f t="shared" si="38"/>
        <v>22</v>
      </c>
      <c r="R9" s="59">
        <f t="shared" si="39"/>
        <v>28</v>
      </c>
      <c r="S9" s="59" t="str">
        <f>IFERROR(VLOOKUP(MID(N9,Q9,R9-Q9),[5]skilldef!$C:$D,2,FALSE),"-") &amp; " / " &amp; IFERROR(VLOOKUP(MID(N9,O9,P9-O9),[5]skilldef!$A:$B,2,FALSE),"-")</f>
        <v>自分自身に / 回復</v>
      </c>
      <c r="T9" s="44" t="str">
        <f t="shared" si="40"/>
        <v>[effect:degrade_unit, target:unit_all, turn:2, status:heal, val:1.0, calc:mul, animation:degrade_unit_all_heal],[effect:spread, val:0.5]</v>
      </c>
      <c r="U9" s="59">
        <f t="shared" si="41"/>
        <v>9</v>
      </c>
      <c r="V9" s="59">
        <f t="shared" si="42"/>
        <v>21</v>
      </c>
      <c r="W9" s="59">
        <f t="shared" si="43"/>
        <v>30</v>
      </c>
      <c r="X9" s="59">
        <f t="shared" si="44"/>
        <v>38</v>
      </c>
      <c r="Y9" s="59" t="str">
        <f>IFERROR(VLOOKUP(MID(T9,W9,X9-W9),[5]skilldef!$C:$D,2,FALSE),"-") &amp; " / " &amp; IFERROR(VLOOKUP(MID(T9,U9,V9-U9),[5]skilldef!$A:$B,2,FALSE),"-")</f>
        <v>味方全体に / ステータスDOWN</v>
      </c>
      <c r="Z9" s="46"/>
      <c r="AA9" s="48"/>
      <c r="AB9" s="46"/>
    </row>
    <row r="10" spans="1:28" ht="40" customHeight="1" x14ac:dyDescent="0.15">
      <c r="A10" s="113">
        <v>13400925</v>
      </c>
      <c r="B10" s="113" t="s">
        <v>354</v>
      </c>
      <c r="C10" s="117">
        <v>3</v>
      </c>
      <c r="D10" s="117" t="s">
        <v>196</v>
      </c>
      <c r="E10" s="118" t="s">
        <v>311</v>
      </c>
      <c r="F10" s="118" t="s">
        <v>373</v>
      </c>
      <c r="G10" s="59" t="str">
        <f t="shared" si="30"/>
        <v>[effect:enemy_message, val1:1.2, val2:3.1]</v>
      </c>
      <c r="H10" s="59">
        <f t="shared" si="31"/>
        <v>9</v>
      </c>
      <c r="I10" s="59">
        <f t="shared" si="32"/>
        <v>22</v>
      </c>
      <c r="J10" s="59" t="e">
        <f t="shared" si="33"/>
        <v>#VALUE!</v>
      </c>
      <c r="K10" s="59">
        <f t="shared" si="34"/>
        <v>32</v>
      </c>
      <c r="L10" s="59" t="str">
        <f>IFERROR(VLOOKUP(MID(G10,J10,K10-J10),[5]skilldef!$C:$D,2,FALSE),"-") &amp; " / " &amp; IFERROR(VLOOKUP(MID(G10,H10,I10-H10),[5]skilldef!$A:$B,2,FALSE),"-")</f>
        <v>- / -</v>
      </c>
      <c r="M10" s="59" t="str">
        <f t="shared" si="35"/>
        <v>[effect:heal, target:myself, val:0.2, animation:enemy_heal],[effect:degrade_unit, target:unit_all, turn:2, status:heal, val:1.0, calc:mul, animation:degrade_unit_all_heal],[effect:spread, val:0.4]</v>
      </c>
      <c r="N10" s="44" t="str">
        <f>IFERROR(LEFT(M10,FIND("],",M10)+#REF!),M10)</f>
        <v>[effect:heal, target:myself, val:0.2, animation:enemy_heal],[effect:degrade_unit, target:unit_all, turn:2, status:heal, val:1.0, calc:mul, animation:degrade_unit_all_heal],[effect:spread, val:0.4]</v>
      </c>
      <c r="O10" s="59">
        <f t="shared" si="36"/>
        <v>9</v>
      </c>
      <c r="P10" s="59">
        <f t="shared" si="37"/>
        <v>13</v>
      </c>
      <c r="Q10" s="59">
        <f t="shared" si="38"/>
        <v>22</v>
      </c>
      <c r="R10" s="59">
        <f t="shared" si="39"/>
        <v>28</v>
      </c>
      <c r="S10" s="59" t="str">
        <f>IFERROR(VLOOKUP(MID(N10,Q10,R10-Q10),[5]skilldef!$C:$D,2,FALSE),"-") &amp; " / " &amp; IFERROR(VLOOKUP(MID(N10,O10,P10-O10),[5]skilldef!$A:$B,2,FALSE),"-")</f>
        <v>自分自身に / 回復</v>
      </c>
      <c r="T10" s="44" t="str">
        <f t="shared" si="40"/>
        <v>[effect:degrade_unit, target:unit_all, turn:2, status:heal, val:1.0, calc:mul, animation:degrade_unit_all_heal],[effect:spread, val:0.4]</v>
      </c>
      <c r="U10" s="59">
        <f t="shared" si="41"/>
        <v>9</v>
      </c>
      <c r="V10" s="59">
        <f t="shared" si="42"/>
        <v>21</v>
      </c>
      <c r="W10" s="59">
        <f t="shared" si="43"/>
        <v>30</v>
      </c>
      <c r="X10" s="59">
        <f t="shared" si="44"/>
        <v>38</v>
      </c>
      <c r="Y10" s="59" t="str">
        <f>IFERROR(VLOOKUP(MID(T10,W10,X10-W10),[5]skilldef!$C:$D,2,FALSE),"-") &amp; " / " &amp; IFERROR(VLOOKUP(MID(T10,U10,V10-U10),[5]skilldef!$A:$B,2,FALSE),"-")</f>
        <v>味方全体に / ステータスDOWN</v>
      </c>
      <c r="Z10" s="46"/>
      <c r="AA10" s="48"/>
      <c r="AB10" s="46"/>
    </row>
    <row r="11" spans="1:28" ht="40" customHeight="1" x14ac:dyDescent="0.15">
      <c r="A11" s="113">
        <v>13400926</v>
      </c>
      <c r="B11" s="113" t="s">
        <v>355</v>
      </c>
      <c r="C11" s="117">
        <v>3</v>
      </c>
      <c r="D11" s="117" t="s">
        <v>196</v>
      </c>
      <c r="E11" s="118" t="s">
        <v>312</v>
      </c>
      <c r="F11" s="118" t="s">
        <v>374</v>
      </c>
      <c r="G11" s="59" t="str">
        <f t="shared" si="30"/>
        <v>[effect:enemy_message, val1:1.2, val2:3.1]</v>
      </c>
      <c r="H11" s="59">
        <f t="shared" si="31"/>
        <v>9</v>
      </c>
      <c r="I11" s="59">
        <f t="shared" si="32"/>
        <v>22</v>
      </c>
      <c r="J11" s="59" t="e">
        <f t="shared" si="33"/>
        <v>#VALUE!</v>
      </c>
      <c r="K11" s="59">
        <f t="shared" si="34"/>
        <v>32</v>
      </c>
      <c r="L11" s="59" t="str">
        <f>IFERROR(VLOOKUP(MID(G11,J11,K11-J11),[5]skilldef!$C:$D,2,FALSE),"-") &amp; " / " &amp; IFERROR(VLOOKUP(MID(G11,H11,I11-H11),[5]skilldef!$A:$B,2,FALSE),"-")</f>
        <v>- / -</v>
      </c>
      <c r="M11" s="59" t="str">
        <f t="shared" si="35"/>
        <v>[effect:heal, target:myself, val:0.2, animation:enemy_heal],[effect:degrade_unit, target:unit_all, turn:2, status:heal, val:1.0, calc:mul, animation:degrade_unit_all_heal],[effect:spread, val:0.3]</v>
      </c>
      <c r="N11" s="44" t="str">
        <f>IFERROR(LEFT(M11,FIND("],",M11)+#REF!),M11)</f>
        <v>[effect:heal, target:myself, val:0.2, animation:enemy_heal],[effect:degrade_unit, target:unit_all, turn:2, status:heal, val:1.0, calc:mul, animation:degrade_unit_all_heal],[effect:spread, val:0.3]</v>
      </c>
      <c r="O11" s="59">
        <f t="shared" si="36"/>
        <v>9</v>
      </c>
      <c r="P11" s="59">
        <f t="shared" si="37"/>
        <v>13</v>
      </c>
      <c r="Q11" s="59">
        <f t="shared" si="38"/>
        <v>22</v>
      </c>
      <c r="R11" s="59">
        <f t="shared" si="39"/>
        <v>28</v>
      </c>
      <c r="S11" s="59" t="str">
        <f>IFERROR(VLOOKUP(MID(N11,Q11,R11-Q11),[5]skilldef!$C:$D,2,FALSE),"-") &amp; " / " &amp; IFERROR(VLOOKUP(MID(N11,O11,P11-O11),[5]skilldef!$A:$B,2,FALSE),"-")</f>
        <v>自分自身に / 回復</v>
      </c>
      <c r="T11" s="44" t="str">
        <f t="shared" si="40"/>
        <v>[effect:degrade_unit, target:unit_all, turn:2, status:heal, val:1.0, calc:mul, animation:degrade_unit_all_heal],[effect:spread, val:0.3]</v>
      </c>
      <c r="U11" s="59">
        <f t="shared" si="41"/>
        <v>9</v>
      </c>
      <c r="V11" s="59">
        <f t="shared" si="42"/>
        <v>21</v>
      </c>
      <c r="W11" s="59">
        <f t="shared" si="43"/>
        <v>30</v>
      </c>
      <c r="X11" s="59">
        <f t="shared" si="44"/>
        <v>38</v>
      </c>
      <c r="Y11" s="59" t="str">
        <f>IFERROR(VLOOKUP(MID(T11,W11,X11-W11),[5]skilldef!$C:$D,2,FALSE),"-") &amp; " / " &amp; IFERROR(VLOOKUP(MID(T11,U11,V11-U11),[5]skilldef!$A:$B,2,FALSE),"-")</f>
        <v>味方全体に / ステータスDOWN</v>
      </c>
      <c r="Z11" s="46"/>
      <c r="AA11" s="48"/>
      <c r="AB11" s="46"/>
    </row>
    <row r="12" spans="1:28" ht="40" customHeight="1" x14ac:dyDescent="0.15">
      <c r="A12" s="113">
        <v>13400927</v>
      </c>
      <c r="B12" s="113" t="s">
        <v>356</v>
      </c>
      <c r="C12" s="117">
        <v>3</v>
      </c>
      <c r="D12" s="117" t="s">
        <v>196</v>
      </c>
      <c r="E12" s="118" t="s">
        <v>308</v>
      </c>
      <c r="F12" s="118" t="s">
        <v>345</v>
      </c>
      <c r="G12" s="59" t="str">
        <f t="shared" si="30"/>
        <v>[effect:enemy_message, val1:1.2, val2:2.4]</v>
      </c>
      <c r="H12" s="59">
        <f t="shared" si="31"/>
        <v>9</v>
      </c>
      <c r="I12" s="59">
        <f t="shared" si="32"/>
        <v>22</v>
      </c>
      <c r="J12" s="59" t="e">
        <f t="shared" si="33"/>
        <v>#VALUE!</v>
      </c>
      <c r="K12" s="59">
        <f t="shared" si="34"/>
        <v>32</v>
      </c>
      <c r="L12" s="59" t="str">
        <f>IFERROR(VLOOKUP(MID(G12,J12,K12-J12),[5]skilldef!$C:$D,2,FALSE),"-") &amp; " / " &amp; IFERROR(VLOOKUP(MID(G12,H12,I12-H12),[5]skilldef!$A:$B,2,FALSE),"-")</f>
        <v>- / -</v>
      </c>
      <c r="M12" s="59" t="str">
        <f t="shared" si="35"/>
        <v>[effect:heal, target:myself, val:0.2, animation:enemy_heal],[effect:damage_anti_color, target:unit_all, color:blue, val1:0.65, val2:0.25]</v>
      </c>
      <c r="N12" s="44" t="str">
        <f>IFERROR(LEFT(M12,FIND("],",M12)+#REF!),M12)</f>
        <v>[effect:heal, target:myself, val:0.2, animation:enemy_heal],[effect:damage_anti_color, target:unit_all, color:blue, val1:0.65, val2:0.25]</v>
      </c>
      <c r="O12" s="59">
        <f t="shared" si="36"/>
        <v>9</v>
      </c>
      <c r="P12" s="59">
        <f t="shared" si="37"/>
        <v>13</v>
      </c>
      <c r="Q12" s="59">
        <f t="shared" si="38"/>
        <v>22</v>
      </c>
      <c r="R12" s="59">
        <f t="shared" si="39"/>
        <v>28</v>
      </c>
      <c r="S12" s="59" t="str">
        <f>IFERROR(VLOOKUP(MID(N12,Q12,R12-Q12),[5]skilldef!$C:$D,2,FALSE),"-") &amp; " / " &amp; IFERROR(VLOOKUP(MID(N12,O12,P12-O12),[5]skilldef!$A:$B,2,FALSE),"-")</f>
        <v>自分自身に / 回復</v>
      </c>
      <c r="T12" s="44" t="str">
        <f t="shared" si="40"/>
        <v>[effect:damage_anti_color, target:unit_all, color:blue, val1:0.65, val2:0.25]</v>
      </c>
      <c r="U12" s="59">
        <f t="shared" si="41"/>
        <v>9</v>
      </c>
      <c r="V12" s="59">
        <f t="shared" si="42"/>
        <v>26</v>
      </c>
      <c r="W12" s="59">
        <f t="shared" si="43"/>
        <v>35</v>
      </c>
      <c r="X12" s="59">
        <f t="shared" si="44"/>
        <v>43</v>
      </c>
      <c r="Y12" s="59" t="str">
        <f>IFERROR(VLOOKUP(MID(T12,W12,X12-W12),[5]skilldef!$C:$D,2,FALSE),"-") &amp; " / " &amp; IFERROR(VLOOKUP(MID(T12,U12,V12-U12),[5]skilldef!$A:$B,2,FALSE),"-")</f>
        <v>味方全体に / 属性キラー</v>
      </c>
      <c r="Z12" s="46"/>
      <c r="AA12" s="48"/>
      <c r="AB12" s="46"/>
    </row>
    <row r="13" spans="1:28" ht="40" customHeight="1" x14ac:dyDescent="0.15">
      <c r="A13" s="113">
        <v>13400928</v>
      </c>
      <c r="B13" s="113" t="s">
        <v>357</v>
      </c>
      <c r="C13" s="117">
        <v>3</v>
      </c>
      <c r="D13" s="117" t="s">
        <v>196</v>
      </c>
      <c r="E13" s="118" t="s">
        <v>309</v>
      </c>
      <c r="F13" s="118" t="s">
        <v>346</v>
      </c>
      <c r="G13" s="59" t="str">
        <f t="shared" si="30"/>
        <v>[effect:enemy_message, val1:1.2, val2:2.4]</v>
      </c>
      <c r="H13" s="59">
        <f t="shared" si="31"/>
        <v>9</v>
      </c>
      <c r="I13" s="59">
        <f t="shared" si="32"/>
        <v>22</v>
      </c>
      <c r="J13" s="59" t="e">
        <f t="shared" si="33"/>
        <v>#VALUE!</v>
      </c>
      <c r="K13" s="59">
        <f t="shared" si="34"/>
        <v>32</v>
      </c>
      <c r="L13" s="59" t="str">
        <f>IFERROR(VLOOKUP(MID(G13,J13,K13-J13),[5]skilldef!$C:$D,2,FALSE),"-") &amp; " / " &amp; IFERROR(VLOOKUP(MID(G13,H13,I13-H13),[5]skilldef!$A:$B,2,FALSE),"-")</f>
        <v>- / -</v>
      </c>
      <c r="M13" s="59" t="str">
        <f t="shared" si="35"/>
        <v>[effect:heal, target:myself, val:0.2, animation:enemy_heal],[effect:damage_anti_color, target:unit_all, color:blue, val1:0.6, val2:0.25]</v>
      </c>
      <c r="N13" s="44" t="str">
        <f>IFERROR(LEFT(M13,FIND("],",M13)+#REF!),M13)</f>
        <v>[effect:heal, target:myself, val:0.2, animation:enemy_heal],[effect:damage_anti_color, target:unit_all, color:blue, val1:0.6, val2:0.25]</v>
      </c>
      <c r="O13" s="59">
        <f t="shared" si="36"/>
        <v>9</v>
      </c>
      <c r="P13" s="59">
        <f t="shared" si="37"/>
        <v>13</v>
      </c>
      <c r="Q13" s="59">
        <f t="shared" si="38"/>
        <v>22</v>
      </c>
      <c r="R13" s="59">
        <f t="shared" si="39"/>
        <v>28</v>
      </c>
      <c r="S13" s="59" t="str">
        <f>IFERROR(VLOOKUP(MID(N13,Q13,R13-Q13),[5]skilldef!$C:$D,2,FALSE),"-") &amp; " / " &amp; IFERROR(VLOOKUP(MID(N13,O13,P13-O13),[5]skilldef!$A:$B,2,FALSE),"-")</f>
        <v>自分自身に / 回復</v>
      </c>
      <c r="T13" s="44" t="str">
        <f t="shared" si="40"/>
        <v>[effect:damage_anti_color, target:unit_all, color:blue, val1:0.6, val2:0.25]</v>
      </c>
      <c r="U13" s="59">
        <f t="shared" si="41"/>
        <v>9</v>
      </c>
      <c r="V13" s="59">
        <f t="shared" si="42"/>
        <v>26</v>
      </c>
      <c r="W13" s="59">
        <f t="shared" si="43"/>
        <v>35</v>
      </c>
      <c r="X13" s="59">
        <f t="shared" si="44"/>
        <v>43</v>
      </c>
      <c r="Y13" s="59" t="str">
        <f>IFERROR(VLOOKUP(MID(T13,W13,X13-W13),[5]skilldef!$C:$D,2,FALSE),"-") &amp; " / " &amp; IFERROR(VLOOKUP(MID(T13,U13,V13-U13),[5]skilldef!$A:$B,2,FALSE),"-")</f>
        <v>味方全体に / 属性キラー</v>
      </c>
      <c r="Z13" s="46"/>
      <c r="AA13" s="48"/>
      <c r="AB13" s="46"/>
    </row>
    <row r="14" spans="1:28" ht="40" customHeight="1" x14ac:dyDescent="0.15">
      <c r="A14" s="113">
        <v>13400929</v>
      </c>
      <c r="B14" s="113" t="s">
        <v>358</v>
      </c>
      <c r="C14" s="117">
        <v>3</v>
      </c>
      <c r="D14" s="117" t="s">
        <v>196</v>
      </c>
      <c r="E14" s="118" t="s">
        <v>310</v>
      </c>
      <c r="F14" s="118" t="s">
        <v>347</v>
      </c>
      <c r="G14" s="59" t="str">
        <f t="shared" si="30"/>
        <v>[effect:enemy_message, val1:1.2, val2:2.4]</v>
      </c>
      <c r="H14" s="59">
        <f t="shared" si="31"/>
        <v>9</v>
      </c>
      <c r="I14" s="59">
        <f t="shared" si="32"/>
        <v>22</v>
      </c>
      <c r="J14" s="59" t="e">
        <f t="shared" si="33"/>
        <v>#VALUE!</v>
      </c>
      <c r="K14" s="59">
        <f t="shared" si="34"/>
        <v>32</v>
      </c>
      <c r="L14" s="59" t="str">
        <f>IFERROR(VLOOKUP(MID(G14,J14,K14-J14),[5]skilldef!$C:$D,2,FALSE),"-") &amp; " / " &amp; IFERROR(VLOOKUP(MID(G14,H14,I14-H14),[5]skilldef!$A:$B,2,FALSE),"-")</f>
        <v>- / -</v>
      </c>
      <c r="M14" s="59" t="str">
        <f t="shared" si="35"/>
        <v>[effect:heal, target:myself, val:0.2, animation:enemy_heal],[effect:damage_anti_color, target:unit_all, color:blue, val1:0.55, val2:0.2]</v>
      </c>
      <c r="N14" s="44" t="str">
        <f>IFERROR(LEFT(M14,FIND("],",M14)+#REF!),M14)</f>
        <v>[effect:heal, target:myself, val:0.2, animation:enemy_heal],[effect:damage_anti_color, target:unit_all, color:blue, val1:0.55, val2:0.2]</v>
      </c>
      <c r="O14" s="59">
        <f t="shared" si="36"/>
        <v>9</v>
      </c>
      <c r="P14" s="59">
        <f t="shared" si="37"/>
        <v>13</v>
      </c>
      <c r="Q14" s="59">
        <f t="shared" si="38"/>
        <v>22</v>
      </c>
      <c r="R14" s="59">
        <f t="shared" si="39"/>
        <v>28</v>
      </c>
      <c r="S14" s="59" t="str">
        <f>IFERROR(VLOOKUP(MID(N14,Q14,R14-Q14),[5]skilldef!$C:$D,2,FALSE),"-") &amp; " / " &amp; IFERROR(VLOOKUP(MID(N14,O14,P14-O14),[5]skilldef!$A:$B,2,FALSE),"-")</f>
        <v>自分自身に / 回復</v>
      </c>
      <c r="T14" s="44" t="str">
        <f t="shared" si="40"/>
        <v>[effect:damage_anti_color, target:unit_all, color:blue, val1:0.55, val2:0.2]</v>
      </c>
      <c r="U14" s="59">
        <f t="shared" si="41"/>
        <v>9</v>
      </c>
      <c r="V14" s="59">
        <f t="shared" si="42"/>
        <v>26</v>
      </c>
      <c r="W14" s="59">
        <f t="shared" si="43"/>
        <v>35</v>
      </c>
      <c r="X14" s="59">
        <f t="shared" si="44"/>
        <v>43</v>
      </c>
      <c r="Y14" s="59" t="str">
        <f>IFERROR(VLOOKUP(MID(T14,W14,X14-W14),[5]skilldef!$C:$D,2,FALSE),"-") &amp; " / " &amp; IFERROR(VLOOKUP(MID(T14,U14,V14-U14),[5]skilldef!$A:$B,2,FALSE),"-")</f>
        <v>味方全体に / 属性キラー</v>
      </c>
      <c r="Z14" s="46"/>
      <c r="AA14" s="48"/>
      <c r="AB14" s="46"/>
    </row>
    <row r="15" spans="1:28" ht="40" customHeight="1" x14ac:dyDescent="0.15">
      <c r="A15" s="113">
        <v>13400930</v>
      </c>
      <c r="B15" s="113" t="s">
        <v>359</v>
      </c>
      <c r="C15" s="117">
        <v>3</v>
      </c>
      <c r="D15" s="117" t="s">
        <v>196</v>
      </c>
      <c r="E15" s="118" t="s">
        <v>320</v>
      </c>
      <c r="F15" s="118" t="s">
        <v>336</v>
      </c>
      <c r="G15" s="59" t="str">
        <f t="shared" si="30"/>
        <v>[effect:enemy_message, val1:1.9, val2:2.6]</v>
      </c>
      <c r="H15" s="59">
        <f t="shared" si="31"/>
        <v>9</v>
      </c>
      <c r="I15" s="59">
        <f t="shared" si="32"/>
        <v>22</v>
      </c>
      <c r="J15" s="59" t="e">
        <f t="shared" si="33"/>
        <v>#VALUE!</v>
      </c>
      <c r="K15" s="59">
        <f t="shared" si="34"/>
        <v>32</v>
      </c>
      <c r="L15" s="59" t="str">
        <f>IFERROR(VLOOKUP(MID(G15,J15,K15-J15),[5]skilldef!$C:$D,2,FALSE),"-") &amp; " / " &amp; IFERROR(VLOOKUP(MID(G15,H15,I15-H15),[5]skilldef!$A:$B,2,FALSE),"-")</f>
        <v>- / -</v>
      </c>
      <c r="M15" s="59" t="str">
        <f t="shared" si="35"/>
        <v>[effect:degrade_unit, target:unit_all, turn:4, status:heal, val:1.0, calc:mul, animation:degrade_unit_all_heal],[effect:spread, val:0.5]</v>
      </c>
      <c r="N15" s="44" t="str">
        <f>IFERROR(LEFT(M15,FIND("],",M15)+#REF!),M15)</f>
        <v>[effect:degrade_unit, target:unit_all, turn:4, status:heal, val:1.0, calc:mul, animation:degrade_unit_all_heal],[effect:spread, val:0.5]</v>
      </c>
      <c r="O15" s="59">
        <f t="shared" si="36"/>
        <v>9</v>
      </c>
      <c r="P15" s="59">
        <f t="shared" si="37"/>
        <v>21</v>
      </c>
      <c r="Q15" s="59">
        <f t="shared" si="38"/>
        <v>30</v>
      </c>
      <c r="R15" s="59">
        <f t="shared" si="39"/>
        <v>38</v>
      </c>
      <c r="S15" s="59" t="str">
        <f>IFERROR(VLOOKUP(MID(N15,Q15,R15-Q15),[5]skilldef!$C:$D,2,FALSE),"-") &amp; " / " &amp; IFERROR(VLOOKUP(MID(N15,O15,P15-O15),[5]skilldef!$A:$B,2,FALSE),"-")</f>
        <v>味方全体に / ステータスDOWN</v>
      </c>
      <c r="T15" s="44" t="str">
        <f t="shared" si="40"/>
        <v>[effect:spread, val:0.5]</v>
      </c>
      <c r="U15" s="59">
        <f t="shared" si="41"/>
        <v>9</v>
      </c>
      <c r="V15" s="59">
        <f t="shared" si="42"/>
        <v>15</v>
      </c>
      <c r="W15" s="59" t="e">
        <f t="shared" si="43"/>
        <v>#VALUE!</v>
      </c>
      <c r="X15" s="59" t="e">
        <f t="shared" si="44"/>
        <v>#VALUE!</v>
      </c>
      <c r="Y15" s="59" t="str">
        <f>IFERROR(VLOOKUP(MID(T15,W15,X15-W15),[5]skilldef!$C:$D,2,FALSE),"-") &amp; " / " &amp; IFERROR(VLOOKUP(MID(T15,U15,V15-U15),[5]skilldef!$A:$B,2,FALSE),"-")</f>
        <v>- / 全体攻撃</v>
      </c>
      <c r="Z15" s="46"/>
      <c r="AA15" s="48"/>
      <c r="AB15" s="46"/>
    </row>
    <row r="16" spans="1:28" ht="40" customHeight="1" x14ac:dyDescent="0.15">
      <c r="A16" s="113">
        <v>13400931</v>
      </c>
      <c r="B16" s="113" t="s">
        <v>376</v>
      </c>
      <c r="C16" s="117">
        <v>3</v>
      </c>
      <c r="D16" s="117" t="s">
        <v>196</v>
      </c>
      <c r="E16" s="118" t="s">
        <v>320</v>
      </c>
      <c r="F16" s="118" t="s">
        <v>337</v>
      </c>
      <c r="G16" s="59" t="str">
        <f t="shared" si="30"/>
        <v>[effect:enemy_message, val1:1.9, val2:2.6]</v>
      </c>
      <c r="H16" s="59">
        <f t="shared" si="31"/>
        <v>9</v>
      </c>
      <c r="I16" s="59">
        <f t="shared" si="32"/>
        <v>22</v>
      </c>
      <c r="J16" s="59" t="e">
        <f t="shared" si="33"/>
        <v>#VALUE!</v>
      </c>
      <c r="K16" s="59">
        <f t="shared" si="34"/>
        <v>32</v>
      </c>
      <c r="L16" s="59" t="str">
        <f>IFERROR(VLOOKUP(MID(G16,J16,K16-J16),[5]skilldef!$C:$D,2,FALSE),"-") &amp; " / " &amp; IFERROR(VLOOKUP(MID(G16,H16,I16-H16),[5]skilldef!$A:$B,2,FALSE),"-")</f>
        <v>- / -</v>
      </c>
      <c r="M16" s="59" t="str">
        <f t="shared" si="35"/>
        <v>[effect:degrade_unit, target:unit_all, turn:4, status:heal, val:1.0, calc:mul, animation:degrade_unit_all_heal],[effect:spread, val:0.35]</v>
      </c>
      <c r="N16" s="44" t="str">
        <f>IFERROR(LEFT(M16,FIND("],",M16)+#REF!),M16)</f>
        <v>[effect:degrade_unit, target:unit_all, turn:4, status:heal, val:1.0, calc:mul, animation:degrade_unit_all_heal],[effect:spread, val:0.35]</v>
      </c>
      <c r="O16" s="59">
        <f t="shared" si="36"/>
        <v>9</v>
      </c>
      <c r="P16" s="59">
        <f t="shared" si="37"/>
        <v>21</v>
      </c>
      <c r="Q16" s="59">
        <f t="shared" si="38"/>
        <v>30</v>
      </c>
      <c r="R16" s="59">
        <f t="shared" si="39"/>
        <v>38</v>
      </c>
      <c r="S16" s="59" t="str">
        <f>IFERROR(VLOOKUP(MID(N16,Q16,R16-Q16),[5]skilldef!$C:$D,2,FALSE),"-") &amp; " / " &amp; IFERROR(VLOOKUP(MID(N16,O16,P16-O16),[5]skilldef!$A:$B,2,FALSE),"-")</f>
        <v>味方全体に / ステータスDOWN</v>
      </c>
      <c r="T16" s="44" t="str">
        <f t="shared" si="40"/>
        <v>[effect:spread, val:0.35]</v>
      </c>
      <c r="U16" s="59">
        <f t="shared" si="41"/>
        <v>9</v>
      </c>
      <c r="V16" s="59">
        <f t="shared" si="42"/>
        <v>15</v>
      </c>
      <c r="W16" s="59" t="e">
        <f t="shared" si="43"/>
        <v>#VALUE!</v>
      </c>
      <c r="X16" s="59" t="e">
        <f t="shared" si="44"/>
        <v>#VALUE!</v>
      </c>
      <c r="Y16" s="59" t="str">
        <f>IFERROR(VLOOKUP(MID(T16,W16,X16-W16),[5]skilldef!$C:$D,2,FALSE),"-") &amp; " / " &amp; IFERROR(VLOOKUP(MID(T16,U16,V16-U16),[5]skilldef!$A:$B,2,FALSE),"-")</f>
        <v>- / 全体攻撃</v>
      </c>
      <c r="Z16" s="46"/>
      <c r="AA16" s="48"/>
      <c r="AB16" s="46"/>
    </row>
    <row r="17" spans="1:28" ht="40" customHeight="1" x14ac:dyDescent="0.15">
      <c r="A17" s="113">
        <v>13400932</v>
      </c>
      <c r="B17" s="113" t="s">
        <v>375</v>
      </c>
      <c r="C17" s="117">
        <v>3</v>
      </c>
      <c r="D17" s="117" t="s">
        <v>196</v>
      </c>
      <c r="E17" s="118" t="s">
        <v>320</v>
      </c>
      <c r="F17" s="118" t="s">
        <v>338</v>
      </c>
      <c r="G17" s="59" t="str">
        <f t="shared" si="30"/>
        <v>[effect:enemy_message, val1:1.9, val2:2.6]</v>
      </c>
      <c r="H17" s="59">
        <f t="shared" si="31"/>
        <v>9</v>
      </c>
      <c r="I17" s="59">
        <f t="shared" si="32"/>
        <v>22</v>
      </c>
      <c r="J17" s="59" t="e">
        <f t="shared" si="33"/>
        <v>#VALUE!</v>
      </c>
      <c r="K17" s="59">
        <f t="shared" si="34"/>
        <v>32</v>
      </c>
      <c r="L17" s="59" t="str">
        <f>IFERROR(VLOOKUP(MID(G17,J17,K17-J17),[5]skilldef!$C:$D,2,FALSE),"-") &amp; " / " &amp; IFERROR(VLOOKUP(MID(G17,H17,I17-H17),[5]skilldef!$A:$B,2,FALSE),"-")</f>
        <v>- / -</v>
      </c>
      <c r="M17" s="59" t="str">
        <f t="shared" si="35"/>
        <v>[effect:degrade_unit, target:unit_all, turn:4, status:heal, val:1.0, calc:mul, animation:degrade_unit_all_heal],[effect:spread, val:0.25]</v>
      </c>
      <c r="N17" s="44" t="str">
        <f>IFERROR(LEFT(M17,FIND("],",M17)+#REF!),M17)</f>
        <v>[effect:degrade_unit, target:unit_all, turn:4, status:heal, val:1.0, calc:mul, animation:degrade_unit_all_heal],[effect:spread, val:0.25]</v>
      </c>
      <c r="O17" s="59">
        <f t="shared" si="36"/>
        <v>9</v>
      </c>
      <c r="P17" s="59">
        <f t="shared" si="37"/>
        <v>21</v>
      </c>
      <c r="Q17" s="59">
        <f t="shared" si="38"/>
        <v>30</v>
      </c>
      <c r="R17" s="59">
        <f t="shared" si="39"/>
        <v>38</v>
      </c>
      <c r="S17" s="59" t="str">
        <f>IFERROR(VLOOKUP(MID(N17,Q17,R17-Q17),[5]skilldef!$C:$D,2,FALSE),"-") &amp; " / " &amp; IFERROR(VLOOKUP(MID(N17,O17,P17-O17),[5]skilldef!$A:$B,2,FALSE),"-")</f>
        <v>味方全体に / ステータスDOWN</v>
      </c>
      <c r="T17" s="44" t="str">
        <f t="shared" si="40"/>
        <v>[effect:spread, val:0.25]</v>
      </c>
      <c r="U17" s="59">
        <f t="shared" si="41"/>
        <v>9</v>
      </c>
      <c r="V17" s="59">
        <f t="shared" si="42"/>
        <v>15</v>
      </c>
      <c r="W17" s="59" t="e">
        <f t="shared" si="43"/>
        <v>#VALUE!</v>
      </c>
      <c r="X17" s="59" t="e">
        <f t="shared" si="44"/>
        <v>#VALUE!</v>
      </c>
      <c r="Y17" s="59" t="str">
        <f>IFERROR(VLOOKUP(MID(T17,W17,X17-W17),[5]skilldef!$C:$D,2,FALSE),"-") &amp; " / " &amp; IFERROR(VLOOKUP(MID(T17,U17,V17-U17),[5]skilldef!$A:$B,2,FALSE),"-")</f>
        <v>- / 全体攻撃</v>
      </c>
      <c r="Z17" s="46"/>
      <c r="AA17" s="48"/>
      <c r="AB17" s="46"/>
    </row>
    <row r="18" spans="1:28" ht="40" customHeight="1" x14ac:dyDescent="0.15">
      <c r="A18" s="113">
        <v>13400933</v>
      </c>
      <c r="B18" s="113" t="s">
        <v>408</v>
      </c>
      <c r="C18" s="117">
        <v>3</v>
      </c>
      <c r="D18" s="117" t="s">
        <v>196</v>
      </c>
      <c r="E18" s="118" t="s">
        <v>393</v>
      </c>
      <c r="F18" s="118" t="s">
        <v>299</v>
      </c>
      <c r="G18" s="59" t="str">
        <f t="shared" si="30"/>
        <v>[effect:enemy_message, val1:1.3, val2:1.6]</v>
      </c>
      <c r="H18" s="59">
        <f t="shared" si="31"/>
        <v>9</v>
      </c>
      <c r="I18" s="59">
        <f t="shared" si="32"/>
        <v>22</v>
      </c>
      <c r="J18" s="59" t="e">
        <f t="shared" si="33"/>
        <v>#VALUE!</v>
      </c>
      <c r="K18" s="59">
        <f t="shared" si="34"/>
        <v>32</v>
      </c>
      <c r="L18" s="59" t="str">
        <f>IFERROR(VLOOKUP(MID(G18,J18,K18-J18),[5]skilldef!$C:$D,2,FALSE),"-") &amp; " / " &amp; IFERROR(VLOOKUP(MID(G18,H18,I18-H18),[5]skilldef!$A:$B,2,FALSE),"-")</f>
        <v>- / -</v>
      </c>
      <c r="M18" s="59" t="str">
        <f t="shared" si="35"/>
        <v>[effect:virus, target:unit_all, turn:2, rate:1, val:0.35, animation:enemy_virus],[effect:spread, val:0.2]</v>
      </c>
      <c r="N18" s="44" t="str">
        <f>IFERROR(LEFT(M18,FIND("],",M18)+#REF!),M18)</f>
        <v>[effect:virus, target:unit_all, turn:2, rate:1, val:0.35, animation:enemy_virus],[effect:spread, val:0.2]</v>
      </c>
      <c r="O18" s="59">
        <f t="shared" si="36"/>
        <v>9</v>
      </c>
      <c r="P18" s="59">
        <f t="shared" si="37"/>
        <v>14</v>
      </c>
      <c r="Q18" s="59">
        <f t="shared" si="38"/>
        <v>23</v>
      </c>
      <c r="R18" s="59">
        <f t="shared" si="39"/>
        <v>31</v>
      </c>
      <c r="S18" s="59" t="str">
        <f>IFERROR(VLOOKUP(MID(N18,Q18,R18-Q18),[5]skilldef!$C:$D,2,FALSE),"-") &amp; " / " &amp; IFERROR(VLOOKUP(MID(N18,O18,P18-O18),[5]skilldef!$A:$B,2,FALSE),"-")</f>
        <v>味方全体に / ウィルス</v>
      </c>
      <c r="T18" s="44" t="str">
        <f t="shared" si="40"/>
        <v>[effect:spread, val:0.2]</v>
      </c>
      <c r="U18" s="59">
        <f t="shared" si="41"/>
        <v>9</v>
      </c>
      <c r="V18" s="59">
        <f t="shared" si="42"/>
        <v>15</v>
      </c>
      <c r="W18" s="59" t="e">
        <f t="shared" si="43"/>
        <v>#VALUE!</v>
      </c>
      <c r="X18" s="59" t="e">
        <f t="shared" si="44"/>
        <v>#VALUE!</v>
      </c>
      <c r="Y18" s="59" t="str">
        <f>IFERROR(VLOOKUP(MID(T18,W18,X18-W18),[5]skilldef!$C:$D,2,FALSE),"-") &amp; " / " &amp; IFERROR(VLOOKUP(MID(T18,U18,V18-U18),[5]skilldef!$A:$B,2,FALSE),"-")</f>
        <v>- / 全体攻撃</v>
      </c>
      <c r="Z18" s="46"/>
      <c r="AA18" s="48"/>
      <c r="AB18" s="46"/>
    </row>
    <row r="19" spans="1:28" ht="40" customHeight="1" x14ac:dyDescent="0.15">
      <c r="A19" s="113">
        <v>13400934</v>
      </c>
      <c r="B19" s="113" t="s">
        <v>360</v>
      </c>
      <c r="C19" s="117">
        <v>3</v>
      </c>
      <c r="D19" s="117" t="s">
        <v>196</v>
      </c>
      <c r="E19" s="118" t="s">
        <v>315</v>
      </c>
      <c r="F19" s="118" t="s">
        <v>318</v>
      </c>
      <c r="G19" s="59" t="str">
        <f t="shared" si="30"/>
        <v>[effect:enemy_message, val1:1.2, val2:1.9]</v>
      </c>
      <c r="H19" s="59">
        <f t="shared" si="31"/>
        <v>9</v>
      </c>
      <c r="I19" s="59">
        <f t="shared" si="32"/>
        <v>22</v>
      </c>
      <c r="J19" s="59" t="e">
        <f t="shared" si="33"/>
        <v>#VALUE!</v>
      </c>
      <c r="K19" s="59">
        <f t="shared" si="34"/>
        <v>32</v>
      </c>
      <c r="L19" s="59" t="str">
        <f>IFERROR(VLOOKUP(MID(G19,J19,K19-J19),[5]skilldef!$C:$D,2,FALSE),"-") &amp; " / " &amp; IFERROR(VLOOKUP(MID(G19,H19,I19-H19),[5]skilldef!$A:$B,2,FALSE),"-")</f>
        <v>- / -</v>
      </c>
      <c r="M19" s="59" t="str">
        <f t="shared" si="35"/>
        <v>[effect:damage_anti_abnormal, target:unit_all, target_effect01:virus, val1:0.01, val2:0.35]</v>
      </c>
      <c r="N19" s="44" t="str">
        <f>IFERROR(LEFT(M19,FIND("],",M19)+#REF!),M19)</f>
        <v>[effect:damage_anti_abnormal, target:unit_all, target_effect01:virus, val1:0.01, val2:0.35]</v>
      </c>
      <c r="O19" s="59">
        <f t="shared" si="36"/>
        <v>9</v>
      </c>
      <c r="P19" s="59">
        <f t="shared" si="37"/>
        <v>29</v>
      </c>
      <c r="Q19" s="59">
        <f t="shared" si="38"/>
        <v>38</v>
      </c>
      <c r="R19" s="59">
        <f t="shared" si="39"/>
        <v>46</v>
      </c>
      <c r="S19" s="59" t="str">
        <f>IFERROR(VLOOKUP(MID(N19,Q19,R19-Q19),[5]skilldef!$C:$D,2,FALSE),"-") &amp; " / " &amp; IFERROR(VLOOKUP(MID(N19,O19,P19-O19),[5]skilldef!$A:$B,2,FALSE),"-")</f>
        <v>味方全体に / -</v>
      </c>
      <c r="T19" s="44" t="str">
        <f t="shared" si="40"/>
        <v>none</v>
      </c>
      <c r="U19" s="59" t="e">
        <f t="shared" si="41"/>
        <v>#VALUE!</v>
      </c>
      <c r="V19" s="59">
        <f t="shared" si="42"/>
        <v>4</v>
      </c>
      <c r="W19" s="59" t="e">
        <f t="shared" si="43"/>
        <v>#VALUE!</v>
      </c>
      <c r="X19" s="59" t="e">
        <f t="shared" si="44"/>
        <v>#VALUE!</v>
      </c>
      <c r="Y19" s="59" t="str">
        <f>IFERROR(VLOOKUP(MID(T19,W19,X19-W19),[5]skilldef!$C:$D,2,FALSE),"-") &amp; " / " &amp; IFERROR(VLOOKUP(MID(T19,U19,V19-U19),[5]skilldef!$A:$B,2,FALSE),"-")</f>
        <v>- / -</v>
      </c>
      <c r="Z19" s="46"/>
      <c r="AA19" s="48"/>
      <c r="AB19" s="46"/>
    </row>
    <row r="20" spans="1:28" ht="40" customHeight="1" x14ac:dyDescent="0.15">
      <c r="A20" s="113">
        <v>13400935</v>
      </c>
      <c r="B20" s="113" t="s">
        <v>288</v>
      </c>
      <c r="C20" s="117">
        <v>3</v>
      </c>
      <c r="D20" s="117" t="s">
        <v>196</v>
      </c>
      <c r="E20" s="118" t="s">
        <v>392</v>
      </c>
      <c r="F20" s="118" t="s">
        <v>285</v>
      </c>
      <c r="G20" s="59" t="str">
        <f t="shared" si="30"/>
        <v>[effect:enemy_message, val1:1.2, val2:1.5]</v>
      </c>
      <c r="H20" s="59">
        <f t="shared" si="31"/>
        <v>9</v>
      </c>
      <c r="I20" s="59">
        <f t="shared" si="32"/>
        <v>22</v>
      </c>
      <c r="J20" s="59" t="e">
        <f t="shared" si="33"/>
        <v>#VALUE!</v>
      </c>
      <c r="K20" s="59">
        <f t="shared" si="34"/>
        <v>32</v>
      </c>
      <c r="L20" s="59" t="str">
        <f>IFERROR(VLOOKUP(MID(G20,J20,K20-J20),[5]skilldef!$C:$D,2,FALSE),"-") &amp; " / " &amp; IFERROR(VLOOKUP(MID(G20,H20,I20-H20),[5]skilldef!$A:$B,2,FALSE),"-")</f>
        <v>- / -</v>
      </c>
      <c r="M20" s="59" t="str">
        <f t="shared" si="35"/>
        <v xml:space="preserve">[effect:break_attack, target:unit_all, val:0.025, lowest_val:2000, count:-1, color:red, block01:jammer]    </v>
      </c>
      <c r="N20" s="44" t="str">
        <f>IFERROR(LEFT(M20,FIND("],",M20)+#REF!),M20)</f>
        <v xml:space="preserve">[effect:break_attack, target:unit_all, val:0.025, lowest_val:2000, count:-1, color:red, block01:jammer]    </v>
      </c>
      <c r="O20" s="59">
        <f t="shared" si="36"/>
        <v>9</v>
      </c>
      <c r="P20" s="59">
        <f t="shared" si="37"/>
        <v>21</v>
      </c>
      <c r="Q20" s="59">
        <f t="shared" si="38"/>
        <v>30</v>
      </c>
      <c r="R20" s="59">
        <f t="shared" si="39"/>
        <v>38</v>
      </c>
      <c r="S20" s="59" t="str">
        <f>IFERROR(VLOOKUP(MID(N20,Q20,R20-Q20),[5]skilldef!$C:$D,2,FALSE),"-") &amp; " / " &amp; IFERROR(VLOOKUP(MID(N20,O20,P20-O20),[5]skilldef!$A:$B,2,FALSE),"-")</f>
        <v>味方全体に / -</v>
      </c>
      <c r="T20" s="44" t="str">
        <f t="shared" si="40"/>
        <v>none</v>
      </c>
      <c r="U20" s="59" t="e">
        <f t="shared" si="41"/>
        <v>#VALUE!</v>
      </c>
      <c r="V20" s="59">
        <f t="shared" si="42"/>
        <v>4</v>
      </c>
      <c r="W20" s="59" t="e">
        <f t="shared" si="43"/>
        <v>#VALUE!</v>
      </c>
      <c r="X20" s="59" t="e">
        <f t="shared" si="44"/>
        <v>#VALUE!</v>
      </c>
      <c r="Y20" s="59" t="str">
        <f>IFERROR(VLOOKUP(MID(T20,W20,X20-W20),[5]skilldef!$C:$D,2,FALSE),"-") &amp; " / " &amp; IFERROR(VLOOKUP(MID(T20,U20,V20-U20),[5]skilldef!$A:$B,2,FALSE),"-")</f>
        <v>- / -</v>
      </c>
      <c r="Z20" s="46"/>
      <c r="AA20" s="48"/>
      <c r="AB20" s="46"/>
    </row>
    <row r="21" spans="1:28" ht="40" customHeight="1" x14ac:dyDescent="0.15">
      <c r="A21" s="113">
        <v>13400936</v>
      </c>
      <c r="B21" s="113" t="s">
        <v>388</v>
      </c>
      <c r="C21" s="117">
        <v>3</v>
      </c>
      <c r="D21" s="117" t="s">
        <v>196</v>
      </c>
      <c r="E21" s="118" t="s">
        <v>432</v>
      </c>
      <c r="F21" s="118" t="s">
        <v>339</v>
      </c>
      <c r="G21" s="59" t="str">
        <f t="shared" ref="G21" si="45">IFERROR(LEFT(B21,FIND("],",B21)),B21)</f>
        <v>[effect:enemy_message, val1:1.4, val2:2.6]</v>
      </c>
      <c r="H21" s="59">
        <f t="shared" ref="H21" si="46">FIND("effect:",G21)+7</f>
        <v>9</v>
      </c>
      <c r="I21" s="59">
        <f t="shared" ref="I21" si="47">IFERROR(FIND(",",G21),LEN(G21))</f>
        <v>22</v>
      </c>
      <c r="J21" s="59" t="e">
        <f t="shared" ref="J21" si="48">FIND("target:",G21)+7</f>
        <v>#VALUE!</v>
      </c>
      <c r="K21" s="59">
        <f t="shared" ref="K21" si="49">FIND(",",G21,I21+1)</f>
        <v>32</v>
      </c>
      <c r="L21" s="59" t="str">
        <f>IFERROR(VLOOKUP(MID(G21,J21,K21-J21),[5]skilldef!$C:$D,2,FALSE),"-") &amp; " / " &amp; IFERROR(VLOOKUP(MID(G21,H21,I21-H21),[5]skilldef!$A:$B,2,FALSE),"-")</f>
        <v>- / -</v>
      </c>
      <c r="M21" s="59" t="str">
        <f t="shared" ref="M21" si="50">IFERROR(RIGHT(B21,LEN(B21)-FIND("],",B21)-1),"none")</f>
        <v>[effect:degrade_unit, target:unit_all, turn:2, status:heal, val:1.0, calc:mul, animation:degrade_unit_all_heal],[effect:spread, val:0.25]</v>
      </c>
      <c r="N21" s="44" t="str">
        <f>IFERROR(LEFT(M21,FIND("],",M21)+#REF!),M21)</f>
        <v>[effect:degrade_unit, target:unit_all, turn:2, status:heal, val:1.0, calc:mul, animation:degrade_unit_all_heal],[effect:spread, val:0.25]</v>
      </c>
      <c r="O21" s="59">
        <f t="shared" ref="O21" si="51">FIND("effect:",N21)+7</f>
        <v>9</v>
      </c>
      <c r="P21" s="59">
        <f t="shared" ref="P21" si="52">IFERROR(FIND(",",N21),LEN(N21))</f>
        <v>21</v>
      </c>
      <c r="Q21" s="59">
        <f t="shared" ref="Q21" si="53">FIND("target:",N21)+7</f>
        <v>30</v>
      </c>
      <c r="R21" s="59">
        <f t="shared" ref="R21" si="54">FIND(",",N21,P21+1)</f>
        <v>38</v>
      </c>
      <c r="S21" s="59" t="str">
        <f>IFERROR(VLOOKUP(MID(N21,Q21,R21-Q21),[5]skilldef!$C:$D,2,FALSE),"-") &amp; " / " &amp; IFERROR(VLOOKUP(MID(N21,O21,P21-O21),[5]skilldef!$A:$B,2,FALSE),"-")</f>
        <v>味方全体に / ステータスDOWN</v>
      </c>
      <c r="T21" s="44" t="str">
        <f t="shared" ref="T21" si="55">IFERROR(RIGHT(M21,LEN(M21)-FIND("],",M21)-1),"none")</f>
        <v>[effect:spread, val:0.25]</v>
      </c>
      <c r="U21" s="59">
        <f t="shared" ref="U21" si="56">FIND("effect:",T21)+7</f>
        <v>9</v>
      </c>
      <c r="V21" s="59">
        <f t="shared" ref="V21" si="57">IFERROR(FIND(",",T21),LEN(T21))</f>
        <v>15</v>
      </c>
      <c r="W21" s="59" t="e">
        <f t="shared" ref="W21" si="58">FIND("target:",T21)+7</f>
        <v>#VALUE!</v>
      </c>
      <c r="X21" s="59" t="e">
        <f t="shared" ref="X21" si="59">FIND(",",T21,V21+1)</f>
        <v>#VALUE!</v>
      </c>
      <c r="Y21" s="59" t="str">
        <f>IFERROR(VLOOKUP(MID(T21,W21,X21-W21),[5]skilldef!$C:$D,2,FALSE),"-") &amp; " / " &amp; IFERROR(VLOOKUP(MID(T21,U21,V21-U21),[5]skilldef!$A:$B,2,FALSE),"-")</f>
        <v>- / 全体攻撃</v>
      </c>
      <c r="Z21" s="46"/>
      <c r="AA21" s="48"/>
      <c r="AB21" s="46"/>
    </row>
    <row r="22" spans="1:28" ht="40" customHeight="1" x14ac:dyDescent="0.15">
      <c r="A22" s="113">
        <v>13400937</v>
      </c>
      <c r="B22" s="113" t="s">
        <v>361</v>
      </c>
      <c r="C22" s="117">
        <v>3</v>
      </c>
      <c r="D22" s="117" t="s">
        <v>196</v>
      </c>
      <c r="E22" s="118" t="s">
        <v>406</v>
      </c>
      <c r="F22" s="118" t="s">
        <v>349</v>
      </c>
      <c r="G22" s="59" t="str">
        <f t="shared" si="30"/>
        <v>[effect:enemy_message, val1:1.2, val2:1.9]</v>
      </c>
      <c r="H22" s="59">
        <f t="shared" si="31"/>
        <v>9</v>
      </c>
      <c r="I22" s="59">
        <f t="shared" si="32"/>
        <v>22</v>
      </c>
      <c r="J22" s="59" t="e">
        <f t="shared" si="33"/>
        <v>#VALUE!</v>
      </c>
      <c r="K22" s="59">
        <f t="shared" si="34"/>
        <v>32</v>
      </c>
      <c r="L22" s="59" t="str">
        <f>IFERROR(VLOOKUP(MID(G22,J22,K22-J22),[5]skilldef!$C:$D,2,FALSE),"-") &amp; " / " &amp; IFERROR(VLOOKUP(MID(G22,H22,I22-H22),[5]skilldef!$A:$B,2,FALSE),"-")</f>
        <v>- / -</v>
      </c>
      <c r="M22" s="59" t="str">
        <f t="shared" si="35"/>
        <v>[effect:damage_anti_color, target:unit_all, color:blue, val1:0.5, val2:0.25]</v>
      </c>
      <c r="N22" s="44" t="str">
        <f>IFERROR(LEFT(M22,FIND("],",M22)+#REF!),M22)</f>
        <v>[effect:damage_anti_color, target:unit_all, color:blue, val1:0.5, val2:0.25]</v>
      </c>
      <c r="O22" s="59">
        <f t="shared" si="36"/>
        <v>9</v>
      </c>
      <c r="P22" s="59">
        <f t="shared" si="37"/>
        <v>26</v>
      </c>
      <c r="Q22" s="59">
        <f t="shared" si="38"/>
        <v>35</v>
      </c>
      <c r="R22" s="59">
        <f t="shared" si="39"/>
        <v>43</v>
      </c>
      <c r="S22" s="59" t="str">
        <f>IFERROR(VLOOKUP(MID(N22,Q22,R22-Q22),[5]skilldef!$C:$D,2,FALSE),"-") &amp; " / " &amp; IFERROR(VLOOKUP(MID(N22,O22,P22-O22),[5]skilldef!$A:$B,2,FALSE),"-")</f>
        <v>味方全体に / 属性キラー</v>
      </c>
      <c r="T22" s="44" t="str">
        <f t="shared" si="40"/>
        <v>none</v>
      </c>
      <c r="U22" s="59" t="e">
        <f t="shared" si="41"/>
        <v>#VALUE!</v>
      </c>
      <c r="V22" s="59">
        <f t="shared" si="42"/>
        <v>4</v>
      </c>
      <c r="W22" s="59" t="e">
        <f t="shared" si="43"/>
        <v>#VALUE!</v>
      </c>
      <c r="X22" s="59" t="e">
        <f t="shared" si="44"/>
        <v>#VALUE!</v>
      </c>
      <c r="Y22" s="59" t="str">
        <f>IFERROR(VLOOKUP(MID(T22,W22,X22-W22),[5]skilldef!$C:$D,2,FALSE),"-") &amp; " / " &amp; IFERROR(VLOOKUP(MID(T22,U22,V22-U22),[5]skilldef!$A:$B,2,FALSE),"-")</f>
        <v>- / -</v>
      </c>
      <c r="Z22" s="46"/>
      <c r="AA22" s="48"/>
      <c r="AB22" s="46"/>
    </row>
    <row r="23" spans="1:28" ht="40" customHeight="1" x14ac:dyDescent="0.15">
      <c r="A23" s="113">
        <v>13400938</v>
      </c>
      <c r="B23" s="113" t="s">
        <v>426</v>
      </c>
      <c r="C23" s="117">
        <v>3</v>
      </c>
      <c r="D23" s="117" t="s">
        <v>196</v>
      </c>
      <c r="E23" s="118" t="s">
        <v>427</v>
      </c>
      <c r="F23" s="118" t="s">
        <v>399</v>
      </c>
      <c r="G23" s="59" t="str">
        <f t="shared" ref="G23:G25" si="60">IFERROR(LEFT(B23,FIND("],",B23)),B23)</f>
        <v>[effect:enemy_message, val1:1.8, val2:5.8]</v>
      </c>
      <c r="H23" s="59">
        <f t="shared" ref="H23:H25" si="61">FIND("effect:",G23)+7</f>
        <v>9</v>
      </c>
      <c r="I23" s="59">
        <f t="shared" ref="I23:I25" si="62">IFERROR(FIND(",",G23),LEN(G23))</f>
        <v>22</v>
      </c>
      <c r="J23" s="59" t="e">
        <f t="shared" ref="J23:J25" si="63">FIND("target:",G23)+7</f>
        <v>#VALUE!</v>
      </c>
      <c r="K23" s="59">
        <f t="shared" ref="K23:K25" si="64">FIND(",",G23,I23+1)</f>
        <v>32</v>
      </c>
      <c r="L23" s="59" t="str">
        <f>IFERROR(VLOOKUP(MID(G23,J23,K23-J23),[5]skilldef!$C:$D,2,FALSE),"-") &amp; " / " &amp; IFERROR(VLOOKUP(MID(G23,H23,I23-H23),[5]skilldef!$A:$B,2,FALSE),"-")</f>
        <v>- / -</v>
      </c>
      <c r="M23" s="59" t="str">
        <f t="shared" ref="M23:M25" si="65">IFERROR(RIGHT(B23,LEN(B23)-FIND("],",B23)-1),"none")</f>
        <v>[effect:attack_break, target:unit_all, turn:2, val:0.8, calc:mul, animation:attack_break02],[effect:enhance_enemy, target:myself, turn:-1, status:defense, val:65535, calc:add, animation:enemy_enhance_defense],[effect:time_limit, target:unit_all, turn:2, count:10, animation:enemy_time_limit]</v>
      </c>
      <c r="N23" s="44" t="str">
        <f>IFERROR(LEFT(M23,FIND("],",M23)+#REF!),M23)</f>
        <v>[effect:attack_break, target:unit_all, turn:2, val:0.8, calc:mul, animation:attack_break02],[effect:enhance_enemy, target:myself, turn:-1, status:defense, val:65535, calc:add, animation:enemy_enhance_defense],[effect:time_limit, target:unit_all, turn:2, count:10, animation:enemy_time_limit]</v>
      </c>
      <c r="O23" s="59">
        <f t="shared" ref="O23:O25" si="66">FIND("effect:",N23)+7</f>
        <v>9</v>
      </c>
      <c r="P23" s="59">
        <f t="shared" ref="P23:P25" si="67">IFERROR(FIND(",",N23),LEN(N23))</f>
        <v>21</v>
      </c>
      <c r="Q23" s="59">
        <f t="shared" ref="Q23:Q25" si="68">FIND("target:",N23)+7</f>
        <v>30</v>
      </c>
      <c r="R23" s="59">
        <f t="shared" ref="R23:R25" si="69">FIND(",",N23,P23+1)</f>
        <v>38</v>
      </c>
      <c r="S23" s="59" t="str">
        <f>IFERROR(VLOOKUP(MID(N23,Q23,R23-Q23),[5]skilldef!$C:$D,2,FALSE),"-") &amp; " / " &amp; IFERROR(VLOOKUP(MID(N23,O23,P23-O23),[5]skilldef!$A:$B,2,FALSE),"-")</f>
        <v>味方全体に / -</v>
      </c>
      <c r="T23" s="44" t="str">
        <f t="shared" ref="T23:T25" si="70">IFERROR(RIGHT(M23,LEN(M23)-FIND("],",M23)-1),"none")</f>
        <v>[effect:enhance_enemy, target:myself, turn:-1, status:defense, val:65535, calc:add, animation:enemy_enhance_defense],[effect:time_limit, target:unit_all, turn:2, count:10, animation:enemy_time_limit]</v>
      </c>
      <c r="U23" s="59">
        <f t="shared" ref="U23:U25" si="71">FIND("effect:",T23)+7</f>
        <v>9</v>
      </c>
      <c r="V23" s="59">
        <f t="shared" ref="V23:V25" si="72">IFERROR(FIND(",",T23),LEN(T23))</f>
        <v>22</v>
      </c>
      <c r="W23" s="59">
        <f t="shared" ref="W23:W25" si="73">FIND("target:",T23)+7</f>
        <v>31</v>
      </c>
      <c r="X23" s="59">
        <f t="shared" ref="X23:X25" si="74">FIND(",",T23,V23+1)</f>
        <v>37</v>
      </c>
      <c r="Y23" s="59" t="str">
        <f>IFERROR(VLOOKUP(MID(T23,W23,X23-W23),[5]skilldef!$C:$D,2,FALSE),"-") &amp; " / " &amp; IFERROR(VLOOKUP(MID(T23,U23,V23-U23),[5]skilldef!$A:$B,2,FALSE),"-")</f>
        <v>自分自身に / ステータス強化</v>
      </c>
      <c r="Z23" s="46"/>
      <c r="AA23" s="48"/>
      <c r="AB23" s="46"/>
    </row>
    <row r="24" spans="1:28" ht="40" customHeight="1" x14ac:dyDescent="0.15">
      <c r="A24" s="113">
        <v>13400939</v>
      </c>
      <c r="B24" s="113" t="s">
        <v>418</v>
      </c>
      <c r="C24" s="117">
        <v>3</v>
      </c>
      <c r="D24" s="117" t="s">
        <v>196</v>
      </c>
      <c r="E24" s="118" t="s">
        <v>400</v>
      </c>
      <c r="F24" s="118" t="s">
        <v>340</v>
      </c>
      <c r="G24" s="59" t="str">
        <f t="shared" si="60"/>
        <v>[effect:enemy_message, val1:1.4, val2:4.3]</v>
      </c>
      <c r="H24" s="59">
        <f t="shared" si="61"/>
        <v>9</v>
      </c>
      <c r="I24" s="59">
        <f t="shared" si="62"/>
        <v>22</v>
      </c>
      <c r="J24" s="59" t="e">
        <f t="shared" si="63"/>
        <v>#VALUE!</v>
      </c>
      <c r="K24" s="59">
        <f t="shared" si="64"/>
        <v>32</v>
      </c>
      <c r="L24" s="59" t="str">
        <f>IFERROR(VLOOKUP(MID(G24,J24,K24-J24),[5]skilldef!$C:$D,2,FALSE),"-") &amp; " / " &amp; IFERROR(VLOOKUP(MID(G24,H24,I24-H24),[5]skilldef!$A:$B,2,FALSE),"-")</f>
        <v>- / -</v>
      </c>
      <c r="M24" s="59" t="str">
        <f t="shared" si="65"/>
        <v>[effect:degrade_unit, target:unit_all, turn:2, status:heal, val:1.0, calc:mul, animation:degrade_unit_all_heal],[effect:critical, val:1.2, animation:enemy_critical]</v>
      </c>
      <c r="N24" s="44" t="str">
        <f>IFERROR(LEFT(M24,FIND("],",M24)+#REF!),M24)</f>
        <v>[effect:degrade_unit, target:unit_all, turn:2, status:heal, val:1.0, calc:mul, animation:degrade_unit_all_heal],[effect:critical, val:1.2, animation:enemy_critical]</v>
      </c>
      <c r="O24" s="59">
        <f t="shared" si="66"/>
        <v>9</v>
      </c>
      <c r="P24" s="59">
        <f t="shared" si="67"/>
        <v>21</v>
      </c>
      <c r="Q24" s="59">
        <f t="shared" si="68"/>
        <v>30</v>
      </c>
      <c r="R24" s="59">
        <f t="shared" si="69"/>
        <v>38</v>
      </c>
      <c r="S24" s="59" t="str">
        <f>IFERROR(VLOOKUP(MID(N24,Q24,R24-Q24),[5]skilldef!$C:$D,2,FALSE),"-") &amp; " / " &amp; IFERROR(VLOOKUP(MID(N24,O24,P24-O24),[5]skilldef!$A:$B,2,FALSE),"-")</f>
        <v>味方全体に / ステータスDOWN</v>
      </c>
      <c r="T24" s="44" t="str">
        <f t="shared" si="70"/>
        <v>[effect:critical, val:1.2, animation:enemy_critical]</v>
      </c>
      <c r="U24" s="59">
        <f t="shared" si="71"/>
        <v>9</v>
      </c>
      <c r="V24" s="59">
        <f t="shared" si="72"/>
        <v>17</v>
      </c>
      <c r="W24" s="59" t="e">
        <f t="shared" si="73"/>
        <v>#VALUE!</v>
      </c>
      <c r="X24" s="59">
        <f t="shared" si="74"/>
        <v>26</v>
      </c>
      <c r="Y24" s="59" t="str">
        <f>IFERROR(VLOOKUP(MID(T24,W24,X24-W24),[5]skilldef!$C:$D,2,FALSE),"-") &amp; " / " &amp; IFERROR(VLOOKUP(MID(T24,U24,V24-U24),[5]skilldef!$A:$B,2,FALSE),"-")</f>
        <v>- / 大攻撃</v>
      </c>
      <c r="Z24" s="46"/>
      <c r="AA24" s="48"/>
      <c r="AB24" s="46"/>
    </row>
    <row r="25" spans="1:28" ht="40" customHeight="1" x14ac:dyDescent="0.15">
      <c r="A25" s="113">
        <v>13400940</v>
      </c>
      <c r="B25" s="113" t="s">
        <v>362</v>
      </c>
      <c r="C25" s="117">
        <v>3</v>
      </c>
      <c r="D25" s="117" t="s">
        <v>307</v>
      </c>
      <c r="E25" s="118" t="s">
        <v>317</v>
      </c>
      <c r="F25" s="119" t="s">
        <v>385</v>
      </c>
      <c r="G25" s="59" t="str">
        <f t="shared" si="60"/>
        <v>[effect:enemy_message, val1:1.6, val2:1.2]</v>
      </c>
      <c r="H25" s="59">
        <f t="shared" si="61"/>
        <v>9</v>
      </c>
      <c r="I25" s="59">
        <f t="shared" si="62"/>
        <v>22</v>
      </c>
      <c r="J25" s="59" t="e">
        <f t="shared" si="63"/>
        <v>#VALUE!</v>
      </c>
      <c r="K25" s="59">
        <f t="shared" si="64"/>
        <v>32</v>
      </c>
      <c r="L25" s="59" t="str">
        <f>IFERROR(VLOOKUP(MID(G25,J25,K25-J25),[5]skilldef!$C:$D,2,FALSE),"-") &amp; " / " &amp; IFERROR(VLOOKUP(MID(G25,H25,I25-H25),[5]skilldef!$A:$B,2,FALSE),"-")</f>
        <v>- / -</v>
      </c>
      <c r="M25" s="59" t="str">
        <f t="shared" si="65"/>
        <v>[effect:spread, val:2.0],[effect:spread, val:2.0],[effect:spread, val:2.0],[effect:spread, val:2.0],[effect:spread, val:2.0]</v>
      </c>
      <c r="N25" s="44" t="str">
        <f>IFERROR(LEFT(M25,FIND("],",M25)+#REF!),M25)</f>
        <v>[effect:spread, val:2.0],[effect:spread, val:2.0],[effect:spread, val:2.0],[effect:spread, val:2.0],[effect:spread, val:2.0]</v>
      </c>
      <c r="O25" s="59">
        <f t="shared" si="66"/>
        <v>9</v>
      </c>
      <c r="P25" s="59">
        <f t="shared" si="67"/>
        <v>15</v>
      </c>
      <c r="Q25" s="59" t="e">
        <f t="shared" si="68"/>
        <v>#VALUE!</v>
      </c>
      <c r="R25" s="59">
        <f t="shared" si="69"/>
        <v>25</v>
      </c>
      <c r="S25" s="59" t="str">
        <f>IFERROR(VLOOKUP(MID(N25,Q25,R25-Q25),[5]skilldef!$C:$D,2,FALSE),"-") &amp; " / " &amp; IFERROR(VLOOKUP(MID(N25,O25,P25-O25),[5]skilldef!$A:$B,2,FALSE),"-")</f>
        <v>- / 全体攻撃</v>
      </c>
      <c r="T25" s="44" t="str">
        <f t="shared" si="70"/>
        <v>[effect:spread, val:2.0],[effect:spread, val:2.0],[effect:spread, val:2.0],[effect:spread, val:2.0]</v>
      </c>
      <c r="U25" s="59">
        <f t="shared" si="71"/>
        <v>9</v>
      </c>
      <c r="V25" s="59">
        <f t="shared" si="72"/>
        <v>15</v>
      </c>
      <c r="W25" s="59" t="e">
        <f t="shared" si="73"/>
        <v>#VALUE!</v>
      </c>
      <c r="X25" s="59">
        <f t="shared" si="74"/>
        <v>25</v>
      </c>
      <c r="Y25" s="59" t="str">
        <f>IFERROR(VLOOKUP(MID(T25,W25,X25-W25),[5]skilldef!$C:$D,2,FALSE),"-") &amp; " / " &amp; IFERROR(VLOOKUP(MID(T25,U25,V25-U25),[5]skilldef!$A:$B,2,FALSE),"-")</f>
        <v>- / 全体攻撃</v>
      </c>
      <c r="Z25" s="46"/>
      <c r="AA25" s="48"/>
      <c r="AB25" s="46"/>
    </row>
    <row r="26" spans="1:28" ht="40" customHeight="1" x14ac:dyDescent="0.15">
      <c r="A26" s="43">
        <v>13400951</v>
      </c>
      <c r="B26" s="43" t="s">
        <v>409</v>
      </c>
      <c r="C26" s="46">
        <v>3</v>
      </c>
      <c r="D26" s="46" t="s">
        <v>252</v>
      </c>
      <c r="E26" s="116" t="s">
        <v>394</v>
      </c>
      <c r="F26" s="116" t="s">
        <v>298</v>
      </c>
      <c r="G26" s="59" t="str">
        <f t="shared" ref="G26:G27" si="75">IFERROR(LEFT(B26,FIND("],",B26)),B26)</f>
        <v>[effect:enemy_message, val1:2.1, val2:3.4]</v>
      </c>
      <c r="H26" s="59">
        <f t="shared" si="16"/>
        <v>9</v>
      </c>
      <c r="I26" s="59">
        <f t="shared" ref="I26:I27" si="76">IFERROR(FIND(",",G26),LEN(G26))</f>
        <v>22</v>
      </c>
      <c r="J26" s="59" t="e">
        <f t="shared" ref="J26:J27" si="77">FIND("target:",G26)+7</f>
        <v>#VALUE!</v>
      </c>
      <c r="K26" s="59">
        <f t="shared" ref="K26:K27" si="78">FIND(",",G26,I26+1)</f>
        <v>32</v>
      </c>
      <c r="L26" s="59" t="str">
        <f>IFERROR(VLOOKUP(MID(G26,J26,K26-J26),[5]skilldef!$C:$D,2,FALSE),"-") &amp; " / " &amp; IFERROR(VLOOKUP(MID(G26,H26,I26-H26),[5]skilldef!$A:$B,2,FALSE),"-")</f>
        <v>- / -</v>
      </c>
      <c r="M26" s="59" t="str">
        <f t="shared" ref="M26:M27" si="79">IFERROR(RIGHT(B26,LEN(B26)-FIND("],",B26)-1),"none")</f>
        <v>[effect:reduction, target:myself, reduction_target:unit_blue/not, turn:-1, val:0.9, animation:reduction_one03],[effect:remove_enhancement, target:unit_all, target_effect:all, target_type:buff, animation:frozen_wave],[effect:tolerance, target:myself, turn:-1, count:-1, tolerance_effect:all, animation:enemy_tolerance],[effect:fix_speed, target:myself, turn:1]</v>
      </c>
      <c r="N26" s="44" t="str">
        <f>IFERROR(LEFT(M26,FIND("],",M26)+#REF!),M26)</f>
        <v>[effect:reduction, target:myself, reduction_target:unit_blue/not, turn:-1, val:0.9, animation:reduction_one03],[effect:remove_enhancement, target:unit_all, target_effect:all, target_type:buff, animation:frozen_wave],[effect:tolerance, target:myself, turn:-1, count:-1, tolerance_effect:all, animation:enemy_tolerance],[effect:fix_speed, target:myself, turn:1]</v>
      </c>
      <c r="O26" s="59">
        <f t="shared" si="21"/>
        <v>9</v>
      </c>
      <c r="P26" s="59">
        <f t="shared" ref="P26:P27" si="80">IFERROR(FIND(",",N26),LEN(N26))</f>
        <v>18</v>
      </c>
      <c r="Q26" s="59">
        <f t="shared" ref="Q26:Q27" si="81">FIND("target:",N26)+7</f>
        <v>27</v>
      </c>
      <c r="R26" s="59">
        <f t="shared" ref="R26:R27" si="82">FIND(",",N26,P26+1)</f>
        <v>33</v>
      </c>
      <c r="S26" s="59" t="str">
        <f>IFERROR(VLOOKUP(MID(N26,Q26,R26-Q26),[5]skilldef!$C:$D,2,FALSE),"-") &amp; " / " &amp; IFERROR(VLOOKUP(MID(N26,O26,P26-O26),[5]skilldef!$A:$B,2,FALSE),"-")</f>
        <v>自分自身に / -</v>
      </c>
      <c r="T26" s="44" t="str">
        <f t="shared" ref="T26:T27" si="83">IFERROR(RIGHT(M26,LEN(M26)-FIND("],",M26)-1),"none")</f>
        <v>[effect:remove_enhancement, target:unit_all, target_effect:all, target_type:buff, animation:frozen_wave],[effect:tolerance, target:myself, turn:-1, count:-1, tolerance_effect:all, animation:enemy_tolerance],[effect:fix_speed, target:myself, turn:1]</v>
      </c>
      <c r="U26" s="59">
        <f t="shared" si="26"/>
        <v>9</v>
      </c>
      <c r="V26" s="59">
        <f t="shared" ref="V26:V27" si="84">IFERROR(FIND(",",T26),LEN(T26))</f>
        <v>27</v>
      </c>
      <c r="W26" s="59">
        <f t="shared" ref="W26:W27" si="85">FIND("target:",T26)+7</f>
        <v>36</v>
      </c>
      <c r="X26" s="59">
        <f t="shared" ref="X26:X27" si="86">FIND(",",T26,V26+1)</f>
        <v>44</v>
      </c>
      <c r="Y26" s="59" t="str">
        <f>IFERROR(VLOOKUP(MID(T26,W26,X26-W26),[5]skilldef!$C:$D,2,FALSE),"-") &amp; " / " &amp; IFERROR(VLOOKUP(MID(T26,U26,V26-U26),[5]skilldef!$A:$B,2,FALSE),"-")</f>
        <v>味方全体に / -</v>
      </c>
      <c r="Z26" s="46"/>
      <c r="AA26" s="48"/>
      <c r="AB26" s="46"/>
    </row>
    <row r="27" spans="1:28" ht="40" customHeight="1" x14ac:dyDescent="0.15">
      <c r="A27" s="43">
        <v>13400952</v>
      </c>
      <c r="B27" s="43" t="s">
        <v>410</v>
      </c>
      <c r="C27" s="46">
        <v>3</v>
      </c>
      <c r="D27" s="46" t="s">
        <v>252</v>
      </c>
      <c r="E27" s="47" t="s">
        <v>395</v>
      </c>
      <c r="F27" s="47" t="s">
        <v>341</v>
      </c>
      <c r="G27" s="59" t="str">
        <f t="shared" si="75"/>
        <v>[effect:enemy_message, val1:1.6, val2:2.6]</v>
      </c>
      <c r="H27" s="59">
        <f t="shared" si="16"/>
        <v>9</v>
      </c>
      <c r="I27" s="59">
        <f t="shared" si="76"/>
        <v>22</v>
      </c>
      <c r="J27" s="59" t="e">
        <f t="shared" si="77"/>
        <v>#VALUE!</v>
      </c>
      <c r="K27" s="59">
        <f t="shared" si="78"/>
        <v>32</v>
      </c>
      <c r="L27" s="59" t="str">
        <f>IFERROR(VLOOKUP(MID(G27,J27,K27-J27),[5]skilldef!$C:$D,2,FALSE),"-") &amp; " / " &amp; IFERROR(VLOOKUP(MID(G27,H27,I27-H27),[5]skilldef!$A:$B,2,FALSE),"-")</f>
        <v>- / -</v>
      </c>
      <c r="M27" s="59" t="str">
        <f t="shared" si="79"/>
        <v>[effect:degrade_unit, target:unit_all, turn:4, status:heal, val:1.0, calc:mul, animation:degrade_unit_all_heal],[effect:rush, count:1, val:1.0]</v>
      </c>
      <c r="N27" s="44" t="str">
        <f>IFERROR(LEFT(M27,FIND("],",M27)+#REF!),M27)</f>
        <v>[effect:degrade_unit, target:unit_all, turn:4, status:heal, val:1.0, calc:mul, animation:degrade_unit_all_heal],[effect:rush, count:1, val:1.0]</v>
      </c>
      <c r="O27" s="59">
        <f t="shared" si="21"/>
        <v>9</v>
      </c>
      <c r="P27" s="59">
        <f t="shared" si="80"/>
        <v>21</v>
      </c>
      <c r="Q27" s="59">
        <f t="shared" si="81"/>
        <v>30</v>
      </c>
      <c r="R27" s="59">
        <f t="shared" si="82"/>
        <v>38</v>
      </c>
      <c r="S27" s="59" t="str">
        <f>IFERROR(VLOOKUP(MID(N27,Q27,R27-Q27),[5]skilldef!$C:$D,2,FALSE),"-") &amp; " / " &amp; IFERROR(VLOOKUP(MID(N27,O27,P27-O27),[5]skilldef!$A:$B,2,FALSE),"-")</f>
        <v>味方全体に / ステータスDOWN</v>
      </c>
      <c r="T27" s="44" t="str">
        <f t="shared" si="83"/>
        <v>[effect:rush, count:1, val:1.0]</v>
      </c>
      <c r="U27" s="59">
        <f t="shared" si="26"/>
        <v>9</v>
      </c>
      <c r="V27" s="59">
        <f t="shared" si="84"/>
        <v>13</v>
      </c>
      <c r="W27" s="59" t="e">
        <f t="shared" si="85"/>
        <v>#VALUE!</v>
      </c>
      <c r="X27" s="59">
        <f t="shared" si="86"/>
        <v>22</v>
      </c>
      <c r="Y27" s="59" t="str">
        <f>IFERROR(VLOOKUP(MID(T27,W27,X27-W27),[5]skilldef!$C:$D,2,FALSE),"-") &amp; " / " &amp; IFERROR(VLOOKUP(MID(T27,U27,V27-U27),[5]skilldef!$A:$B,2,FALSE),"-")</f>
        <v>- / 連続攻撃</v>
      </c>
      <c r="Z27" s="46"/>
      <c r="AA27" s="48"/>
      <c r="AB27" s="46"/>
    </row>
    <row r="28" spans="1:28" ht="40" customHeight="1" x14ac:dyDescent="0.15">
      <c r="A28" s="43">
        <v>13400953</v>
      </c>
      <c r="B28" s="43" t="s">
        <v>411</v>
      </c>
      <c r="C28" s="46">
        <v>3</v>
      </c>
      <c r="D28" s="46" t="s">
        <v>252</v>
      </c>
      <c r="E28" s="116" t="s">
        <v>396</v>
      </c>
      <c r="F28" s="114" t="s">
        <v>291</v>
      </c>
      <c r="G28" s="59" t="str">
        <f t="shared" ref="G28:G29" si="87">IFERROR(LEFT(B28,FIND("],",B28)),B28)</f>
        <v>[effect:enemy_message, val1:2.0, val2:4.5]</v>
      </c>
      <c r="H28" s="59">
        <f t="shared" ref="H28:H29" si="88">FIND("effect:",G28)+7</f>
        <v>9</v>
      </c>
      <c r="I28" s="59">
        <f t="shared" ref="I28:I29" si="89">IFERROR(FIND(",",G28),LEN(G28))</f>
        <v>22</v>
      </c>
      <c r="J28" s="59" t="e">
        <f t="shared" ref="J28:J29" si="90">FIND("target:",G28)+7</f>
        <v>#VALUE!</v>
      </c>
      <c r="K28" s="59">
        <f t="shared" ref="K28:K29" si="91">FIND(",",G28,I28+1)</f>
        <v>32</v>
      </c>
      <c r="L28" s="59" t="str">
        <f>IFERROR(VLOOKUP(MID(G28,J28,K28-J28),[5]skilldef!$C:$D,2,FALSE),"-") &amp; " / " &amp; IFERROR(VLOOKUP(MID(G28,H28,I28-H28),[5]skilldef!$A:$B,2,FALSE),"-")</f>
        <v>- / -</v>
      </c>
      <c r="M28" s="59" t="str">
        <f t="shared" ref="M28:M29" si="92">IFERROR(RIGHT(B28,LEN(B28)-FIND("],",B28)-1),"none")</f>
        <v>[effect:change_attribute, target:myself, turn:-1, color:blue, animation:change_attribute_blue],[effect:reduction, target:myself, reduction_target:unit_yellow/not, turn:-1, val:0.9, animation:reduction_one03],[effect:attack_break, target:unit_yellow, turn:4, val:0.9, calc:mul, animation:attack_break02]</v>
      </c>
      <c r="N28" s="44" t="str">
        <f>IFERROR(LEFT(M28,FIND("],",M28)+#REF!),M28)</f>
        <v>[effect:change_attribute, target:myself, turn:-1, color:blue, animation:change_attribute_blue],[effect:reduction, target:myself, reduction_target:unit_yellow/not, turn:-1, val:0.9, animation:reduction_one03],[effect:attack_break, target:unit_yellow, turn:4, val:0.9, calc:mul, animation:attack_break02]</v>
      </c>
      <c r="O28" s="59">
        <f t="shared" ref="O28:O29" si="93">FIND("effect:",N28)+7</f>
        <v>9</v>
      </c>
      <c r="P28" s="59">
        <f t="shared" ref="P28:P29" si="94">IFERROR(FIND(",",N28),LEN(N28))</f>
        <v>25</v>
      </c>
      <c r="Q28" s="59">
        <f t="shared" ref="Q28:Q29" si="95">FIND("target:",N28)+7</f>
        <v>34</v>
      </c>
      <c r="R28" s="59">
        <f t="shared" ref="R28:R29" si="96">FIND(",",N28,P28+1)</f>
        <v>40</v>
      </c>
      <c r="S28" s="59" t="str">
        <f>IFERROR(VLOOKUP(MID(N28,Q28,R28-Q28),[5]skilldef!$C:$D,2,FALSE),"-") &amp; " / " &amp; IFERROR(VLOOKUP(MID(N28,O28,P28-O28),[5]skilldef!$A:$B,2,FALSE),"-")</f>
        <v>自分自身に / -</v>
      </c>
      <c r="T28" s="44" t="str">
        <f t="shared" ref="T28:T29" si="97">IFERROR(RIGHT(M28,LEN(M28)-FIND("],",M28)-1),"none")</f>
        <v>[effect:reduction, target:myself, reduction_target:unit_yellow/not, turn:-1, val:0.9, animation:reduction_one03],[effect:attack_break, target:unit_yellow, turn:4, val:0.9, calc:mul, animation:attack_break02]</v>
      </c>
      <c r="U28" s="59">
        <f t="shared" ref="U28:U29" si="98">FIND("effect:",T28)+7</f>
        <v>9</v>
      </c>
      <c r="V28" s="59">
        <f t="shared" ref="V28:V29" si="99">IFERROR(FIND(",",T28),LEN(T28))</f>
        <v>18</v>
      </c>
      <c r="W28" s="59">
        <f t="shared" ref="W28:W29" si="100">FIND("target:",T28)+7</f>
        <v>27</v>
      </c>
      <c r="X28" s="59">
        <f t="shared" ref="X28:X29" si="101">FIND(",",T28,V28+1)</f>
        <v>33</v>
      </c>
      <c r="Y28" s="59" t="str">
        <f>IFERROR(VLOOKUP(MID(T28,W28,X28-W28),[5]skilldef!$C:$D,2,FALSE),"-") &amp; " / " &amp; IFERROR(VLOOKUP(MID(T28,U28,V28-U28),[5]skilldef!$A:$B,2,FALSE),"-")</f>
        <v>自分自身に / -</v>
      </c>
      <c r="Z28" s="46"/>
      <c r="AA28" s="48"/>
      <c r="AB28" s="46"/>
    </row>
    <row r="29" spans="1:28" ht="40" customHeight="1" x14ac:dyDescent="0.15">
      <c r="A29" s="43">
        <v>13400954</v>
      </c>
      <c r="B29" s="43" t="s">
        <v>363</v>
      </c>
      <c r="C29" s="46">
        <v>3</v>
      </c>
      <c r="D29" s="46" t="s">
        <v>252</v>
      </c>
      <c r="E29" s="115" t="s">
        <v>326</v>
      </c>
      <c r="F29" s="115" t="s">
        <v>290</v>
      </c>
      <c r="G29" s="59" t="str">
        <f t="shared" si="87"/>
        <v>[effect:enemy_message, val1:2.0, val2:4.5]</v>
      </c>
      <c r="H29" s="59">
        <f t="shared" si="88"/>
        <v>9</v>
      </c>
      <c r="I29" s="59">
        <f t="shared" si="89"/>
        <v>22</v>
      </c>
      <c r="J29" s="59" t="e">
        <f t="shared" si="90"/>
        <v>#VALUE!</v>
      </c>
      <c r="K29" s="59">
        <f t="shared" si="91"/>
        <v>32</v>
      </c>
      <c r="L29" s="59" t="str">
        <f>IFERROR(VLOOKUP(MID(G29,J29,K29-J29),[5]skilldef!$C:$D,2,FALSE),"-") &amp; " / " &amp; IFERROR(VLOOKUP(MID(G29,H29,I29-H29),[5]skilldef!$A:$B,2,FALSE),"-")</f>
        <v>- / -</v>
      </c>
      <c r="M29" s="59" t="str">
        <f t="shared" si="92"/>
        <v>[effect:change_attribute, target:myself, turn:-1, color:red, animation:change_attribute_red],[effect:reduction, target:myself, reduction_target:unit_blue/not, turn:-1, val:0.9, animation:reduction_one03],[effect:attack_break, target:unit_blue, turn:4, val:0.9, calc:mul, animation:attack_break02]</v>
      </c>
      <c r="N29" s="44" t="str">
        <f>IFERROR(LEFT(M29,FIND("],",M29)+#REF!),M29)</f>
        <v>[effect:change_attribute, target:myself, turn:-1, color:red, animation:change_attribute_red],[effect:reduction, target:myself, reduction_target:unit_blue/not, turn:-1, val:0.9, animation:reduction_one03],[effect:attack_break, target:unit_blue, turn:4, val:0.9, calc:mul, animation:attack_break02]</v>
      </c>
      <c r="O29" s="59">
        <f t="shared" si="93"/>
        <v>9</v>
      </c>
      <c r="P29" s="59">
        <f t="shared" si="94"/>
        <v>25</v>
      </c>
      <c r="Q29" s="59">
        <f t="shared" si="95"/>
        <v>34</v>
      </c>
      <c r="R29" s="59">
        <f t="shared" si="96"/>
        <v>40</v>
      </c>
      <c r="S29" s="59" t="str">
        <f>IFERROR(VLOOKUP(MID(N29,Q29,R29-Q29),[5]skilldef!$C:$D,2,FALSE),"-") &amp; " / " &amp; IFERROR(VLOOKUP(MID(N29,O29,P29-O29),[5]skilldef!$A:$B,2,FALSE),"-")</f>
        <v>自分自身に / -</v>
      </c>
      <c r="T29" s="44" t="str">
        <f t="shared" si="97"/>
        <v>[effect:reduction, target:myself, reduction_target:unit_blue/not, turn:-1, val:0.9, animation:reduction_one03],[effect:attack_break, target:unit_blue, turn:4, val:0.9, calc:mul, animation:attack_break02]</v>
      </c>
      <c r="U29" s="59">
        <f t="shared" si="98"/>
        <v>9</v>
      </c>
      <c r="V29" s="59">
        <f t="shared" si="99"/>
        <v>18</v>
      </c>
      <c r="W29" s="59">
        <f t="shared" si="100"/>
        <v>27</v>
      </c>
      <c r="X29" s="59">
        <f t="shared" si="101"/>
        <v>33</v>
      </c>
      <c r="Y29" s="59" t="str">
        <f>IFERROR(VLOOKUP(MID(T29,W29,X29-W29),[5]skilldef!$C:$D,2,FALSE),"-") &amp; " / " &amp; IFERROR(VLOOKUP(MID(T29,U29,V29-U29),[5]skilldef!$A:$B,2,FALSE),"-")</f>
        <v>自分自身に / -</v>
      </c>
      <c r="Z29" s="46"/>
      <c r="AA29" s="48"/>
      <c r="AB29" s="46"/>
    </row>
    <row r="30" spans="1:28" ht="40" customHeight="1" x14ac:dyDescent="0.15">
      <c r="A30" s="43">
        <v>13400955</v>
      </c>
      <c r="B30" s="43" t="s">
        <v>364</v>
      </c>
      <c r="C30" s="46">
        <v>3</v>
      </c>
      <c r="D30" s="46" t="s">
        <v>252</v>
      </c>
      <c r="E30" s="115" t="s">
        <v>401</v>
      </c>
      <c r="F30" s="115" t="s">
        <v>301</v>
      </c>
      <c r="G30" s="59" t="str">
        <f t="shared" ref="G30" si="102">IFERROR(LEFT(B30,FIND("],",B30)),B30)</f>
        <v>[effect:enemy_message, val1:1.2, val2:1.6]</v>
      </c>
      <c r="H30" s="59">
        <f t="shared" ref="H30" si="103">FIND("effect:",G30)+7</f>
        <v>9</v>
      </c>
      <c r="I30" s="59">
        <f t="shared" ref="I30" si="104">IFERROR(FIND(",",G30),LEN(G30))</f>
        <v>22</v>
      </c>
      <c r="J30" s="59" t="e">
        <f t="shared" ref="J30" si="105">FIND("target:",G30)+7</f>
        <v>#VALUE!</v>
      </c>
      <c r="K30" s="59">
        <f t="shared" ref="K30" si="106">FIND(",",G30,I30+1)</f>
        <v>32</v>
      </c>
      <c r="L30" s="59" t="str">
        <f>IFERROR(VLOOKUP(MID(G30,J30,K30-J30),[5]skilldef!$C:$D,2,FALSE),"-") &amp; " / " &amp; IFERROR(VLOOKUP(MID(G30,H30,I30-H30),[5]skilldef!$A:$B,2,FALSE),"-")</f>
        <v>- / -</v>
      </c>
      <c r="M30" s="59" t="str">
        <f t="shared" ref="M30" si="107">IFERROR(RIGHT(B30,LEN(B30)-FIND("],",B30)-1),"none")</f>
        <v>[effect:damage_anti_color, target:unit_all, color:yellow, val1:0.01, val2:0.6]</v>
      </c>
      <c r="N30" s="44" t="str">
        <f>IFERROR(LEFT(M30,FIND("],",M30)+#REF!),M30)</f>
        <v>[effect:damage_anti_color, target:unit_all, color:yellow, val1:0.01, val2:0.6]</v>
      </c>
      <c r="O30" s="59">
        <f t="shared" ref="O30" si="108">FIND("effect:",N30)+7</f>
        <v>9</v>
      </c>
      <c r="P30" s="59">
        <f t="shared" ref="P30" si="109">IFERROR(FIND(",",N30),LEN(N30))</f>
        <v>26</v>
      </c>
      <c r="Q30" s="59">
        <f t="shared" ref="Q30" si="110">FIND("target:",N30)+7</f>
        <v>35</v>
      </c>
      <c r="R30" s="59">
        <f t="shared" ref="R30" si="111">FIND(",",N30,P30+1)</f>
        <v>43</v>
      </c>
      <c r="S30" s="59" t="str">
        <f>IFERROR(VLOOKUP(MID(N30,Q30,R30-Q30),[5]skilldef!$C:$D,2,FALSE),"-") &amp; " / " &amp; IFERROR(VLOOKUP(MID(N30,O30,P30-O30),[5]skilldef!$A:$B,2,FALSE),"-")</f>
        <v>味方全体に / 属性キラー</v>
      </c>
      <c r="T30" s="44" t="str">
        <f t="shared" ref="T30" si="112">IFERROR(RIGHT(M30,LEN(M30)-FIND("],",M30)-1),"none")</f>
        <v>none</v>
      </c>
      <c r="U30" s="59" t="e">
        <f t="shared" ref="U30" si="113">FIND("effect:",T30)+7</f>
        <v>#VALUE!</v>
      </c>
      <c r="V30" s="59">
        <f t="shared" ref="V30" si="114">IFERROR(FIND(",",T30),LEN(T30))</f>
        <v>4</v>
      </c>
      <c r="W30" s="59" t="e">
        <f t="shared" ref="W30" si="115">FIND("target:",T30)+7</f>
        <v>#VALUE!</v>
      </c>
      <c r="X30" s="59" t="e">
        <f t="shared" ref="X30" si="116">FIND(",",T30,V30+1)</f>
        <v>#VALUE!</v>
      </c>
      <c r="Y30" s="59" t="str">
        <f>IFERROR(VLOOKUP(MID(T30,W30,X30-W30),[5]skilldef!$C:$D,2,FALSE),"-") &amp; " / " &amp; IFERROR(VLOOKUP(MID(T30,U30,V30-U30),[5]skilldef!$A:$B,2,FALSE),"-")</f>
        <v>- / -</v>
      </c>
      <c r="Z30" s="46"/>
      <c r="AA30" s="48"/>
      <c r="AB30" s="46"/>
    </row>
    <row r="31" spans="1:28" ht="40" customHeight="1" x14ac:dyDescent="0.15">
      <c r="A31" s="43">
        <v>13400956</v>
      </c>
      <c r="B31" s="43" t="s">
        <v>365</v>
      </c>
      <c r="C31" s="46">
        <v>3</v>
      </c>
      <c r="D31" s="46" t="s">
        <v>252</v>
      </c>
      <c r="E31" s="114" t="s">
        <v>402</v>
      </c>
      <c r="F31" s="114" t="s">
        <v>302</v>
      </c>
      <c r="G31" s="59" t="str">
        <f t="shared" ref="G31:G33" si="117">IFERROR(LEFT(B31,FIND("],",B31)),B31)</f>
        <v>[effect:enemy_message, val1:1.2, val2:1.6]</v>
      </c>
      <c r="H31" s="59">
        <f t="shared" ref="H31:H33" si="118">FIND("effect:",G31)+7</f>
        <v>9</v>
      </c>
      <c r="I31" s="59">
        <f t="shared" ref="I31:I33" si="119">IFERROR(FIND(",",G31),LEN(G31))</f>
        <v>22</v>
      </c>
      <c r="J31" s="59" t="e">
        <f t="shared" ref="J31:J33" si="120">FIND("target:",G31)+7</f>
        <v>#VALUE!</v>
      </c>
      <c r="K31" s="59">
        <f t="shared" ref="K31:K33" si="121">FIND(",",G31,I31+1)</f>
        <v>32</v>
      </c>
      <c r="L31" s="59" t="str">
        <f>IFERROR(VLOOKUP(MID(G31,J31,K31-J31),[5]skilldef!$C:$D,2,FALSE),"-") &amp; " / " &amp; IFERROR(VLOOKUP(MID(G31,H31,I31-H31),[5]skilldef!$A:$B,2,FALSE),"-")</f>
        <v>- / -</v>
      </c>
      <c r="M31" s="59" t="str">
        <f t="shared" ref="M31:M33" si="122">IFERROR(RIGHT(B31,LEN(B31)-FIND("],",B31)-1),"none")</f>
        <v>[effect:damage_anti_color, target:unit_all, color:blue, val1:0.01, val2:0.6]</v>
      </c>
      <c r="N31" s="44" t="str">
        <f>IFERROR(LEFT(M31,FIND("],",M31)+#REF!),M31)</f>
        <v>[effect:damage_anti_color, target:unit_all, color:blue, val1:0.01, val2:0.6]</v>
      </c>
      <c r="O31" s="59">
        <f t="shared" ref="O31:O33" si="123">FIND("effect:",N31)+7</f>
        <v>9</v>
      </c>
      <c r="P31" s="59">
        <f t="shared" ref="P31:P33" si="124">IFERROR(FIND(",",N31),LEN(N31))</f>
        <v>26</v>
      </c>
      <c r="Q31" s="59">
        <f t="shared" ref="Q31:Q33" si="125">FIND("target:",N31)+7</f>
        <v>35</v>
      </c>
      <c r="R31" s="59">
        <f t="shared" ref="R31:R33" si="126">FIND(",",N31,P31+1)</f>
        <v>43</v>
      </c>
      <c r="S31" s="59" t="str">
        <f>IFERROR(VLOOKUP(MID(N31,Q31,R31-Q31),[5]skilldef!$C:$D,2,FALSE),"-") &amp; " / " &amp; IFERROR(VLOOKUP(MID(N31,O31,P31-O31),[5]skilldef!$A:$B,2,FALSE),"-")</f>
        <v>味方全体に / 属性キラー</v>
      </c>
      <c r="T31" s="44" t="str">
        <f t="shared" ref="T31:T33" si="127">IFERROR(RIGHT(M31,LEN(M31)-FIND("],",M31)-1),"none")</f>
        <v>none</v>
      </c>
      <c r="U31" s="59" t="e">
        <f t="shared" ref="U31:U33" si="128">FIND("effect:",T31)+7</f>
        <v>#VALUE!</v>
      </c>
      <c r="V31" s="59">
        <f t="shared" ref="V31:V33" si="129">IFERROR(FIND(",",T31),LEN(T31))</f>
        <v>4</v>
      </c>
      <c r="W31" s="59" t="e">
        <f t="shared" ref="W31:W33" si="130">FIND("target:",T31)+7</f>
        <v>#VALUE!</v>
      </c>
      <c r="X31" s="59" t="e">
        <f t="shared" ref="X31:X33" si="131">FIND(",",T31,V31+1)</f>
        <v>#VALUE!</v>
      </c>
      <c r="Y31" s="59" t="str">
        <f>IFERROR(VLOOKUP(MID(T31,W31,X31-W31),[5]skilldef!$C:$D,2,FALSE),"-") &amp; " / " &amp; IFERROR(VLOOKUP(MID(T31,U31,V31-U31),[5]skilldef!$A:$B,2,FALSE),"-")</f>
        <v>- / -</v>
      </c>
      <c r="Z31" s="46"/>
      <c r="AA31" s="48"/>
      <c r="AB31" s="46"/>
    </row>
    <row r="32" spans="1:28" ht="40" customHeight="1" x14ac:dyDescent="0.15">
      <c r="A32" s="43">
        <v>13400960</v>
      </c>
      <c r="B32" s="43" t="s">
        <v>419</v>
      </c>
      <c r="C32" s="46">
        <v>3</v>
      </c>
      <c r="D32" s="46" t="s">
        <v>252</v>
      </c>
      <c r="E32" s="47" t="s">
        <v>328</v>
      </c>
      <c r="F32" s="47" t="s">
        <v>420</v>
      </c>
      <c r="G32" s="59" t="str">
        <f t="shared" si="117"/>
        <v>[effect:enemy_message, val1:1.2, val2:2.2]</v>
      </c>
      <c r="H32" s="59">
        <f t="shared" si="118"/>
        <v>9</v>
      </c>
      <c r="I32" s="59">
        <f t="shared" si="119"/>
        <v>22</v>
      </c>
      <c r="J32" s="59" t="e">
        <f t="shared" si="120"/>
        <v>#VALUE!</v>
      </c>
      <c r="K32" s="59">
        <f t="shared" si="121"/>
        <v>32</v>
      </c>
      <c r="L32" s="59" t="str">
        <f>IFERROR(VLOOKUP(MID(G32,J32,K32-J32),[5]skilldef!$C:$D,2,FALSE),"-") &amp; " / " &amp; IFERROR(VLOOKUP(MID(G32,H32,I32-H32),[5]skilldef!$A:$B,2,FALSE),"-")</f>
        <v>- / -</v>
      </c>
      <c r="M32" s="59" t="str">
        <f t="shared" si="122"/>
        <v>[effect:force_change_block, new_block:color_break, target:normal, count:1, val:0],[effect:critical, val:1.1, animation:enemy_critical]</v>
      </c>
      <c r="N32" s="44" t="str">
        <f>IFERROR(LEFT(M32,FIND("],",M32)+#REF!),M32)</f>
        <v>[effect:force_change_block, new_block:color_break, target:normal, count:1, val:0],[effect:critical, val:1.1, animation:enemy_critical]</v>
      </c>
      <c r="O32" s="59">
        <f t="shared" si="123"/>
        <v>9</v>
      </c>
      <c r="P32" s="59">
        <f t="shared" si="124"/>
        <v>27</v>
      </c>
      <c r="Q32" s="59">
        <f t="shared" si="125"/>
        <v>59</v>
      </c>
      <c r="R32" s="59">
        <f t="shared" si="126"/>
        <v>50</v>
      </c>
      <c r="S32" s="59" t="str">
        <f>IFERROR(VLOOKUP(MID(N32,Q32,R32-Q32),[5]skilldef!$C:$D,2,FALSE),"-") &amp; " / " &amp; IFERROR(VLOOKUP(MID(N32,O32,P32-O32),[5]skilldef!$A:$B,2,FALSE),"-")</f>
        <v>- / -</v>
      </c>
      <c r="T32" s="44" t="str">
        <f t="shared" si="127"/>
        <v>[effect:critical, val:1.1, animation:enemy_critical]</v>
      </c>
      <c r="U32" s="59">
        <f t="shared" si="128"/>
        <v>9</v>
      </c>
      <c r="V32" s="59">
        <f t="shared" si="129"/>
        <v>17</v>
      </c>
      <c r="W32" s="59" t="e">
        <f t="shared" si="130"/>
        <v>#VALUE!</v>
      </c>
      <c r="X32" s="59">
        <f t="shared" si="131"/>
        <v>26</v>
      </c>
      <c r="Y32" s="59" t="str">
        <f>IFERROR(VLOOKUP(MID(T32,W32,X32-W32),[5]skilldef!$C:$D,2,FALSE),"-") &amp; " / " &amp; IFERROR(VLOOKUP(MID(T32,U32,V32-U32),[5]skilldef!$A:$B,2,FALSE),"-")</f>
        <v>- / 大攻撃</v>
      </c>
      <c r="Z32" s="46"/>
      <c r="AA32" s="48"/>
      <c r="AB32" s="46"/>
    </row>
    <row r="33" spans="1:28" ht="40" customHeight="1" x14ac:dyDescent="0.15">
      <c r="A33" s="43">
        <v>13400961</v>
      </c>
      <c r="B33" s="43" t="s">
        <v>417</v>
      </c>
      <c r="C33" s="46">
        <v>3</v>
      </c>
      <c r="D33" s="46" t="s">
        <v>252</v>
      </c>
      <c r="E33" s="47" t="s">
        <v>403</v>
      </c>
      <c r="F33" s="47" t="s">
        <v>416</v>
      </c>
      <c r="G33" s="59" t="str">
        <f t="shared" si="117"/>
        <v>[effect:enemy_message, val1:1.2, val2:1.3]</v>
      </c>
      <c r="H33" s="59">
        <f t="shared" si="118"/>
        <v>9</v>
      </c>
      <c r="I33" s="59">
        <f t="shared" si="119"/>
        <v>22</v>
      </c>
      <c r="J33" s="59" t="e">
        <f t="shared" si="120"/>
        <v>#VALUE!</v>
      </c>
      <c r="K33" s="59">
        <f t="shared" si="121"/>
        <v>32</v>
      </c>
      <c r="L33" s="59" t="str">
        <f>IFERROR(VLOOKUP(MID(G33,J33,K33-J33),[5]skilldef!$C:$D,2,FALSE),"-") &amp; " / " &amp; IFERROR(VLOOKUP(MID(G33,H33,I33-H33),[5]skilldef!$A:$B,2,FALSE),"-")</f>
        <v>- / -</v>
      </c>
      <c r="M33" s="59" t="str">
        <f t="shared" si="122"/>
        <v>[effect:damage_gravity, val:0.99, animation:fevergauge_down]</v>
      </c>
      <c r="N33" s="44" t="str">
        <f>IFERROR(LEFT(M33,FIND("],",M33)+#REF!),M33)</f>
        <v>[effect:damage_gravity, val:0.99, animation:fevergauge_down]</v>
      </c>
      <c r="O33" s="59">
        <f t="shared" si="123"/>
        <v>9</v>
      </c>
      <c r="P33" s="59">
        <f t="shared" si="124"/>
        <v>23</v>
      </c>
      <c r="Q33" s="59" t="e">
        <f t="shared" si="125"/>
        <v>#VALUE!</v>
      </c>
      <c r="R33" s="59">
        <f t="shared" si="126"/>
        <v>33</v>
      </c>
      <c r="S33" s="59" t="str">
        <f>IFERROR(VLOOKUP(MID(N33,Q33,R33-Q33),[5]skilldef!$C:$D,2,FALSE),"-") &amp; " / " &amp; IFERROR(VLOOKUP(MID(N33,O33,P33-O33),[5]skilldef!$A:$B,2,FALSE),"-")</f>
        <v>- / 割合ダメージ</v>
      </c>
      <c r="T33" s="44" t="str">
        <f t="shared" si="127"/>
        <v>none</v>
      </c>
      <c r="U33" s="59" t="e">
        <f t="shared" si="128"/>
        <v>#VALUE!</v>
      </c>
      <c r="V33" s="59">
        <f t="shared" si="129"/>
        <v>4</v>
      </c>
      <c r="W33" s="59" t="e">
        <f t="shared" si="130"/>
        <v>#VALUE!</v>
      </c>
      <c r="X33" s="59" t="e">
        <f t="shared" si="131"/>
        <v>#VALUE!</v>
      </c>
      <c r="Y33" s="59" t="str">
        <f>IFERROR(VLOOKUP(MID(T33,W33,X33-W33),[5]skilldef!$C:$D,2,FALSE),"-") &amp; " / " &amp; IFERROR(VLOOKUP(MID(T33,U33,V33-U33),[5]skilldef!$A:$B,2,FALSE),"-")</f>
        <v>- / -</v>
      </c>
      <c r="Z33" s="46"/>
      <c r="AA33" s="48"/>
      <c r="AB33" s="46"/>
    </row>
    <row r="34" spans="1:28" ht="40" customHeight="1" x14ac:dyDescent="0.15">
      <c r="A34" s="43">
        <v>13400962</v>
      </c>
      <c r="B34" s="43" t="s">
        <v>412</v>
      </c>
      <c r="C34" s="46">
        <v>3</v>
      </c>
      <c r="D34" s="46" t="s">
        <v>196</v>
      </c>
      <c r="E34" s="47" t="s">
        <v>404</v>
      </c>
      <c r="F34" s="47" t="s">
        <v>287</v>
      </c>
      <c r="G34" s="59" t="str">
        <f t="shared" ref="G34" si="132">IFERROR(LEFT(B34,FIND("],",B34)),B34)</f>
        <v>[effect:enemy_message, val1:1.8, val2:2.0]</v>
      </c>
      <c r="H34" s="59">
        <f t="shared" ref="H34" si="133">FIND("effect:",G34)+7</f>
        <v>9</v>
      </c>
      <c r="I34" s="59">
        <f t="shared" ref="I34" si="134">IFERROR(FIND(",",G34),LEN(G34))</f>
        <v>22</v>
      </c>
      <c r="J34" s="59" t="e">
        <f t="shared" ref="J34" si="135">FIND("target:",G34)+7</f>
        <v>#VALUE!</v>
      </c>
      <c r="K34" s="59">
        <f t="shared" ref="K34" si="136">FIND(",",G34,I34+1)</f>
        <v>32</v>
      </c>
      <c r="L34" s="59" t="str">
        <f>IFERROR(VLOOKUP(MID(G34,J34,K34-J34),[5]skilldef!$C:$D,2,FALSE),"-") &amp; " / " &amp; IFERROR(VLOOKUP(MID(G34,H34,I34-H34),[5]skilldef!$A:$B,2,FALSE),"-")</f>
        <v>- / -</v>
      </c>
      <c r="M34" s="59" t="str">
        <f t="shared" ref="M34" si="137">IFERROR(RIGHT(B34,LEN(B34)-FIND("],",B34)-1),"none")</f>
        <v xml:space="preserve">[effect:break_enchance_enemy, target:myself, val:1, lowest_val:65535, count:-1, status:defense, turn:3, block01:block_red, block02:block_heart, calc:add, animation:enemy_enhance_defense]    </v>
      </c>
      <c r="N34" s="44" t="str">
        <f>IFERROR(LEFT(M34,FIND("],",M34)+#REF!),M34)</f>
        <v xml:space="preserve">[effect:break_enchance_enemy, target:myself, val:1, lowest_val:65535, count:-1, status:defense, turn:3, block01:block_red, block02:block_heart, calc:add, animation:enemy_enhance_defense]    </v>
      </c>
      <c r="O34" s="59">
        <f t="shared" ref="O34" si="138">FIND("effect:",N34)+7</f>
        <v>9</v>
      </c>
      <c r="P34" s="59">
        <f t="shared" ref="P34" si="139">IFERROR(FIND(",",N34),LEN(N34))</f>
        <v>29</v>
      </c>
      <c r="Q34" s="59">
        <f t="shared" ref="Q34" si="140">FIND("target:",N34)+7</f>
        <v>38</v>
      </c>
      <c r="R34" s="59">
        <f t="shared" ref="R34" si="141">FIND(",",N34,P34+1)</f>
        <v>44</v>
      </c>
      <c r="S34" s="59" t="str">
        <f>IFERROR(VLOOKUP(MID(N34,Q34,R34-Q34),[5]skilldef!$C:$D,2,FALSE),"-") &amp; " / " &amp; IFERROR(VLOOKUP(MID(N34,O34,P34-O34),[5]skilldef!$A:$B,2,FALSE),"-")</f>
        <v>自分自身に / -</v>
      </c>
      <c r="T34" s="44" t="str">
        <f t="shared" ref="T34" si="142">IFERROR(RIGHT(M34,LEN(M34)-FIND("],",M34)-1),"none")</f>
        <v>none</v>
      </c>
      <c r="U34" s="59" t="e">
        <f t="shared" ref="U34" si="143">FIND("effect:",T34)+7</f>
        <v>#VALUE!</v>
      </c>
      <c r="V34" s="59">
        <f t="shared" ref="V34" si="144">IFERROR(FIND(",",T34),LEN(T34))</f>
        <v>4</v>
      </c>
      <c r="W34" s="59" t="e">
        <f t="shared" ref="W34" si="145">FIND("target:",T34)+7</f>
        <v>#VALUE!</v>
      </c>
      <c r="X34" s="59" t="e">
        <f t="shared" ref="X34" si="146">FIND(",",T34,V34+1)</f>
        <v>#VALUE!</v>
      </c>
      <c r="Y34" s="59" t="str">
        <f>IFERROR(VLOOKUP(MID(T34,W34,X34-W34),[5]skilldef!$C:$D,2,FALSE),"-") &amp; " / " &amp; IFERROR(VLOOKUP(MID(T34,U34,V34-U34),[5]skilldef!$A:$B,2,FALSE),"-")</f>
        <v>- / -</v>
      </c>
      <c r="Z34" s="46"/>
      <c r="AA34" s="48"/>
      <c r="AB34" s="46"/>
    </row>
    <row r="35" spans="1:28" ht="40" customHeight="1" x14ac:dyDescent="0.15">
      <c r="A35" s="43">
        <v>13400963</v>
      </c>
      <c r="B35" s="43" t="s">
        <v>413</v>
      </c>
      <c r="C35" s="46">
        <v>3</v>
      </c>
      <c r="D35" s="46" t="s">
        <v>196</v>
      </c>
      <c r="E35" s="47" t="s">
        <v>405</v>
      </c>
      <c r="F35" s="47" t="s">
        <v>300</v>
      </c>
      <c r="G35" s="59" t="str">
        <f t="shared" ref="G35" si="147">IFERROR(LEFT(B35,FIND("],",B35)),B35)</f>
        <v>[effect:enemy_message, val1:1.6, val2:1.9]</v>
      </c>
      <c r="H35" s="59">
        <f t="shared" ref="H35" si="148">FIND("effect:",G35)+7</f>
        <v>9</v>
      </c>
      <c r="I35" s="59">
        <f t="shared" ref="I35" si="149">IFERROR(FIND(",",G35),LEN(G35))</f>
        <v>22</v>
      </c>
      <c r="J35" s="59" t="e">
        <f t="shared" ref="J35" si="150">FIND("target:",G35)+7</f>
        <v>#VALUE!</v>
      </c>
      <c r="K35" s="59">
        <f t="shared" ref="K35" si="151">FIND(",",G35,I35+1)</f>
        <v>32</v>
      </c>
      <c r="L35" s="59" t="str">
        <f>IFERROR(VLOOKUP(MID(G35,J35,K35-J35),[5]skilldef!$C:$D,2,FALSE),"-") &amp; " / " &amp; IFERROR(VLOOKUP(MID(G35,H35,I35-H35),[5]skilldef!$A:$B,2,FALSE),"-")</f>
        <v>- / -</v>
      </c>
      <c r="M35" s="59" t="str">
        <f t="shared" ref="M35" si="152">IFERROR(RIGHT(B35,LEN(B35)-FIND("],",B35)-1),"none")</f>
        <v>[effect:enhance_enemy, target:myself, turn:1, status:attack, val:2.0, calc:mul, animation:enemy_enhance_attack],[effect:enhance_enemy, target:myself, turn:-1, status:defense, val:65535, calc:add, animation:enemy_enhance_defense]</v>
      </c>
      <c r="N35" s="44" t="str">
        <f>IFERROR(LEFT(M35,FIND("],",M35)+#REF!),M35)</f>
        <v>[effect:enhance_enemy, target:myself, turn:1, status:attack, val:2.0, calc:mul, animation:enemy_enhance_attack],[effect:enhance_enemy, target:myself, turn:-1, status:defense, val:65535, calc:add, animation:enemy_enhance_defense]</v>
      </c>
      <c r="O35" s="59">
        <f t="shared" ref="O35" si="153">FIND("effect:",N35)+7</f>
        <v>9</v>
      </c>
      <c r="P35" s="59">
        <f t="shared" ref="P35" si="154">IFERROR(FIND(",",N35),LEN(N35))</f>
        <v>22</v>
      </c>
      <c r="Q35" s="59">
        <f t="shared" ref="Q35" si="155">FIND("target:",N35)+7</f>
        <v>31</v>
      </c>
      <c r="R35" s="59">
        <f t="shared" ref="R35" si="156">FIND(",",N35,P35+1)</f>
        <v>37</v>
      </c>
      <c r="S35" s="59" t="str">
        <f>IFERROR(VLOOKUP(MID(N35,Q35,R35-Q35),[5]skilldef!$C:$D,2,FALSE),"-") &amp; " / " &amp; IFERROR(VLOOKUP(MID(N35,O35,P35-O35),[5]skilldef!$A:$B,2,FALSE),"-")</f>
        <v>自分自身に / ステータス強化</v>
      </c>
      <c r="T35" s="44" t="str">
        <f t="shared" ref="T35" si="157">IFERROR(RIGHT(M35,LEN(M35)-FIND("],",M35)-1),"none")</f>
        <v>[effect:enhance_enemy, target:myself, turn:-1, status:defense, val:65535, calc:add, animation:enemy_enhance_defense]</v>
      </c>
      <c r="U35" s="59">
        <f t="shared" ref="U35" si="158">FIND("effect:",T35)+7</f>
        <v>9</v>
      </c>
      <c r="V35" s="59">
        <f t="shared" ref="V35" si="159">IFERROR(FIND(",",T35),LEN(T35))</f>
        <v>22</v>
      </c>
      <c r="W35" s="59">
        <f t="shared" ref="W35" si="160">FIND("target:",T35)+7</f>
        <v>31</v>
      </c>
      <c r="X35" s="59">
        <f t="shared" ref="X35" si="161">FIND(",",T35,V35+1)</f>
        <v>37</v>
      </c>
      <c r="Y35" s="59" t="str">
        <f>IFERROR(VLOOKUP(MID(T35,W35,X35-W35),[5]skilldef!$C:$D,2,FALSE),"-") &amp; " / " &amp; IFERROR(VLOOKUP(MID(T35,U35,V35-U35),[5]skilldef!$A:$B,2,FALSE),"-")</f>
        <v>自分自身に / ステータス強化</v>
      </c>
      <c r="Z35" s="46"/>
      <c r="AA35" s="48"/>
      <c r="AB35" s="46"/>
    </row>
    <row r="36" spans="1:28" ht="40" customHeight="1" x14ac:dyDescent="0.15">
      <c r="A36" s="43">
        <v>13400964</v>
      </c>
      <c r="B36" s="43" t="s">
        <v>284</v>
      </c>
      <c r="C36" s="46">
        <v>3</v>
      </c>
      <c r="D36" s="46" t="s">
        <v>319</v>
      </c>
      <c r="E36" s="116" t="s">
        <v>324</v>
      </c>
      <c r="F36" s="47" t="s">
        <v>286</v>
      </c>
      <c r="G36" s="59" t="str">
        <f t="shared" ref="G36" si="162">IFERROR(LEFT(B36,FIND("],",B36)),B36)</f>
        <v>[effect:enemy_message, val1:1.2, val2:1.2]</v>
      </c>
      <c r="H36" s="59">
        <f t="shared" ref="H36" si="163">FIND("effect:",G36)+7</f>
        <v>9</v>
      </c>
      <c r="I36" s="59">
        <f t="shared" ref="I36" si="164">IFERROR(FIND(",",G36),LEN(G36))</f>
        <v>22</v>
      </c>
      <c r="J36" s="59" t="e">
        <f t="shared" ref="J36" si="165">FIND("target:",G36)+7</f>
        <v>#VALUE!</v>
      </c>
      <c r="K36" s="59">
        <f t="shared" ref="K36" si="166">FIND(",",G36,I36+1)</f>
        <v>32</v>
      </c>
      <c r="L36" s="59" t="str">
        <f>IFERROR(VLOOKUP(MID(G36,J36,K36-J36),[5]skilldef!$C:$D,2,FALSE),"-") &amp; " / " &amp; IFERROR(VLOOKUP(MID(G36,H36,I36-H36),[5]skilldef!$A:$B,2,FALSE),"-")</f>
        <v>- / -</v>
      </c>
      <c r="M36" s="59" t="str">
        <f t="shared" ref="M36" si="167">IFERROR(RIGHT(B36,LEN(B36)-FIND("],",B36)-1),"none")</f>
        <v>[effect:enhance_enemy, target:myself, turn:-1, status:attack, val:0.5, calc:mul, animation:enemy_enhance_attack]</v>
      </c>
      <c r="N36" s="44" t="str">
        <f>IFERROR(LEFT(M36,FIND("],",M36)+#REF!),M36)</f>
        <v>[effect:enhance_enemy, target:myself, turn:-1, status:attack, val:0.5, calc:mul, animation:enemy_enhance_attack]</v>
      </c>
      <c r="O36" s="59">
        <f t="shared" ref="O36" si="168">FIND("effect:",N36)+7</f>
        <v>9</v>
      </c>
      <c r="P36" s="59">
        <f t="shared" ref="P36" si="169">IFERROR(FIND(",",N36),LEN(N36))</f>
        <v>22</v>
      </c>
      <c r="Q36" s="59">
        <f t="shared" ref="Q36" si="170">FIND("target:",N36)+7</f>
        <v>31</v>
      </c>
      <c r="R36" s="59">
        <f t="shared" ref="R36" si="171">FIND(",",N36,P36+1)</f>
        <v>37</v>
      </c>
      <c r="S36" s="59" t="str">
        <f>IFERROR(VLOOKUP(MID(N36,Q36,R36-Q36),[5]skilldef!$C:$D,2,FALSE),"-") &amp; " / " &amp; IFERROR(VLOOKUP(MID(N36,O36,P36-O36),[5]skilldef!$A:$B,2,FALSE),"-")</f>
        <v>自分自身に / ステータス強化</v>
      </c>
      <c r="T36" s="44" t="str">
        <f t="shared" ref="T36" si="172">IFERROR(RIGHT(M36,LEN(M36)-FIND("],",M36)-1),"none")</f>
        <v>none</v>
      </c>
      <c r="U36" s="59" t="e">
        <f t="shared" ref="U36" si="173">FIND("effect:",T36)+7</f>
        <v>#VALUE!</v>
      </c>
      <c r="V36" s="59">
        <f t="shared" ref="V36" si="174">IFERROR(FIND(",",T36),LEN(T36))</f>
        <v>4</v>
      </c>
      <c r="W36" s="59" t="e">
        <f t="shared" ref="W36" si="175">FIND("target:",T36)+7</f>
        <v>#VALUE!</v>
      </c>
      <c r="X36" s="59" t="e">
        <f t="shared" ref="X36" si="176">FIND(",",T36,V36+1)</f>
        <v>#VALUE!</v>
      </c>
      <c r="Y36" s="59" t="str">
        <f>IFERROR(VLOOKUP(MID(T36,W36,X36-W36),[5]skilldef!$C:$D,2,FALSE),"-") &amp; " / " &amp; IFERROR(VLOOKUP(MID(T36,U36,V36-U36),[5]skilldef!$A:$B,2,FALSE),"-")</f>
        <v>- / -</v>
      </c>
      <c r="Z36" s="46"/>
      <c r="AA36" s="48"/>
      <c r="AB36" s="46"/>
    </row>
    <row r="37" spans="1:28" ht="40" customHeight="1" x14ac:dyDescent="0.15">
      <c r="A37" s="113">
        <v>13400971</v>
      </c>
      <c r="B37" s="113" t="s">
        <v>366</v>
      </c>
      <c r="C37" s="117">
        <v>3</v>
      </c>
      <c r="D37" s="117" t="s">
        <v>252</v>
      </c>
      <c r="E37" s="118" t="s">
        <v>421</v>
      </c>
      <c r="F37" s="118" t="s">
        <v>303</v>
      </c>
      <c r="G37" s="59" t="str">
        <f t="shared" ref="G37" si="177">IFERROR(LEFT(B37,FIND("],",B37)),B37)</f>
        <v>[effect:enemy_message, val1:2.6, val2:2.6]</v>
      </c>
      <c r="H37" s="59">
        <f t="shared" si="16"/>
        <v>9</v>
      </c>
      <c r="I37" s="59">
        <f t="shared" ref="I37" si="178">IFERROR(FIND(",",G37),LEN(G37))</f>
        <v>22</v>
      </c>
      <c r="J37" s="59" t="e">
        <f t="shared" ref="J37" si="179">FIND("target:",G37)+7</f>
        <v>#VALUE!</v>
      </c>
      <c r="K37" s="59">
        <f t="shared" ref="K37" si="180">FIND(",",G37,I37+1)</f>
        <v>32</v>
      </c>
      <c r="L37" s="59" t="str">
        <f>IFERROR(VLOOKUP(MID(G37,J37,K37-J37),[5]skilldef!$C:$D,2,FALSE),"-") &amp; " / " &amp; IFERROR(VLOOKUP(MID(G37,H37,I37-H37),[5]skilldef!$A:$B,2,FALSE),"-")</f>
        <v>- / -</v>
      </c>
      <c r="M37" s="59" t="str">
        <f t="shared" ref="M37" si="181">IFERROR(RIGHT(B37,LEN(B37)-FIND("],",B37)-1),"none")</f>
        <v>[effect:remove_enhancement, target:unit_all, target_effect:all, animation:frozen_wave],[effect:tolerance, target:myself, turn:-1, count:-1, tolerance_effect:all, animation:enemy_tolerance],[effect:time_limit, target:unit_all, turn:-1, count:10, animation:enemy_time_limit],[effect:fix_speed, target:myself, turn:1]</v>
      </c>
      <c r="N37" s="44" t="str">
        <f>IFERROR(LEFT(M37,FIND("],",M37)+#REF!),M37)</f>
        <v>[effect:remove_enhancement, target:unit_all, target_effect:all, animation:frozen_wave],[effect:tolerance, target:myself, turn:-1, count:-1, tolerance_effect:all, animation:enemy_tolerance],[effect:time_limit, target:unit_all, turn:-1, count:10, animation:enemy_time_limit],[effect:fix_speed, target:myself, turn:1]</v>
      </c>
      <c r="O37" s="59">
        <f t="shared" si="21"/>
        <v>9</v>
      </c>
      <c r="P37" s="59">
        <f t="shared" ref="P37" si="182">IFERROR(FIND(",",N37),LEN(N37))</f>
        <v>27</v>
      </c>
      <c r="Q37" s="59">
        <f t="shared" ref="Q37" si="183">FIND("target:",N37)+7</f>
        <v>36</v>
      </c>
      <c r="R37" s="59">
        <f t="shared" ref="R37" si="184">FIND(",",N37,P37+1)</f>
        <v>44</v>
      </c>
      <c r="S37" s="59" t="str">
        <f>IFERROR(VLOOKUP(MID(N37,Q37,R37-Q37),[5]skilldef!$C:$D,2,FALSE),"-") &amp; " / " &amp; IFERROR(VLOOKUP(MID(N37,O37,P37-O37),[5]skilldef!$A:$B,2,FALSE),"-")</f>
        <v>味方全体に / -</v>
      </c>
      <c r="T37" s="44" t="str">
        <f t="shared" ref="T37" si="185">IFERROR(RIGHT(M37,LEN(M37)-FIND("],",M37)-1),"none")</f>
        <v>[effect:tolerance, target:myself, turn:-1, count:-1, tolerance_effect:all, animation:enemy_tolerance],[effect:time_limit, target:unit_all, turn:-1, count:10, animation:enemy_time_limit],[effect:fix_speed, target:myself, turn:1]</v>
      </c>
      <c r="U37" s="59">
        <f t="shared" si="26"/>
        <v>9</v>
      </c>
      <c r="V37" s="59">
        <f t="shared" ref="V37" si="186">IFERROR(FIND(",",T37),LEN(T37))</f>
        <v>18</v>
      </c>
      <c r="W37" s="59">
        <f t="shared" ref="W37" si="187">FIND("target:",T37)+7</f>
        <v>27</v>
      </c>
      <c r="X37" s="59">
        <f t="shared" ref="X37" si="188">FIND(",",T37,V37+1)</f>
        <v>33</v>
      </c>
      <c r="Y37" s="59" t="str">
        <f>IFERROR(VLOOKUP(MID(T37,W37,X37-W37),[5]skilldef!$C:$D,2,FALSE),"-") &amp; " / " &amp; IFERROR(VLOOKUP(MID(T37,U37,V37-U37),[5]skilldef!$A:$B,2,FALSE),"-")</f>
        <v>自分自身に / 状態異常耐性</v>
      </c>
      <c r="Z37" s="46"/>
      <c r="AA37" s="48"/>
      <c r="AB37" s="46"/>
    </row>
    <row r="38" spans="1:28" ht="40" customHeight="1" x14ac:dyDescent="0.15">
      <c r="A38" s="113">
        <v>13400972</v>
      </c>
      <c r="B38" s="113" t="s">
        <v>424</v>
      </c>
      <c r="C38" s="117">
        <v>3</v>
      </c>
      <c r="D38" s="117" t="s">
        <v>252</v>
      </c>
      <c r="E38" s="118" t="s">
        <v>398</v>
      </c>
      <c r="F38" s="118" t="s">
        <v>292</v>
      </c>
      <c r="G38" s="59" t="str">
        <f t="shared" ref="G38:G48" si="189">IFERROR(LEFT(B38,FIND("],",B38)),B38)</f>
        <v>[effect:enemy_message, val1:1.4, val2:3.2]</v>
      </c>
      <c r="H38" s="59">
        <f t="shared" ref="H38:H48" si="190">FIND("effect:",G38)+7</f>
        <v>9</v>
      </c>
      <c r="I38" s="59">
        <f t="shared" ref="I38:I48" si="191">IFERROR(FIND(",",G38),LEN(G38))</f>
        <v>22</v>
      </c>
      <c r="J38" s="59" t="e">
        <f t="shared" ref="J38:J48" si="192">FIND("target:",G38)+7</f>
        <v>#VALUE!</v>
      </c>
      <c r="K38" s="59">
        <f t="shared" ref="K38:K48" si="193">FIND(",",G38,I38+1)</f>
        <v>32</v>
      </c>
      <c r="L38" s="59" t="str">
        <f>IFERROR(VLOOKUP(MID(G38,J38,K38-J38),[5]skilldef!$C:$D,2,FALSE),"-") &amp; " / " &amp; IFERROR(VLOOKUP(MID(G38,H38,I38-H38),[5]skilldef!$A:$B,2,FALSE),"-")</f>
        <v>- / -</v>
      </c>
      <c r="M38" s="59" t="str">
        <f t="shared" ref="M38:M48" si="194">IFERROR(RIGHT(B38,LEN(B38)-FIND("],",B38)-1),"none")</f>
        <v>[effect:drop_block, block_type:damage, color:block_red, val:0.2, rate:0.05, turn:1,],[effect:drop_block, block_type:damage, color:block_green, val:0.2, rate:0.05, turn:1],[effect:drop_block, block_type:damage, color:block_yellow, val:0.2, rate:0.05, turn:1],[effect:drop_block, block_type:damage, color:block_blue, val:0.2, rate:0.05, turn:1],[effect:drop_block, block_type:color_break, color:block_all, val:0, rate:0.02, turn:1, animation:color_break_influence04],[effect:critical, val:1.2, animation:enemy_critical]</v>
      </c>
      <c r="N38" s="44" t="str">
        <f>IFERROR(LEFT(M38,FIND("],",M38)+#REF!),M38)</f>
        <v>[effect:drop_block, block_type:damage, color:block_red, val:0.2, rate:0.05, turn:1,],[effect:drop_block, block_type:damage, color:block_green, val:0.2, rate:0.05, turn:1],[effect:drop_block, block_type:damage, color:block_yellow, val:0.2, rate:0.05, turn:1],[effect:drop_block, block_type:damage, color:block_blue, val:0.2, rate:0.05, turn:1],[effect:drop_block, block_type:color_break, color:block_all, val:0, rate:0.02, turn:1, animation:color_break_influence04],[effect:critical, val:1.2, animation:enemy_critical]</v>
      </c>
      <c r="O38" s="59">
        <f t="shared" ref="O38:O48" si="195">FIND("effect:",N38)+7</f>
        <v>9</v>
      </c>
      <c r="P38" s="59">
        <f t="shared" ref="P38:P48" si="196">IFERROR(FIND(",",N38),LEN(N38))</f>
        <v>19</v>
      </c>
      <c r="Q38" s="59" t="e">
        <f t="shared" ref="Q38:Q48" si="197">FIND("target:",N38)+7</f>
        <v>#VALUE!</v>
      </c>
      <c r="R38" s="59">
        <f t="shared" ref="R38:R48" si="198">FIND(",",N38,P38+1)</f>
        <v>38</v>
      </c>
      <c r="S38" s="59" t="str">
        <f>IFERROR(VLOOKUP(MID(N38,Q38,R38-Q38),[5]skilldef!$C:$D,2,FALSE),"-") &amp; " / " &amp; IFERROR(VLOOKUP(MID(N38,O38,P38-O38),[5]skilldef!$A:$B,2,FALSE),"-")</f>
        <v>- / 特定ブロックの割合ドロップ</v>
      </c>
      <c r="T38" s="44" t="str">
        <f t="shared" ref="T38:T48" si="199">IFERROR(RIGHT(M38,LEN(M38)-FIND("],",M38)-1),"none")</f>
        <v>[effect:drop_block, block_type:damage, color:block_green, val:0.2, rate:0.05, turn:1],[effect:drop_block, block_type:damage, color:block_yellow, val:0.2, rate:0.05, turn:1],[effect:drop_block, block_type:damage, color:block_blue, val:0.2, rate:0.05, turn:1],[effect:drop_block, block_type:color_break, color:block_all, val:0, rate:0.02, turn:1, animation:color_break_influence04],[effect:critical, val:1.2, animation:enemy_critical]</v>
      </c>
      <c r="U38" s="59">
        <f t="shared" ref="U38:U48" si="200">FIND("effect:",T38)+7</f>
        <v>9</v>
      </c>
      <c r="V38" s="59">
        <f t="shared" ref="V38:V48" si="201">IFERROR(FIND(",",T38),LEN(T38))</f>
        <v>19</v>
      </c>
      <c r="W38" s="59" t="e">
        <f t="shared" ref="W38:W48" si="202">FIND("target:",T38)+7</f>
        <v>#VALUE!</v>
      </c>
      <c r="X38" s="59">
        <f t="shared" ref="X38:X48" si="203">FIND(",",T38,V38+1)</f>
        <v>38</v>
      </c>
      <c r="Y38" s="59" t="str">
        <f>IFERROR(VLOOKUP(MID(T38,W38,X38-W38),[5]skilldef!$C:$D,2,FALSE),"-") &amp; " / " &amp; IFERROR(VLOOKUP(MID(T38,U38,V38-U38),[5]skilldef!$A:$B,2,FALSE),"-")</f>
        <v>- / 特定ブロックの割合ドロップ</v>
      </c>
      <c r="Z38" s="46"/>
      <c r="AA38" s="48"/>
      <c r="AB38" s="46"/>
    </row>
    <row r="39" spans="1:28" ht="40" customHeight="1" x14ac:dyDescent="0.15">
      <c r="A39" s="113">
        <v>13400973</v>
      </c>
      <c r="B39" s="113" t="s">
        <v>367</v>
      </c>
      <c r="C39" s="117">
        <v>3</v>
      </c>
      <c r="D39" s="117" t="s">
        <v>252</v>
      </c>
      <c r="E39" s="118" t="s">
        <v>330</v>
      </c>
      <c r="F39" s="118" t="s">
        <v>293</v>
      </c>
      <c r="G39" s="59" t="str">
        <f t="shared" si="189"/>
        <v>[effect:enemy_message, val1:1.2, val2:3.1]</v>
      </c>
      <c r="H39" s="59">
        <f t="shared" si="190"/>
        <v>9</v>
      </c>
      <c r="I39" s="59">
        <f t="shared" si="191"/>
        <v>22</v>
      </c>
      <c r="J39" s="59" t="e">
        <f t="shared" si="192"/>
        <v>#VALUE!</v>
      </c>
      <c r="K39" s="59">
        <f t="shared" si="193"/>
        <v>32</v>
      </c>
      <c r="L39" s="59" t="str">
        <f>IFERROR(VLOOKUP(MID(G39,J39,K39-J39),[5]skilldef!$C:$D,2,FALSE),"-") &amp; " / " &amp; IFERROR(VLOOKUP(MID(G39,H39,I39-H39),[5]skilldef!$A:$B,2,FALSE),"-")</f>
        <v>- / -</v>
      </c>
      <c r="M39" s="59" t="str">
        <f t="shared" si="194"/>
        <v>[effect:drop_block, block_type:jammer, color:block_all, val:0, rate:0.2, turn:1, animation:jammer_influence04],[effect:virus, target:unit_all, turn:1, rate:1, val:0.5, animation:enemy_virus]</v>
      </c>
      <c r="N39" s="44" t="str">
        <f>IFERROR(LEFT(M39,FIND("],",M39)+#REF!),M39)</f>
        <v>[effect:drop_block, block_type:jammer, color:block_all, val:0, rate:0.2, turn:1, animation:jammer_influence04],[effect:virus, target:unit_all, turn:1, rate:1, val:0.5, animation:enemy_virus]</v>
      </c>
      <c r="O39" s="59">
        <f t="shared" si="195"/>
        <v>9</v>
      </c>
      <c r="P39" s="59">
        <f t="shared" si="196"/>
        <v>19</v>
      </c>
      <c r="Q39" s="59">
        <f t="shared" si="197"/>
        <v>134</v>
      </c>
      <c r="R39" s="59">
        <f t="shared" si="198"/>
        <v>38</v>
      </c>
      <c r="S39" s="59" t="str">
        <f>IFERROR(VLOOKUP(MID(N39,Q39,R39-Q39),[5]skilldef!$C:$D,2,FALSE),"-") &amp; " / " &amp; IFERROR(VLOOKUP(MID(N39,O39,P39-O39),[5]skilldef!$A:$B,2,FALSE),"-")</f>
        <v>- / 特定ブロックの割合ドロップ</v>
      </c>
      <c r="T39" s="44" t="str">
        <f t="shared" si="199"/>
        <v>[effect:virus, target:unit_all, turn:1, rate:1, val:0.5, animation:enemy_virus]</v>
      </c>
      <c r="U39" s="59">
        <f t="shared" si="200"/>
        <v>9</v>
      </c>
      <c r="V39" s="59">
        <f t="shared" si="201"/>
        <v>14</v>
      </c>
      <c r="W39" s="59">
        <f t="shared" si="202"/>
        <v>23</v>
      </c>
      <c r="X39" s="59">
        <f t="shared" si="203"/>
        <v>31</v>
      </c>
      <c r="Y39" s="59" t="str">
        <f>IFERROR(VLOOKUP(MID(T39,W39,X39-W39),[5]skilldef!$C:$D,2,FALSE),"-") &amp; " / " &amp; IFERROR(VLOOKUP(MID(T39,U39,V39-U39),[5]skilldef!$A:$B,2,FALSE),"-")</f>
        <v>味方全体に / ウィルス</v>
      </c>
      <c r="Z39" s="46"/>
      <c r="AA39" s="48"/>
      <c r="AB39" s="46"/>
    </row>
    <row r="40" spans="1:28" ht="40" customHeight="1" x14ac:dyDescent="0.15">
      <c r="A40" s="113">
        <v>13400974</v>
      </c>
      <c r="B40" s="113" t="s">
        <v>368</v>
      </c>
      <c r="C40" s="117">
        <v>3</v>
      </c>
      <c r="D40" s="117" t="s">
        <v>196</v>
      </c>
      <c r="E40" s="118" t="s">
        <v>397</v>
      </c>
      <c r="F40" s="118" t="s">
        <v>342</v>
      </c>
      <c r="G40" s="59" t="str">
        <f t="shared" ref="G40" si="204">IFERROR(LEFT(B40,FIND("],",B40)),B40)</f>
        <v>[effect:enemy_message, val1:1.2, val2:2.6]</v>
      </c>
      <c r="H40" s="59">
        <f t="shared" ref="H40" si="205">FIND("effect:",G40)+7</f>
        <v>9</v>
      </c>
      <c r="I40" s="59">
        <f t="shared" ref="I40" si="206">IFERROR(FIND(",",G40),LEN(G40))</f>
        <v>22</v>
      </c>
      <c r="J40" s="59" t="e">
        <f t="shared" ref="J40" si="207">FIND("target:",G40)+7</f>
        <v>#VALUE!</v>
      </c>
      <c r="K40" s="59">
        <f t="shared" ref="K40" si="208">FIND(",",G40,I40+1)</f>
        <v>32</v>
      </c>
      <c r="L40" s="59" t="str">
        <f>IFERROR(VLOOKUP(MID(G40,J40,K40-J40),[5]skilldef!$C:$D,2,FALSE),"-") &amp; " / " &amp; IFERROR(VLOOKUP(MID(G40,H40,I40-H40),[5]skilldef!$A:$B,2,FALSE),"-")</f>
        <v>- / -</v>
      </c>
      <c r="M40" s="59" t="str">
        <f t="shared" ref="M40" si="209">IFERROR(RIGHT(B40,LEN(B40)-FIND("],",B40)-1),"none")</f>
        <v>[effect:degrade_unit, target:unit_all, turn:4, status:heal, val:1.0, calc:mul, animation:degrade_unit_all_heal],[effect:rush, count:1, val:1.0]</v>
      </c>
      <c r="N40" s="44" t="str">
        <f>IFERROR(LEFT(M40,FIND("],",M40)+#REF!),M40)</f>
        <v>[effect:degrade_unit, target:unit_all, turn:4, status:heal, val:1.0, calc:mul, animation:degrade_unit_all_heal],[effect:rush, count:1, val:1.0]</v>
      </c>
      <c r="O40" s="59">
        <f t="shared" ref="O40" si="210">FIND("effect:",N40)+7</f>
        <v>9</v>
      </c>
      <c r="P40" s="59">
        <f t="shared" ref="P40" si="211">IFERROR(FIND(",",N40),LEN(N40))</f>
        <v>21</v>
      </c>
      <c r="Q40" s="59">
        <f t="shared" ref="Q40" si="212">FIND("target:",N40)+7</f>
        <v>30</v>
      </c>
      <c r="R40" s="59">
        <f t="shared" ref="R40" si="213">FIND(",",N40,P40+1)</f>
        <v>38</v>
      </c>
      <c r="S40" s="59" t="str">
        <f>IFERROR(VLOOKUP(MID(N40,Q40,R40-Q40),[5]skilldef!$C:$D,2,FALSE),"-") &amp; " / " &amp; IFERROR(VLOOKUP(MID(N40,O40,P40-O40),[5]skilldef!$A:$B,2,FALSE),"-")</f>
        <v>味方全体に / ステータスDOWN</v>
      </c>
      <c r="T40" s="44" t="str">
        <f t="shared" ref="T40" si="214">IFERROR(RIGHT(M40,LEN(M40)-FIND("],",M40)-1),"none")</f>
        <v>[effect:rush, count:1, val:1.0]</v>
      </c>
      <c r="U40" s="59">
        <f t="shared" ref="U40" si="215">FIND("effect:",T40)+7</f>
        <v>9</v>
      </c>
      <c r="V40" s="59">
        <f t="shared" ref="V40" si="216">IFERROR(FIND(",",T40),LEN(T40))</f>
        <v>13</v>
      </c>
      <c r="W40" s="59" t="e">
        <f t="shared" ref="W40" si="217">FIND("target:",T40)+7</f>
        <v>#VALUE!</v>
      </c>
      <c r="X40" s="59">
        <f t="shared" ref="X40" si="218">FIND(",",T40,V40+1)</f>
        <v>22</v>
      </c>
      <c r="Y40" s="59" t="str">
        <f>IFERROR(VLOOKUP(MID(T40,W40,X40-W40),[5]skilldef!$C:$D,2,FALSE),"-") &amp; " / " &amp; IFERROR(VLOOKUP(MID(T40,U40,V40-U40),[5]skilldef!$A:$B,2,FALSE),"-")</f>
        <v>- / 連続攻撃</v>
      </c>
      <c r="Z40" s="46"/>
      <c r="AA40" s="48"/>
      <c r="AB40" s="46"/>
    </row>
    <row r="41" spans="1:28" ht="40" customHeight="1" x14ac:dyDescent="0.15">
      <c r="A41" s="113">
        <v>13400975</v>
      </c>
      <c r="B41" s="113" t="s">
        <v>415</v>
      </c>
      <c r="C41" s="117">
        <v>3</v>
      </c>
      <c r="D41" s="117" t="s">
        <v>252</v>
      </c>
      <c r="E41" s="118" t="s">
        <v>333</v>
      </c>
      <c r="F41" s="118" t="s">
        <v>294</v>
      </c>
      <c r="G41" s="59" t="str">
        <f t="shared" si="189"/>
        <v>[effect:enemy_message, val1:1.2, val2:1.5]</v>
      </c>
      <c r="H41" s="59">
        <f t="shared" si="190"/>
        <v>9</v>
      </c>
      <c r="I41" s="59">
        <f t="shared" si="191"/>
        <v>22</v>
      </c>
      <c r="J41" s="59" t="e">
        <f t="shared" si="192"/>
        <v>#VALUE!</v>
      </c>
      <c r="K41" s="59">
        <f t="shared" si="193"/>
        <v>32</v>
      </c>
      <c r="L41" s="59" t="str">
        <f>IFERROR(VLOOKUP(MID(G41,J41,K41-J41),[5]skilldef!$C:$D,2,FALSE),"-") &amp; " / " &amp; IFERROR(VLOOKUP(MID(G41,H41,I41-H41),[5]skilldef!$A:$B,2,FALSE),"-")</f>
        <v>- / -</v>
      </c>
      <c r="M41" s="59" t="str">
        <f t="shared" si="194"/>
        <v>[effect:break_attack, target:unit_all, val:0.02, lowest_val:3200, count:-1, color:red, block01:jammer]</v>
      </c>
      <c r="N41" s="44" t="str">
        <f>IFERROR(LEFT(M41,FIND("],",M41)+#REF!),M41)</f>
        <v>[effect:break_attack, target:unit_all, val:0.02, lowest_val:3200, count:-1, color:red, block01:jammer]</v>
      </c>
      <c r="O41" s="59">
        <f t="shared" si="195"/>
        <v>9</v>
      </c>
      <c r="P41" s="59">
        <f t="shared" si="196"/>
        <v>21</v>
      </c>
      <c r="Q41" s="59">
        <f t="shared" si="197"/>
        <v>30</v>
      </c>
      <c r="R41" s="59">
        <f t="shared" si="198"/>
        <v>38</v>
      </c>
      <c r="S41" s="59" t="str">
        <f>IFERROR(VLOOKUP(MID(N41,Q41,R41-Q41),[5]skilldef!$C:$D,2,FALSE),"-") &amp; " / " &amp; IFERROR(VLOOKUP(MID(N41,O41,P41-O41),[5]skilldef!$A:$B,2,FALSE),"-")</f>
        <v>味方全体に / -</v>
      </c>
      <c r="T41" s="44" t="str">
        <f t="shared" si="199"/>
        <v>none</v>
      </c>
      <c r="U41" s="59" t="e">
        <f t="shared" si="200"/>
        <v>#VALUE!</v>
      </c>
      <c r="V41" s="59">
        <f t="shared" si="201"/>
        <v>4</v>
      </c>
      <c r="W41" s="59" t="e">
        <f t="shared" si="202"/>
        <v>#VALUE!</v>
      </c>
      <c r="X41" s="59" t="e">
        <f t="shared" si="203"/>
        <v>#VALUE!</v>
      </c>
      <c r="Y41" s="59" t="str">
        <f>IFERROR(VLOOKUP(MID(T41,W41,X41-W41),[5]skilldef!$C:$D,2,FALSE),"-") &amp; " / " &amp; IFERROR(VLOOKUP(MID(T41,U41,V41-U41),[5]skilldef!$A:$B,2,FALSE),"-")</f>
        <v>- / -</v>
      </c>
      <c r="Z41" s="46"/>
      <c r="AA41" s="48"/>
      <c r="AB41" s="46"/>
    </row>
    <row r="42" spans="1:28" ht="40" customHeight="1" x14ac:dyDescent="0.15">
      <c r="A42" s="113">
        <v>13400976</v>
      </c>
      <c r="B42" s="113" t="s">
        <v>389</v>
      </c>
      <c r="C42" s="117">
        <v>3</v>
      </c>
      <c r="D42" s="117" t="s">
        <v>252</v>
      </c>
      <c r="E42" s="118" t="s">
        <v>386</v>
      </c>
      <c r="F42" s="118" t="s">
        <v>343</v>
      </c>
      <c r="G42" s="59" t="str">
        <f t="shared" si="189"/>
        <v>[effect:enemy_message, val1:2.3, val2:3.4]</v>
      </c>
      <c r="H42" s="59">
        <f t="shared" si="190"/>
        <v>9</v>
      </c>
      <c r="I42" s="59">
        <f t="shared" si="191"/>
        <v>22</v>
      </c>
      <c r="J42" s="59" t="e">
        <f t="shared" si="192"/>
        <v>#VALUE!</v>
      </c>
      <c r="K42" s="59">
        <f t="shared" si="193"/>
        <v>32</v>
      </c>
      <c r="L42" s="59" t="str">
        <f>IFERROR(VLOOKUP(MID(G42,J42,K42-J42),[5]skilldef!$C:$D,2,FALSE),"-") &amp; " / " &amp; IFERROR(VLOOKUP(MID(G42,H42,I42-H42),[5]skilldef!$A:$B,2,FALSE),"-")</f>
        <v>- / -</v>
      </c>
      <c r="M42" s="59" t="str">
        <f t="shared" si="194"/>
        <v>[effect:enhance_enemy, target:myself, turn:-1, status:defense, val:65535, calc:add, animation:enemy_enhance_defense],[effect:degrade_unit, target:unit_all, turn:4, status:heal, val:1.0, calc:mul, animation:degrade_unit_all_heal],[effect:rush, count:1, val:1.0]</v>
      </c>
      <c r="N42" s="44" t="str">
        <f>IFERROR(LEFT(M42,FIND("],",M42)+#REF!),M42)</f>
        <v>[effect:enhance_enemy, target:myself, turn:-1, status:defense, val:65535, calc:add, animation:enemy_enhance_defense],[effect:degrade_unit, target:unit_all, turn:4, status:heal, val:1.0, calc:mul, animation:degrade_unit_all_heal],[effect:rush, count:1, val:1.0]</v>
      </c>
      <c r="O42" s="59">
        <f t="shared" si="195"/>
        <v>9</v>
      </c>
      <c r="P42" s="59">
        <f t="shared" si="196"/>
        <v>22</v>
      </c>
      <c r="Q42" s="59">
        <f t="shared" si="197"/>
        <v>31</v>
      </c>
      <c r="R42" s="59">
        <f t="shared" si="198"/>
        <v>37</v>
      </c>
      <c r="S42" s="59" t="str">
        <f>IFERROR(VLOOKUP(MID(N42,Q42,R42-Q42),[5]skilldef!$C:$D,2,FALSE),"-") &amp; " / " &amp; IFERROR(VLOOKUP(MID(N42,O42,P42-O42),[5]skilldef!$A:$B,2,FALSE),"-")</f>
        <v>自分自身に / ステータス強化</v>
      </c>
      <c r="T42" s="44" t="str">
        <f t="shared" si="199"/>
        <v>[effect:degrade_unit, target:unit_all, turn:4, status:heal, val:1.0, calc:mul, animation:degrade_unit_all_heal],[effect:rush, count:1, val:1.0]</v>
      </c>
      <c r="U42" s="59">
        <f t="shared" si="200"/>
        <v>9</v>
      </c>
      <c r="V42" s="59">
        <f t="shared" si="201"/>
        <v>21</v>
      </c>
      <c r="W42" s="59">
        <f t="shared" si="202"/>
        <v>30</v>
      </c>
      <c r="X42" s="59">
        <f t="shared" si="203"/>
        <v>38</v>
      </c>
      <c r="Y42" s="59" t="str">
        <f>IFERROR(VLOOKUP(MID(T42,W42,X42-W42),[5]skilldef!$C:$D,2,FALSE),"-") &amp; " / " &amp; IFERROR(VLOOKUP(MID(T42,U42,V42-U42),[5]skilldef!$A:$B,2,FALSE),"-")</f>
        <v>味方全体に / ステータスDOWN</v>
      </c>
      <c r="Z42" s="46"/>
      <c r="AA42" s="48"/>
      <c r="AB42" s="46"/>
    </row>
    <row r="43" spans="1:28" ht="40" customHeight="1" x14ac:dyDescent="0.15">
      <c r="A43" s="113">
        <v>13400977</v>
      </c>
      <c r="B43" s="113" t="s">
        <v>423</v>
      </c>
      <c r="C43" s="117">
        <v>3</v>
      </c>
      <c r="D43" s="117" t="s">
        <v>252</v>
      </c>
      <c r="E43" s="118" t="s">
        <v>332</v>
      </c>
      <c r="F43" s="118" t="s">
        <v>295</v>
      </c>
      <c r="G43" s="59" t="str">
        <f t="shared" si="189"/>
        <v>[effect:enemy_message, val1:1.8, val2:3.4]</v>
      </c>
      <c r="H43" s="59">
        <f t="shared" si="190"/>
        <v>9</v>
      </c>
      <c r="I43" s="59">
        <f t="shared" si="191"/>
        <v>22</v>
      </c>
      <c r="J43" s="59" t="e">
        <f t="shared" si="192"/>
        <v>#VALUE!</v>
      </c>
      <c r="K43" s="59">
        <f t="shared" si="193"/>
        <v>32</v>
      </c>
      <c r="L43" s="59" t="str">
        <f>IFERROR(VLOOKUP(MID(G43,J43,K43-J43),[5]skilldef!$C:$D,2,FALSE),"-") &amp; " / " &amp; IFERROR(VLOOKUP(MID(G43,H43,I43-H43),[5]skilldef!$A:$B,2,FALSE),"-")</f>
        <v>- / -</v>
      </c>
      <c r="M43" s="59" t="str">
        <f t="shared" si="194"/>
        <v>[effect:drop_block, block_type:damage, color:block_red, val:0.2, rate:0.13, turn:-1],[effect:drop_block, block_type:damage, color:block_green, val:0.2, rate:0.13, turn:-1],[effect:drop_block, block_type:damage, color:block_yellow, val:0.2, rate:0.13, turn:-1],[effect:drop_block, block_type:damage, color:block_blue, val:0.2, rate:0.13, turn:-1],[effect:drop_block, block_type:jammer, color:block_all, val:0, rate:0.1, turn:-1, animation:jammer_influence04],[effect:virus, target:unit_all, turn:-1, rate:1, val:0.25, animation:enemy_virus]</v>
      </c>
      <c r="N43" s="44" t="str">
        <f>IFERROR(LEFT(M43,FIND("],",M43)+#REF!),M43)</f>
        <v>[effect:drop_block, block_type:damage, color:block_red, val:0.2, rate:0.13, turn:-1],[effect:drop_block, block_type:damage, color:block_green, val:0.2, rate:0.13, turn:-1],[effect:drop_block, block_type:damage, color:block_yellow, val:0.2, rate:0.13, turn:-1],[effect:drop_block, block_type:damage, color:block_blue, val:0.2, rate:0.13, turn:-1],[effect:drop_block, block_type:jammer, color:block_all, val:0, rate:0.1, turn:-1, animation:jammer_influence04],[effect:virus, target:unit_all, turn:-1, rate:1, val:0.25, animation:enemy_virus]</v>
      </c>
      <c r="O43" s="59">
        <f t="shared" si="195"/>
        <v>9</v>
      </c>
      <c r="P43" s="59">
        <f t="shared" si="196"/>
        <v>19</v>
      </c>
      <c r="Q43" s="59">
        <f t="shared" si="197"/>
        <v>481</v>
      </c>
      <c r="R43" s="59">
        <f t="shared" si="198"/>
        <v>38</v>
      </c>
      <c r="S43" s="59" t="str">
        <f>IFERROR(VLOOKUP(MID(N43,Q43,R43-Q43),[5]skilldef!$C:$D,2,FALSE),"-") &amp; " / " &amp; IFERROR(VLOOKUP(MID(N43,O43,P43-O43),[5]skilldef!$A:$B,2,FALSE),"-")</f>
        <v>- / 特定ブロックの割合ドロップ</v>
      </c>
      <c r="T43" s="44" t="str">
        <f t="shared" si="199"/>
        <v>[effect:drop_block, block_type:damage, color:block_green, val:0.2, rate:0.13, turn:-1],[effect:drop_block, block_type:damage, color:block_yellow, val:0.2, rate:0.13, turn:-1],[effect:drop_block, block_type:damage, color:block_blue, val:0.2, rate:0.13, turn:-1],[effect:drop_block, block_type:jammer, color:block_all, val:0, rate:0.1, turn:-1, animation:jammer_influence04],[effect:virus, target:unit_all, turn:-1, rate:1, val:0.25, animation:enemy_virus]</v>
      </c>
      <c r="U43" s="59">
        <f t="shared" si="200"/>
        <v>9</v>
      </c>
      <c r="V43" s="59">
        <f t="shared" si="201"/>
        <v>19</v>
      </c>
      <c r="W43" s="59">
        <f t="shared" si="202"/>
        <v>396</v>
      </c>
      <c r="X43" s="59">
        <f t="shared" si="203"/>
        <v>38</v>
      </c>
      <c r="Y43" s="59" t="str">
        <f>IFERROR(VLOOKUP(MID(T43,W43,X43-W43),[5]skilldef!$C:$D,2,FALSE),"-") &amp; " / " &amp; IFERROR(VLOOKUP(MID(T43,U43,V43-U43),[5]skilldef!$A:$B,2,FALSE),"-")</f>
        <v>- / 特定ブロックの割合ドロップ</v>
      </c>
      <c r="Z43" s="46"/>
      <c r="AA43" s="48"/>
      <c r="AB43" s="46"/>
    </row>
    <row r="44" spans="1:28" ht="40" customHeight="1" x14ac:dyDescent="0.15">
      <c r="A44" s="113">
        <v>13400978</v>
      </c>
      <c r="B44" s="113" t="s">
        <v>369</v>
      </c>
      <c r="C44" s="117">
        <v>3</v>
      </c>
      <c r="D44" s="117" t="s">
        <v>252</v>
      </c>
      <c r="E44" s="118" t="s">
        <v>335</v>
      </c>
      <c r="F44" s="118" t="s">
        <v>344</v>
      </c>
      <c r="G44" s="59" t="str">
        <f t="shared" si="189"/>
        <v>[effect:enemy_message, val1:1.5, val2:3.3]</v>
      </c>
      <c r="H44" s="59">
        <f t="shared" si="190"/>
        <v>9</v>
      </c>
      <c r="I44" s="59">
        <f t="shared" si="191"/>
        <v>22</v>
      </c>
      <c r="J44" s="59" t="e">
        <f t="shared" si="192"/>
        <v>#VALUE!</v>
      </c>
      <c r="K44" s="59">
        <f t="shared" si="193"/>
        <v>32</v>
      </c>
      <c r="L44" s="59" t="str">
        <f>IFERROR(VLOOKUP(MID(G44,J44,K44-J44),[5]skilldef!$C:$D,2,FALSE),"-") &amp; " / " &amp; IFERROR(VLOOKUP(MID(G44,H44,I44-H44),[5]skilldef!$A:$B,2,FALSE),"-")</f>
        <v>- / -</v>
      </c>
      <c r="M44" s="59" t="str">
        <f t="shared" si="194"/>
        <v>[effect:break_attack, target:unit_one, val:0.025, lowest_val:13000, count:-1, color:red, block01:block_green],[effect:degrade_unit, target:unit_all, turn:2, status:heal, val:1.0, calc:mul, animation:degrade_unit_all_heal]</v>
      </c>
      <c r="N44" s="44" t="str">
        <f>IFERROR(LEFT(M44,FIND("],",M44)+#REF!),M44)</f>
        <v>[effect:break_attack, target:unit_one, val:0.025, lowest_val:13000, count:-1, color:red, block01:block_green],[effect:degrade_unit, target:unit_all, turn:2, status:heal, val:1.0, calc:mul, animation:degrade_unit_all_heal]</v>
      </c>
      <c r="O44" s="59">
        <f t="shared" si="195"/>
        <v>9</v>
      </c>
      <c r="P44" s="59">
        <f t="shared" si="196"/>
        <v>21</v>
      </c>
      <c r="Q44" s="59">
        <f t="shared" si="197"/>
        <v>30</v>
      </c>
      <c r="R44" s="59">
        <f t="shared" si="198"/>
        <v>38</v>
      </c>
      <c r="S44" s="59" t="str">
        <f>IFERROR(VLOOKUP(MID(N44,Q44,R44-Q44),[5]skilldef!$C:$D,2,FALSE),"-") &amp; " / " &amp; IFERROR(VLOOKUP(MID(N44,O44,P44-O44),[5]skilldef!$A:$B,2,FALSE),"-")</f>
        <v>味方単体に / -</v>
      </c>
      <c r="T44" s="44" t="str">
        <f t="shared" si="199"/>
        <v>[effect:degrade_unit, target:unit_all, turn:2, status:heal, val:1.0, calc:mul, animation:degrade_unit_all_heal]</v>
      </c>
      <c r="U44" s="59">
        <f t="shared" si="200"/>
        <v>9</v>
      </c>
      <c r="V44" s="59">
        <f t="shared" si="201"/>
        <v>21</v>
      </c>
      <c r="W44" s="59">
        <f t="shared" si="202"/>
        <v>30</v>
      </c>
      <c r="X44" s="59">
        <f t="shared" si="203"/>
        <v>38</v>
      </c>
      <c r="Y44" s="59" t="str">
        <f>IFERROR(VLOOKUP(MID(T44,W44,X44-W44),[5]skilldef!$C:$D,2,FALSE),"-") &amp; " / " &amp; IFERROR(VLOOKUP(MID(T44,U44,V44-U44),[5]skilldef!$A:$B,2,FALSE),"-")</f>
        <v>味方全体に / ステータスDOWN</v>
      </c>
      <c r="Z44" s="46"/>
      <c r="AA44" s="48"/>
      <c r="AB44" s="46"/>
    </row>
    <row r="45" spans="1:28" ht="40" customHeight="1" x14ac:dyDescent="0.15">
      <c r="A45" s="113">
        <v>13400979</v>
      </c>
      <c r="B45" s="113" t="s">
        <v>370</v>
      </c>
      <c r="C45" s="117">
        <v>3</v>
      </c>
      <c r="D45" s="117" t="s">
        <v>252</v>
      </c>
      <c r="E45" s="118" t="s">
        <v>327</v>
      </c>
      <c r="F45" s="118" t="s">
        <v>348</v>
      </c>
      <c r="G45" s="59" t="str">
        <f t="shared" si="189"/>
        <v>[effect:enemy_message, val1:1.4, val2:1.9]</v>
      </c>
      <c r="H45" s="59">
        <f t="shared" si="190"/>
        <v>9</v>
      </c>
      <c r="I45" s="59">
        <f t="shared" si="191"/>
        <v>22</v>
      </c>
      <c r="J45" s="59" t="e">
        <f t="shared" si="192"/>
        <v>#VALUE!</v>
      </c>
      <c r="K45" s="59">
        <f t="shared" si="193"/>
        <v>32</v>
      </c>
      <c r="L45" s="59" t="str">
        <f>IFERROR(VLOOKUP(MID(G45,J45,K45-J45),[5]skilldef!$C:$D,2,FALSE),"-") &amp; " / " &amp; IFERROR(VLOOKUP(MID(G45,H45,I45-H45),[5]skilldef!$A:$B,2,FALSE),"-")</f>
        <v>- / -</v>
      </c>
      <c r="M45" s="59" t="str">
        <f t="shared" si="194"/>
        <v>[effect:damage_anti_color, target:unit_all, color:blue, val1:0.5, val2:0.25]</v>
      </c>
      <c r="N45" s="44" t="str">
        <f>IFERROR(LEFT(M45,FIND("],",M45)+#REF!),M45)</f>
        <v>[effect:damage_anti_color, target:unit_all, color:blue, val1:0.5, val2:0.25]</v>
      </c>
      <c r="O45" s="59">
        <f t="shared" si="195"/>
        <v>9</v>
      </c>
      <c r="P45" s="59">
        <f t="shared" si="196"/>
        <v>26</v>
      </c>
      <c r="Q45" s="59">
        <f t="shared" si="197"/>
        <v>35</v>
      </c>
      <c r="R45" s="59">
        <f t="shared" si="198"/>
        <v>43</v>
      </c>
      <c r="S45" s="59" t="str">
        <f>IFERROR(VLOOKUP(MID(N45,Q45,R45-Q45),[5]skilldef!$C:$D,2,FALSE),"-") &amp; " / " &amp; IFERROR(VLOOKUP(MID(N45,O45,P45-O45),[5]skilldef!$A:$B,2,FALSE),"-")</f>
        <v>味方全体に / 属性キラー</v>
      </c>
      <c r="T45" s="44" t="str">
        <f t="shared" si="199"/>
        <v>none</v>
      </c>
      <c r="U45" s="59" t="e">
        <f t="shared" si="200"/>
        <v>#VALUE!</v>
      </c>
      <c r="V45" s="59">
        <f t="shared" si="201"/>
        <v>4</v>
      </c>
      <c r="W45" s="59" t="e">
        <f t="shared" si="202"/>
        <v>#VALUE!</v>
      </c>
      <c r="X45" s="59" t="e">
        <f t="shared" si="203"/>
        <v>#VALUE!</v>
      </c>
      <c r="Y45" s="59" t="str">
        <f>IFERROR(VLOOKUP(MID(T45,W45,X45-W45),[5]skilldef!$C:$D,2,FALSE),"-") &amp; " / " &amp; IFERROR(VLOOKUP(MID(T45,U45,V45-U45),[5]skilldef!$A:$B,2,FALSE),"-")</f>
        <v>- / -</v>
      </c>
      <c r="Z45" s="46"/>
      <c r="AA45" s="48"/>
      <c r="AB45" s="46"/>
    </row>
    <row r="46" spans="1:28" ht="40" customHeight="1" x14ac:dyDescent="0.15">
      <c r="A46" s="113">
        <v>13400980</v>
      </c>
      <c r="B46" s="113" t="s">
        <v>371</v>
      </c>
      <c r="C46" s="117">
        <v>3</v>
      </c>
      <c r="D46" s="117" t="s">
        <v>252</v>
      </c>
      <c r="E46" s="118" t="s">
        <v>331</v>
      </c>
      <c r="F46" s="118" t="s">
        <v>322</v>
      </c>
      <c r="G46" s="59" t="str">
        <f t="shared" si="189"/>
        <v>[effect:enemy_message, val1:1.6, val2:1.9]</v>
      </c>
      <c r="H46" s="59">
        <f t="shared" si="190"/>
        <v>9</v>
      </c>
      <c r="I46" s="59">
        <f t="shared" si="191"/>
        <v>22</v>
      </c>
      <c r="J46" s="59" t="e">
        <f t="shared" si="192"/>
        <v>#VALUE!</v>
      </c>
      <c r="K46" s="59">
        <f t="shared" si="193"/>
        <v>32</v>
      </c>
      <c r="L46" s="59" t="str">
        <f>IFERROR(VLOOKUP(MID(G46,J46,K46-J46),[5]skilldef!$C:$D,2,FALSE),"-") &amp; " / " &amp; IFERROR(VLOOKUP(MID(G46,H46,I46-H46),[5]skilldef!$A:$B,2,FALSE),"-")</f>
        <v>- / -</v>
      </c>
      <c r="M46" s="59" t="str">
        <f t="shared" si="194"/>
        <v>[effect:damage_anti_abnormal, target:unit_all, target_effect01:virus, val1:0.05, val2:0.55]</v>
      </c>
      <c r="N46" s="44" t="str">
        <f>IFERROR(LEFT(M46,FIND("],",M46)+#REF!),M46)</f>
        <v>[effect:damage_anti_abnormal, target:unit_all, target_effect01:virus, val1:0.05, val2:0.55]</v>
      </c>
      <c r="O46" s="59">
        <f t="shared" si="195"/>
        <v>9</v>
      </c>
      <c r="P46" s="59">
        <f t="shared" si="196"/>
        <v>29</v>
      </c>
      <c r="Q46" s="59">
        <f t="shared" si="197"/>
        <v>38</v>
      </c>
      <c r="R46" s="59">
        <f t="shared" si="198"/>
        <v>46</v>
      </c>
      <c r="S46" s="59" t="str">
        <f>IFERROR(VLOOKUP(MID(N46,Q46,R46-Q46),[5]skilldef!$C:$D,2,FALSE),"-") &amp; " / " &amp; IFERROR(VLOOKUP(MID(N46,O46,P46-O46),[5]skilldef!$A:$B,2,FALSE),"-")</f>
        <v>味方全体に / -</v>
      </c>
      <c r="T46" s="44" t="str">
        <f t="shared" si="199"/>
        <v>none</v>
      </c>
      <c r="U46" s="59" t="e">
        <f t="shared" si="200"/>
        <v>#VALUE!</v>
      </c>
      <c r="V46" s="59">
        <f t="shared" si="201"/>
        <v>4</v>
      </c>
      <c r="W46" s="59" t="e">
        <f t="shared" si="202"/>
        <v>#VALUE!</v>
      </c>
      <c r="X46" s="59" t="e">
        <f t="shared" si="203"/>
        <v>#VALUE!</v>
      </c>
      <c r="Y46" s="59" t="str">
        <f>IFERROR(VLOOKUP(MID(T46,W46,X46-W46),[5]skilldef!$C:$D,2,FALSE),"-") &amp; " / " &amp; IFERROR(VLOOKUP(MID(T46,U46,V46-U46),[5]skilldef!$A:$B,2,FALSE),"-")</f>
        <v>- / -</v>
      </c>
      <c r="Z46" s="46"/>
      <c r="AA46" s="48"/>
      <c r="AB46" s="46"/>
    </row>
    <row r="47" spans="1:28" ht="40" customHeight="1" x14ac:dyDescent="0.15">
      <c r="A47" s="113">
        <v>13400981</v>
      </c>
      <c r="B47" s="113" t="s">
        <v>433</v>
      </c>
      <c r="C47" s="117">
        <v>3</v>
      </c>
      <c r="D47" s="117" t="s">
        <v>252</v>
      </c>
      <c r="E47" s="118" t="s">
        <v>334</v>
      </c>
      <c r="F47" s="118" t="s">
        <v>296</v>
      </c>
      <c r="G47" s="59" t="str">
        <f t="shared" si="189"/>
        <v>[effect:enemy_message, val1:1.4, val2:3.2]</v>
      </c>
      <c r="H47" s="59">
        <f t="shared" si="190"/>
        <v>9</v>
      </c>
      <c r="I47" s="59">
        <f t="shared" si="191"/>
        <v>22</v>
      </c>
      <c r="J47" s="59" t="e">
        <f t="shared" si="192"/>
        <v>#VALUE!</v>
      </c>
      <c r="K47" s="59">
        <f t="shared" si="193"/>
        <v>32</v>
      </c>
      <c r="L47" s="59" t="str">
        <f>IFERROR(VLOOKUP(MID(G47,J47,K47-J47),[5]skilldef!$C:$D,2,FALSE),"-") &amp; " / " &amp; IFERROR(VLOOKUP(MID(G47,H47,I47-H47),[5]skilldef!$A:$B,2,FALSE),"-")</f>
        <v>- / -</v>
      </c>
      <c r="M47" s="59" t="str">
        <f t="shared" si="194"/>
        <v>[effect:break_enchance_enemy, target:myself, val:1, lowest_val:65535, count:-1, status:defense, turn:-1, block01:block_red, block02:block_heart, calc:add, animation:enemy_enhance_defense],[effect:enhance_enemy, target:myself, turn:1, status:attack, val:2.0, calc:mul, animation:enemy_enhance_attack]</v>
      </c>
      <c r="N47" s="44" t="str">
        <f>IFERROR(LEFT(M47,FIND("],",M47)+#REF!),M47)</f>
        <v>[effect:break_enchance_enemy, target:myself, val:1, lowest_val:65535, count:-1, status:defense, turn:-1, block01:block_red, block02:block_heart, calc:add, animation:enemy_enhance_defense],[effect:enhance_enemy, target:myself, turn:1, status:attack, val:2.0, calc:mul, animation:enemy_enhance_attack]</v>
      </c>
      <c r="O47" s="59">
        <f t="shared" si="195"/>
        <v>9</v>
      </c>
      <c r="P47" s="59">
        <f t="shared" si="196"/>
        <v>29</v>
      </c>
      <c r="Q47" s="59">
        <f t="shared" si="197"/>
        <v>38</v>
      </c>
      <c r="R47" s="59">
        <f t="shared" si="198"/>
        <v>44</v>
      </c>
      <c r="S47" s="59" t="str">
        <f>IFERROR(VLOOKUP(MID(N47,Q47,R47-Q47),[5]skilldef!$C:$D,2,FALSE),"-") &amp; " / " &amp; IFERROR(VLOOKUP(MID(N47,O47,P47-O47),[5]skilldef!$A:$B,2,FALSE),"-")</f>
        <v>自分自身に / -</v>
      </c>
      <c r="T47" s="44" t="str">
        <f t="shared" si="199"/>
        <v>[effect:enhance_enemy, target:myself, turn:1, status:attack, val:2.0, calc:mul, animation:enemy_enhance_attack]</v>
      </c>
      <c r="U47" s="59">
        <f t="shared" si="200"/>
        <v>9</v>
      </c>
      <c r="V47" s="59">
        <f t="shared" si="201"/>
        <v>22</v>
      </c>
      <c r="W47" s="59">
        <f t="shared" si="202"/>
        <v>31</v>
      </c>
      <c r="X47" s="59">
        <f t="shared" si="203"/>
        <v>37</v>
      </c>
      <c r="Y47" s="59" t="str">
        <f>IFERROR(VLOOKUP(MID(T47,W47,X47-W47),[5]skilldef!$C:$D,2,FALSE),"-") &amp; " / " &amp; IFERROR(VLOOKUP(MID(T47,U47,V47-U47),[5]skilldef!$A:$B,2,FALSE),"-")</f>
        <v>自分自身に / ステータス強化</v>
      </c>
      <c r="Z47" s="46"/>
      <c r="AA47" s="48"/>
      <c r="AB47" s="46"/>
    </row>
    <row r="48" spans="1:28" ht="40" customHeight="1" x14ac:dyDescent="0.15">
      <c r="A48" s="113">
        <v>13400982</v>
      </c>
      <c r="B48" s="113" t="s">
        <v>284</v>
      </c>
      <c r="C48" s="117">
        <v>3</v>
      </c>
      <c r="D48" s="117" t="s">
        <v>252</v>
      </c>
      <c r="E48" s="118" t="s">
        <v>325</v>
      </c>
      <c r="F48" s="118" t="s">
        <v>321</v>
      </c>
      <c r="G48" s="59" t="str">
        <f t="shared" si="189"/>
        <v>[effect:enemy_message, val1:1.2, val2:1.2]</v>
      </c>
      <c r="H48" s="59">
        <f t="shared" si="190"/>
        <v>9</v>
      </c>
      <c r="I48" s="59">
        <f t="shared" si="191"/>
        <v>22</v>
      </c>
      <c r="J48" s="59" t="e">
        <f t="shared" si="192"/>
        <v>#VALUE!</v>
      </c>
      <c r="K48" s="59">
        <f t="shared" si="193"/>
        <v>32</v>
      </c>
      <c r="L48" s="59" t="str">
        <f>IFERROR(VLOOKUP(MID(G48,J48,K48-J48),[5]skilldef!$C:$D,2,FALSE),"-") &amp; " / " &amp; IFERROR(VLOOKUP(MID(G48,H48,I48-H48),[5]skilldef!$A:$B,2,FALSE),"-")</f>
        <v>- / -</v>
      </c>
      <c r="M48" s="59" t="str">
        <f t="shared" si="194"/>
        <v>[effect:enhance_enemy, target:myself, turn:-1, status:attack, val:0.5, calc:mul, animation:enemy_enhance_attack]</v>
      </c>
      <c r="N48" s="44" t="str">
        <f>IFERROR(LEFT(M48,FIND("],",M48)+#REF!),M48)</f>
        <v>[effect:enhance_enemy, target:myself, turn:-1, status:attack, val:0.5, calc:mul, animation:enemy_enhance_attack]</v>
      </c>
      <c r="O48" s="59">
        <f t="shared" si="195"/>
        <v>9</v>
      </c>
      <c r="P48" s="59">
        <f t="shared" si="196"/>
        <v>22</v>
      </c>
      <c r="Q48" s="59">
        <f t="shared" si="197"/>
        <v>31</v>
      </c>
      <c r="R48" s="59">
        <f t="shared" si="198"/>
        <v>37</v>
      </c>
      <c r="S48" s="59" t="str">
        <f>IFERROR(VLOOKUP(MID(N48,Q48,R48-Q48),[5]skilldef!$C:$D,2,FALSE),"-") &amp; " / " &amp; IFERROR(VLOOKUP(MID(N48,O48,P48-O48),[5]skilldef!$A:$B,2,FALSE),"-")</f>
        <v>自分自身に / ステータス強化</v>
      </c>
      <c r="T48" s="44" t="str">
        <f t="shared" si="199"/>
        <v>none</v>
      </c>
      <c r="U48" s="59" t="e">
        <f t="shared" si="200"/>
        <v>#VALUE!</v>
      </c>
      <c r="V48" s="59">
        <f t="shared" si="201"/>
        <v>4</v>
      </c>
      <c r="W48" s="59" t="e">
        <f t="shared" si="202"/>
        <v>#VALUE!</v>
      </c>
      <c r="X48" s="59" t="e">
        <f t="shared" si="203"/>
        <v>#VALUE!</v>
      </c>
      <c r="Y48" s="59" t="str">
        <f>IFERROR(VLOOKUP(MID(T48,W48,X48-W48),[5]skilldef!$C:$D,2,FALSE),"-") &amp; " / " &amp; IFERROR(VLOOKUP(MID(T48,U48,V48-U48),[5]skilldef!$A:$B,2,FALSE),"-")</f>
        <v>- / -</v>
      </c>
      <c r="Z48" s="46"/>
      <c r="AA48" s="48"/>
      <c r="AB48" s="46"/>
    </row>
    <row r="49" spans="1:28" ht="40" customHeight="1" x14ac:dyDescent="0.15">
      <c r="A49" s="113">
        <v>13400983</v>
      </c>
      <c r="B49" s="113" t="s">
        <v>390</v>
      </c>
      <c r="C49" s="117">
        <v>3</v>
      </c>
      <c r="D49" s="117" t="s">
        <v>252</v>
      </c>
      <c r="E49" s="118" t="s">
        <v>323</v>
      </c>
      <c r="F49" s="118" t="s">
        <v>329</v>
      </c>
      <c r="G49" s="59" t="str">
        <f t="shared" ref="G49" si="219">IFERROR(LEFT(B49,FIND("],",B49)),B49)</f>
        <v>[effect:enemy_message, val1:2.4, val2:2.2]</v>
      </c>
      <c r="H49" s="59">
        <f t="shared" ref="H49" si="220">FIND("effect:",G49)+7</f>
        <v>9</v>
      </c>
      <c r="I49" s="59">
        <f t="shared" ref="I49" si="221">IFERROR(FIND(",",G49),LEN(G49))</f>
        <v>22</v>
      </c>
      <c r="J49" s="59" t="e">
        <f t="shared" ref="J49" si="222">FIND("target:",G49)+7</f>
        <v>#VALUE!</v>
      </c>
      <c r="K49" s="59">
        <f t="shared" ref="K49" si="223">FIND(",",G49,I49+1)</f>
        <v>32</v>
      </c>
      <c r="L49" s="59" t="str">
        <f>IFERROR(VLOOKUP(MID(G49,J49,K49-J49),[5]skilldef!$C:$D,2,FALSE),"-") &amp; " / " &amp; IFERROR(VLOOKUP(MID(G49,H49,I49-H49),[5]skilldef!$A:$B,2,FALSE),"-")</f>
        <v>- / -</v>
      </c>
      <c r="M49" s="59" t="str">
        <f t="shared" ref="M49" si="224">IFERROR(RIGHT(B49,LEN(B49)-FIND("],",B49)-1),"none")</f>
        <v>none</v>
      </c>
      <c r="N49" s="44" t="str">
        <f>IFERROR(LEFT(M49,FIND("],",M49)+#REF!),M49)</f>
        <v>none</v>
      </c>
      <c r="O49" s="59" t="e">
        <f t="shared" ref="O49" si="225">FIND("effect:",N49)+7</f>
        <v>#VALUE!</v>
      </c>
      <c r="P49" s="59">
        <f t="shared" ref="P49" si="226">IFERROR(FIND(",",N49),LEN(N49))</f>
        <v>4</v>
      </c>
      <c r="Q49" s="59" t="e">
        <f t="shared" ref="Q49" si="227">FIND("target:",N49)+7</f>
        <v>#VALUE!</v>
      </c>
      <c r="R49" s="59" t="e">
        <f t="shared" ref="R49" si="228">FIND(",",N49,P49+1)</f>
        <v>#VALUE!</v>
      </c>
      <c r="S49" s="59" t="str">
        <f>IFERROR(VLOOKUP(MID(N49,Q49,R49-Q49),[5]skilldef!$C:$D,2,FALSE),"-") &amp; " / " &amp; IFERROR(VLOOKUP(MID(N49,O49,P49-O49),[5]skilldef!$A:$B,2,FALSE),"-")</f>
        <v>- / -</v>
      </c>
      <c r="T49" s="44" t="str">
        <f t="shared" ref="T49" si="229">IFERROR(RIGHT(M49,LEN(M49)-FIND("],",M49)-1),"none")</f>
        <v>none</v>
      </c>
      <c r="U49" s="59" t="e">
        <f t="shared" ref="U49" si="230">FIND("effect:",T49)+7</f>
        <v>#VALUE!</v>
      </c>
      <c r="V49" s="59">
        <f t="shared" ref="V49" si="231">IFERROR(FIND(",",T49),LEN(T49))</f>
        <v>4</v>
      </c>
      <c r="W49" s="59" t="e">
        <f t="shared" ref="W49" si="232">FIND("target:",T49)+7</f>
        <v>#VALUE!</v>
      </c>
      <c r="X49" s="59" t="e">
        <f t="shared" ref="X49" si="233">FIND(",",T49,V49+1)</f>
        <v>#VALUE!</v>
      </c>
      <c r="Y49" s="59" t="str">
        <f>IFERROR(VLOOKUP(MID(T49,W49,X49-W49),[5]skilldef!$C:$D,2,FALSE),"-") &amp; " / " &amp; IFERROR(VLOOKUP(MID(T49,U49,V49-U49),[5]skilldef!$A:$B,2,FALSE),"-")</f>
        <v>- / -</v>
      </c>
      <c r="Z49" s="46"/>
      <c r="AA49" s="48"/>
      <c r="AB49" s="46"/>
    </row>
  </sheetData>
  <autoFilter ref="A1:AB1"/>
  <phoneticPr fontId="5"/>
  <pageMargins left="0.75" right="0.75" top="1" bottom="1" header="0.3" footer="0.3"/>
  <pageSetup paperSize="9" scale="47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</sheetPr>
  <dimension ref="A1:K52"/>
  <sheetViews>
    <sheetView showGridLines="0" workbookViewId="0">
      <pane ySplit="1" topLeftCell="A15" activePane="bottomLeft" state="frozenSplit"/>
      <selection pane="bottomLeft" activeCell="D28" sqref="D28"/>
    </sheetView>
  </sheetViews>
  <sheetFormatPr baseColWidth="12" defaultColWidth="12.83203125" defaultRowHeight="21" customHeight="1" x14ac:dyDescent="0.15"/>
  <cols>
    <col min="1" max="1" width="16.1640625" style="45" bestFit="1" customWidth="1"/>
    <col min="2" max="2" width="13.33203125" style="45" bestFit="1" customWidth="1"/>
    <col min="3" max="3" width="11.83203125" style="45" bestFit="1" customWidth="1"/>
    <col min="4" max="4" width="14.6640625" style="45" bestFit="1" customWidth="1"/>
    <col min="5" max="5" width="15.6640625" style="45" bestFit="1" customWidth="1"/>
    <col min="6" max="6" width="17" style="45" bestFit="1" customWidth="1"/>
    <col min="7" max="7" width="15.6640625" style="45" bestFit="1" customWidth="1"/>
    <col min="8" max="9" width="14.6640625" style="45" customWidth="1"/>
    <col min="10" max="10" width="12.6640625" style="45" customWidth="1"/>
    <col min="11" max="11" width="10" style="35" customWidth="1"/>
    <col min="12" max="12" width="12.83203125" style="41"/>
    <col min="13" max="13" width="27.1640625" style="41" customWidth="1"/>
    <col min="14" max="16384" width="12.83203125" style="41"/>
  </cols>
  <sheetData>
    <row r="1" spans="1:11" ht="21" customHeight="1" x14ac:dyDescent="0.15">
      <c r="A1" s="38" t="s">
        <v>84</v>
      </c>
      <c r="B1" s="38" t="s">
        <v>85</v>
      </c>
      <c r="C1" s="38" t="s">
        <v>86</v>
      </c>
      <c r="D1" s="38" t="s">
        <v>87</v>
      </c>
      <c r="E1" s="38" t="s">
        <v>70</v>
      </c>
      <c r="F1" s="49" t="s">
        <v>71</v>
      </c>
      <c r="G1" s="49" t="s">
        <v>72</v>
      </c>
      <c r="H1" s="38" t="s">
        <v>73</v>
      </c>
      <c r="I1" s="38" t="s">
        <v>74</v>
      </c>
      <c r="J1" s="38" t="s">
        <v>75</v>
      </c>
      <c r="K1" s="50" t="s">
        <v>88</v>
      </c>
    </row>
    <row r="2" spans="1:11" ht="21" customHeight="1" x14ac:dyDescent="0.15">
      <c r="A2" s="43">
        <v>13400901</v>
      </c>
      <c r="B2" s="43">
        <v>1</v>
      </c>
      <c r="C2" s="43" t="s">
        <v>268</v>
      </c>
      <c r="D2" s="43">
        <v>100</v>
      </c>
      <c r="E2" s="43" t="s">
        <v>251</v>
      </c>
      <c r="F2" s="43" t="s">
        <v>89</v>
      </c>
      <c r="G2" s="43">
        <v>1</v>
      </c>
      <c r="H2" s="43" t="s">
        <v>265</v>
      </c>
      <c r="I2" s="43" t="s">
        <v>89</v>
      </c>
      <c r="J2" s="44">
        <f t="shared" ref="J2" si="0">D2</f>
        <v>100</v>
      </c>
    </row>
    <row r="3" spans="1:11" ht="21" customHeight="1" x14ac:dyDescent="0.15">
      <c r="A3" s="43">
        <v>13400902</v>
      </c>
      <c r="B3" s="43">
        <v>0</v>
      </c>
      <c r="C3" s="43" t="s">
        <v>269</v>
      </c>
      <c r="D3" s="43">
        <v>100</v>
      </c>
      <c r="E3" s="43" t="s">
        <v>53</v>
      </c>
      <c r="F3" s="43" t="s">
        <v>53</v>
      </c>
      <c r="G3" s="43">
        <v>1</v>
      </c>
      <c r="H3" s="43">
        <v>1</v>
      </c>
      <c r="I3" s="43" t="s">
        <v>53</v>
      </c>
      <c r="J3" s="44">
        <f t="shared" ref="J3" si="1">D3</f>
        <v>100</v>
      </c>
    </row>
    <row r="4" spans="1:11" ht="21" customHeight="1" x14ac:dyDescent="0.15">
      <c r="A4" s="43">
        <v>13400911</v>
      </c>
      <c r="B4" s="43">
        <v>1</v>
      </c>
      <c r="C4" s="43" t="s">
        <v>269</v>
      </c>
      <c r="D4" s="43">
        <v>100</v>
      </c>
      <c r="E4" s="43" t="s">
        <v>53</v>
      </c>
      <c r="F4" s="43" t="s">
        <v>53</v>
      </c>
      <c r="G4" s="43">
        <v>1</v>
      </c>
      <c r="H4" s="43" t="s">
        <v>270</v>
      </c>
      <c r="I4" s="43" t="s">
        <v>53</v>
      </c>
      <c r="J4" s="44">
        <f t="shared" ref="J4:J5" si="2">D4</f>
        <v>100</v>
      </c>
    </row>
    <row r="5" spans="1:11" ht="21" customHeight="1" x14ac:dyDescent="0.15">
      <c r="A5" s="43">
        <v>13400912</v>
      </c>
      <c r="B5" s="43">
        <v>0</v>
      </c>
      <c r="C5" s="43" t="s">
        <v>269</v>
      </c>
      <c r="D5" s="43">
        <v>100</v>
      </c>
      <c r="E5" s="43" t="s">
        <v>53</v>
      </c>
      <c r="F5" s="43" t="s">
        <v>53</v>
      </c>
      <c r="G5" s="43">
        <v>1</v>
      </c>
      <c r="H5" s="43">
        <v>1</v>
      </c>
      <c r="I5" s="43" t="s">
        <v>53</v>
      </c>
      <c r="J5" s="44">
        <f t="shared" si="2"/>
        <v>100</v>
      </c>
    </row>
    <row r="6" spans="1:11" ht="21" customHeight="1" x14ac:dyDescent="0.15">
      <c r="A6" s="113">
        <v>13400921</v>
      </c>
      <c r="B6" s="113">
        <v>1</v>
      </c>
      <c r="C6" s="113" t="s">
        <v>257</v>
      </c>
      <c r="D6" s="113">
        <v>100</v>
      </c>
      <c r="E6" s="113" t="s">
        <v>257</v>
      </c>
      <c r="F6" s="113" t="s">
        <v>257</v>
      </c>
      <c r="G6" s="113">
        <v>1</v>
      </c>
      <c r="H6" s="113" t="s">
        <v>257</v>
      </c>
      <c r="I6" s="113" t="s">
        <v>257</v>
      </c>
      <c r="J6" s="44">
        <f t="shared" ref="J6:J7" si="3">D6</f>
        <v>100</v>
      </c>
    </row>
    <row r="7" spans="1:11" ht="21" customHeight="1" x14ac:dyDescent="0.15">
      <c r="A7" s="113">
        <v>13400922</v>
      </c>
      <c r="B7" s="113">
        <v>0</v>
      </c>
      <c r="C7" s="113">
        <v>101</v>
      </c>
      <c r="D7" s="113">
        <v>100</v>
      </c>
      <c r="E7" s="113" t="s">
        <v>257</v>
      </c>
      <c r="F7" s="113" t="s">
        <v>257</v>
      </c>
      <c r="G7" s="113">
        <v>1</v>
      </c>
      <c r="H7" s="113">
        <v>1</v>
      </c>
      <c r="I7" s="113" t="s">
        <v>257</v>
      </c>
      <c r="J7" s="44">
        <f t="shared" si="3"/>
        <v>100</v>
      </c>
    </row>
    <row r="8" spans="1:11" ht="21" customHeight="1" x14ac:dyDescent="0.15">
      <c r="A8" s="113">
        <v>13400923</v>
      </c>
      <c r="B8" s="113">
        <v>0</v>
      </c>
      <c r="C8" s="113">
        <v>100</v>
      </c>
      <c r="D8" s="113">
        <v>100</v>
      </c>
      <c r="E8" s="113" t="s">
        <v>257</v>
      </c>
      <c r="F8" s="113">
        <v>90</v>
      </c>
      <c r="G8" s="113" t="s">
        <v>257</v>
      </c>
      <c r="H8" s="113">
        <v>1</v>
      </c>
      <c r="I8" s="113" t="s">
        <v>257</v>
      </c>
      <c r="J8" s="44">
        <f t="shared" ref="J8:J25" si="4">D8</f>
        <v>100</v>
      </c>
    </row>
    <row r="9" spans="1:11" ht="21" customHeight="1" x14ac:dyDescent="0.15">
      <c r="A9" s="113">
        <v>13400924</v>
      </c>
      <c r="B9" s="113">
        <v>0</v>
      </c>
      <c r="C9" s="113">
        <v>202</v>
      </c>
      <c r="D9" s="113">
        <v>100</v>
      </c>
      <c r="E9" s="113">
        <v>90</v>
      </c>
      <c r="F9" s="113">
        <v>80</v>
      </c>
      <c r="G9" s="113">
        <v>1</v>
      </c>
      <c r="H9" s="113">
        <v>2</v>
      </c>
      <c r="I9" s="113" t="s">
        <v>257</v>
      </c>
      <c r="J9" s="44">
        <f t="shared" si="4"/>
        <v>100</v>
      </c>
    </row>
    <row r="10" spans="1:11" ht="21" customHeight="1" x14ac:dyDescent="0.15">
      <c r="A10" s="113">
        <v>13400925</v>
      </c>
      <c r="B10" s="113">
        <v>0</v>
      </c>
      <c r="C10" s="113">
        <v>201</v>
      </c>
      <c r="D10" s="113">
        <v>100</v>
      </c>
      <c r="E10" s="113">
        <v>80</v>
      </c>
      <c r="F10" s="113">
        <v>70</v>
      </c>
      <c r="G10" s="113">
        <v>1</v>
      </c>
      <c r="H10" s="113">
        <v>2</v>
      </c>
      <c r="I10" s="113" t="s">
        <v>257</v>
      </c>
      <c r="J10" s="44">
        <f t="shared" si="4"/>
        <v>100</v>
      </c>
    </row>
    <row r="11" spans="1:11" ht="21" customHeight="1" x14ac:dyDescent="0.15">
      <c r="A11" s="113">
        <v>13400926</v>
      </c>
      <c r="B11" s="113">
        <v>0</v>
      </c>
      <c r="C11" s="113">
        <v>200</v>
      </c>
      <c r="D11" s="113">
        <v>100</v>
      </c>
      <c r="E11" s="113">
        <v>70</v>
      </c>
      <c r="F11" s="113" t="s">
        <v>276</v>
      </c>
      <c r="G11" s="113">
        <v>1</v>
      </c>
      <c r="H11" s="113">
        <v>2</v>
      </c>
      <c r="I11" s="113" t="s">
        <v>257</v>
      </c>
      <c r="J11" s="44">
        <f t="shared" si="4"/>
        <v>100</v>
      </c>
    </row>
    <row r="12" spans="1:11" ht="21" customHeight="1" x14ac:dyDescent="0.15">
      <c r="A12" s="113">
        <v>13400927</v>
      </c>
      <c r="B12" s="113">
        <v>0</v>
      </c>
      <c r="C12" s="113">
        <v>303</v>
      </c>
      <c r="D12" s="113">
        <v>100</v>
      </c>
      <c r="E12" s="113">
        <v>90</v>
      </c>
      <c r="F12" s="113">
        <v>80</v>
      </c>
      <c r="G12" s="113">
        <v>1</v>
      </c>
      <c r="H12" s="113">
        <v>3</v>
      </c>
      <c r="I12" s="113" t="s">
        <v>257</v>
      </c>
      <c r="J12" s="44">
        <f t="shared" si="4"/>
        <v>100</v>
      </c>
    </row>
    <row r="13" spans="1:11" ht="21" customHeight="1" x14ac:dyDescent="0.15">
      <c r="A13" s="113">
        <v>13400928</v>
      </c>
      <c r="B13" s="113">
        <v>0</v>
      </c>
      <c r="C13" s="113">
        <v>302</v>
      </c>
      <c r="D13" s="113">
        <v>100</v>
      </c>
      <c r="E13" s="113">
        <v>80</v>
      </c>
      <c r="F13" s="113">
        <v>70</v>
      </c>
      <c r="G13" s="113">
        <v>1</v>
      </c>
      <c r="H13" s="113">
        <v>3</v>
      </c>
      <c r="I13" s="113" t="s">
        <v>257</v>
      </c>
      <c r="J13" s="44">
        <f t="shared" si="4"/>
        <v>100</v>
      </c>
    </row>
    <row r="14" spans="1:11" ht="21" customHeight="1" x14ac:dyDescent="0.15">
      <c r="A14" s="113">
        <v>13400929</v>
      </c>
      <c r="B14" s="113">
        <v>0</v>
      </c>
      <c r="C14" s="113">
        <v>301</v>
      </c>
      <c r="D14" s="113">
        <v>100</v>
      </c>
      <c r="E14" s="113">
        <v>70</v>
      </c>
      <c r="F14" s="113" t="s">
        <v>276</v>
      </c>
      <c r="G14" s="113">
        <v>1</v>
      </c>
      <c r="H14" s="113">
        <v>3</v>
      </c>
      <c r="I14" s="113" t="s">
        <v>257</v>
      </c>
      <c r="J14" s="44">
        <f t="shared" si="4"/>
        <v>100</v>
      </c>
    </row>
    <row r="15" spans="1:11" ht="21" customHeight="1" x14ac:dyDescent="0.15">
      <c r="A15" s="113">
        <v>13400930</v>
      </c>
      <c r="B15" s="113">
        <v>0</v>
      </c>
      <c r="C15" s="113">
        <v>402</v>
      </c>
      <c r="D15" s="113">
        <v>100</v>
      </c>
      <c r="E15" s="113">
        <v>90</v>
      </c>
      <c r="F15" s="113">
        <v>70</v>
      </c>
      <c r="G15" s="113">
        <v>1</v>
      </c>
      <c r="H15" s="113">
        <v>4</v>
      </c>
      <c r="I15" s="113" t="s">
        <v>257</v>
      </c>
      <c r="J15" s="44">
        <f t="shared" si="4"/>
        <v>100</v>
      </c>
    </row>
    <row r="16" spans="1:11" ht="21" customHeight="1" x14ac:dyDescent="0.15">
      <c r="A16" s="113">
        <v>13400931</v>
      </c>
      <c r="B16" s="113">
        <v>0</v>
      </c>
      <c r="C16" s="113">
        <v>401</v>
      </c>
      <c r="D16" s="113">
        <v>100</v>
      </c>
      <c r="E16" s="113">
        <v>80</v>
      </c>
      <c r="F16" s="113">
        <v>70</v>
      </c>
      <c r="G16" s="113">
        <v>1</v>
      </c>
      <c r="H16" s="113">
        <v>4</v>
      </c>
      <c r="I16" s="113" t="s">
        <v>257</v>
      </c>
      <c r="J16" s="44">
        <f t="shared" si="4"/>
        <v>100</v>
      </c>
    </row>
    <row r="17" spans="1:10" ht="21" customHeight="1" x14ac:dyDescent="0.15">
      <c r="A17" s="113">
        <v>13400932</v>
      </c>
      <c r="B17" s="113">
        <v>0</v>
      </c>
      <c r="C17" s="113">
        <v>400</v>
      </c>
      <c r="D17" s="113">
        <v>100</v>
      </c>
      <c r="E17" s="113">
        <v>70</v>
      </c>
      <c r="F17" s="113" t="s">
        <v>276</v>
      </c>
      <c r="G17" s="113">
        <v>1</v>
      </c>
      <c r="H17" s="113">
        <v>4</v>
      </c>
      <c r="I17" s="113" t="s">
        <v>257</v>
      </c>
      <c r="J17" s="44">
        <f t="shared" si="4"/>
        <v>100</v>
      </c>
    </row>
    <row r="18" spans="1:10" ht="21" customHeight="1" x14ac:dyDescent="0.15">
      <c r="A18" s="113">
        <v>13400933</v>
      </c>
      <c r="B18" s="113">
        <v>0</v>
      </c>
      <c r="C18" s="113">
        <v>500</v>
      </c>
      <c r="D18" s="113">
        <v>100</v>
      </c>
      <c r="E18" s="113" t="s">
        <v>257</v>
      </c>
      <c r="F18" s="113" t="s">
        <v>257</v>
      </c>
      <c r="G18" s="113" t="s">
        <v>257</v>
      </c>
      <c r="H18" s="113">
        <v>5</v>
      </c>
      <c r="I18" s="113" t="s">
        <v>257</v>
      </c>
      <c r="J18" s="44">
        <f t="shared" si="4"/>
        <v>100</v>
      </c>
    </row>
    <row r="19" spans="1:10" ht="21" customHeight="1" x14ac:dyDescent="0.15">
      <c r="A19" s="113">
        <v>13400934</v>
      </c>
      <c r="B19" s="113">
        <v>0</v>
      </c>
      <c r="C19" s="113">
        <v>600</v>
      </c>
      <c r="D19" s="113">
        <v>100</v>
      </c>
      <c r="E19" s="113" t="s">
        <v>257</v>
      </c>
      <c r="F19" s="113" t="s">
        <v>257</v>
      </c>
      <c r="G19" s="113" t="s">
        <v>257</v>
      </c>
      <c r="H19" s="113">
        <v>6</v>
      </c>
      <c r="I19" s="113" t="s">
        <v>257</v>
      </c>
      <c r="J19" s="44">
        <f t="shared" si="4"/>
        <v>100</v>
      </c>
    </row>
    <row r="20" spans="1:10" ht="21" customHeight="1" x14ac:dyDescent="0.15">
      <c r="A20" s="113">
        <v>13400935</v>
      </c>
      <c r="B20" s="113">
        <v>0</v>
      </c>
      <c r="C20" s="113">
        <v>700</v>
      </c>
      <c r="D20" s="113">
        <v>100</v>
      </c>
      <c r="E20" s="113" t="s">
        <v>257</v>
      </c>
      <c r="F20" s="113" t="s">
        <v>257</v>
      </c>
      <c r="G20" s="113" t="s">
        <v>257</v>
      </c>
      <c r="H20" s="113">
        <v>7</v>
      </c>
      <c r="I20" s="113" t="s">
        <v>257</v>
      </c>
      <c r="J20" s="44">
        <f t="shared" si="4"/>
        <v>100</v>
      </c>
    </row>
    <row r="21" spans="1:10" ht="21" customHeight="1" x14ac:dyDescent="0.15">
      <c r="A21" s="113">
        <v>13400936</v>
      </c>
      <c r="B21" s="113">
        <v>0</v>
      </c>
      <c r="C21" s="113">
        <v>80</v>
      </c>
      <c r="D21" s="113">
        <v>100</v>
      </c>
      <c r="E21" s="113" t="s">
        <v>257</v>
      </c>
      <c r="F21" s="113" t="s">
        <v>257</v>
      </c>
      <c r="G21" s="113" t="s">
        <v>257</v>
      </c>
      <c r="H21" s="113">
        <v>2</v>
      </c>
      <c r="I21" s="113" t="s">
        <v>257</v>
      </c>
      <c r="J21" s="44">
        <f t="shared" ref="J21" si="5">D21</f>
        <v>100</v>
      </c>
    </row>
    <row r="22" spans="1:10" ht="21" customHeight="1" x14ac:dyDescent="0.15">
      <c r="A22" s="113">
        <v>13400937</v>
      </c>
      <c r="B22" s="113">
        <v>0</v>
      </c>
      <c r="C22" s="113">
        <v>900</v>
      </c>
      <c r="D22" s="113">
        <v>100</v>
      </c>
      <c r="E22" s="113" t="s">
        <v>257</v>
      </c>
      <c r="F22" s="113" t="s">
        <v>257</v>
      </c>
      <c r="G22" s="113" t="s">
        <v>257</v>
      </c>
      <c r="H22" s="113">
        <v>9</v>
      </c>
      <c r="I22" s="113" t="s">
        <v>257</v>
      </c>
      <c r="J22" s="44">
        <f t="shared" si="4"/>
        <v>100</v>
      </c>
    </row>
    <row r="23" spans="1:10" ht="21" customHeight="1" x14ac:dyDescent="0.15">
      <c r="A23" s="113">
        <v>13400938</v>
      </c>
      <c r="B23" s="113">
        <v>0</v>
      </c>
      <c r="C23" s="113">
        <v>912</v>
      </c>
      <c r="D23" s="113">
        <v>100</v>
      </c>
      <c r="E23" s="113">
        <v>25</v>
      </c>
      <c r="F23" s="113" t="s">
        <v>257</v>
      </c>
      <c r="G23" s="113">
        <v>1</v>
      </c>
      <c r="H23" s="113">
        <v>1</v>
      </c>
      <c r="I23" s="113" t="s">
        <v>257</v>
      </c>
      <c r="J23" s="44">
        <f t="shared" si="4"/>
        <v>100</v>
      </c>
    </row>
    <row r="24" spans="1:10" ht="21" customHeight="1" x14ac:dyDescent="0.15">
      <c r="A24" s="113">
        <v>13400939</v>
      </c>
      <c r="B24" s="113">
        <v>0</v>
      </c>
      <c r="C24" s="113">
        <v>911</v>
      </c>
      <c r="D24" s="113">
        <v>100</v>
      </c>
      <c r="E24" s="113">
        <v>25</v>
      </c>
      <c r="F24" s="113" t="s">
        <v>257</v>
      </c>
      <c r="G24" s="113">
        <v>1</v>
      </c>
      <c r="H24" s="113">
        <v>1</v>
      </c>
      <c r="I24" s="113" t="s">
        <v>257</v>
      </c>
      <c r="J24" s="44">
        <f t="shared" si="4"/>
        <v>100</v>
      </c>
    </row>
    <row r="25" spans="1:10" ht="21" customHeight="1" x14ac:dyDescent="0.15">
      <c r="A25" s="113">
        <v>13400940</v>
      </c>
      <c r="B25" s="113">
        <v>0</v>
      </c>
      <c r="C25" s="113">
        <v>910</v>
      </c>
      <c r="D25" s="113">
        <v>100</v>
      </c>
      <c r="E25" s="113">
        <v>25</v>
      </c>
      <c r="F25" s="113" t="s">
        <v>257</v>
      </c>
      <c r="G25" s="113" t="s">
        <v>257</v>
      </c>
      <c r="H25" s="113">
        <v>1</v>
      </c>
      <c r="I25" s="113" t="s">
        <v>257</v>
      </c>
      <c r="J25" s="44">
        <f t="shared" si="4"/>
        <v>100</v>
      </c>
    </row>
    <row r="26" spans="1:10" ht="21" customHeight="1" x14ac:dyDescent="0.15">
      <c r="A26" s="43">
        <v>13400951</v>
      </c>
      <c r="B26" s="43">
        <v>1</v>
      </c>
      <c r="C26" s="43" t="s">
        <v>264</v>
      </c>
      <c r="D26" s="43">
        <v>100</v>
      </c>
      <c r="E26" s="43" t="s">
        <v>251</v>
      </c>
      <c r="F26" s="43" t="s">
        <v>53</v>
      </c>
      <c r="G26" s="43">
        <v>1</v>
      </c>
      <c r="H26" s="43" t="s">
        <v>266</v>
      </c>
      <c r="I26" s="43" t="s">
        <v>53</v>
      </c>
      <c r="J26" s="44">
        <f t="shared" ref="J26" si="6">D26</f>
        <v>100</v>
      </c>
    </row>
    <row r="27" spans="1:10" ht="21" customHeight="1" x14ac:dyDescent="0.15">
      <c r="A27" s="43">
        <v>13400952</v>
      </c>
      <c r="B27" s="43">
        <v>0</v>
      </c>
      <c r="C27" s="43">
        <v>100</v>
      </c>
      <c r="D27" s="43">
        <v>100</v>
      </c>
      <c r="E27" s="43" t="s">
        <v>272</v>
      </c>
      <c r="F27" s="43" t="s">
        <v>53</v>
      </c>
      <c r="G27" s="43" t="s">
        <v>266</v>
      </c>
      <c r="H27" s="43">
        <v>1</v>
      </c>
      <c r="I27" s="43" t="s">
        <v>53</v>
      </c>
      <c r="J27" s="44">
        <f t="shared" ref="J27:J36" si="7">D27</f>
        <v>100</v>
      </c>
    </row>
    <row r="28" spans="1:10" ht="21" customHeight="1" x14ac:dyDescent="0.15">
      <c r="A28" s="43">
        <v>13400953</v>
      </c>
      <c r="B28" s="43">
        <v>0</v>
      </c>
      <c r="C28" s="43">
        <v>900</v>
      </c>
      <c r="D28" s="43">
        <v>100</v>
      </c>
      <c r="E28" s="43">
        <v>75</v>
      </c>
      <c r="F28" s="43">
        <v>50</v>
      </c>
      <c r="G28" s="43">
        <v>1</v>
      </c>
      <c r="H28" s="43">
        <v>1</v>
      </c>
      <c r="I28" s="43" t="s">
        <v>53</v>
      </c>
      <c r="J28" s="44">
        <f t="shared" si="7"/>
        <v>100</v>
      </c>
    </row>
    <row r="29" spans="1:10" ht="21" customHeight="1" x14ac:dyDescent="0.15">
      <c r="A29" s="43">
        <v>13400954</v>
      </c>
      <c r="B29" s="43">
        <v>0</v>
      </c>
      <c r="C29" s="43">
        <v>901</v>
      </c>
      <c r="D29" s="43">
        <v>100</v>
      </c>
      <c r="E29" s="43">
        <v>50</v>
      </c>
      <c r="F29" s="43">
        <v>25</v>
      </c>
      <c r="G29" s="43">
        <v>1</v>
      </c>
      <c r="H29" s="43">
        <v>1</v>
      </c>
      <c r="I29" s="43" t="s">
        <v>53</v>
      </c>
      <c r="J29" s="44">
        <f t="shared" si="7"/>
        <v>100</v>
      </c>
    </row>
    <row r="30" spans="1:10" ht="21" customHeight="1" x14ac:dyDescent="0.15">
      <c r="A30" s="43">
        <v>13400955</v>
      </c>
      <c r="B30" s="43">
        <v>0</v>
      </c>
      <c r="C30" s="43">
        <v>902</v>
      </c>
      <c r="D30" s="43">
        <v>100</v>
      </c>
      <c r="E30" s="43">
        <v>25</v>
      </c>
      <c r="F30" s="43" t="s">
        <v>53</v>
      </c>
      <c r="G30" s="43">
        <v>1</v>
      </c>
      <c r="H30" s="43">
        <v>1</v>
      </c>
      <c r="I30" s="43" t="s">
        <v>53</v>
      </c>
      <c r="J30" s="44">
        <f t="shared" si="7"/>
        <v>100</v>
      </c>
    </row>
    <row r="31" spans="1:10" ht="21" customHeight="1" x14ac:dyDescent="0.15">
      <c r="A31" s="43">
        <v>13400956</v>
      </c>
      <c r="B31" s="43">
        <v>0</v>
      </c>
      <c r="C31" s="43">
        <v>200</v>
      </c>
      <c r="D31" s="43">
        <v>100</v>
      </c>
      <c r="E31" s="43" t="s">
        <v>275</v>
      </c>
      <c r="F31" s="43">
        <v>75</v>
      </c>
      <c r="G31" s="43" t="s">
        <v>266</v>
      </c>
      <c r="H31" s="43">
        <v>2</v>
      </c>
      <c r="I31" s="43" t="s">
        <v>53</v>
      </c>
      <c r="J31" s="44">
        <f t="shared" si="7"/>
        <v>100</v>
      </c>
    </row>
    <row r="32" spans="1:10" ht="21" customHeight="1" x14ac:dyDescent="0.15">
      <c r="A32" s="43">
        <v>13400957</v>
      </c>
      <c r="B32" s="43">
        <v>0</v>
      </c>
      <c r="C32" s="43">
        <v>201</v>
      </c>
      <c r="D32" s="43">
        <v>100</v>
      </c>
      <c r="E32" s="43">
        <v>75</v>
      </c>
      <c r="F32" s="43">
        <v>50</v>
      </c>
      <c r="G32" s="43" t="s">
        <v>266</v>
      </c>
      <c r="H32" s="43">
        <v>2</v>
      </c>
      <c r="I32" s="43" t="s">
        <v>53</v>
      </c>
      <c r="J32" s="44">
        <f t="shared" si="7"/>
        <v>100</v>
      </c>
    </row>
    <row r="33" spans="1:10" ht="21" customHeight="1" x14ac:dyDescent="0.15">
      <c r="A33" s="43">
        <v>13400958</v>
      </c>
      <c r="B33" s="43">
        <v>0</v>
      </c>
      <c r="C33" s="43">
        <v>202</v>
      </c>
      <c r="D33" s="43">
        <v>100</v>
      </c>
      <c r="E33" s="43">
        <v>50</v>
      </c>
      <c r="F33" s="43">
        <v>25</v>
      </c>
      <c r="G33" s="43" t="s">
        <v>266</v>
      </c>
      <c r="H33" s="43">
        <v>2</v>
      </c>
      <c r="I33" s="43" t="s">
        <v>53</v>
      </c>
      <c r="J33" s="44">
        <f t="shared" si="7"/>
        <v>100</v>
      </c>
    </row>
    <row r="34" spans="1:10" ht="21" customHeight="1" x14ac:dyDescent="0.15">
      <c r="A34" s="43">
        <v>13400959</v>
      </c>
      <c r="B34" s="43">
        <v>0</v>
      </c>
      <c r="C34" s="43">
        <v>203</v>
      </c>
      <c r="D34" s="43">
        <v>100</v>
      </c>
      <c r="E34" s="43">
        <v>25</v>
      </c>
      <c r="F34" s="43" t="s">
        <v>53</v>
      </c>
      <c r="G34" s="43" t="s">
        <v>266</v>
      </c>
      <c r="H34" s="43">
        <v>2</v>
      </c>
      <c r="I34" s="43" t="s">
        <v>53</v>
      </c>
      <c r="J34" s="44">
        <f t="shared" si="7"/>
        <v>100</v>
      </c>
    </row>
    <row r="35" spans="1:10" ht="21" customHeight="1" x14ac:dyDescent="0.15">
      <c r="A35" s="43">
        <v>13400960</v>
      </c>
      <c r="B35" s="43">
        <v>0</v>
      </c>
      <c r="C35" s="43">
        <v>300</v>
      </c>
      <c r="D35" s="43">
        <v>100</v>
      </c>
      <c r="E35" s="43" t="s">
        <v>251</v>
      </c>
      <c r="F35" s="43" t="s">
        <v>53</v>
      </c>
      <c r="G35" s="43" t="s">
        <v>266</v>
      </c>
      <c r="H35" s="43">
        <v>3</v>
      </c>
      <c r="I35" s="43" t="s">
        <v>53</v>
      </c>
      <c r="J35" s="44">
        <f t="shared" si="7"/>
        <v>100</v>
      </c>
    </row>
    <row r="36" spans="1:10" ht="21" customHeight="1" x14ac:dyDescent="0.15">
      <c r="A36" s="43">
        <v>13400961</v>
      </c>
      <c r="B36" s="43">
        <v>0</v>
      </c>
      <c r="C36" s="43">
        <v>400</v>
      </c>
      <c r="D36" s="43">
        <v>100</v>
      </c>
      <c r="E36" s="43" t="s">
        <v>251</v>
      </c>
      <c r="F36" s="43" t="s">
        <v>53</v>
      </c>
      <c r="G36" s="43" t="s">
        <v>266</v>
      </c>
      <c r="H36" s="43">
        <v>4</v>
      </c>
      <c r="I36" s="43" t="s">
        <v>53</v>
      </c>
      <c r="J36" s="44">
        <f t="shared" si="7"/>
        <v>100</v>
      </c>
    </row>
    <row r="37" spans="1:10" ht="21" customHeight="1" x14ac:dyDescent="0.15">
      <c r="A37" s="43">
        <v>13400962</v>
      </c>
      <c r="B37" s="43">
        <v>0</v>
      </c>
      <c r="C37" s="43">
        <v>910</v>
      </c>
      <c r="D37" s="43">
        <v>100</v>
      </c>
      <c r="E37" s="43" t="s">
        <v>53</v>
      </c>
      <c r="F37" s="43" t="s">
        <v>53</v>
      </c>
      <c r="G37" s="43" t="s">
        <v>279</v>
      </c>
      <c r="H37" s="43">
        <v>7</v>
      </c>
      <c r="I37" s="43" t="s">
        <v>53</v>
      </c>
      <c r="J37" s="44">
        <f t="shared" ref="J37" si="8">D37</f>
        <v>100</v>
      </c>
    </row>
    <row r="38" spans="1:10" ht="21" customHeight="1" x14ac:dyDescent="0.15">
      <c r="A38" s="43">
        <v>13400963</v>
      </c>
      <c r="B38" s="43">
        <v>0</v>
      </c>
      <c r="C38" s="43">
        <v>911</v>
      </c>
      <c r="D38" s="43">
        <v>100</v>
      </c>
      <c r="E38" s="43" t="s">
        <v>53</v>
      </c>
      <c r="F38" s="43" t="s">
        <v>53</v>
      </c>
      <c r="G38" s="43" t="s">
        <v>266</v>
      </c>
      <c r="H38" s="43">
        <v>14</v>
      </c>
      <c r="I38" s="43" t="s">
        <v>53</v>
      </c>
      <c r="J38" s="44">
        <f t="shared" ref="J38" si="9">D38</f>
        <v>100</v>
      </c>
    </row>
    <row r="39" spans="1:10" ht="21" customHeight="1" x14ac:dyDescent="0.15">
      <c r="A39" s="43">
        <v>13400964</v>
      </c>
      <c r="B39" s="43">
        <v>0</v>
      </c>
      <c r="C39" s="43">
        <v>912</v>
      </c>
      <c r="D39" s="43">
        <v>100</v>
      </c>
      <c r="E39" s="43" t="s">
        <v>53</v>
      </c>
      <c r="F39" s="43" t="s">
        <v>53</v>
      </c>
      <c r="G39" s="43" t="s">
        <v>266</v>
      </c>
      <c r="H39" s="43">
        <v>24</v>
      </c>
      <c r="I39" s="43" t="s">
        <v>53</v>
      </c>
      <c r="J39" s="44">
        <f t="shared" ref="J39" si="10">D39</f>
        <v>100</v>
      </c>
    </row>
    <row r="40" spans="1:10" ht="21" customHeight="1" x14ac:dyDescent="0.15">
      <c r="A40" s="113">
        <v>13400971</v>
      </c>
      <c r="B40" s="113">
        <v>1</v>
      </c>
      <c r="C40" s="113" t="s">
        <v>278</v>
      </c>
      <c r="D40" s="113">
        <v>100</v>
      </c>
      <c r="E40" s="113" t="s">
        <v>53</v>
      </c>
      <c r="F40" s="113" t="s">
        <v>53</v>
      </c>
      <c r="G40" s="113">
        <v>1</v>
      </c>
      <c r="H40" s="113" t="s">
        <v>53</v>
      </c>
      <c r="I40" s="113" t="s">
        <v>53</v>
      </c>
      <c r="J40" s="44">
        <f t="shared" ref="J40" si="11">D40</f>
        <v>100</v>
      </c>
    </row>
    <row r="41" spans="1:10" ht="21" customHeight="1" x14ac:dyDescent="0.15">
      <c r="A41" s="113">
        <v>13400972</v>
      </c>
      <c r="B41" s="113">
        <v>0</v>
      </c>
      <c r="C41" s="113">
        <v>100</v>
      </c>
      <c r="D41" s="113">
        <v>100</v>
      </c>
      <c r="E41" s="113" t="s">
        <v>274</v>
      </c>
      <c r="F41" s="113">
        <v>50</v>
      </c>
      <c r="G41" s="113" t="s">
        <v>53</v>
      </c>
      <c r="H41" s="113">
        <v>1</v>
      </c>
      <c r="I41" s="113" t="s">
        <v>53</v>
      </c>
      <c r="J41" s="44">
        <f t="shared" ref="J41:J52" si="12">D41</f>
        <v>100</v>
      </c>
    </row>
    <row r="42" spans="1:10" ht="21" customHeight="1" x14ac:dyDescent="0.15">
      <c r="A42" s="113">
        <v>13400973</v>
      </c>
      <c r="B42" s="113">
        <v>0</v>
      </c>
      <c r="C42" s="113">
        <v>200</v>
      </c>
      <c r="D42" s="113">
        <v>100</v>
      </c>
      <c r="E42" s="113" t="s">
        <v>53</v>
      </c>
      <c r="F42" s="113">
        <v>50</v>
      </c>
      <c r="G42" s="113" t="s">
        <v>53</v>
      </c>
      <c r="H42" s="113">
        <v>2</v>
      </c>
      <c r="I42" s="113" t="s">
        <v>53</v>
      </c>
      <c r="J42" s="44">
        <f t="shared" si="12"/>
        <v>100</v>
      </c>
    </row>
    <row r="43" spans="1:10" ht="21" customHeight="1" x14ac:dyDescent="0.15">
      <c r="A43" s="113">
        <v>13400974</v>
      </c>
      <c r="B43" s="113">
        <v>0</v>
      </c>
      <c r="C43" s="113">
        <v>101</v>
      </c>
      <c r="D43" s="113">
        <v>100</v>
      </c>
      <c r="E43" s="113" t="s">
        <v>53</v>
      </c>
      <c r="F43" s="113">
        <v>50</v>
      </c>
      <c r="G43" s="113" t="s">
        <v>53</v>
      </c>
      <c r="H43" s="113">
        <v>3</v>
      </c>
      <c r="I43" s="113" t="s">
        <v>53</v>
      </c>
      <c r="J43" s="44">
        <f t="shared" si="12"/>
        <v>100</v>
      </c>
    </row>
    <row r="44" spans="1:10" ht="21" customHeight="1" x14ac:dyDescent="0.15">
      <c r="A44" s="113">
        <v>13400975</v>
      </c>
      <c r="B44" s="113">
        <v>0</v>
      </c>
      <c r="C44" s="113">
        <v>201</v>
      </c>
      <c r="D44" s="113">
        <v>100</v>
      </c>
      <c r="E44" s="113" t="s">
        <v>53</v>
      </c>
      <c r="F44" s="113">
        <v>50</v>
      </c>
      <c r="G44" s="113" t="s">
        <v>53</v>
      </c>
      <c r="H44" s="113">
        <v>4</v>
      </c>
      <c r="I44" s="113" t="s">
        <v>53</v>
      </c>
      <c r="J44" s="44">
        <f t="shared" si="12"/>
        <v>100</v>
      </c>
    </row>
    <row r="45" spans="1:10" ht="21" customHeight="1" x14ac:dyDescent="0.15">
      <c r="A45" s="113">
        <v>13400976</v>
      </c>
      <c r="B45" s="113">
        <v>0</v>
      </c>
      <c r="C45" s="113">
        <v>300</v>
      </c>
      <c r="D45" s="113">
        <v>100</v>
      </c>
      <c r="E45" s="113" t="s">
        <v>53</v>
      </c>
      <c r="F45" s="113">
        <v>50</v>
      </c>
      <c r="G45" s="113" t="s">
        <v>53</v>
      </c>
      <c r="H45" s="113">
        <v>7</v>
      </c>
      <c r="I45" s="113" t="s">
        <v>53</v>
      </c>
      <c r="J45" s="44">
        <f t="shared" si="12"/>
        <v>100</v>
      </c>
    </row>
    <row r="46" spans="1:10" ht="21" customHeight="1" x14ac:dyDescent="0.15">
      <c r="A46" s="113">
        <v>13400977</v>
      </c>
      <c r="B46" s="113">
        <v>0</v>
      </c>
      <c r="C46" s="113">
        <v>800</v>
      </c>
      <c r="D46" s="113">
        <v>100</v>
      </c>
      <c r="E46" s="113">
        <v>50</v>
      </c>
      <c r="F46" s="113" t="s">
        <v>53</v>
      </c>
      <c r="G46" s="113">
        <v>1</v>
      </c>
      <c r="H46" s="113">
        <v>1</v>
      </c>
      <c r="I46" s="113" t="s">
        <v>53</v>
      </c>
      <c r="J46" s="44">
        <f t="shared" si="12"/>
        <v>100</v>
      </c>
    </row>
    <row r="47" spans="1:10" ht="21" customHeight="1" x14ac:dyDescent="0.15">
      <c r="A47" s="113">
        <v>13400978</v>
      </c>
      <c r="B47" s="113">
        <v>0</v>
      </c>
      <c r="C47" s="113">
        <v>510</v>
      </c>
      <c r="D47" s="113">
        <v>100</v>
      </c>
      <c r="E47" s="113">
        <v>50</v>
      </c>
      <c r="F47" s="113" t="s">
        <v>53</v>
      </c>
      <c r="G47" s="113" t="s">
        <v>53</v>
      </c>
      <c r="H47" s="113">
        <v>1</v>
      </c>
      <c r="I47" s="113" t="s">
        <v>53</v>
      </c>
      <c r="J47" s="44">
        <f t="shared" si="12"/>
        <v>100</v>
      </c>
    </row>
    <row r="48" spans="1:10" ht="21" customHeight="1" x14ac:dyDescent="0.15">
      <c r="A48" s="113">
        <v>13400979</v>
      </c>
      <c r="B48" s="113">
        <v>0</v>
      </c>
      <c r="C48" s="113">
        <v>520</v>
      </c>
      <c r="D48" s="113">
        <v>100</v>
      </c>
      <c r="E48" s="113">
        <v>50</v>
      </c>
      <c r="F48" s="113" t="s">
        <v>53</v>
      </c>
      <c r="G48" s="113" t="s">
        <v>53</v>
      </c>
      <c r="H48" s="113">
        <v>2</v>
      </c>
      <c r="I48" s="113" t="s">
        <v>53</v>
      </c>
      <c r="J48" s="44">
        <f t="shared" si="12"/>
        <v>100</v>
      </c>
    </row>
    <row r="49" spans="1:10" ht="21" customHeight="1" x14ac:dyDescent="0.15">
      <c r="A49" s="113">
        <v>13400980</v>
      </c>
      <c r="B49" s="113">
        <v>0</v>
      </c>
      <c r="C49" s="113">
        <v>540</v>
      </c>
      <c r="D49" s="113">
        <v>100</v>
      </c>
      <c r="E49" s="113">
        <v>50</v>
      </c>
      <c r="F49" s="113" t="s">
        <v>53</v>
      </c>
      <c r="G49" s="113" t="s">
        <v>53</v>
      </c>
      <c r="H49" s="113">
        <v>3</v>
      </c>
      <c r="I49" s="113" t="s">
        <v>53</v>
      </c>
      <c r="J49" s="44">
        <f t="shared" si="12"/>
        <v>100</v>
      </c>
    </row>
    <row r="50" spans="1:10" ht="21" customHeight="1" x14ac:dyDescent="0.15">
      <c r="A50" s="113">
        <v>13400981</v>
      </c>
      <c r="B50" s="113">
        <v>0</v>
      </c>
      <c r="C50" s="113">
        <v>801</v>
      </c>
      <c r="D50" s="113">
        <v>100</v>
      </c>
      <c r="E50" s="113">
        <v>50</v>
      </c>
      <c r="F50" s="113" t="s">
        <v>53</v>
      </c>
      <c r="G50" s="113" t="s">
        <v>53</v>
      </c>
      <c r="H50" s="113">
        <v>7</v>
      </c>
      <c r="I50" s="113" t="s">
        <v>53</v>
      </c>
      <c r="J50" s="44">
        <f t="shared" si="12"/>
        <v>100</v>
      </c>
    </row>
    <row r="51" spans="1:10" ht="21" customHeight="1" x14ac:dyDescent="0.15">
      <c r="A51" s="113">
        <v>13400982</v>
      </c>
      <c r="B51" s="113">
        <v>0</v>
      </c>
      <c r="C51" s="113">
        <v>850</v>
      </c>
      <c r="D51" s="113">
        <v>100</v>
      </c>
      <c r="E51" s="113" t="s">
        <v>53</v>
      </c>
      <c r="F51" s="113" t="s">
        <v>53</v>
      </c>
      <c r="G51" s="113">
        <v>1</v>
      </c>
      <c r="H51" s="113">
        <v>24</v>
      </c>
      <c r="I51" s="113" t="s">
        <v>53</v>
      </c>
      <c r="J51" s="44">
        <f t="shared" si="12"/>
        <v>100</v>
      </c>
    </row>
    <row r="52" spans="1:10" ht="21" customHeight="1" x14ac:dyDescent="0.15">
      <c r="A52" s="113">
        <v>13400983</v>
      </c>
      <c r="B52" s="113">
        <v>0</v>
      </c>
      <c r="C52" s="113">
        <v>900</v>
      </c>
      <c r="D52" s="113">
        <v>100</v>
      </c>
      <c r="E52" s="113" t="s">
        <v>53</v>
      </c>
      <c r="F52" s="113">
        <v>0</v>
      </c>
      <c r="G52" s="113">
        <v>0</v>
      </c>
      <c r="H52" s="113" t="s">
        <v>277</v>
      </c>
      <c r="I52" s="113">
        <v>0</v>
      </c>
      <c r="J52" s="44">
        <f t="shared" si="12"/>
        <v>100</v>
      </c>
    </row>
  </sheetData>
  <autoFilter ref="A1:G1"/>
  <phoneticPr fontId="5"/>
  <conditionalFormatting sqref="K53:K1048576 K1:K2">
    <cfRule type="duplicateValues" dxfId="13" priority="25"/>
  </conditionalFormatting>
  <conditionalFormatting sqref="K26">
    <cfRule type="duplicateValues" dxfId="12" priority="27"/>
  </conditionalFormatting>
  <conditionalFormatting sqref="K40">
    <cfRule type="duplicateValues" dxfId="11" priority="29"/>
  </conditionalFormatting>
  <conditionalFormatting sqref="K3">
    <cfRule type="duplicateValues" dxfId="10" priority="19"/>
  </conditionalFormatting>
  <conditionalFormatting sqref="K6">
    <cfRule type="duplicateValues" dxfId="9" priority="31"/>
  </conditionalFormatting>
  <conditionalFormatting sqref="K4:K5">
    <cfRule type="duplicateValues" dxfId="8" priority="32"/>
  </conditionalFormatting>
  <conditionalFormatting sqref="K8:K20 K22:K25">
    <cfRule type="duplicateValues" dxfId="7" priority="13"/>
  </conditionalFormatting>
  <conditionalFormatting sqref="K7">
    <cfRule type="duplicateValues" dxfId="6" priority="12"/>
  </conditionalFormatting>
  <conditionalFormatting sqref="K21">
    <cfRule type="duplicateValues" dxfId="5" priority="11"/>
  </conditionalFormatting>
  <conditionalFormatting sqref="K27:K36">
    <cfRule type="duplicateValues" dxfId="4" priority="36"/>
  </conditionalFormatting>
  <conditionalFormatting sqref="K41:K52">
    <cfRule type="duplicateValues" dxfId="3" priority="9"/>
  </conditionalFormatting>
  <conditionalFormatting sqref="K37">
    <cfRule type="duplicateValues" dxfId="2" priority="3"/>
  </conditionalFormatting>
  <conditionalFormatting sqref="K38">
    <cfRule type="duplicateValues" dxfId="1" priority="2"/>
  </conditionalFormatting>
  <conditionalFormatting sqref="K3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R10"/>
  <sheetViews>
    <sheetView workbookViewId="0">
      <selection activeCell="A10" sqref="A10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0" t="s">
        <v>149</v>
      </c>
      <c r="B1" s="60" t="s">
        <v>150</v>
      </c>
      <c r="C1" s="61" t="s">
        <v>151</v>
      </c>
      <c r="D1" s="67" t="s">
        <v>152</v>
      </c>
      <c r="E1" s="62" t="s">
        <v>153</v>
      </c>
      <c r="F1" s="60" t="s">
        <v>154</v>
      </c>
      <c r="G1" s="60" t="s">
        <v>155</v>
      </c>
      <c r="H1" s="60" t="s">
        <v>156</v>
      </c>
      <c r="I1" s="60" t="s">
        <v>157</v>
      </c>
      <c r="J1" s="60" t="s">
        <v>158</v>
      </c>
      <c r="K1" s="60" t="s">
        <v>159</v>
      </c>
      <c r="L1" s="60" t="s">
        <v>160</v>
      </c>
      <c r="M1" s="60" t="s">
        <v>161</v>
      </c>
      <c r="N1" s="60" t="s">
        <v>162</v>
      </c>
      <c r="O1" s="60" t="s">
        <v>163</v>
      </c>
      <c r="P1" s="60" t="s">
        <v>164</v>
      </c>
      <c r="Q1" s="60" t="s">
        <v>165</v>
      </c>
      <c r="R1" s="60" t="s">
        <v>166</v>
      </c>
    </row>
    <row r="2" spans="1:18" x14ac:dyDescent="0.15">
      <c r="A2" s="53">
        <v>13400</v>
      </c>
      <c r="B2" s="53">
        <v>15</v>
      </c>
      <c r="C2" s="66" t="str">
        <f>A2&amp; "_"&amp;B2</f>
        <v>13400_15</v>
      </c>
      <c r="D2" s="10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3">
        <v>1</v>
      </c>
      <c r="F2" s="53" t="s">
        <v>262</v>
      </c>
      <c r="G2" s="53">
        <v>123</v>
      </c>
      <c r="H2" s="53">
        <v>1</v>
      </c>
      <c r="I2" s="53">
        <v>1</v>
      </c>
      <c r="J2" s="53">
        <v>1</v>
      </c>
      <c r="K2" s="53">
        <v>0</v>
      </c>
      <c r="L2" s="53">
        <v>0</v>
      </c>
      <c r="M2" s="53">
        <v>0</v>
      </c>
      <c r="N2" s="53">
        <v>0</v>
      </c>
      <c r="O2" s="53">
        <v>1</v>
      </c>
      <c r="P2" s="53">
        <v>10</v>
      </c>
      <c r="Q2" s="53" t="s">
        <v>167</v>
      </c>
      <c r="R2" s="53" t="s">
        <v>168</v>
      </c>
    </row>
    <row r="3" spans="1:18" x14ac:dyDescent="0.15">
      <c r="A3" s="53">
        <v>13400</v>
      </c>
      <c r="B3" s="53">
        <v>15</v>
      </c>
      <c r="C3" s="66" t="str">
        <f t="shared" ref="C3:C10" si="0">A3&amp; "_"&amp;B3</f>
        <v>13400_15</v>
      </c>
      <c r="D3" s="10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3">
        <v>2</v>
      </c>
      <c r="F3" s="53" t="s">
        <v>262</v>
      </c>
      <c r="G3" s="53">
        <v>609</v>
      </c>
      <c r="H3" s="53">
        <v>1</v>
      </c>
      <c r="I3" s="53">
        <v>1</v>
      </c>
      <c r="J3" s="53">
        <v>1</v>
      </c>
      <c r="K3" s="53">
        <v>0</v>
      </c>
      <c r="L3" s="53">
        <v>0</v>
      </c>
      <c r="M3" s="53">
        <v>0</v>
      </c>
      <c r="N3" s="53">
        <v>0</v>
      </c>
      <c r="O3" s="53">
        <v>1</v>
      </c>
      <c r="P3" s="53">
        <v>10</v>
      </c>
      <c r="Q3" s="53" t="s">
        <v>167</v>
      </c>
      <c r="R3" s="53" t="s">
        <v>168</v>
      </c>
    </row>
    <row r="4" spans="1:18" x14ac:dyDescent="0.15">
      <c r="A4" s="53">
        <v>13400</v>
      </c>
      <c r="B4" s="53">
        <v>15</v>
      </c>
      <c r="C4" s="66" t="str">
        <f t="shared" si="0"/>
        <v>13400_15</v>
      </c>
      <c r="D4" s="10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3">
        <v>3</v>
      </c>
      <c r="F4" s="53" t="s">
        <v>262</v>
      </c>
      <c r="G4" s="53">
        <v>613</v>
      </c>
      <c r="H4" s="53">
        <v>1</v>
      </c>
      <c r="I4" s="53">
        <v>1</v>
      </c>
      <c r="J4" s="53">
        <v>1</v>
      </c>
      <c r="K4" s="53">
        <v>0</v>
      </c>
      <c r="L4" s="53">
        <v>0</v>
      </c>
      <c r="M4" s="53">
        <v>0</v>
      </c>
      <c r="N4" s="53">
        <v>0</v>
      </c>
      <c r="O4" s="53">
        <v>1</v>
      </c>
      <c r="P4" s="53">
        <v>80</v>
      </c>
      <c r="Q4" s="53" t="s">
        <v>167</v>
      </c>
      <c r="R4" s="53" t="s">
        <v>168</v>
      </c>
    </row>
    <row r="5" spans="1:18" x14ac:dyDescent="0.15">
      <c r="A5" s="53">
        <v>13400</v>
      </c>
      <c r="B5" s="53">
        <v>15</v>
      </c>
      <c r="C5" s="66" t="str">
        <f t="shared" si="0"/>
        <v>13400_15</v>
      </c>
      <c r="D5" s="10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3">
        <v>4</v>
      </c>
      <c r="F5" s="53" t="s">
        <v>262</v>
      </c>
      <c r="G5" s="53">
        <v>125</v>
      </c>
      <c r="H5" s="53">
        <v>1</v>
      </c>
      <c r="I5" s="53">
        <v>1</v>
      </c>
      <c r="J5" s="53">
        <v>1</v>
      </c>
      <c r="K5" s="53">
        <v>0</v>
      </c>
      <c r="L5" s="53">
        <v>0</v>
      </c>
      <c r="M5" s="53">
        <v>0</v>
      </c>
      <c r="N5" s="53">
        <v>0</v>
      </c>
      <c r="O5" s="53">
        <v>1</v>
      </c>
      <c r="P5" s="53">
        <v>10</v>
      </c>
      <c r="Q5" s="53" t="s">
        <v>167</v>
      </c>
      <c r="R5" s="53" t="s">
        <v>168</v>
      </c>
    </row>
    <row r="6" spans="1:18" x14ac:dyDescent="0.15">
      <c r="A6" s="53">
        <v>13400</v>
      </c>
      <c r="B6" s="53">
        <v>15</v>
      </c>
      <c r="C6" s="66" t="str">
        <f t="shared" si="0"/>
        <v>13400_15</v>
      </c>
      <c r="D6" s="10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3">
        <v>5</v>
      </c>
      <c r="F6" s="53" t="s">
        <v>262</v>
      </c>
      <c r="G6" s="53">
        <v>610</v>
      </c>
      <c r="H6" s="53">
        <v>1</v>
      </c>
      <c r="I6" s="53">
        <v>1</v>
      </c>
      <c r="J6" s="53">
        <v>1</v>
      </c>
      <c r="K6" s="53">
        <v>0</v>
      </c>
      <c r="L6" s="53">
        <v>0</v>
      </c>
      <c r="M6" s="53">
        <v>0</v>
      </c>
      <c r="N6" s="53">
        <v>0</v>
      </c>
      <c r="O6" s="53">
        <v>1</v>
      </c>
      <c r="P6" s="53">
        <v>40</v>
      </c>
      <c r="Q6" s="53" t="s">
        <v>167</v>
      </c>
      <c r="R6" s="53" t="s">
        <v>168</v>
      </c>
    </row>
    <row r="7" spans="1:18" x14ac:dyDescent="0.15">
      <c r="A7" s="53">
        <v>13400</v>
      </c>
      <c r="B7" s="53">
        <v>15</v>
      </c>
      <c r="C7" s="66" t="str">
        <f t="shared" si="0"/>
        <v>13400_15</v>
      </c>
      <c r="D7" s="10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3">
        <v>6</v>
      </c>
      <c r="F7" s="53" t="s">
        <v>262</v>
      </c>
      <c r="G7" s="53">
        <v>335</v>
      </c>
      <c r="H7" s="53">
        <v>1</v>
      </c>
      <c r="I7" s="53">
        <v>1</v>
      </c>
      <c r="J7" s="53">
        <v>1</v>
      </c>
      <c r="K7" s="53">
        <v>0</v>
      </c>
      <c r="L7" s="53">
        <v>0</v>
      </c>
      <c r="M7" s="53">
        <v>0</v>
      </c>
      <c r="N7" s="53">
        <v>0</v>
      </c>
      <c r="O7" s="53">
        <v>1</v>
      </c>
      <c r="P7" s="53">
        <v>120</v>
      </c>
      <c r="Q7" s="53" t="s">
        <v>167</v>
      </c>
      <c r="R7" s="53" t="s">
        <v>168</v>
      </c>
    </row>
    <row r="8" spans="1:18" x14ac:dyDescent="0.15">
      <c r="A8" s="53">
        <v>13400</v>
      </c>
      <c r="B8" s="53">
        <v>15</v>
      </c>
      <c r="C8" s="66" t="str">
        <f t="shared" si="0"/>
        <v>13400_15</v>
      </c>
      <c r="D8" s="10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3">
        <v>7</v>
      </c>
      <c r="F8" s="53" t="s">
        <v>263</v>
      </c>
      <c r="G8" s="53">
        <v>990</v>
      </c>
      <c r="H8" s="53" t="s">
        <v>257</v>
      </c>
      <c r="I8" s="53">
        <v>1</v>
      </c>
      <c r="J8" s="53">
        <v>1</v>
      </c>
      <c r="K8" s="53">
        <v>0</v>
      </c>
      <c r="L8" s="53">
        <v>0</v>
      </c>
      <c r="M8" s="53">
        <v>0</v>
      </c>
      <c r="N8" s="53">
        <v>0</v>
      </c>
      <c r="O8" s="53">
        <v>1</v>
      </c>
      <c r="P8" s="53">
        <v>500</v>
      </c>
      <c r="Q8" s="53" t="s">
        <v>167</v>
      </c>
      <c r="R8" s="53" t="s">
        <v>168</v>
      </c>
    </row>
    <row r="9" spans="1:18" x14ac:dyDescent="0.15">
      <c r="A9" s="53">
        <v>13400</v>
      </c>
      <c r="B9" s="53">
        <v>15</v>
      </c>
      <c r="C9" s="66" t="str">
        <f t="shared" si="0"/>
        <v>13400_15</v>
      </c>
      <c r="D9" s="10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3">
        <v>8</v>
      </c>
      <c r="F9" s="53" t="s">
        <v>262</v>
      </c>
      <c r="G9" s="53">
        <v>837</v>
      </c>
      <c r="H9" s="53">
        <v>1</v>
      </c>
      <c r="I9" s="53">
        <v>1</v>
      </c>
      <c r="J9" s="53">
        <v>1</v>
      </c>
      <c r="K9" s="53">
        <v>0</v>
      </c>
      <c r="L9" s="53">
        <v>0</v>
      </c>
      <c r="M9" s="53">
        <v>0</v>
      </c>
      <c r="N9" s="53">
        <v>0</v>
      </c>
      <c r="O9" s="53">
        <v>1</v>
      </c>
      <c r="P9" s="53">
        <v>30</v>
      </c>
      <c r="Q9" s="53" t="s">
        <v>167</v>
      </c>
      <c r="R9" s="53" t="s">
        <v>168</v>
      </c>
    </row>
    <row r="10" spans="1:18" x14ac:dyDescent="0.15">
      <c r="A10" s="53">
        <v>13400</v>
      </c>
      <c r="B10" s="53">
        <v>15</v>
      </c>
      <c r="C10" s="66" t="str">
        <f t="shared" si="0"/>
        <v>13400_15</v>
      </c>
      <c r="D10" s="10" t="str">
        <f ca="1">VLOOKUP($C10,OFFSET([2]stages!$A$1,0,0,COUNTA([2]stages!$A:$A),MATCH(D$1,[2]stages!$2:$2,0)-MATCH($C$1,[2]stages!$2:$2,0)+1),MATCH(D$1,[2]stages!$2:$2,0)-MATCH($C$1,[2]stages!$2:$2,0)+1,FALSE)</f>
        <v>singleonly</v>
      </c>
      <c r="E10" s="53">
        <v>9</v>
      </c>
      <c r="F10" s="53" t="s">
        <v>262</v>
      </c>
      <c r="G10" s="53">
        <v>1268</v>
      </c>
      <c r="H10" s="53">
        <v>1</v>
      </c>
      <c r="I10" s="53">
        <v>1</v>
      </c>
      <c r="J10" s="53">
        <v>1</v>
      </c>
      <c r="K10" s="53">
        <v>0</v>
      </c>
      <c r="L10" s="53">
        <v>0</v>
      </c>
      <c r="M10" s="53">
        <v>0</v>
      </c>
      <c r="N10" s="53">
        <v>0</v>
      </c>
      <c r="O10" s="53">
        <v>1</v>
      </c>
      <c r="P10" s="53">
        <v>200</v>
      </c>
      <c r="Q10" s="53" t="s">
        <v>167</v>
      </c>
      <c r="R10" s="53" t="s">
        <v>168</v>
      </c>
    </row>
  </sheetData>
  <phoneticPr fontId="5"/>
  <dataValidations count="1">
    <dataValidation type="list" allowBlank="1" showInputMessage="1" showErrorMessage="1" sqref="F2:F10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  <outlinePr summaryBelow="0" summaryRight="0"/>
  </sheetPr>
  <dimension ref="A1:M1"/>
  <sheetViews>
    <sheetView showGridLines="0" zoomScale="90" zoomScaleNormal="90" zoomScalePageLayoutView="90" workbookViewId="0">
      <pane ySplit="1" topLeftCell="A2" activePane="bottomLeft" state="frozen"/>
      <selection pane="bottomLeft" activeCell="J112" sqref="J112"/>
    </sheetView>
  </sheetViews>
  <sheetFormatPr baseColWidth="12" defaultColWidth="13" defaultRowHeight="15" outlineLevelCol="1" x14ac:dyDescent="0.15"/>
  <cols>
    <col min="1" max="1" width="13" style="8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1" t="s">
        <v>186</v>
      </c>
      <c r="B1" s="68" t="s">
        <v>187</v>
      </c>
      <c r="C1" s="72" t="s">
        <v>188</v>
      </c>
      <c r="D1" s="72" t="s">
        <v>33</v>
      </c>
      <c r="E1" s="68" t="s">
        <v>189</v>
      </c>
      <c r="F1" s="72" t="s">
        <v>190</v>
      </c>
      <c r="G1" s="72" t="s">
        <v>33</v>
      </c>
      <c r="H1" s="68" t="s">
        <v>191</v>
      </c>
      <c r="I1" s="82" t="s">
        <v>193</v>
      </c>
      <c r="J1" s="74" t="s">
        <v>126</v>
      </c>
      <c r="K1" s="73" t="s">
        <v>184</v>
      </c>
      <c r="L1" s="83" t="s">
        <v>183</v>
      </c>
      <c r="M1" s="75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P11"/>
  <sheetViews>
    <sheetView showGridLines="0" workbookViewId="0">
      <pane ySplit="1" topLeftCell="A7" activePane="bottomLeft" state="frozen"/>
      <selection pane="bottomLeft" activeCell="B10" sqref="B10"/>
    </sheetView>
  </sheetViews>
  <sheetFormatPr baseColWidth="12" defaultColWidth="13" defaultRowHeight="15" outlineLevelCol="1" x14ac:dyDescent="0.15"/>
  <cols>
    <col min="1" max="1" width="13" style="8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17" customWidth="1"/>
    <col min="13" max="13" width="42.6640625" customWidth="1"/>
    <col min="15" max="15" width="40.83203125" customWidth="1"/>
  </cols>
  <sheetData>
    <row r="1" spans="1:16" x14ac:dyDescent="0.15">
      <c r="A1" s="71" t="s">
        <v>186</v>
      </c>
      <c r="B1" s="68" t="s">
        <v>149</v>
      </c>
      <c r="C1" s="72" t="s">
        <v>188</v>
      </c>
      <c r="D1" s="72" t="s">
        <v>33</v>
      </c>
      <c r="E1" s="68" t="s">
        <v>189</v>
      </c>
      <c r="F1" s="72" t="s">
        <v>18</v>
      </c>
      <c r="G1" s="72" t="s">
        <v>33</v>
      </c>
      <c r="H1" s="68" t="s">
        <v>191</v>
      </c>
      <c r="I1" s="81" t="s">
        <v>192</v>
      </c>
      <c r="J1" s="82" t="s">
        <v>193</v>
      </c>
      <c r="K1" s="74" t="s">
        <v>126</v>
      </c>
      <c r="L1" s="73" t="s">
        <v>184</v>
      </c>
      <c r="M1" s="83" t="s">
        <v>183</v>
      </c>
      <c r="N1" s="75" t="s">
        <v>194</v>
      </c>
      <c r="O1" s="83" t="s">
        <v>253</v>
      </c>
    </row>
    <row r="2" spans="1:16" ht="56" x14ac:dyDescent="0.15">
      <c r="A2" s="105" t="s">
        <v>195</v>
      </c>
      <c r="B2" s="106">
        <v>13400</v>
      </c>
      <c r="C2" s="107" t="str">
        <f ca="1">VLOOKUP($B2,OFFSET([2]quests!$A$1,0,0,COUNTA([2]quests!$A:$A),MATCH(C$1,[2]quests!$1:$1,0)-MATCH($B$1,[2]quests!$1:$1,0)+1),MATCH(C$1,[2]quests!$1:$1,0)-MATCH($B$1,[2]quests!$1:$1,0)+1,FALSE)</f>
        <v>タワーオブザクイーン -エルフラム-</v>
      </c>
      <c r="D2" s="107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108">
        <v>15</v>
      </c>
      <c r="F2" s="107" t="str">
        <f ca="1">VLOOKUP($B2&amp;"_"&amp;$E2,OFFSET([2]stages!$A$1,0,0,COUNTA([2]stages!$A:$A),MATCH(F$1,[2]stages!$2:$2,0)-MATCH("temp_stage",[2]stages!$2:$2,0)+1),MATCH(F$1,[2]stages!$2:$2,0)-MATCH("temp_stage",[2]stages!$2:$2,0)+1,FALSE)</f>
        <v>15階 エルフラムの女王 ローズ</v>
      </c>
      <c r="G2" s="107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109">
        <v>2</v>
      </c>
      <c r="I2" s="110">
        <v>901</v>
      </c>
      <c r="J2" s="111" t="str">
        <f>B2&amp;TEXT(I2,"00")</f>
        <v>13400901</v>
      </c>
      <c r="K2" s="108" t="s">
        <v>196</v>
      </c>
      <c r="L2" s="125" t="s">
        <v>250</v>
      </c>
      <c r="M2" s="126" t="s">
        <v>382</v>
      </c>
      <c r="N2" s="112" t="s">
        <v>197</v>
      </c>
      <c r="O2" s="129" t="str">
        <f>"１２３４５６７８９０１２３４５６７８９０
"&amp;M2</f>
        <v>１２３４５６７８９０１２３４５６７８９０_x000D_ローズは度々ウィルスを付与してきますが_x000D_ウィルス状態でないユニットへ_x000D_大ダメージを与える攻撃も行います</v>
      </c>
      <c r="P2">
        <f>LEN(M2)</f>
        <v>51</v>
      </c>
    </row>
    <row r="3" spans="1:16" ht="70" x14ac:dyDescent="0.15">
      <c r="A3" s="105" t="s">
        <v>195</v>
      </c>
      <c r="B3" s="106">
        <v>13400</v>
      </c>
      <c r="C3" s="107" t="str">
        <f ca="1">VLOOKUP($B3,OFFSET([2]quests!$A$1,0,0,COUNTA([2]quests!$A:$A),MATCH(C$1,[2]quests!$1:$1,0)-MATCH($B$1,[2]quests!$1:$1,0)+1),MATCH(C$1,[2]quests!$1:$1,0)-MATCH($B$1,[2]quests!$1:$1,0)+1,FALSE)</f>
        <v>タワーオブザクイーン -エルフラム-</v>
      </c>
      <c r="D3" s="107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108">
        <v>15</v>
      </c>
      <c r="F3" s="107" t="str">
        <f ca="1">VLOOKUP($B3&amp;"_"&amp;$E3,OFFSET([2]stages!$A$1,0,0,COUNTA([2]stages!$A:$A),MATCH(F$1,[2]stages!$2:$2,0)-MATCH("temp_stage",[2]stages!$2:$2,0)+1),MATCH(F$1,[2]stages!$2:$2,0)-MATCH("temp_stage",[2]stages!$2:$2,0)+1,FALSE)</f>
        <v>15階 エルフラムの女王 ローズ</v>
      </c>
      <c r="G3" s="107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109">
        <v>2</v>
      </c>
      <c r="I3" s="110">
        <v>902</v>
      </c>
      <c r="J3" s="111" t="str">
        <f>B3&amp;TEXT(I3,"00")</f>
        <v>13400902</v>
      </c>
      <c r="K3" s="108" t="s">
        <v>196</v>
      </c>
      <c r="L3" s="125" t="s">
        <v>250</v>
      </c>
      <c r="M3" s="126" t="s">
        <v>381</v>
      </c>
      <c r="N3" s="112" t="s">
        <v>197</v>
      </c>
      <c r="O3" s="129" t="str">
        <f t="shared" ref="O3:O11" si="0">"１２３４５６７８９０１２３４５６７８９０
"&amp;M3</f>
        <v>１２３４５６７８９０１２３４５６７８９０
ローズは頻繁に防御力が激烈UPしますが_x000D_効果が永続の場合もあるようです_x000D__x000D_防御力DOWNスキルは必須といえるでしょう</v>
      </c>
      <c r="P3">
        <f t="shared" ref="P3:P11" si="1">LEN(M3)</f>
        <v>58</v>
      </c>
    </row>
    <row r="4" spans="1:16" ht="84" x14ac:dyDescent="0.15">
      <c r="A4" s="105" t="s">
        <v>195</v>
      </c>
      <c r="B4" s="106">
        <v>13400</v>
      </c>
      <c r="C4" s="107" t="str">
        <f ca="1">VLOOKUP($B4,OFFSET([2]quests!$A$1,0,0,COUNTA([2]quests!$A:$A),MATCH(C$1,[2]quests!$1:$1,0)-MATCH($B$1,[2]quests!$1:$1,0)+1),MATCH(C$1,[2]quests!$1:$1,0)-MATCH($B$1,[2]quests!$1:$1,0)+1,FALSE)</f>
        <v>タワーオブザクイーン -エルフラム-</v>
      </c>
      <c r="D4" s="107" t="str">
        <f ca="1">VLOOKUP($B4,OFFSET([2]quests!$A$1,0,0,COUNTA([2]quests!$A:$A),MATCH(D$1,[2]quests!$1:$1,0)-MATCH($B$1,[2]quests!$1:$1,0)+1),MATCH(D$1,[2]quests!$1:$1,0)-MATCH($B$1,[2]quests!$1:$1,0)+1,FALSE)</f>
        <v>タワーオブザクイーン2本目</v>
      </c>
      <c r="E4" s="108">
        <v>15</v>
      </c>
      <c r="F4" s="107" t="str">
        <f ca="1">VLOOKUP($B4&amp;"_"&amp;$E4,OFFSET([2]stages!$A$1,0,0,COUNTA([2]stages!$A:$A),MATCH(F$1,[2]stages!$2:$2,0)-MATCH("temp_stage",[2]stages!$2:$2,0)+1),MATCH(F$1,[2]stages!$2:$2,0)-MATCH("temp_stage",[2]stages!$2:$2,0)+1,FALSE)</f>
        <v>15階 エルフラムの女王 ローズ</v>
      </c>
      <c r="G4" s="107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タワーオブザクイーン2本目</v>
      </c>
      <c r="H4" s="109">
        <v>2</v>
      </c>
      <c r="I4" s="110">
        <v>903</v>
      </c>
      <c r="J4" s="111" t="str">
        <f>B4&amp;TEXT(I4,"00")</f>
        <v>13400903</v>
      </c>
      <c r="K4" s="108" t="s">
        <v>196</v>
      </c>
      <c r="L4" s="125" t="s">
        <v>250</v>
      </c>
      <c r="M4" s="126" t="s">
        <v>378</v>
      </c>
      <c r="N4" s="112" t="s">
        <v>197</v>
      </c>
      <c r="O4" s="129" t="str">
        <f t="shared" si="0"/>
        <v>１２３４５６７８９０１２３４５６７８９０
ローズの1ゲージ目は開幕から数ターン_x000D_残りHPに応じて攻撃力が変わります_x000D__x000D_即死級のダメージとなる事もあるため_x000D_注意しましょう</v>
      </c>
      <c r="P4">
        <f t="shared" si="1"/>
        <v>63</v>
      </c>
    </row>
    <row r="5" spans="1:16" ht="70" x14ac:dyDescent="0.15">
      <c r="A5" s="105" t="s">
        <v>195</v>
      </c>
      <c r="B5" s="106">
        <v>13400</v>
      </c>
      <c r="C5" s="107" t="str">
        <f ca="1">VLOOKUP($B5,OFFSET([2]quests!$A$1,0,0,COUNTA([2]quests!$A:$A),MATCH(C$1,[2]quests!$1:$1,0)-MATCH($B$1,[2]quests!$1:$1,0)+1),MATCH(C$1,[2]quests!$1:$1,0)-MATCH($B$1,[2]quests!$1:$1,0)+1,FALSE)</f>
        <v>タワーオブザクイーン -エルフラム-</v>
      </c>
      <c r="D5" s="107" t="str">
        <f ca="1">VLOOKUP($B5,OFFSET([2]quests!$A$1,0,0,COUNTA([2]quests!$A:$A),MATCH(D$1,[2]quests!$1:$1,0)-MATCH($B$1,[2]quests!$1:$1,0)+1),MATCH(D$1,[2]quests!$1:$1,0)-MATCH($B$1,[2]quests!$1:$1,0)+1,FALSE)</f>
        <v>タワーオブザクイーン2本目</v>
      </c>
      <c r="E5" s="108">
        <v>15</v>
      </c>
      <c r="F5" s="107" t="str">
        <f ca="1">VLOOKUP($B5&amp;"_"&amp;$E5,OFFSET([2]stages!$A$1,0,0,COUNTA([2]stages!$A:$A),MATCH(F$1,[2]stages!$2:$2,0)-MATCH("temp_stage",[2]stages!$2:$2,0)+1),MATCH(F$1,[2]stages!$2:$2,0)-MATCH("temp_stage",[2]stages!$2:$2,0)+1,FALSE)</f>
        <v>15階 エルフラムの女王 ローズ</v>
      </c>
      <c r="G5" s="107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タワーオブザクイーン2本目</v>
      </c>
      <c r="H5" s="109">
        <v>2</v>
      </c>
      <c r="I5" s="110">
        <v>904</v>
      </c>
      <c r="J5" s="111" t="str">
        <f>B5&amp;TEXT(I5,"00")</f>
        <v>13400904</v>
      </c>
      <c r="K5" s="108" t="s">
        <v>196</v>
      </c>
      <c r="L5" s="125" t="s">
        <v>250</v>
      </c>
      <c r="M5" s="126" t="s">
        <v>383</v>
      </c>
      <c r="N5" s="112" t="s">
        <v>197</v>
      </c>
      <c r="O5" s="129" t="str">
        <f t="shared" si="0"/>
        <v>１２３４５６７８９０１２３４５６７８９０
ローズの1ゲージ目はHPが一定以下になると_x000D_2ターン後の超大ダメージ攻撃を予告します_x000D__x000D_速やかに突破できるよう準備しましょう</v>
      </c>
      <c r="P5">
        <f t="shared" si="1"/>
        <v>62</v>
      </c>
    </row>
    <row r="6" spans="1:16" ht="56" x14ac:dyDescent="0.15">
      <c r="A6" s="105" t="s">
        <v>195</v>
      </c>
      <c r="B6" s="106">
        <v>13400</v>
      </c>
      <c r="C6" s="107" t="str">
        <f ca="1">VLOOKUP($B6,OFFSET([2]quests!$A$1,0,0,COUNTA([2]quests!$A:$A),MATCH(C$1,[2]quests!$1:$1,0)-MATCH($B$1,[2]quests!$1:$1,0)+1),MATCH(C$1,[2]quests!$1:$1,0)-MATCH($B$1,[2]quests!$1:$1,0)+1,FALSE)</f>
        <v>タワーオブザクイーン -エルフラム-</v>
      </c>
      <c r="D6" s="107" t="str">
        <f ca="1">VLOOKUP($B6,OFFSET([2]quests!$A$1,0,0,COUNTA([2]quests!$A:$A),MATCH(D$1,[2]quests!$1:$1,0)-MATCH($B$1,[2]quests!$1:$1,0)+1),MATCH(D$1,[2]quests!$1:$1,0)-MATCH($B$1,[2]quests!$1:$1,0)+1,FALSE)</f>
        <v>タワーオブザクイーン2本目</v>
      </c>
      <c r="E6" s="108">
        <v>15</v>
      </c>
      <c r="F6" s="107" t="str">
        <f ca="1">VLOOKUP($B6&amp;"_"&amp;$E6,OFFSET([2]stages!$A$1,0,0,COUNTA([2]stages!$A:$A),MATCH(F$1,[2]stages!$2:$2,0)-MATCH("temp_stage",[2]stages!$2:$2,0)+1),MATCH(F$1,[2]stages!$2:$2,0)-MATCH("temp_stage",[2]stages!$2:$2,0)+1,FALSE)</f>
        <v>15階 エルフラムの女王 ローズ</v>
      </c>
      <c r="G6" s="107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タワーオブザクイーン2本目</v>
      </c>
      <c r="H6" s="109">
        <v>2</v>
      </c>
      <c r="I6" s="110">
        <v>905</v>
      </c>
      <c r="J6" s="111" t="str">
        <f t="shared" ref="J6:J9" si="2">B6&amp;TEXT(I6,"00")</f>
        <v>13400905</v>
      </c>
      <c r="K6" s="108" t="s">
        <v>196</v>
      </c>
      <c r="L6" s="125" t="s">
        <v>250</v>
      </c>
      <c r="M6" s="126" t="s">
        <v>379</v>
      </c>
      <c r="N6" s="112" t="s">
        <v>197</v>
      </c>
      <c r="O6" s="129" t="str">
        <f t="shared" si="0"/>
        <v>１２３４５６７８９０１２３４５６７８９０
ローズの2ゲージ目は残りHPに応じて_x000D_属性が変化しそれぞれ有利属性以外の_x000D_攻撃がほとんど通らなくなってしまいます</v>
      </c>
      <c r="P6">
        <f t="shared" si="1"/>
        <v>56</v>
      </c>
    </row>
    <row r="7" spans="1:16" ht="84" x14ac:dyDescent="0.15">
      <c r="A7" s="105" t="s">
        <v>195</v>
      </c>
      <c r="B7" s="106">
        <v>13400</v>
      </c>
      <c r="C7" s="107" t="str">
        <f ca="1">VLOOKUP($B7,OFFSET([2]quests!$A$1,0,0,COUNTA([2]quests!$A:$A),MATCH(C$1,[2]quests!$1:$1,0)-MATCH($B$1,[2]quests!$1:$1,0)+1),MATCH(C$1,[2]quests!$1:$1,0)-MATCH($B$1,[2]quests!$1:$1,0)+1,FALSE)</f>
        <v>タワーオブザクイーン -エルフラム-</v>
      </c>
      <c r="D7" s="107" t="str">
        <f ca="1">VLOOKUP($B7,OFFSET([2]quests!$A$1,0,0,COUNTA([2]quests!$A:$A),MATCH(D$1,[2]quests!$1:$1,0)-MATCH($B$1,[2]quests!$1:$1,0)+1),MATCH(D$1,[2]quests!$1:$1,0)-MATCH($B$1,[2]quests!$1:$1,0)+1,FALSE)</f>
        <v>タワーオブザクイーン2本目</v>
      </c>
      <c r="E7" s="108">
        <v>15</v>
      </c>
      <c r="F7" s="107" t="str">
        <f ca="1">VLOOKUP($B7&amp;"_"&amp;$E7,OFFSET([2]stages!$A$1,0,0,COUNTA([2]stages!$A:$A),MATCH(F$1,[2]stages!$2:$2,0)-MATCH("temp_stage",[2]stages!$2:$2,0)+1),MATCH(F$1,[2]stages!$2:$2,0)-MATCH("temp_stage",[2]stages!$2:$2,0)+1,FALSE)</f>
        <v>15階 エルフラムの女王 ローズ</v>
      </c>
      <c r="G7" s="107" t="str">
        <f ca="1">VLOOKUP($B7&amp;"_"&amp;$E7,OFFSET([2]stages!$A$1,0,0,COUNTA([2]stages!$A:$A),MATCH(G$1,[2]stages!$2:$2,0)-MATCH("temp_stage",[2]stages!$2:$2,0)+1),MATCH(G$1,[2]stages!$2:$2,0)-MATCH("temp_stage",[2]stages!$2:$2,0)+1,FALSE)</f>
        <v>タワーオブザクイーン2本目</v>
      </c>
      <c r="H7" s="109">
        <v>2</v>
      </c>
      <c r="I7" s="110">
        <v>906</v>
      </c>
      <c r="J7" s="111" t="str">
        <f t="shared" si="2"/>
        <v>13400906</v>
      </c>
      <c r="K7" s="108" t="s">
        <v>196</v>
      </c>
      <c r="L7" s="125" t="s">
        <v>250</v>
      </c>
      <c r="M7" s="126" t="s">
        <v>414</v>
      </c>
      <c r="N7" s="112" t="s">
        <v>197</v>
      </c>
      <c r="O7" s="129" t="str">
        <f t="shared" si="0"/>
        <v>１２３４５６７８９０１２３４５６７８９０
ローズの3ゲージ目は_x000D_お邪魔パネル吸収攻撃を使用します_x000D__x000D_お邪魔パネルがドロップしないターンに_x000D_整地を行いダメージを抑えましょう</v>
      </c>
      <c r="P7">
        <f t="shared" si="1"/>
        <v>64</v>
      </c>
    </row>
    <row r="8" spans="1:16" ht="42" x14ac:dyDescent="0.15">
      <c r="A8" s="105" t="s">
        <v>195</v>
      </c>
      <c r="B8" s="106">
        <v>13400</v>
      </c>
      <c r="C8" s="107" t="str">
        <f ca="1">VLOOKUP($B8,OFFSET([2]quests!$A$1,0,0,COUNTA([2]quests!$A:$A),MATCH(C$1,[2]quests!$1:$1,0)-MATCH($B$1,[2]quests!$1:$1,0)+1),MATCH(C$1,[2]quests!$1:$1,0)-MATCH($B$1,[2]quests!$1:$1,0)+1,FALSE)</f>
        <v>タワーオブザクイーン -エルフラム-</v>
      </c>
      <c r="D8" s="107" t="str">
        <f ca="1">VLOOKUP($B8,OFFSET([2]quests!$A$1,0,0,COUNTA([2]quests!$A:$A),MATCH(D$1,[2]quests!$1:$1,0)-MATCH($B$1,[2]quests!$1:$1,0)+1),MATCH(D$1,[2]quests!$1:$1,0)-MATCH($B$1,[2]quests!$1:$1,0)+1,FALSE)</f>
        <v>タワーオブザクイーン2本目</v>
      </c>
      <c r="E8" s="108">
        <v>15</v>
      </c>
      <c r="F8" s="107" t="str">
        <f ca="1">VLOOKUP($B8&amp;"_"&amp;$E8,OFFSET([2]stages!$A$1,0,0,COUNTA([2]stages!$A:$A),MATCH(F$1,[2]stages!$2:$2,0)-MATCH("temp_stage",[2]stages!$2:$2,0)+1),MATCH(F$1,[2]stages!$2:$2,0)-MATCH("temp_stage",[2]stages!$2:$2,0)+1,FALSE)</f>
        <v>15階 エルフラムの女王 ローズ</v>
      </c>
      <c r="G8" s="107" t="str">
        <f ca="1">VLOOKUP($B8&amp;"_"&amp;$E8,OFFSET([2]stages!$A$1,0,0,COUNTA([2]stages!$A:$A),MATCH(G$1,[2]stages!$2:$2,0)-MATCH("temp_stage",[2]stages!$2:$2,0)+1),MATCH(G$1,[2]stages!$2:$2,0)-MATCH("temp_stage",[2]stages!$2:$2,0)+1,FALSE)</f>
        <v>タワーオブザクイーン2本目</v>
      </c>
      <c r="H8" s="109">
        <v>2</v>
      </c>
      <c r="I8" s="110">
        <v>907</v>
      </c>
      <c r="J8" s="111" t="str">
        <f t="shared" si="2"/>
        <v>13400907</v>
      </c>
      <c r="K8" s="108" t="s">
        <v>196</v>
      </c>
      <c r="L8" s="125" t="s">
        <v>250</v>
      </c>
      <c r="M8" s="126" t="s">
        <v>380</v>
      </c>
      <c r="N8" s="112" t="s">
        <v>197</v>
      </c>
      <c r="O8" s="129" t="str">
        <f t="shared" si="0"/>
        <v>１２３４５６７８９０１２３４５６７８９０
ローズの3ゲージ目はHPが一定以下になると_x000D_永続のウィルスを付与してきます</v>
      </c>
      <c r="P8">
        <f t="shared" si="1"/>
        <v>37</v>
      </c>
    </row>
    <row r="9" spans="1:16" ht="84" x14ac:dyDescent="0.15">
      <c r="A9" s="105" t="s">
        <v>195</v>
      </c>
      <c r="B9" s="106">
        <v>13400</v>
      </c>
      <c r="C9" s="107" t="str">
        <f ca="1">VLOOKUP($B9,OFFSET([2]quests!$A$1,0,0,COUNTA([2]quests!$A:$A),MATCH(C$1,[2]quests!$1:$1,0)-MATCH($B$1,[2]quests!$1:$1,0)+1),MATCH(C$1,[2]quests!$1:$1,0)-MATCH($B$1,[2]quests!$1:$1,0)+1,FALSE)</f>
        <v>タワーオブザクイーン -エルフラム-</v>
      </c>
      <c r="D9" s="107" t="str">
        <f ca="1">VLOOKUP($B9,OFFSET([2]quests!$A$1,0,0,COUNTA([2]quests!$A:$A),MATCH(D$1,[2]quests!$1:$1,0)-MATCH($B$1,[2]quests!$1:$1,0)+1),MATCH(D$1,[2]quests!$1:$1,0)-MATCH($B$1,[2]quests!$1:$1,0)+1,FALSE)</f>
        <v>タワーオブザクイーン2本目</v>
      </c>
      <c r="E9" s="108">
        <v>15</v>
      </c>
      <c r="F9" s="107" t="str">
        <f ca="1">VLOOKUP($B9&amp;"_"&amp;$E9,OFFSET([2]stages!$A$1,0,0,COUNTA([2]stages!$A:$A),MATCH(F$1,[2]stages!$2:$2,0)-MATCH("temp_stage",[2]stages!$2:$2,0)+1),MATCH(F$1,[2]stages!$2:$2,0)-MATCH("temp_stage",[2]stages!$2:$2,0)+1,FALSE)</f>
        <v>15階 エルフラムの女王 ローズ</v>
      </c>
      <c r="G9" s="107" t="str">
        <f ca="1">VLOOKUP($B9&amp;"_"&amp;$E9,OFFSET([2]stages!$A$1,0,0,COUNTA([2]stages!$A:$A),MATCH(G$1,[2]stages!$2:$2,0)-MATCH("temp_stage",[2]stages!$2:$2,0)+1),MATCH(G$1,[2]stages!$2:$2,0)-MATCH("temp_stage",[2]stages!$2:$2,0)+1,FALSE)</f>
        <v>タワーオブザクイーン2本目</v>
      </c>
      <c r="H9" s="109">
        <v>2</v>
      </c>
      <c r="I9" s="110">
        <v>908</v>
      </c>
      <c r="J9" s="111" t="str">
        <f t="shared" si="2"/>
        <v>13400908</v>
      </c>
      <c r="K9" s="108" t="s">
        <v>196</v>
      </c>
      <c r="L9" s="125" t="s">
        <v>250</v>
      </c>
      <c r="M9" s="126" t="s">
        <v>384</v>
      </c>
      <c r="N9" s="112" t="s">
        <v>197</v>
      </c>
      <c r="O9" s="129" t="str">
        <f t="shared" si="0"/>
        <v>１２３４５６７８９０１２３４５６７８９０
ローズの2・3ゲージ目は一定のターンが_x000D_経過すると攻撃力が大UPします_x000D__x000D_耐久は困難となるため速やかに_x000D_突破しましょう</v>
      </c>
      <c r="P9">
        <f t="shared" si="1"/>
        <v>59</v>
      </c>
    </row>
    <row r="10" spans="1:16" ht="70" x14ac:dyDescent="0.15">
      <c r="A10" s="120" t="s">
        <v>198</v>
      </c>
      <c r="B10" s="121">
        <v>13400</v>
      </c>
      <c r="C10" s="122" t="str">
        <f ca="1">VLOOKUP($B10,OFFSET([2]quests!$A$1,0,0,COUNTA([2]quests!$A:$A),MATCH(C$1,[2]quests!$1:$1,0)-MATCH($B$1,[2]quests!$1:$1,0)+1),MATCH(C$1,[2]quests!$1:$1,0)-MATCH($B$1,[2]quests!$1:$1,0)+1,FALSE)</f>
        <v>タワーオブザクイーン -エルフラム-</v>
      </c>
      <c r="D10" s="122" t="str">
        <f ca="1">VLOOKUP($B10,OFFSET([2]quests!$A$1,0,0,COUNTA([2]quests!$A:$A),MATCH(D$1,[2]quests!$1:$1,0)-MATCH($B$1,[2]quests!$1:$1,0)+1),MATCH(D$1,[2]quests!$1:$1,0)-MATCH($B$1,[2]quests!$1:$1,0)+1,FALSE)</f>
        <v>タワーオブザクイーン2本目</v>
      </c>
      <c r="E10" s="123">
        <v>15</v>
      </c>
      <c r="F10" s="122" t="str">
        <f ca="1">VLOOKUP($B10&amp;"_"&amp;$E10,OFFSET([2]stages!$A$1,0,0,COUNTA([2]stages!$A:$A),MATCH(F$1,[2]stages!$2:$2,0)-MATCH("temp_stage",[2]stages!$2:$2,0)+1),MATCH(F$1,[2]stages!$2:$2,0)-MATCH("temp_stage",[2]stages!$2:$2,0)+1,FALSE)</f>
        <v>15階 エルフラムの女王 ローズ</v>
      </c>
      <c r="G10" s="122" t="str">
        <f ca="1">VLOOKUP($B10&amp;"_"&amp;$E10,OFFSET([2]stages!$A$1,0,0,COUNTA([2]stages!$A:$A),MATCH(G$1,[2]stages!$2:$2,0)-MATCH("temp_stage",[2]stages!$2:$2,0)+1),MATCH(G$1,[2]stages!$2:$2,0)-MATCH("temp_stage",[2]stages!$2:$2,0)+1,FALSE)</f>
        <v>タワーオブザクイーン2本目</v>
      </c>
      <c r="H10" s="122">
        <v>0</v>
      </c>
      <c r="I10" s="110">
        <v>909</v>
      </c>
      <c r="J10" s="111" t="str">
        <f>B10&amp;TEXT(I10,"00")</f>
        <v>13400909</v>
      </c>
      <c r="K10" s="123" t="s">
        <v>196</v>
      </c>
      <c r="L10" s="127" t="s">
        <v>297</v>
      </c>
      <c r="M10" s="128" t="s">
        <v>425</v>
      </c>
      <c r="N10" s="112" t="s">
        <v>197</v>
      </c>
      <c r="O10" s="129" t="str">
        <f t="shared" si="0"/>
        <v>１２３４５６７８９０１２３４５６７８９０
エルフラムの踏破おめでとうございます！_x000D__x000D_ローズの残した言葉は気になるものの_x000D_その謎が解けるのは当分先になりそうです</v>
      </c>
      <c r="P10">
        <f t="shared" si="1"/>
        <v>58</v>
      </c>
    </row>
    <row r="11" spans="1:16" ht="84" x14ac:dyDescent="0.15">
      <c r="A11" s="120" t="s">
        <v>198</v>
      </c>
      <c r="B11" s="121">
        <v>13400</v>
      </c>
      <c r="C11" s="122" t="str">
        <f ca="1">VLOOKUP($B11,OFFSET([2]quests!$A$1,0,0,COUNTA([2]quests!$A:$A),MATCH(C$1,[2]quests!$1:$1,0)-MATCH($B$1,[2]quests!$1:$1,0)+1),MATCH(C$1,[2]quests!$1:$1,0)-MATCH($B$1,[2]quests!$1:$1,0)+1,FALSE)</f>
        <v>タワーオブザクイーン -エルフラム-</v>
      </c>
      <c r="D11" s="122" t="str">
        <f ca="1">VLOOKUP($B11,OFFSET([2]quests!$A$1,0,0,COUNTA([2]quests!$A:$A),MATCH(D$1,[2]quests!$1:$1,0)-MATCH($B$1,[2]quests!$1:$1,0)+1),MATCH(D$1,[2]quests!$1:$1,0)-MATCH($B$1,[2]quests!$1:$1,0)+1,FALSE)</f>
        <v>タワーオブザクイーン2本目</v>
      </c>
      <c r="E11" s="123">
        <v>15</v>
      </c>
      <c r="F11" s="122" t="str">
        <f ca="1">VLOOKUP($B11&amp;"_"&amp;$E11,OFFSET([2]stages!$A$1,0,0,COUNTA([2]stages!$A:$A),MATCH(F$1,[2]stages!$2:$2,0)-MATCH("temp_stage",[2]stages!$2:$2,0)+1),MATCH(F$1,[2]stages!$2:$2,0)-MATCH("temp_stage",[2]stages!$2:$2,0)+1,FALSE)</f>
        <v>15階 エルフラムの女王 ローズ</v>
      </c>
      <c r="G11" s="122" t="str">
        <f ca="1">VLOOKUP($B11&amp;"_"&amp;$E11,OFFSET([2]stages!$A$1,0,0,COUNTA([2]stages!$A:$A),MATCH(G$1,[2]stages!$2:$2,0)-MATCH("temp_stage",[2]stages!$2:$2,0)+1),MATCH(G$1,[2]stages!$2:$2,0)-MATCH("temp_stage",[2]stages!$2:$2,0)+1,FALSE)</f>
        <v>タワーオブザクイーン2本目</v>
      </c>
      <c r="H11" s="122">
        <v>0</v>
      </c>
      <c r="I11" s="110">
        <v>910</v>
      </c>
      <c r="J11" s="111" t="str">
        <f>B11&amp;TEXT(I11,"00")</f>
        <v>13400910</v>
      </c>
      <c r="K11" s="123" t="s">
        <v>196</v>
      </c>
      <c r="L11" s="127" t="s">
        <v>297</v>
      </c>
      <c r="M11" s="128" t="s">
        <v>387</v>
      </c>
      <c r="N11" s="112" t="s">
        <v>197</v>
      </c>
      <c r="O11" s="129" t="str">
        <f t="shared" si="0"/>
        <v>１２３４５６７８９０１２３４５６７８９０
エルフラムの踏破おめでとうございます！_x000D__x000D_ローズを完全に撃破するには他に手立てが_x000D_必要なようですが_x000D_今はこの勝利を喜びましょう！</v>
      </c>
      <c r="P11">
        <f t="shared" si="1"/>
        <v>64</v>
      </c>
    </row>
  </sheetData>
  <phoneticPr fontId="5"/>
  <dataValidations count="1">
    <dataValidation type="list" allowBlank="1" showInputMessage="1" showErrorMessage="1" sqref="A2:A1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I3" sqref="I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85" t="s">
        <v>210</v>
      </c>
      <c r="B1" s="86" t="s">
        <v>211</v>
      </c>
      <c r="C1" s="72" t="s">
        <v>212</v>
      </c>
      <c r="D1" s="72" t="s">
        <v>33</v>
      </c>
      <c r="E1" s="86" t="s">
        <v>213</v>
      </c>
      <c r="F1" s="72" t="s">
        <v>214</v>
      </c>
      <c r="G1" s="72" t="s">
        <v>33</v>
      </c>
      <c r="H1" s="86" t="s">
        <v>215</v>
      </c>
      <c r="I1" s="86" t="s">
        <v>216</v>
      </c>
      <c r="J1" s="86" t="s">
        <v>217</v>
      </c>
      <c r="K1" s="68" t="s">
        <v>218</v>
      </c>
      <c r="L1" s="68" t="s">
        <v>219</v>
      </c>
      <c r="M1" s="68" t="s">
        <v>155</v>
      </c>
      <c r="N1" s="72" t="s">
        <v>16</v>
      </c>
      <c r="O1" s="68" t="s">
        <v>220</v>
      </c>
      <c r="P1" s="68" t="s">
        <v>57</v>
      </c>
      <c r="Q1" s="68" t="s">
        <v>221</v>
      </c>
      <c r="R1" s="68" t="s">
        <v>38</v>
      </c>
      <c r="S1" s="68" t="s">
        <v>40</v>
      </c>
      <c r="T1" s="68" t="s">
        <v>42</v>
      </c>
      <c r="U1" s="68" t="s">
        <v>44</v>
      </c>
      <c r="V1" s="68" t="s">
        <v>46</v>
      </c>
      <c r="W1" s="68" t="s">
        <v>222</v>
      </c>
      <c r="X1" s="68" t="s">
        <v>223</v>
      </c>
    </row>
    <row r="2" spans="1:24" x14ac:dyDescent="0.15">
      <c r="A2" s="87" t="str">
        <f>B2&amp;"_"&amp;E2&amp;"_"&amp;H2&amp;"_"&amp;I2&amp;"_"&amp;J2</f>
        <v>13400_15_singleonly_clear_1</v>
      </c>
      <c r="B2" s="76">
        <v>13400</v>
      </c>
      <c r="C2" s="77" t="str">
        <f ca="1">VLOOKUP($B2,OFFSET([2]quests!$A$1,0,0,COUNTA([2]quests!$A:$A),MATCH(C$1,[2]quests!$1:$1,0)-MATCH($B$1,[2]quests!$1:$1,0)+1),MATCH(C$1,[2]quests!$1:$1,0)-MATCH($B$1,[2]quests!$1:$1,0)+1,FALSE)</f>
        <v>タワーオブザクイーン -エルフラム-</v>
      </c>
      <c r="D2" s="77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78">
        <v>15</v>
      </c>
      <c r="F2" s="77" t="str">
        <f ca="1">VLOOKUP($B2&amp;"_"&amp;$E2,OFFSET([2]stages!$A$1,0,0,COUNTA([2]stages!$A:$A),MATCH(F$1,[2]stages!$2:$2,0)-MATCH("temp_stage",[2]stages!$2:$2,0)+1),MATCH(F$1,[2]stages!$2:$2,0)-MATCH("temp_stage",[2]stages!$2:$2,0)+1,FALSE)</f>
        <v>15階 エルフラムの女王 ローズ</v>
      </c>
      <c r="G2" s="77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79" t="s">
        <v>260</v>
      </c>
      <c r="I2" s="78" t="s">
        <v>224</v>
      </c>
      <c r="J2" s="78">
        <v>1</v>
      </c>
      <c r="K2" s="78">
        <v>350</v>
      </c>
      <c r="L2" s="78" t="s">
        <v>255</v>
      </c>
      <c r="M2" s="78">
        <v>28000</v>
      </c>
      <c r="N2" s="8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78" t="s">
        <v>258</v>
      </c>
      <c r="P2" s="78">
        <v>1</v>
      </c>
      <c r="Q2" s="78">
        <v>1</v>
      </c>
      <c r="R2" s="78">
        <v>0</v>
      </c>
      <c r="S2" s="78">
        <v>0</v>
      </c>
      <c r="T2" s="78">
        <v>0</v>
      </c>
      <c r="U2" s="78">
        <v>0</v>
      </c>
      <c r="V2" s="78">
        <v>1</v>
      </c>
      <c r="W2" s="89" t="s">
        <v>225</v>
      </c>
      <c r="X2" s="90" t="s">
        <v>226</v>
      </c>
    </row>
    <row r="3" spans="1:24" x14ac:dyDescent="0.15">
      <c r="A3" s="87" t="str">
        <f>B3&amp;"_"&amp;E3&amp;"_"&amp;H3&amp;"_"&amp;I3&amp;"_"&amp;J3</f>
        <v>13400_15_singleonly_clear_2</v>
      </c>
      <c r="B3" s="76">
        <v>13400</v>
      </c>
      <c r="C3" s="77" t="str">
        <f ca="1">VLOOKUP($B3,OFFSET([2]quests!$A$1,0,0,COUNTA([2]quests!$A:$A),MATCH(C$1,[2]quests!$1:$1,0)-MATCH($B$1,[2]quests!$1:$1,0)+1),MATCH(C$1,[2]quests!$1:$1,0)-MATCH($B$1,[2]quests!$1:$1,0)+1,FALSE)</f>
        <v>タワーオブザクイーン -エルフラム-</v>
      </c>
      <c r="D3" s="77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78">
        <v>15</v>
      </c>
      <c r="F3" s="77" t="str">
        <f ca="1">VLOOKUP($B3&amp;"_"&amp;$E3,OFFSET([2]stages!$A$1,0,0,COUNTA([2]stages!$A:$A),MATCH(F$1,[2]stages!$2:$2,0)-MATCH("temp_stage",[2]stages!$2:$2,0)+1),MATCH(F$1,[2]stages!$2:$2,0)-MATCH("temp_stage",[2]stages!$2:$2,0)+1,FALSE)</f>
        <v>15階 エルフラムの女王 ローズ</v>
      </c>
      <c r="G3" s="77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79" t="s">
        <v>261</v>
      </c>
      <c r="I3" s="78" t="s">
        <v>224</v>
      </c>
      <c r="J3" s="78">
        <v>2</v>
      </c>
      <c r="K3" s="78">
        <v>650</v>
      </c>
      <c r="L3" s="78" t="s">
        <v>256</v>
      </c>
      <c r="M3" s="78">
        <v>65000</v>
      </c>
      <c r="N3" s="88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78" t="s">
        <v>259</v>
      </c>
      <c r="P3" s="78">
        <v>1</v>
      </c>
      <c r="Q3" s="78">
        <v>1</v>
      </c>
      <c r="R3" s="78">
        <v>0</v>
      </c>
      <c r="S3" s="78">
        <v>0</v>
      </c>
      <c r="T3" s="78">
        <v>0</v>
      </c>
      <c r="U3" s="78">
        <v>0</v>
      </c>
      <c r="V3" s="78">
        <v>1</v>
      </c>
      <c r="W3" s="89" t="s">
        <v>225</v>
      </c>
      <c r="X3" s="90" t="s">
        <v>226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cp:lastPrinted>2017-03-10T05:55:48Z</cp:lastPrinted>
  <dcterms:created xsi:type="dcterms:W3CDTF">2015-01-30T13:36:44Z</dcterms:created>
  <dcterms:modified xsi:type="dcterms:W3CDTF">2017-03-23T12:15:38Z</dcterms:modified>
</cp:coreProperties>
</file>