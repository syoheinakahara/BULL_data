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460" windowWidth="25100" windowHeight="14640" tabRatio="943" activeTab="5"/>
  </bookViews>
  <sheets>
    <sheet name="確率の考え方" sheetId="110" r:id="rId1"/>
    <sheet name="Sheet1" sheetId="107" r:id="rId2"/>
    <sheet name="output" sheetId="103" r:id="rId3"/>
    <sheet name="input_7100100" sheetId="106" r:id="rId4"/>
    <sheet name="tables_7100100" sheetId="82" r:id="rId5"/>
    <sheet name="tables_settle_7100100" sheetId="114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tables_7100100!$A$1:$V$271</definedName>
    <definedName name="_xlnm._FilterDatabase" localSheetId="5" hidden="1">tables_settle_7100100!$A$1:$V$7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8" i="114" l="1"/>
  <c r="D8" i="114"/>
  <c r="J8" i="114"/>
  <c r="E8" i="114"/>
  <c r="F8" i="114"/>
  <c r="C8" i="114"/>
  <c r="H8" i="114"/>
  <c r="K8" i="114"/>
  <c r="L8" i="114"/>
  <c r="M8" i="114"/>
  <c r="N8" i="114"/>
  <c r="P8" i="114"/>
  <c r="I9" i="114"/>
  <c r="D9" i="114"/>
  <c r="J9" i="114"/>
  <c r="E9" i="114"/>
  <c r="F9" i="114"/>
  <c r="C9" i="114"/>
  <c r="H9" i="114"/>
  <c r="K9" i="114"/>
  <c r="L9" i="114"/>
  <c r="M9" i="114"/>
  <c r="N9" i="114"/>
  <c r="P9" i="114"/>
  <c r="A2" i="106"/>
  <c r="C3" i="103"/>
  <c r="C2" i="103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J4" i="114"/>
  <c r="E4" i="114"/>
  <c r="F4" i="114"/>
  <c r="C4" i="114"/>
  <c r="I5" i="114"/>
  <c r="D5" i="114"/>
  <c r="J5" i="114"/>
  <c r="E5" i="114"/>
  <c r="F5" i="114"/>
  <c r="C5" i="114"/>
  <c r="I6" i="114"/>
  <c r="D6" i="114"/>
  <c r="J6" i="114"/>
  <c r="E6" i="114"/>
  <c r="F6" i="114"/>
  <c r="C6" i="114"/>
  <c r="I7" i="114"/>
  <c r="D7" i="114"/>
  <c r="J7" i="114"/>
  <c r="E7" i="114"/>
  <c r="F7" i="114"/>
  <c r="C7" i="114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E5" i="106"/>
  <c r="F5" i="106"/>
  <c r="F6" i="106"/>
  <c r="A36" i="106"/>
  <c r="E6" i="106"/>
  <c r="B19" i="106"/>
  <c r="B24" i="106"/>
  <c r="B17" i="106"/>
  <c r="B18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C18" i="106"/>
  <c r="D18" i="106"/>
  <c r="G18" i="106"/>
  <c r="E18" i="106"/>
  <c r="H18" i="106"/>
  <c r="O3" i="82"/>
  <c r="O5" i="82"/>
  <c r="O7" i="82"/>
  <c r="O9" i="82"/>
  <c r="C17" i="106"/>
  <c r="D17" i="106"/>
  <c r="G17" i="106"/>
  <c r="E17" i="106"/>
  <c r="H17" i="106"/>
  <c r="O2" i="82"/>
  <c r="O4" i="82"/>
  <c r="O6" i="82"/>
  <c r="O8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C24" i="106"/>
  <c r="D24" i="106"/>
  <c r="G24" i="106"/>
  <c r="E24" i="106"/>
  <c r="H24" i="106"/>
  <c r="O42" i="82"/>
  <c r="B25" i="106"/>
  <c r="C25" i="106"/>
  <c r="D25" i="106"/>
  <c r="G25" i="106"/>
  <c r="E25" i="106"/>
  <c r="H25" i="106"/>
  <c r="O43" i="82"/>
  <c r="B26" i="106"/>
  <c r="C26" i="106"/>
  <c r="D26" i="106"/>
  <c r="G26" i="106"/>
  <c r="E26" i="106"/>
  <c r="H26" i="106"/>
  <c r="O44" i="82"/>
  <c r="O45" i="82"/>
  <c r="O46" i="82"/>
  <c r="O47" i="82"/>
  <c r="O48" i="82"/>
  <c r="O49" i="82"/>
  <c r="O50" i="82"/>
  <c r="C19" i="106"/>
  <c r="D19" i="106"/>
  <c r="G19" i="106"/>
  <c r="E19" i="106"/>
  <c r="H19" i="106"/>
  <c r="O51" i="82"/>
  <c r="B20" i="106"/>
  <c r="C20" i="106"/>
  <c r="D20" i="106"/>
  <c r="G20" i="106"/>
  <c r="E20" i="106"/>
  <c r="H20" i="106"/>
  <c r="O52" i="82"/>
  <c r="B21" i="106"/>
  <c r="C21" i="106"/>
  <c r="D21" i="106"/>
  <c r="G21" i="106"/>
  <c r="E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B27" i="106"/>
  <c r="C27" i="106"/>
  <c r="D27" i="106"/>
  <c r="G27" i="106"/>
  <c r="E27" i="106"/>
  <c r="H27" i="106"/>
  <c r="O138" i="82"/>
  <c r="B28" i="106"/>
  <c r="C28" i="106"/>
  <c r="D28" i="106"/>
  <c r="G28" i="106"/>
  <c r="E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B29" i="106"/>
  <c r="B23" i="106"/>
  <c r="B22" i="106"/>
  <c r="C22" i="106"/>
  <c r="D22" i="106"/>
  <c r="G22" i="106"/>
  <c r="E22" i="106"/>
  <c r="H22" i="106"/>
  <c r="O266" i="82"/>
  <c r="C23" i="106"/>
  <c r="D23" i="106"/>
  <c r="G23" i="106"/>
  <c r="E23" i="106"/>
  <c r="H23" i="106"/>
  <c r="O267" i="82"/>
  <c r="O268" i="82"/>
  <c r="O269" i="82"/>
  <c r="C29" i="106"/>
  <c r="D29" i="106"/>
  <c r="G29" i="106"/>
  <c r="E29" i="106"/>
  <c r="H29" i="106"/>
  <c r="O270" i="82"/>
  <c r="O271" i="82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F28" i="106"/>
  <c r="B32" i="106"/>
  <c r="P7" i="114"/>
  <c r="N7" i="114"/>
  <c r="M7" i="114"/>
  <c r="L7" i="114"/>
  <c r="K7" i="114"/>
  <c r="H7" i="114"/>
  <c r="P6" i="114"/>
  <c r="N6" i="114"/>
  <c r="M6" i="114"/>
  <c r="L6" i="114"/>
  <c r="K6" i="114"/>
  <c r="H6" i="114"/>
  <c r="P5" i="114"/>
  <c r="N5" i="114"/>
  <c r="M5" i="114"/>
  <c r="L5" i="114"/>
  <c r="K5" i="114"/>
  <c r="H5" i="114"/>
  <c r="P4" i="114"/>
  <c r="N4" i="114"/>
  <c r="M4" i="114"/>
  <c r="L4" i="114"/>
  <c r="K4" i="114"/>
  <c r="H4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5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17" i="106"/>
  <c r="I17" i="106"/>
  <c r="J17" i="106"/>
  <c r="F18" i="106"/>
  <c r="I18" i="106"/>
  <c r="J18" i="106"/>
  <c r="F19" i="106"/>
  <c r="I19" i="106"/>
  <c r="J19" i="106"/>
  <c r="F20" i="106"/>
  <c r="I20" i="106"/>
  <c r="J20" i="106"/>
  <c r="F21" i="106"/>
  <c r="I21" i="106"/>
  <c r="J21" i="106"/>
  <c r="F22" i="106"/>
  <c r="I22" i="106"/>
  <c r="J22" i="106"/>
  <c r="F23" i="106"/>
  <c r="I23" i="106"/>
  <c r="J23" i="106"/>
  <c r="F24" i="106"/>
  <c r="I24" i="106"/>
  <c r="J24" i="106"/>
  <c r="F25" i="106"/>
  <c r="I25" i="106"/>
  <c r="J25" i="106"/>
  <c r="F26" i="106"/>
  <c r="I26" i="106"/>
  <c r="J26" i="106"/>
  <c r="B10" i="106"/>
  <c r="I29" i="106"/>
  <c r="J29" i="106"/>
  <c r="F29" i="106"/>
  <c r="I28" i="106"/>
  <c r="J28" i="106"/>
  <c r="I27" i="106"/>
  <c r="J27" i="106"/>
  <c r="F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E30" i="106"/>
  <c r="C30" i="106"/>
  <c r="D30" i="106"/>
  <c r="G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M13" i="106"/>
  <c r="R13" i="106"/>
  <c r="M14" i="106"/>
  <c r="R14" i="106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R3" i="106"/>
  <c r="R4" i="106"/>
  <c r="R5" i="106"/>
  <c r="R6" i="106"/>
  <c r="R7" i="106"/>
  <c r="R8" i="106"/>
  <c r="R9" i="106"/>
  <c r="R10" i="106"/>
  <c r="R11" i="106"/>
  <c r="R12" i="106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E31" i="106"/>
  <c r="C31" i="106"/>
  <c r="D31" i="106"/>
  <c r="G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F30" i="106"/>
  <c r="F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<sst xmlns="http://schemas.openxmlformats.org/spreadsheetml/2006/main" count="323" uniqueCount="222">
  <si>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</si>
  <si>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</si>
  <si>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</si>
  <si>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</si>
  <si>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</si>
  <si>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</si>
  <si>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</si>
  <si>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</si>
  <si>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</si>
  <si>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</si>
  <si>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</si>
  <si>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</si>
  <si>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</si>
  <si>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</si>
  <si>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</si>
  <si>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</si>
  <si>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</si>
  <si>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</si>
  <si>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</si>
  <si>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</si>
  <si>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</si>
  <si>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</si>
  <si>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</si>
  <si>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</si>
  <si>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</si>
  <si>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</si>
  <si>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</si>
  <si>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</si>
  <si>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</si>
  <si>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</si>
  <si>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</si>
  <si>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</si>
  <si>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</si>
  <si>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</si>
  <si>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</si>
  <si>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</si>
  <si>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</si>
  <si>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</si>
  <si>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</si>
  <si>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</si>
  <si>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</si>
  <si>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</si>
  <si>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</si>
  <si>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</si>
  <si>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</si>
  <si>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</si>
  <si>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</si>
  <si>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</si>
  <si>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</si>
  <si>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</si>
  <si>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</si>
  <si>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</si>
  <si>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</si>
  <si>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</si>
  <si>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</si>
  <si>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</si>
  <si>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</si>
  <si>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</si>
  <si>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</si>
  <si>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hogehoge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</si>
  <si>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</si>
  <si>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</si>
  <si>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</si>
  <si>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</si>
  <si>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</si>
  <si>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</si>
  <si>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</si>
  <si>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</si>
  <si>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</si>
  <si>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</si>
  <si>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</si>
  <si>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</si>
  <si>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</si>
  <si>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</si>
  <si>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</si>
  <si>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</si>
  <si>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</si>
  <si>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</si>
  <si>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</si>
  <si>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</si>
  <si>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</si>
  <si>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</si>
  <si>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</si>
  <si>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</si>
  <si>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</si>
  <si>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</si>
  <si>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</si>
  <si>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</si>
  <si>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</si>
  <si>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</si>
  <si>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</si>
  <si>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</si>
  <si>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</si>
  <si>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</si>
  <si>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</si>
  <si>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</si>
  <si>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</si>
  <si>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</si>
  <si>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</si>
  <si>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</si>
  <si>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</si>
  <si>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</si>
  <si>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</si>
  <si>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</si>
  <si>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</si>
  <si>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</si>
  <si>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</si>
  <si>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</si>
  <si>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</si>
  <si>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</si>
  <si>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</si>
  <si>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</si>
  <si>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</si>
  <si>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</si>
  <si>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</si>
  <si>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</si>
  <si>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</si>
  <si>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</si>
  <si>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</si>
  <si>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</si>
  <si>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</si>
  <si>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</si>
  <si>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</si>
  <si>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</si>
  <si>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</si>
  <si>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</si>
  <si>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</si>
  <si>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</si>
  <si>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</si>
  <si>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</si>
  <si>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</si>
  <si>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</si>
  <si>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</si>
  <si>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</si>
  <si>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</si>
  <si>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</si>
  <si>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</si>
  <si>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</si>
  <si>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</si>
  <si>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</si>
  <si>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</si>
  <si>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</si>
  <si>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</si>
  <si>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</si>
  <si>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</si>
  <si>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</si>
  <si>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</si>
  <si>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</si>
  <si>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</si>
  <si>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</si>
  <si>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</si>
  <si>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</si>
  <si>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</si>
  <si>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</si>
  <si>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</si>
  <si>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</si>
  <si>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</si>
  <si>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</si>
  <si>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</si>
  <si>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</si>
  <si>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</si>
  <si>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</si>
  <si>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</si>
  <si>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</si>
  <si>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</si>
  <si>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</si>
  <si>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</si>
  <si>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</si>
  <si>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</si>
  <si>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</si>
  <si>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</si>
  <si>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</si>
  <si>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</si>
  <si>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</si>
  <si>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</si>
  <si>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</si>
  <si>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</si>
  <si>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</si>
  <si>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</si>
  <si>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</si>
  <si>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</si>
  <si>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</si>
  <si>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</si>
  <si>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</si>
  <si>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</si>
  <si>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</si>
  <si>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</si>
  <si>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</si>
  <si>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</si>
  <si>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</si>
  <si>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</si>
  <si>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</si>
  <si>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</si>
  <si>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</si>
  <si>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</si>
  <si>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</si>
  <si>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</si>
  <si>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</si>
  <si>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</si>
  <si>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</si>
  <si>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</si>
  <si>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</si>
  <si>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</si>
  <si>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</si>
  <si>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</si>
  <si>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</si>
  <si>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</si>
  <si>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</si>
  <si>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</si>
  <si>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</si>
  <si>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</si>
  <si>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</si>
  <si>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</si>
  <si>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old</t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</si>
  <si>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</si>
  <si>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</si>
  <si>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</si>
  <si>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</si>
  <si>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</si>
  <si>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gacha_settle_tables_</t>
    <phoneticPr fontId="18"/>
  </si>
  <si>
    <t>tables_7100100</t>
    <phoneticPr fontId="18"/>
  </si>
  <si>
    <t>tables_settle_7100100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</si>
</sst>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80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7" fontId="0" fillId="4" borderId="1" xfId="0" applyNumberFormat="1" applyFont="1" applyFill="1" applyBorder="1"/>
    <xf numFmtId="0" fontId="0" fillId="0" borderId="1" xfId="0" applyFill="1" applyBorder="1"/>
    <xf numFmtId="0" fontId="0" fillId="0" borderId="16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0" fontId="0" fillId="0" borderId="0" xfId="0" applyFill="1" applyBorder="1"/>
    <xf numFmtId="0" fontId="4" fillId="0" borderId="1" xfId="3036" applyFont="1" applyBorder="1"/>
    <xf numFmtId="177" fontId="0" fillId="3" borderId="1" xfId="0" applyNumberFormat="1" applyFill="1" applyBorder="1"/>
    <xf numFmtId="0" fontId="3" fillId="0" borderId="1" xfId="2978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unknown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unknown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unknown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unknown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9" customWidth="1"/>
    <col min="2" max="16384" width="13" style="69"/>
  </cols>
  <sheetData>
    <row r="1" spans="1:13" x14ac:dyDescent="0.15">
      <c r="A1" s="69" t="s">
        <v>120</v>
      </c>
      <c r="B1" s="69" t="s">
        <v>121</v>
      </c>
    </row>
    <row r="2" spans="1:13" x14ac:dyDescent="0.15">
      <c r="A2" s="69" t="s">
        <v>122</v>
      </c>
      <c r="B2" s="69" t="s">
        <v>123</v>
      </c>
      <c r="C2" s="69" t="s">
        <v>124</v>
      </c>
      <c r="D2" s="69" t="s">
        <v>125</v>
      </c>
      <c r="E2" s="69" t="s">
        <v>126</v>
      </c>
      <c r="F2" s="69" t="s">
        <v>127</v>
      </c>
      <c r="G2" s="69" t="s">
        <v>128</v>
      </c>
      <c r="H2" s="69" t="s">
        <v>129</v>
      </c>
    </row>
    <row r="3" spans="1:13" x14ac:dyDescent="0.15">
      <c r="A3" s="69">
        <v>3</v>
      </c>
      <c r="B3" s="70" t="s">
        <v>130</v>
      </c>
      <c r="C3" s="70" t="s">
        <v>131</v>
      </c>
      <c r="D3" s="69">
        <v>0</v>
      </c>
      <c r="E3" s="70" t="s">
        <v>132</v>
      </c>
      <c r="F3" s="69">
        <v>0</v>
      </c>
      <c r="G3" s="69">
        <v>0</v>
      </c>
      <c r="H3" s="71">
        <v>0.5</v>
      </c>
    </row>
    <row r="4" spans="1:13" x14ac:dyDescent="0.15">
      <c r="A4" s="69">
        <v>4</v>
      </c>
      <c r="B4" s="70" t="s">
        <v>133</v>
      </c>
      <c r="C4" s="70" t="s">
        <v>134</v>
      </c>
      <c r="D4" s="70" t="s">
        <v>135</v>
      </c>
      <c r="E4" s="70" t="s">
        <v>136</v>
      </c>
      <c r="F4" s="70" t="s">
        <v>137</v>
      </c>
      <c r="G4" s="69">
        <v>0</v>
      </c>
      <c r="H4" s="71">
        <v>0.45</v>
      </c>
    </row>
    <row r="5" spans="1:13" x14ac:dyDescent="0.15">
      <c r="A5" s="69">
        <v>5</v>
      </c>
      <c r="B5" s="72">
        <v>0</v>
      </c>
      <c r="C5" s="70" t="s">
        <v>138</v>
      </c>
      <c r="D5" s="70" t="s">
        <v>139</v>
      </c>
      <c r="E5" s="70" t="s">
        <v>140</v>
      </c>
      <c r="F5" s="70" t="s">
        <v>141</v>
      </c>
      <c r="G5" s="70" t="s">
        <v>142</v>
      </c>
      <c r="H5" s="71">
        <v>0.05</v>
      </c>
    </row>
    <row r="6" spans="1:13" x14ac:dyDescent="0.15">
      <c r="B6" s="71" t="s">
        <v>143</v>
      </c>
      <c r="C6" s="71" t="s">
        <v>143</v>
      </c>
      <c r="D6" s="71" t="s">
        <v>144</v>
      </c>
      <c r="E6" s="71" t="s">
        <v>143</v>
      </c>
      <c r="F6" s="71" t="s">
        <v>143</v>
      </c>
      <c r="G6" s="73" t="s">
        <v>145</v>
      </c>
      <c r="H6" s="71">
        <v>1</v>
      </c>
    </row>
    <row r="7" spans="1:13" x14ac:dyDescent="0.15">
      <c r="B7" s="71"/>
      <c r="C7" s="71"/>
      <c r="D7" s="71"/>
      <c r="E7" s="71"/>
      <c r="F7" s="71"/>
      <c r="G7" s="73"/>
      <c r="H7" s="71"/>
    </row>
    <row r="8" spans="1:13" x14ac:dyDescent="0.15">
      <c r="A8" s="69" t="s">
        <v>146</v>
      </c>
      <c r="B8" s="71"/>
      <c r="C8" s="71"/>
      <c r="D8" s="71"/>
      <c r="E8" s="71"/>
      <c r="F8" s="71"/>
      <c r="G8" s="73"/>
      <c r="H8" s="71"/>
    </row>
    <row r="9" spans="1:13" x14ac:dyDescent="0.15">
      <c r="A9" s="69" t="s">
        <v>147</v>
      </c>
      <c r="B9" s="71"/>
      <c r="C9" s="71"/>
      <c r="D9" s="71"/>
      <c r="E9" s="71"/>
      <c r="F9" s="71"/>
      <c r="G9" s="73"/>
      <c r="H9" s="71"/>
    </row>
    <row r="10" spans="1:13" x14ac:dyDescent="0.15">
      <c r="A10" s="69" t="s">
        <v>148</v>
      </c>
      <c r="B10" s="71"/>
      <c r="C10" s="71"/>
      <c r="D10" s="71"/>
      <c r="E10" s="71"/>
      <c r="F10" s="71"/>
      <c r="G10" s="73"/>
      <c r="H10" s="71"/>
    </row>
    <row r="11" spans="1:13" x14ac:dyDescent="0.15">
      <c r="A11" s="69" t="s">
        <v>149</v>
      </c>
      <c r="B11" s="71"/>
      <c r="C11" s="71"/>
      <c r="D11" s="71"/>
      <c r="E11" s="71"/>
      <c r="F11" s="71"/>
      <c r="G11" s="73"/>
      <c r="H11" s="71"/>
    </row>
    <row r="12" spans="1:13" x14ac:dyDescent="0.15">
      <c r="A12" s="69" t="s">
        <v>142</v>
      </c>
      <c r="B12" s="71" t="s">
        <v>150</v>
      </c>
      <c r="C12" s="71" t="s">
        <v>151</v>
      </c>
      <c r="D12" s="71"/>
      <c r="E12" s="71"/>
      <c r="F12" s="71"/>
      <c r="G12" s="73"/>
      <c r="H12" s="71"/>
    </row>
    <row r="13" spans="1:13" x14ac:dyDescent="0.15">
      <c r="A13" s="69" t="s">
        <v>152</v>
      </c>
      <c r="B13" s="69" t="s">
        <v>153</v>
      </c>
      <c r="C13" s="69" t="s">
        <v>154</v>
      </c>
    </row>
    <row r="14" spans="1:13" x14ac:dyDescent="0.15">
      <c r="A14" s="69" t="s">
        <v>155</v>
      </c>
      <c r="B14" s="69" t="s">
        <v>150</v>
      </c>
      <c r="C14" s="72" t="s">
        <v>156</v>
      </c>
      <c r="E14" s="72"/>
      <c r="F14" s="72"/>
      <c r="M14" s="71"/>
    </row>
    <row r="15" spans="1:13" x14ac:dyDescent="0.15">
      <c r="A15" s="69" t="s">
        <v>132</v>
      </c>
      <c r="B15" s="71" t="s">
        <v>150</v>
      </c>
      <c r="C15" s="71" t="s">
        <v>157</v>
      </c>
      <c r="H15" s="74"/>
      <c r="M15" s="71"/>
    </row>
    <row r="16" spans="1:13" x14ac:dyDescent="0.15">
      <c r="A16" s="69" t="s">
        <v>136</v>
      </c>
      <c r="B16" s="71" t="s">
        <v>150</v>
      </c>
      <c r="C16" s="71" t="s">
        <v>158</v>
      </c>
      <c r="M16" s="71"/>
    </row>
    <row r="17" spans="1:13" x14ac:dyDescent="0.15">
      <c r="A17" s="69" t="s">
        <v>159</v>
      </c>
      <c r="B17" s="71" t="s">
        <v>150</v>
      </c>
      <c r="C17" s="71" t="s">
        <v>160</v>
      </c>
      <c r="M17" s="71"/>
    </row>
    <row r="18" spans="1:13" x14ac:dyDescent="0.15">
      <c r="B18" s="71"/>
      <c r="C18" s="71"/>
    </row>
    <row r="19" spans="1:13" x14ac:dyDescent="0.15">
      <c r="A19" s="69" t="s">
        <v>161</v>
      </c>
    </row>
    <row r="20" spans="1:13" x14ac:dyDescent="0.15">
      <c r="A20" s="69" t="s">
        <v>162</v>
      </c>
      <c r="B20" s="71"/>
      <c r="C20" s="71"/>
    </row>
    <row r="21" spans="1:13" x14ac:dyDescent="0.15">
      <c r="A21" s="69" t="s">
        <v>163</v>
      </c>
      <c r="B21" s="71" t="s">
        <v>164</v>
      </c>
      <c r="C21" s="71" t="s">
        <v>165</v>
      </c>
      <c r="D21" s="69" t="s">
        <v>166</v>
      </c>
    </row>
    <row r="22" spans="1:13" x14ac:dyDescent="0.15">
      <c r="A22" s="69" t="s">
        <v>167</v>
      </c>
      <c r="B22" s="71" t="s">
        <v>150</v>
      </c>
      <c r="C22" s="71" t="s">
        <v>168</v>
      </c>
      <c r="D22" s="69" t="s">
        <v>169</v>
      </c>
    </row>
    <row r="23" spans="1:13" x14ac:dyDescent="0.15">
      <c r="A23" s="69" t="s">
        <v>170</v>
      </c>
      <c r="B23" s="71" t="s">
        <v>150</v>
      </c>
      <c r="C23" s="69" t="s">
        <v>171</v>
      </c>
      <c r="D23" s="69" t="s">
        <v>172</v>
      </c>
    </row>
    <row r="24" spans="1:13" x14ac:dyDescent="0.15">
      <c r="A24" s="69" t="s">
        <v>173</v>
      </c>
      <c r="B24" s="71" t="s">
        <v>150</v>
      </c>
      <c r="C24" s="71" t="s">
        <v>174</v>
      </c>
      <c r="D24" s="69" t="s">
        <v>175</v>
      </c>
    </row>
    <row r="25" spans="1:13" x14ac:dyDescent="0.15">
      <c r="A25" s="69" t="s">
        <v>176</v>
      </c>
      <c r="B25" s="71" t="s">
        <v>150</v>
      </c>
      <c r="C25" s="71" t="s">
        <v>177</v>
      </c>
      <c r="D25" s="69" t="s">
        <v>178</v>
      </c>
    </row>
    <row r="26" spans="1:13" x14ac:dyDescent="0.15">
      <c r="A26" s="69" t="s">
        <v>179</v>
      </c>
      <c r="B26" s="71" t="s">
        <v>150</v>
      </c>
      <c r="C26" s="71" t="s">
        <v>180</v>
      </c>
      <c r="D26" s="69" t="s">
        <v>181</v>
      </c>
    </row>
    <row r="27" spans="1:13" x14ac:dyDescent="0.15">
      <c r="A27" s="69" t="s">
        <v>182</v>
      </c>
      <c r="B27" s="71" t="s">
        <v>150</v>
      </c>
      <c r="C27" s="71" t="s">
        <v>144</v>
      </c>
      <c r="D27" s="69" t="s">
        <v>183</v>
      </c>
      <c r="E27" s="69" t="s">
        <v>184</v>
      </c>
    </row>
    <row r="28" spans="1:13" x14ac:dyDescent="0.15">
      <c r="A28" s="69" t="s">
        <v>131</v>
      </c>
      <c r="B28" s="71" t="s">
        <v>150</v>
      </c>
      <c r="C28" s="71" t="s">
        <v>185</v>
      </c>
      <c r="E28" s="69" t="s">
        <v>186</v>
      </c>
    </row>
    <row r="29" spans="1:13" x14ac:dyDescent="0.15">
      <c r="A29" s="69" t="s">
        <v>134</v>
      </c>
      <c r="B29" s="71" t="s">
        <v>150</v>
      </c>
      <c r="C29" s="71" t="s">
        <v>187</v>
      </c>
    </row>
    <row r="30" spans="1:13" x14ac:dyDescent="0.15">
      <c r="B30" s="71"/>
    </row>
    <row r="31" spans="1:13" x14ac:dyDescent="0.15">
      <c r="A31" s="69" t="s">
        <v>188</v>
      </c>
    </row>
    <row r="32" spans="1:13" x14ac:dyDescent="0.15">
      <c r="A32" s="69" t="s">
        <v>189</v>
      </c>
      <c r="B32" s="71" t="s">
        <v>150</v>
      </c>
      <c r="C32" s="71" t="s">
        <v>190</v>
      </c>
    </row>
    <row r="33" spans="1:3" x14ac:dyDescent="0.15">
      <c r="A33" s="69" t="s">
        <v>134</v>
      </c>
      <c r="B33" s="71" t="s">
        <v>150</v>
      </c>
      <c r="C33" s="71" t="s">
        <v>191</v>
      </c>
    </row>
    <row r="34" spans="1:3" x14ac:dyDescent="0.15">
      <c r="A34" s="69" t="s">
        <v>131</v>
      </c>
      <c r="B34" s="71" t="s">
        <v>150</v>
      </c>
      <c r="C34" s="71" t="s">
        <v>192</v>
      </c>
    </row>
    <row r="35" spans="1:3" x14ac:dyDescent="0.15">
      <c r="A35" s="69" t="s">
        <v>130</v>
      </c>
      <c r="B35" s="71" t="s">
        <v>150</v>
      </c>
      <c r="C35" s="71" t="s">
        <v>193</v>
      </c>
    </row>
    <row r="36" spans="1:3" x14ac:dyDescent="0.15">
      <c r="A36" s="69" t="s">
        <v>133</v>
      </c>
      <c r="B36" s="71" t="s">
        <v>150</v>
      </c>
      <c r="C36" s="71" t="s">
        <v>194</v>
      </c>
    </row>
    <row r="37" spans="1:3" x14ac:dyDescent="0.15">
      <c r="A37" s="69" t="s">
        <v>139</v>
      </c>
      <c r="B37" s="71" t="s">
        <v>150</v>
      </c>
      <c r="C37" s="71" t="s">
        <v>195</v>
      </c>
    </row>
    <row r="38" spans="1:3" x14ac:dyDescent="0.15">
      <c r="A38" s="69" t="s">
        <v>135</v>
      </c>
      <c r="B38" s="71" t="s">
        <v>150</v>
      </c>
      <c r="C38" s="71" t="s">
        <v>196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25" sqref="F2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76" t="s">
        <v>213</v>
      </c>
      <c r="B2" s="66" t="s">
        <v>119</v>
      </c>
      <c r="C2" s="53" t="str">
        <f>RIGHT(F2,7)</f>
        <v>7100100</v>
      </c>
      <c r="D2" s="19" t="s">
        <v>46</v>
      </c>
      <c r="E2" s="17" t="str">
        <f t="shared" ref="E2:E6" si="0">B2&amp;C2&amp;D2</f>
        <v>gacha_select_tables_7100100.tmp</v>
      </c>
      <c r="F2" s="79" t="s">
        <v>220</v>
      </c>
      <c r="G2" s="52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6" t="s">
        <v>213</v>
      </c>
      <c r="B3" s="78" t="s">
        <v>219</v>
      </c>
      <c r="C3" s="53" t="str">
        <f>RIGHT(F3,7)</f>
        <v>7100100</v>
      </c>
      <c r="D3" s="19" t="s">
        <v>46</v>
      </c>
      <c r="E3" s="17" t="str">
        <f t="shared" si="0"/>
        <v>gacha_settle_tables_7100100.tmp</v>
      </c>
      <c r="F3" s="79" t="s">
        <v>221</v>
      </c>
      <c r="G3" s="52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32" t="s">
        <v>54</v>
      </c>
      <c r="B4" s="27" t="s">
        <v>51</v>
      </c>
      <c r="C4" s="33" t="s">
        <v>59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32" t="s">
        <v>54</v>
      </c>
      <c r="B5" s="19" t="s">
        <v>49</v>
      </c>
      <c r="C5" s="33" t="s">
        <v>59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4" t="s">
        <v>7</v>
      </c>
      <c r="P5" s="54" t="s">
        <v>9</v>
      </c>
      <c r="Q5" s="54" t="s">
        <v>6</v>
      </c>
      <c r="R5" s="54" t="s">
        <v>90</v>
      </c>
      <c r="S5" s="54" t="s">
        <v>8</v>
      </c>
      <c r="T5" s="54" t="s">
        <v>91</v>
      </c>
      <c r="U5" s="54" t="s">
        <v>5</v>
      </c>
    </row>
    <row r="6" spans="1:21" x14ac:dyDescent="0.15">
      <c r="A6" s="32" t="s">
        <v>54</v>
      </c>
      <c r="B6" s="19" t="s">
        <v>50</v>
      </c>
      <c r="C6" s="33" t="s">
        <v>59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8"/>
  <sheetViews>
    <sheetView workbookViewId="0">
      <selection activeCell="A3" sqref="A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RIGHT(RIGHT(CELL("filename",A2),LEN(CELL("filename",A2))-FIND("]",CELL("filename",A2))),7)</f>
        <v>7100100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8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VLOOKUP(L3,tables_7100100!B:C,2,FALSE)</f>
        <v>#N/A</v>
      </c>
      <c r="R3" s="67">
        <f t="shared" ref="R3:R14" si="0">N3*A$36</f>
        <v>12580</v>
      </c>
    </row>
    <row r="4" spans="1:18" x14ac:dyDescent="0.15">
      <c r="A4" s="36" t="s">
        <v>55</v>
      </c>
      <c r="B4" s="36"/>
      <c r="D4" t="s">
        <v>209</v>
      </c>
      <c r="F4" t="s">
        <v>212</v>
      </c>
      <c r="L4" s="6"/>
      <c r="M4" s="39" t="e">
        <f>VLOOKUP(L4,[1]characters!$A:$C,3,FALSE)</f>
        <v>#N/A</v>
      </c>
      <c r="N4" s="68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VLOOKUP(L4,tables_7100100!B:C,2,FALSE)</f>
        <v>#N/A</v>
      </c>
      <c r="R4" s="67">
        <f t="shared" si="0"/>
        <v>25160</v>
      </c>
    </row>
    <row r="5" spans="1:18" x14ac:dyDescent="0.15">
      <c r="A5" s="34" t="s">
        <v>71</v>
      </c>
      <c r="B5" s="35">
        <f>1-B6-B7</f>
        <v>0.5</v>
      </c>
      <c r="D5" t="s">
        <v>210</v>
      </c>
      <c r="E5">
        <f>B11/(COUNTIF(tables_7100100!C:C,input_7100100!A26)+COUNTIF(tables_7100100!C:C,input_7100100!A28)+COUNTIF(tables_7100100!C:C,input_7100100!A29))</f>
        <v>8.8235294117647051E-4</v>
      </c>
      <c r="F5">
        <f>(COUNTIF(tables_7100100!C:C,input_7100100!A26)+COUNTIF(tables_7100100!C:C,input_7100100!A28)+COUNTIF(tables_7100100!C:C,input_7100100!A29))</f>
        <v>34</v>
      </c>
      <c r="L5" s="6"/>
      <c r="M5" s="39" t="e">
        <f>VLOOKUP(L5,[1]characters!$A:$C,3,FALSE)</f>
        <v>#N/A</v>
      </c>
      <c r="N5" s="68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VLOOKUP(L5,tables_7100100!B:C,2,FALSE)</f>
        <v>#N/A</v>
      </c>
      <c r="R5" s="67">
        <f t="shared" si="0"/>
        <v>25160</v>
      </c>
    </row>
    <row r="6" spans="1:18" x14ac:dyDescent="0.15">
      <c r="A6" s="34" t="s">
        <v>72</v>
      </c>
      <c r="B6" s="35">
        <v>0.45</v>
      </c>
      <c r="D6" t="s">
        <v>211</v>
      </c>
      <c r="E6">
        <f>B10/(COUNTIF(tables_7100100!C:C,input_7100100!A18)+COUNTIF(tables_7100100!C:C,input_7100100!A20)+COUNTIF(tables_7100100!C:C,input_7100100!A22))</f>
        <v>1.3108108108108108E-2</v>
      </c>
      <c r="F6">
        <f>(COUNTIF(tables_7100100!C:C,input_7100100!A18)+COUNTIF(tables_7100100!C:C,input_7100100!A20)+COUNTIF(tables_7100100!C:C,input_7100100!A22))</f>
        <v>74</v>
      </c>
      <c r="L6" s="34"/>
      <c r="M6" s="39" t="e">
        <f>VLOOKUP(L6,[1]characters!$A:$C,3,FALSE)</f>
        <v>#N/A</v>
      </c>
      <c r="N6" s="68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VLOOKUP(L6,tables_7100100!B:C,2,FALSE)</f>
        <v>#N/A</v>
      </c>
      <c r="R6" s="67">
        <f t="shared" si="0"/>
        <v>12580</v>
      </c>
    </row>
    <row r="7" spans="1:18" x14ac:dyDescent="0.15">
      <c r="A7" s="34" t="s">
        <v>73</v>
      </c>
      <c r="B7" s="35">
        <v>0.05</v>
      </c>
      <c r="L7" s="34"/>
      <c r="M7" s="39" t="e">
        <f>VLOOKUP(L7,[1]characters!$A:$C,3,FALSE)</f>
        <v>#N/A</v>
      </c>
      <c r="N7" s="68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VLOOKUP(L7,tables_7100100!B:C,2,FALSE)</f>
        <v>#N/A</v>
      </c>
      <c r="R7" s="67">
        <f t="shared" si="0"/>
        <v>25160</v>
      </c>
    </row>
    <row r="8" spans="1:18" x14ac:dyDescent="0.15">
      <c r="L8" s="34"/>
      <c r="M8" s="39" t="e">
        <f>VLOOKUP(L8,[1]characters!$A:$C,3,FALSE)</f>
        <v>#N/A</v>
      </c>
      <c r="N8" s="68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VLOOKUP(L8,tables_7100100!B:C,2,FALSE)</f>
        <v>#N/A</v>
      </c>
      <c r="R8" s="67">
        <f t="shared" si="0"/>
        <v>25160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8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VLOOKUP(L9,tables_7100100!B:C,2,FALSE)</f>
        <v>#N/A</v>
      </c>
      <c r="R9" s="67">
        <f t="shared" si="0"/>
        <v>12580</v>
      </c>
    </row>
    <row r="10" spans="1:18" x14ac:dyDescent="0.15">
      <c r="A10" s="34" t="s">
        <v>101</v>
      </c>
      <c r="B10" s="35">
        <f>1-B11-B12</f>
        <v>0.97</v>
      </c>
      <c r="L10" s="34"/>
      <c r="M10" s="39" t="e">
        <f>VLOOKUP(L10,[1]characters!$A:$C,3,FALSE)</f>
        <v>#N/A</v>
      </c>
      <c r="N10" s="68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VLOOKUP(L10,tables_7100100!B:C,2,FALSE)</f>
        <v>#N/A</v>
      </c>
      <c r="R10" s="67">
        <f t="shared" si="0"/>
        <v>25160</v>
      </c>
    </row>
    <row r="11" spans="1:18" x14ac:dyDescent="0.15">
      <c r="A11" s="34" t="s">
        <v>58</v>
      </c>
      <c r="B11" s="35">
        <v>0.03</v>
      </c>
      <c r="L11" s="34"/>
      <c r="M11" s="39" t="e">
        <f>VLOOKUP(L11,[1]characters!$A:$C,3,FALSE)</f>
        <v>#N/A</v>
      </c>
      <c r="N11" s="68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VLOOKUP(L11,tables_7100100!B:C,2,FALSE)</f>
        <v>#N/A</v>
      </c>
      <c r="R11" s="67">
        <f t="shared" si="0"/>
        <v>25160</v>
      </c>
    </row>
    <row r="12" spans="1:18" x14ac:dyDescent="0.15">
      <c r="A12" s="34" t="s">
        <v>57</v>
      </c>
      <c r="B12" s="35">
        <v>0</v>
      </c>
      <c r="L12" s="34"/>
      <c r="M12" s="39" t="e">
        <f>VLOOKUP(L12,[1]characters!$A:$C,3,FALSE)</f>
        <v>#N/A</v>
      </c>
      <c r="N12" s="68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VLOOKUP(L12,tables_7100100!B:C,2,FALSE)</f>
        <v>#N/A</v>
      </c>
      <c r="R12" s="67">
        <f t="shared" si="0"/>
        <v>12580</v>
      </c>
    </row>
    <row r="13" spans="1:18" x14ac:dyDescent="0.15">
      <c r="L13" s="34"/>
      <c r="M13" s="39" t="e">
        <f>VLOOKUP(L13,[1]characters!$A:$C,3,FALSE)</f>
        <v>#N/A</v>
      </c>
      <c r="N13" s="68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VLOOKUP(L13,tables_7100100!B:C,2,FALSE)</f>
        <v>#N/A</v>
      </c>
      <c r="R13" s="67">
        <f t="shared" si="0"/>
        <v>25160</v>
      </c>
    </row>
    <row r="14" spans="1:18" x14ac:dyDescent="0.15">
      <c r="L14" s="34"/>
      <c r="M14" s="39" t="e">
        <f>VLOOKUP(L14,[1]characters!$A:$C,3,FALSE)</f>
        <v>#N/A</v>
      </c>
      <c r="N14" s="68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VLOOKUP(L14,tables_7100100!B:C,2,FALSE)</f>
        <v>#N/A</v>
      </c>
      <c r="R14" s="67">
        <f t="shared" si="0"/>
        <v>25160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L16" s="61"/>
      <c r="M16" s="61"/>
      <c r="N16" s="61"/>
      <c r="O16" s="61"/>
      <c r="P16" s="61"/>
      <c r="Q16" s="61"/>
      <c r="R16" s="62"/>
    </row>
    <row r="17" spans="1:18" x14ac:dyDescent="0.15">
      <c r="A17" s="34" t="s">
        <v>199</v>
      </c>
      <c r="B17" s="59">
        <f>B5-B19-B24</f>
        <v>0.15742448330683623</v>
      </c>
      <c r="C17" s="50">
        <f t="shared" ref="C17:C31" si="1">SUMIF(Q:Q,A17,N:N)</f>
        <v>0</v>
      </c>
      <c r="D17" s="77">
        <f t="shared" ref="D17:D26" si="2">B17-C17</f>
        <v>0.15742448330683623</v>
      </c>
      <c r="E17">
        <f>COUNTIF(tables_7100100!C:C,input_7100100!A17)-COUNTIF(Q:Q,A17)</f>
        <v>20</v>
      </c>
      <c r="F17" s="45">
        <f t="shared" ref="F17:F26" si="3">IFERROR(D17/E17,0)</f>
        <v>7.871224165341811E-3</v>
      </c>
      <c r="G17">
        <f t="shared" ref="G17:G31" si="4">A$36*D17</f>
        <v>396079.99999999994</v>
      </c>
      <c r="H17">
        <f t="shared" ref="H17:H26" si="5">IFERROR(ROUND(G17/E17,5),0)</f>
        <v>19804</v>
      </c>
      <c r="I17">
        <f t="shared" ref="I17:I26" si="6">MOD(H17,1)</f>
        <v>0</v>
      </c>
      <c r="J17">
        <f t="shared" ref="J17:J26" si="7">IFERROR(1/I17,1)</f>
        <v>1</v>
      </c>
      <c r="L17" s="61"/>
      <c r="M17" s="61"/>
      <c r="N17" s="61"/>
      <c r="O17" s="61"/>
      <c r="P17" s="61"/>
      <c r="Q17" s="61"/>
      <c r="R17" s="75"/>
    </row>
    <row r="18" spans="1:18" x14ac:dyDescent="0.15">
      <c r="A18" s="34" t="s">
        <v>200</v>
      </c>
      <c r="B18" s="59">
        <f>E6*COUNTIF(tables_7100100!C:C,input_7100100!A18)-B17</f>
        <v>0.10473767885532592</v>
      </c>
      <c r="C18" s="50">
        <f t="shared" si="1"/>
        <v>0</v>
      </c>
      <c r="D18" s="77">
        <f t="shared" si="2"/>
        <v>0.10473767885532592</v>
      </c>
      <c r="E18">
        <f>COUNTIF(tables_7100100!C:C,input_7100100!A18)-COUNTIF(Q:Q,A18)</f>
        <v>20</v>
      </c>
      <c r="F18" s="45">
        <f t="shared" si="3"/>
        <v>5.2368839427662959E-3</v>
      </c>
      <c r="G18">
        <f t="shared" si="4"/>
        <v>263520</v>
      </c>
      <c r="H18">
        <f t="shared" si="5"/>
        <v>13176</v>
      </c>
      <c r="I18">
        <f t="shared" si="6"/>
        <v>0</v>
      </c>
      <c r="J18">
        <f t="shared" si="7"/>
        <v>1</v>
      </c>
      <c r="L18" s="61"/>
      <c r="M18" s="61"/>
      <c r="N18" s="61"/>
      <c r="O18" s="61"/>
      <c r="P18" s="61"/>
      <c r="Q18" s="61"/>
      <c r="R18" s="75"/>
    </row>
    <row r="19" spans="1:18" x14ac:dyDescent="0.15">
      <c r="A19" s="34" t="s">
        <v>102</v>
      </c>
      <c r="B19" s="59">
        <f>E$6*COUNTIF(tables_7100100!C:C,input_7100100!A19)*B5</f>
        <v>0.34081081081081083</v>
      </c>
      <c r="C19" s="50">
        <f t="shared" si="1"/>
        <v>0</v>
      </c>
      <c r="D19" s="77">
        <f t="shared" si="2"/>
        <v>0.34081081081081083</v>
      </c>
      <c r="E19">
        <f>COUNTIF(tables_7100100!C:C,input_7100100!A19)-COUNTIF(Q:Q,A19)</f>
        <v>52</v>
      </c>
      <c r="F19" s="45">
        <f t="shared" si="3"/>
        <v>6.5540540540540548E-3</v>
      </c>
      <c r="G19">
        <f t="shared" si="4"/>
        <v>857480</v>
      </c>
      <c r="H19">
        <f t="shared" si="5"/>
        <v>16490</v>
      </c>
      <c r="I19">
        <f t="shared" si="6"/>
        <v>0</v>
      </c>
      <c r="J19">
        <f t="shared" si="7"/>
        <v>1</v>
      </c>
      <c r="L19" s="61"/>
      <c r="M19" s="61"/>
      <c r="N19" s="63"/>
      <c r="O19" s="61"/>
      <c r="P19" s="61"/>
      <c r="Q19" s="61"/>
      <c r="R19" s="64"/>
    </row>
    <row r="20" spans="1:18" x14ac:dyDescent="0.15">
      <c r="A20" s="34" t="s">
        <v>103</v>
      </c>
      <c r="B20" s="59">
        <f>E$6*COUNTIF(tables_7100100!C:C,input_7100100!A20)*B6</f>
        <v>0.30672972972972973</v>
      </c>
      <c r="C20" s="50">
        <f t="shared" si="1"/>
        <v>0</v>
      </c>
      <c r="D20" s="77">
        <f t="shared" si="2"/>
        <v>0.30672972972972973</v>
      </c>
      <c r="E20">
        <f>COUNTIF(tables_7100100!C:C,input_7100100!A20)-COUNTIF(Q:Q,A20)</f>
        <v>52</v>
      </c>
      <c r="F20" s="45">
        <f t="shared" si="3"/>
        <v>5.8986486486486489E-3</v>
      </c>
      <c r="G20">
        <f t="shared" si="4"/>
        <v>771732</v>
      </c>
      <c r="H20">
        <f t="shared" si="5"/>
        <v>14841</v>
      </c>
      <c r="I20">
        <f t="shared" si="6"/>
        <v>0</v>
      </c>
      <c r="J20">
        <f t="shared" si="7"/>
        <v>1</v>
      </c>
      <c r="L20" s="61"/>
      <c r="M20" s="61"/>
      <c r="N20" s="63"/>
      <c r="O20" s="61"/>
      <c r="P20" s="61"/>
      <c r="Q20" s="61"/>
      <c r="R20" s="64"/>
    </row>
    <row r="21" spans="1:18" x14ac:dyDescent="0.15">
      <c r="A21" s="34" t="s">
        <v>104</v>
      </c>
      <c r="B21" s="59">
        <f>E$6*COUNTIF(tables_7100100!C:C,input_7100100!A21)*B7</f>
        <v>3.4081081081081085E-2</v>
      </c>
      <c r="C21" s="50">
        <f t="shared" si="1"/>
        <v>0</v>
      </c>
      <c r="D21" s="77">
        <f t="shared" si="2"/>
        <v>3.4081081081081085E-2</v>
      </c>
      <c r="E21">
        <f>COUNTIF(tables_7100100!C:C,input_7100100!A21)-COUNTIF(Q:Q,A21)</f>
        <v>52</v>
      </c>
      <c r="F21" s="45">
        <f t="shared" si="3"/>
        <v>6.554054054054055E-4</v>
      </c>
      <c r="G21">
        <f t="shared" si="4"/>
        <v>85748.000000000015</v>
      </c>
      <c r="H21">
        <f t="shared" si="5"/>
        <v>1649</v>
      </c>
      <c r="I21">
        <f t="shared" si="6"/>
        <v>0</v>
      </c>
      <c r="J21">
        <f t="shared" si="7"/>
        <v>1</v>
      </c>
      <c r="L21" s="61"/>
      <c r="M21" s="61"/>
      <c r="N21" s="63"/>
      <c r="O21" s="61"/>
      <c r="P21" s="61"/>
      <c r="Q21" s="61"/>
      <c r="R21" s="64"/>
    </row>
    <row r="22" spans="1:18" x14ac:dyDescent="0.15">
      <c r="A22" s="34" t="s">
        <v>205</v>
      </c>
      <c r="B22" s="60">
        <f>E6*COUNTIF(tables_7100100!C:C,input_7100100!A22)-B23</f>
        <v>1.3473767885532586E-2</v>
      </c>
      <c r="C22" s="50">
        <f t="shared" si="1"/>
        <v>0</v>
      </c>
      <c r="D22" s="77">
        <f t="shared" si="2"/>
        <v>1.3473767885532586E-2</v>
      </c>
      <c r="E22">
        <f>COUNTIF(tables_7100100!C:C,input_7100100!A22)-COUNTIF(Q:Q,A22)</f>
        <v>2</v>
      </c>
      <c r="F22" s="45">
        <f t="shared" si="3"/>
        <v>6.7368839427662929E-3</v>
      </c>
      <c r="G22">
        <f t="shared" si="4"/>
        <v>33899.999999999985</v>
      </c>
      <c r="H22">
        <f t="shared" si="5"/>
        <v>16950</v>
      </c>
      <c r="I22">
        <f t="shared" si="6"/>
        <v>0</v>
      </c>
      <c r="J22">
        <f t="shared" si="7"/>
        <v>1</v>
      </c>
      <c r="L22" s="61"/>
      <c r="M22" s="61"/>
      <c r="N22" s="63"/>
      <c r="O22" s="61"/>
      <c r="P22" s="61"/>
      <c r="Q22" s="61"/>
      <c r="R22" s="64"/>
    </row>
    <row r="23" spans="1:18" x14ac:dyDescent="0.15">
      <c r="A23" s="34" t="s">
        <v>206</v>
      </c>
      <c r="B23" s="60">
        <f>B7-B26-B28-B29-B21</f>
        <v>1.274244833068363E-2</v>
      </c>
      <c r="C23" s="50">
        <f t="shared" si="1"/>
        <v>0</v>
      </c>
      <c r="D23" s="77">
        <f t="shared" si="2"/>
        <v>1.274244833068363E-2</v>
      </c>
      <c r="E23">
        <f>COUNTIF(tables_7100100!C:C,input_7100100!A23)-COUNTIF(Q:Q,A23)</f>
        <v>2</v>
      </c>
      <c r="F23" s="45">
        <f t="shared" si="3"/>
        <v>6.3712241653418149E-3</v>
      </c>
      <c r="G23">
        <f t="shared" si="4"/>
        <v>32060.000000000011</v>
      </c>
      <c r="H23">
        <f t="shared" si="5"/>
        <v>16030</v>
      </c>
      <c r="I23">
        <f t="shared" si="6"/>
        <v>0</v>
      </c>
      <c r="J23">
        <f t="shared" si="7"/>
        <v>1</v>
      </c>
      <c r="L23" s="61"/>
      <c r="M23" s="61"/>
      <c r="N23" s="63"/>
      <c r="O23" s="61"/>
      <c r="P23" s="61"/>
      <c r="Q23" s="61"/>
      <c r="R23" s="64"/>
    </row>
    <row r="24" spans="1:18" x14ac:dyDescent="0.15">
      <c r="A24" s="34" t="s">
        <v>202</v>
      </c>
      <c r="B24" s="59">
        <f>E$5*COUNTIF(tables_7100100!C:C,input_7100100!A24)*B5</f>
        <v>1.764705882352941E-3</v>
      </c>
      <c r="C24" s="50">
        <f t="shared" si="1"/>
        <v>0</v>
      </c>
      <c r="D24" s="77">
        <f t="shared" si="2"/>
        <v>1.764705882352941E-3</v>
      </c>
      <c r="E24">
        <f>COUNTIF(tables_7100100!C:C,input_7100100!A24)-COUNTIF(Q:Q,A24)</f>
        <v>4</v>
      </c>
      <c r="F24" s="45">
        <f t="shared" si="3"/>
        <v>4.4117647058823526E-4</v>
      </c>
      <c r="G24">
        <f t="shared" si="4"/>
        <v>4440</v>
      </c>
      <c r="H24">
        <f t="shared" si="5"/>
        <v>1110</v>
      </c>
      <c r="I24">
        <f t="shared" si="6"/>
        <v>0</v>
      </c>
      <c r="J24">
        <f t="shared" si="7"/>
        <v>1</v>
      </c>
      <c r="L24" s="61"/>
      <c r="M24" s="61"/>
      <c r="N24" s="63"/>
      <c r="O24" s="61"/>
      <c r="P24" s="61"/>
      <c r="Q24" s="61"/>
      <c r="R24" s="64"/>
    </row>
    <row r="25" spans="1:18" x14ac:dyDescent="0.15">
      <c r="A25" s="34" t="s">
        <v>203</v>
      </c>
      <c r="B25" s="59">
        <f>E$5*COUNTIF(tables_7100100!C:C,input_7100100!A25)*B6</f>
        <v>1.588235294117647E-3</v>
      </c>
      <c r="C25" s="50">
        <f t="shared" si="1"/>
        <v>0</v>
      </c>
      <c r="D25" s="77">
        <f t="shared" si="2"/>
        <v>1.588235294117647E-3</v>
      </c>
      <c r="E25">
        <f>COUNTIF(tables_7100100!C:C,input_7100100!A25)-COUNTIF(Q:Q,A25)</f>
        <v>4</v>
      </c>
      <c r="F25" s="45">
        <f t="shared" si="3"/>
        <v>3.9705882352941176E-4</v>
      </c>
      <c r="G25">
        <f t="shared" si="4"/>
        <v>3996</v>
      </c>
      <c r="H25">
        <f t="shared" si="5"/>
        <v>999</v>
      </c>
      <c r="I25">
        <f t="shared" si="6"/>
        <v>0</v>
      </c>
      <c r="J25">
        <f t="shared" si="7"/>
        <v>1</v>
      </c>
      <c r="L25" s="61"/>
      <c r="M25" s="61"/>
      <c r="N25" s="63"/>
      <c r="O25" s="61"/>
      <c r="P25" s="61"/>
      <c r="Q25" s="61"/>
      <c r="R25" s="64"/>
    </row>
    <row r="26" spans="1:18" x14ac:dyDescent="0.15">
      <c r="A26" s="34" t="s">
        <v>204</v>
      </c>
      <c r="B26" s="59">
        <f>E$5*COUNTIF(tables_7100100!C:C,input_7100100!A26)*B7</f>
        <v>1.764705882352941E-4</v>
      </c>
      <c r="C26" s="50">
        <f t="shared" si="1"/>
        <v>0</v>
      </c>
      <c r="D26" s="77">
        <f t="shared" si="2"/>
        <v>1.764705882352941E-4</v>
      </c>
      <c r="E26">
        <f>COUNTIF(tables_7100100!C:C,input_7100100!A26)-COUNTIF(Q:Q,A26)</f>
        <v>4</v>
      </c>
      <c r="F26" s="45">
        <f t="shared" si="3"/>
        <v>4.4117647058823526E-5</v>
      </c>
      <c r="G26">
        <f t="shared" si="4"/>
        <v>443.99999999999994</v>
      </c>
      <c r="H26">
        <f t="shared" si="5"/>
        <v>111</v>
      </c>
      <c r="I26">
        <f t="shared" si="6"/>
        <v>0</v>
      </c>
      <c r="J26">
        <f t="shared" si="7"/>
        <v>1</v>
      </c>
      <c r="L26" s="61"/>
      <c r="M26" s="61"/>
      <c r="N26" s="63"/>
      <c r="O26" s="61"/>
      <c r="P26" s="61"/>
      <c r="Q26" s="61"/>
      <c r="R26" s="64"/>
    </row>
    <row r="27" spans="1:18" x14ac:dyDescent="0.15">
      <c r="A27" s="34" t="s">
        <v>112</v>
      </c>
      <c r="B27" s="59">
        <f>E$5*COUNTIF(tables_7100100!C:C,input_7100100!A27)*(B6+B5)</f>
        <v>2.3470588235294115E-2</v>
      </c>
      <c r="C27" s="50">
        <f t="shared" si="1"/>
        <v>0</v>
      </c>
      <c r="D27" s="77">
        <f t="shared" ref="D27:D29" si="8">B27-C27</f>
        <v>2.3470588235294115E-2</v>
      </c>
      <c r="E27">
        <f>COUNTIF(tables_7100100!C:C,input_7100100!A27)-COUNTIF(Q:Q,A27)</f>
        <v>28</v>
      </c>
      <c r="F27" s="45">
        <f t="shared" ref="F27:F29" si="9">IFERROR(D27/E27,0)</f>
        <v>8.382352941176469E-4</v>
      </c>
      <c r="G27">
        <f t="shared" si="4"/>
        <v>59051.999999999993</v>
      </c>
      <c r="H27">
        <f t="shared" ref="H27:H29" si="10">IFERROR(ROUND(G27/E27,5),0)</f>
        <v>2109</v>
      </c>
      <c r="I27">
        <f t="shared" ref="I27:I29" si="11">MOD(H27,1)</f>
        <v>0</v>
      </c>
      <c r="J27">
        <f t="shared" ref="J27:J29" si="12">IFERROR(1/I27,1)</f>
        <v>1</v>
      </c>
      <c r="L27" s="61"/>
      <c r="M27" s="61"/>
      <c r="N27" s="63"/>
      <c r="O27" s="61"/>
      <c r="P27" s="61"/>
      <c r="Q27" s="61"/>
      <c r="R27" s="64"/>
    </row>
    <row r="28" spans="1:18" x14ac:dyDescent="0.15">
      <c r="A28" s="34" t="s">
        <v>113</v>
      </c>
      <c r="B28" s="59">
        <f>E$5*COUNTIF(tables_7100100!C:C,input_7100100!A28)*B7</f>
        <v>1.2352941176470588E-3</v>
      </c>
      <c r="C28" s="50">
        <f t="shared" si="1"/>
        <v>0</v>
      </c>
      <c r="D28" s="77">
        <f t="shared" si="8"/>
        <v>1.2352941176470588E-3</v>
      </c>
      <c r="E28">
        <f>COUNTIF(tables_7100100!C:C,input_7100100!A28)-COUNTIF(Q:Q,A28)</f>
        <v>28</v>
      </c>
      <c r="F28" s="45">
        <f>IFERROR(D28/E28,0)</f>
        <v>4.4117647058823532E-5</v>
      </c>
      <c r="G28">
        <f t="shared" si="4"/>
        <v>3108</v>
      </c>
      <c r="H28">
        <f t="shared" si="10"/>
        <v>111</v>
      </c>
      <c r="I28">
        <f t="shared" si="11"/>
        <v>0</v>
      </c>
      <c r="J28">
        <f t="shared" si="12"/>
        <v>1</v>
      </c>
      <c r="L28" s="61"/>
      <c r="M28" s="61"/>
      <c r="N28" s="63"/>
      <c r="O28" s="61"/>
      <c r="P28" s="61"/>
      <c r="Q28" s="61"/>
      <c r="R28" s="64"/>
    </row>
    <row r="29" spans="1:18" x14ac:dyDescent="0.15">
      <c r="A29" s="34" t="s">
        <v>208</v>
      </c>
      <c r="B29" s="59">
        <f>E5*COUNTIF(tables_7100100!C:C,input_7100100!A29)</f>
        <v>1.764705882352941E-3</v>
      </c>
      <c r="C29" s="50">
        <f t="shared" si="1"/>
        <v>0</v>
      </c>
      <c r="D29" s="77">
        <f t="shared" si="8"/>
        <v>1.764705882352941E-3</v>
      </c>
      <c r="E29">
        <f>COUNTIF(tables_7100100!C:C,input_7100100!A29)-COUNTIF(Q:Q,A29)</f>
        <v>2</v>
      </c>
      <c r="F29" s="45">
        <f t="shared" si="9"/>
        <v>8.8235294117647051E-4</v>
      </c>
      <c r="G29">
        <f t="shared" si="4"/>
        <v>4440</v>
      </c>
      <c r="H29">
        <f t="shared" si="10"/>
        <v>2220</v>
      </c>
      <c r="I29">
        <f t="shared" si="11"/>
        <v>0</v>
      </c>
      <c r="J29">
        <f t="shared" si="12"/>
        <v>1</v>
      </c>
      <c r="L29" s="61"/>
      <c r="M29" s="61"/>
      <c r="N29" s="63"/>
      <c r="O29" s="61"/>
      <c r="P29" s="61"/>
      <c r="Q29" s="61"/>
      <c r="R29" s="64"/>
    </row>
    <row r="30" spans="1:18" x14ac:dyDescent="0.15">
      <c r="A30" s="34" t="s">
        <v>207</v>
      </c>
      <c r="B30" s="59">
        <v>0</v>
      </c>
      <c r="C30" s="50">
        <f t="shared" si="1"/>
        <v>0</v>
      </c>
      <c r="D30" s="77">
        <f t="shared" ref="D30:D31" si="13">B30-C30</f>
        <v>0</v>
      </c>
      <c r="E30">
        <f>COUNTIF(tables_7100100!C:C,input_7100100!A30)-COUNTIF(Q:Q,A30)</f>
        <v>0</v>
      </c>
      <c r="F30" s="45">
        <f t="shared" ref="F30:F31" si="14">IFERROR(D30/E30,0)</f>
        <v>0</v>
      </c>
      <c r="G30">
        <f t="shared" si="4"/>
        <v>0</v>
      </c>
      <c r="H30">
        <f t="shared" ref="H30:H31" si="15">IFERROR(ROUND(G30/E30,5),0)</f>
        <v>0</v>
      </c>
      <c r="I30">
        <f t="shared" ref="I30:I31" si="16">MOD(H30,1)</f>
        <v>0</v>
      </c>
      <c r="J30">
        <f t="shared" ref="J30:J31" si="17">IFERROR(1/I30,1)</f>
        <v>1</v>
      </c>
      <c r="L30" s="61"/>
      <c r="M30" s="61"/>
      <c r="N30" s="63"/>
      <c r="O30" s="61"/>
      <c r="P30" s="61"/>
      <c r="Q30" s="61"/>
      <c r="R30" s="64"/>
    </row>
    <row r="31" spans="1:18" x14ac:dyDescent="0.15">
      <c r="A31" s="34" t="s">
        <v>114</v>
      </c>
      <c r="B31" s="59">
        <v>0</v>
      </c>
      <c r="C31" s="50">
        <f t="shared" si="1"/>
        <v>0</v>
      </c>
      <c r="D31" s="77">
        <f t="shared" si="13"/>
        <v>0</v>
      </c>
      <c r="E31">
        <f>COUNTIF(tables_7100100!C:C,input_7100100!A31)-COUNTIF(Q:Q,A31)</f>
        <v>0</v>
      </c>
      <c r="F31" s="45">
        <f t="shared" si="14"/>
        <v>0</v>
      </c>
      <c r="G31">
        <f t="shared" si="4"/>
        <v>0</v>
      </c>
      <c r="H31">
        <f t="shared" si="15"/>
        <v>0</v>
      </c>
      <c r="I31">
        <f t="shared" si="16"/>
        <v>0</v>
      </c>
      <c r="J31">
        <f t="shared" si="17"/>
        <v>1</v>
      </c>
      <c r="L31" s="61"/>
      <c r="M31" s="61"/>
      <c r="N31" s="63"/>
      <c r="O31" s="61"/>
      <c r="P31" s="61"/>
      <c r="Q31" s="61"/>
      <c r="R31" s="64"/>
    </row>
    <row r="32" spans="1:18" x14ac:dyDescent="0.15">
      <c r="A32" s="41" t="s">
        <v>62</v>
      </c>
      <c r="B32" s="42">
        <f>SUM(B17:B31)</f>
        <v>1</v>
      </c>
      <c r="C32" s="43">
        <f>SUM(C19:C31)</f>
        <v>0</v>
      </c>
      <c r="D32" s="44">
        <f t="shared" ref="D32" si="18">B32-C32</f>
        <v>1</v>
      </c>
      <c r="L32" s="61"/>
      <c r="M32" s="61"/>
      <c r="N32" s="61"/>
      <c r="O32" s="61"/>
      <c r="P32" s="61"/>
      <c r="Q32" s="61"/>
      <c r="R32" s="64"/>
    </row>
    <row r="35" spans="1:7" x14ac:dyDescent="0.15">
      <c r="A35" t="s">
        <v>76</v>
      </c>
    </row>
    <row r="36" spans="1:7" x14ac:dyDescent="0.15">
      <c r="A36" s="31">
        <f>LCM(F5,F6)*1000*2</f>
        <v>2516000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218</v>
      </c>
      <c r="G39" t="s">
        <v>66</v>
      </c>
    </row>
    <row r="40" spans="1:7" x14ac:dyDescent="0.15">
      <c r="A40" s="34" t="s">
        <v>109</v>
      </c>
      <c r="B40">
        <f ca="1">SUMIF(tables_7100100!C:C,input_7100100!A40,tables_7100100!O:O)</f>
        <v>857480</v>
      </c>
      <c r="C40" s="57">
        <f t="shared" ref="C40:C46" ca="1" si="19">B40/B$47</f>
        <v>0.48251102908075988</v>
      </c>
      <c r="E40">
        <v>3</v>
      </c>
      <c r="F40">
        <f ca="1">SUMIF(tables_7100100!J:J,input_7100100!E40,tables_7100100!O:O)</f>
        <v>1258000</v>
      </c>
      <c r="G40">
        <f ca="1">F40/A36</f>
        <v>0.5</v>
      </c>
    </row>
    <row r="41" spans="1:7" x14ac:dyDescent="0.15">
      <c r="A41" s="34" t="s">
        <v>110</v>
      </c>
      <c r="B41">
        <f ca="1">SUMIF(tables_7100100!C:C,input_7100100!A41,tables_7100100!O:O)</f>
        <v>771732</v>
      </c>
      <c r="C41" s="57">
        <f t="shared" ca="1" si="19"/>
        <v>0.43425992617268389</v>
      </c>
      <c r="E41">
        <v>4</v>
      </c>
      <c r="F41">
        <f ca="1">SUMIF(tables_7100100!J:J,input_7100100!E41,tables_7100100!O:O)</f>
        <v>1132200</v>
      </c>
      <c r="G41">
        <f ca="1">F41/A36</f>
        <v>0.45</v>
      </c>
    </row>
    <row r="42" spans="1:7" x14ac:dyDescent="0.15">
      <c r="A42" s="34" t="s">
        <v>115</v>
      </c>
      <c r="B42">
        <f ca="1">SUMIF(tables_7100100!C:C,input_7100100!A42,tables_7100100!O:O)</f>
        <v>59052</v>
      </c>
      <c r="C42" s="57">
        <f t="shared" ca="1" si="19"/>
        <v>3.3229044746556226E-2</v>
      </c>
      <c r="E42">
        <v>5</v>
      </c>
      <c r="F42">
        <f ca="1">SUMIF(tables_7100100!J:J,input_7100100!E42,tables_7100100!O:O)</f>
        <v>125800</v>
      </c>
      <c r="G42">
        <f ca="1">F42/A36</f>
        <v>0.05</v>
      </c>
    </row>
    <row r="43" spans="1:7" x14ac:dyDescent="0.15">
      <c r="A43" s="34" t="s">
        <v>116</v>
      </c>
      <c r="B43">
        <f>SUMIF(tables_7100100!C:C,input_7100100!A43,tables_7100100!O:O)</f>
        <v>0</v>
      </c>
      <c r="C43" s="57">
        <f t="shared" ca="1" si="19"/>
        <v>0</v>
      </c>
      <c r="F43" s="58"/>
    </row>
    <row r="44" spans="1:7" x14ac:dyDescent="0.15">
      <c r="A44" s="34" t="s">
        <v>111</v>
      </c>
      <c r="B44">
        <f ca="1">SUMIF(tables_7100100!C:C,input_7100100!A44,tables_7100100!O:O)</f>
        <v>85748</v>
      </c>
      <c r="C44" s="57">
        <f t="shared" ca="1" si="19"/>
        <v>4.8251102908075987E-2</v>
      </c>
      <c r="E44" t="s">
        <v>107</v>
      </c>
      <c r="F44" s="58"/>
    </row>
    <row r="45" spans="1:7" x14ac:dyDescent="0.15">
      <c r="A45" s="34" t="s">
        <v>117</v>
      </c>
      <c r="B45">
        <f ca="1">SUMIF(tables_7100100!C:C,input_7100100!A45,tables_7100100!O:O)</f>
        <v>3108</v>
      </c>
      <c r="C45" s="57">
        <f t="shared" ca="1" si="19"/>
        <v>1.7488970919240119E-3</v>
      </c>
      <c r="E45" t="s">
        <v>214</v>
      </c>
      <c r="F45" s="58">
        <f ca="1">SUMIF(tables_7100100!I:I,input_7100100!E45,tables_7100100!P:P)</f>
        <v>0.25664228934817174</v>
      </c>
    </row>
    <row r="46" spans="1:7" x14ac:dyDescent="0.15">
      <c r="A46" s="34" t="s">
        <v>118</v>
      </c>
      <c r="B46">
        <f>SUMIF(tables_7100100!C:C,input_7100100!A46,tables_7100100!O:O)</f>
        <v>0</v>
      </c>
      <c r="C46" s="57">
        <f t="shared" ca="1" si="19"/>
        <v>0</v>
      </c>
      <c r="E46" t="s">
        <v>215</v>
      </c>
      <c r="F46" s="58">
        <f ca="1">SUMIF(tables_7100100!I:I,input_7100100!E46,tables_7100100!P:P)</f>
        <v>0.22548489666136709</v>
      </c>
    </row>
    <row r="47" spans="1:7" x14ac:dyDescent="0.15">
      <c r="A47" s="41" t="s">
        <v>62</v>
      </c>
      <c r="B47">
        <f ca="1">SUM(B40:B46)</f>
        <v>1777120</v>
      </c>
      <c r="C47" s="58">
        <f ca="1">SUM(C40:C46)</f>
        <v>1</v>
      </c>
      <c r="E47" t="s">
        <v>216</v>
      </c>
      <c r="F47" s="58">
        <f ca="1">SUMIF(tables_7100100!I:I,input_7100100!E47,tables_7100100!P:P)</f>
        <v>0.48588235294117676</v>
      </c>
    </row>
    <row r="48" spans="1:7" x14ac:dyDescent="0.15">
      <c r="E48" t="s">
        <v>217</v>
      </c>
      <c r="F48" s="58">
        <f ca="1">SUMIF(tables_7100100!I:I,input_7100100!E48,tables_7100100!P:P)</f>
        <v>2.6470588235294096E-2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64" activePane="bottomLeft" state="frozen"/>
      <selection activeCell="A266" sqref="A266:XFD266"/>
      <selection pane="bottomLeft" activeCell="H26" sqref="H2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input_7100100!A$2</f>
        <v>7100100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IFERROR(VLOOKUP(B2,input_7100100!L:R,7,FALSE),VLOOKUP(tables_7100100!C2,input_7100100!A:H,8,FALSE))</f>
        <v>19804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input_7100100!A$2</f>
        <v>7100100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IFERROR(VLOOKUP(B3,input_7100100!L:R,7,FALSE),VLOOKUP(tables_7100100!C3,input_7100100!A:H,8,FALSE))</f>
        <v>13176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input_7100100!A$2</f>
        <v>7100100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IFERROR(VLOOKUP(B4,input_7100100!L:R,7,FALSE),VLOOKUP(tables_7100100!C4,input_7100100!A:H,8,FALSE))</f>
        <v>19804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input_7100100!A$2</f>
        <v>7100100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IFERROR(VLOOKUP(B5,input_7100100!L:R,7,FALSE),VLOOKUP(tables_7100100!C5,input_7100100!A:H,8,FALSE))</f>
        <v>13176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input_7100100!A$2</f>
        <v>7100100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IFERROR(VLOOKUP(B6,input_7100100!L:R,7,FALSE),VLOOKUP(tables_7100100!C6,input_7100100!A:H,8,FALSE))</f>
        <v>19804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input_7100100!A$2</f>
        <v>7100100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IFERROR(VLOOKUP(B7,input_7100100!L:R,7,FALSE),VLOOKUP(tables_7100100!C7,input_7100100!A:H,8,FALSE))</f>
        <v>13176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input_7100100!A$2</f>
        <v>7100100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IFERROR(VLOOKUP(B8,input_7100100!L:R,7,FALSE),VLOOKUP(tables_7100100!C8,input_7100100!A:H,8,FALSE))</f>
        <v>19804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input_7100100!A$2</f>
        <v>7100100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IFERROR(VLOOKUP(B9,input_7100100!L:R,7,FALSE),VLOOKUP(tables_7100100!C9,input_7100100!A:H,8,FALSE))</f>
        <v>13176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input_7100100!A$2</f>
        <v>7100100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IFERROR(VLOOKUP(B10,input_7100100!L:R,7,FALSE),VLOOKUP(tables_7100100!C10,input_7100100!A:H,8,FALSE))</f>
        <v>19804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input_7100100!A$2</f>
        <v>7100100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IFERROR(VLOOKUP(B11,input_7100100!L:R,7,FALSE),VLOOKUP(tables_7100100!C11,input_7100100!A:H,8,FALSE))</f>
        <v>13176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input_7100100!A$2</f>
        <v>7100100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IFERROR(VLOOKUP(B12,input_7100100!L:R,7,FALSE),VLOOKUP(tables_7100100!C12,input_7100100!A:H,8,FALSE))</f>
        <v>19804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input_7100100!A$2</f>
        <v>7100100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IFERROR(VLOOKUP(B13,input_7100100!L:R,7,FALSE),VLOOKUP(tables_7100100!C13,input_7100100!A:H,8,FALSE))</f>
        <v>13176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input_7100100!A$2</f>
        <v>7100100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IFERROR(VLOOKUP(B14,input_7100100!L:R,7,FALSE),VLOOKUP(tables_7100100!C14,input_7100100!A:H,8,FALSE))</f>
        <v>19804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input_7100100!A$2</f>
        <v>7100100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IFERROR(VLOOKUP(B15,input_7100100!L:R,7,FALSE),VLOOKUP(tables_7100100!C15,input_7100100!A:H,8,FALSE))</f>
        <v>13176</v>
      </c>
      <c r="P15" s="48">
        <f t="shared" ref="P15:P78" ca="1" si="2">O15/SUM(O:O)</f>
        <v>5.2368839427662959E-3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input_7100100!A$2</f>
        <v>7100100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IFERROR(VLOOKUP(B16,input_7100100!L:R,7,FALSE),VLOOKUP(tables_7100100!C16,input_7100100!A:H,8,FALSE))</f>
        <v>19804</v>
      </c>
      <c r="P16" s="48">
        <f t="shared" ca="1" si="2"/>
        <v>7.8712241653418127E-3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input_7100100!A$2</f>
        <v>7100100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IFERROR(VLOOKUP(B17,input_7100100!L:R,7,FALSE),VLOOKUP(tables_7100100!C17,input_7100100!A:H,8,FALSE))</f>
        <v>13176</v>
      </c>
      <c r="P17" s="48">
        <f t="shared" ca="1" si="2"/>
        <v>5.2368839427662959E-3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input_7100100!A$2</f>
        <v>7100100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IFERROR(VLOOKUP(B18,input_7100100!L:R,7,FALSE),VLOOKUP(tables_7100100!C18,input_7100100!A:H,8,FALSE))</f>
        <v>19804</v>
      </c>
      <c r="P18" s="48">
        <f t="shared" ca="1" si="2"/>
        <v>7.8712241653418127E-3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input_7100100!A$2</f>
        <v>7100100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IFERROR(VLOOKUP(B19,input_7100100!L:R,7,FALSE),VLOOKUP(tables_7100100!C19,input_7100100!A:H,8,FALSE))</f>
        <v>13176</v>
      </c>
      <c r="P19" s="48">
        <f t="shared" ca="1" si="2"/>
        <v>5.2368839427662959E-3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input_7100100!A$2</f>
        <v>7100100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IFERROR(VLOOKUP(B20,input_7100100!L:R,7,FALSE),VLOOKUP(tables_7100100!C20,input_7100100!A:H,8,FALSE))</f>
        <v>19804</v>
      </c>
      <c r="P20" s="48">
        <f t="shared" ca="1" si="2"/>
        <v>7.8712241653418127E-3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input_7100100!A$2</f>
        <v>7100100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IFERROR(VLOOKUP(B21,input_7100100!L:R,7,FALSE),VLOOKUP(tables_7100100!C21,input_7100100!A:H,8,FALSE))</f>
        <v>13176</v>
      </c>
      <c r="P21" s="48">
        <f t="shared" ca="1" si="2"/>
        <v>5.2368839427662959E-3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input_7100100!A$2</f>
        <v>7100100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IFERROR(VLOOKUP(B22,input_7100100!L:R,7,FALSE),VLOOKUP(tables_7100100!C22,input_7100100!A:H,8,FALSE))</f>
        <v>19804</v>
      </c>
      <c r="P22" s="48">
        <f t="shared" ca="1" si="2"/>
        <v>7.8712241653418127E-3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input_7100100!A$2</f>
        <v>7100100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IFERROR(VLOOKUP(B23,input_7100100!L:R,7,FALSE),VLOOKUP(tables_7100100!C23,input_7100100!A:H,8,FALSE))</f>
        <v>13176</v>
      </c>
      <c r="P23" s="48">
        <f t="shared" ca="1" si="2"/>
        <v>5.2368839427662959E-3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input_7100100!A$2</f>
        <v>7100100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IFERROR(VLOOKUP(B24,input_7100100!L:R,7,FALSE),VLOOKUP(tables_7100100!C24,input_7100100!A:H,8,FALSE))</f>
        <v>19804</v>
      </c>
      <c r="P24" s="48">
        <f t="shared" ca="1" si="2"/>
        <v>7.8712241653418127E-3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input_7100100!A$2</f>
        <v>7100100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IFERROR(VLOOKUP(B25,input_7100100!L:R,7,FALSE),VLOOKUP(tables_7100100!C25,input_7100100!A:H,8,FALSE))</f>
        <v>13176</v>
      </c>
      <c r="P25" s="48">
        <f t="shared" ca="1" si="2"/>
        <v>5.2368839427662959E-3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input_7100100!A$2</f>
        <v>7100100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IFERROR(VLOOKUP(B26,input_7100100!L:R,7,FALSE),VLOOKUP(tables_7100100!C26,input_7100100!A:H,8,FALSE))</f>
        <v>19804</v>
      </c>
      <c r="P26" s="48">
        <f t="shared" ca="1" si="2"/>
        <v>7.8712241653418127E-3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input_7100100!A$2</f>
        <v>7100100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IFERROR(VLOOKUP(B27,input_7100100!L:R,7,FALSE),VLOOKUP(tables_7100100!C27,input_7100100!A:H,8,FALSE))</f>
        <v>13176</v>
      </c>
      <c r="P27" s="48">
        <f t="shared" ca="1" si="2"/>
        <v>5.2368839427662959E-3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input_7100100!A$2</f>
        <v>7100100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IFERROR(VLOOKUP(B28,input_7100100!L:R,7,FALSE),VLOOKUP(tables_7100100!C28,input_7100100!A:H,8,FALSE))</f>
        <v>19804</v>
      </c>
      <c r="P28" s="48">
        <f t="shared" ca="1" si="2"/>
        <v>7.8712241653418127E-3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input_7100100!A$2</f>
        <v>7100100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IFERROR(VLOOKUP(B29,input_7100100!L:R,7,FALSE),VLOOKUP(tables_7100100!C29,input_7100100!A:H,8,FALSE))</f>
        <v>13176</v>
      </c>
      <c r="P29" s="48">
        <f t="shared" ca="1" si="2"/>
        <v>5.2368839427662959E-3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input_7100100!A$2</f>
        <v>7100100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IFERROR(VLOOKUP(B30,input_7100100!L:R,7,FALSE),VLOOKUP(tables_7100100!C30,input_7100100!A:H,8,FALSE))</f>
        <v>19804</v>
      </c>
      <c r="P30" s="48">
        <f t="shared" ca="1" si="2"/>
        <v>7.8712241653418127E-3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input_7100100!A$2</f>
        <v>7100100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IFERROR(VLOOKUP(B31,input_7100100!L:R,7,FALSE),VLOOKUP(tables_7100100!C31,input_7100100!A:H,8,FALSE))</f>
        <v>13176</v>
      </c>
      <c r="P31" s="48">
        <f t="shared" ca="1" si="2"/>
        <v>5.2368839427662959E-3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input_7100100!A$2</f>
        <v>7100100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IFERROR(VLOOKUP(B32,input_7100100!L:R,7,FALSE),VLOOKUP(tables_7100100!C32,input_7100100!A:H,8,FALSE))</f>
        <v>19804</v>
      </c>
      <c r="P32" s="48">
        <f t="shared" ca="1" si="2"/>
        <v>7.8712241653418127E-3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input_7100100!A$2</f>
        <v>7100100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IFERROR(VLOOKUP(B33,input_7100100!L:R,7,FALSE),VLOOKUP(tables_7100100!C33,input_7100100!A:H,8,FALSE))</f>
        <v>13176</v>
      </c>
      <c r="P33" s="48">
        <f t="shared" ca="1" si="2"/>
        <v>5.2368839427662959E-3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input_7100100!A$2</f>
        <v>7100100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IFERROR(VLOOKUP(B34,input_7100100!L:R,7,FALSE),VLOOKUP(tables_7100100!C34,input_7100100!A:H,8,FALSE))</f>
        <v>19804</v>
      </c>
      <c r="P34" s="48">
        <f t="shared" ca="1" si="2"/>
        <v>7.8712241653418127E-3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input_7100100!A$2</f>
        <v>7100100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IFERROR(VLOOKUP(B35,input_7100100!L:R,7,FALSE),VLOOKUP(tables_7100100!C35,input_7100100!A:H,8,FALSE))</f>
        <v>13176</v>
      </c>
      <c r="P35" s="48">
        <f t="shared" ca="1" si="2"/>
        <v>5.2368839427662959E-3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input_7100100!A$2</f>
        <v>7100100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IFERROR(VLOOKUP(B36,input_7100100!L:R,7,FALSE),VLOOKUP(tables_7100100!C36,input_7100100!A:H,8,FALSE))</f>
        <v>19804</v>
      </c>
      <c r="P36" s="48">
        <f t="shared" ca="1" si="2"/>
        <v>7.8712241653418127E-3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input_7100100!A$2</f>
        <v>7100100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IFERROR(VLOOKUP(B37,input_7100100!L:R,7,FALSE),VLOOKUP(tables_7100100!C37,input_7100100!A:H,8,FALSE))</f>
        <v>13176</v>
      </c>
      <c r="P37" s="48">
        <f t="shared" ca="1" si="2"/>
        <v>5.2368839427662959E-3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input_7100100!A$2</f>
        <v>7100100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IFERROR(VLOOKUP(B38,input_7100100!L:R,7,FALSE),VLOOKUP(tables_7100100!C38,input_7100100!A:H,8,FALSE))</f>
        <v>19804</v>
      </c>
      <c r="P38" s="48">
        <f t="shared" ca="1" si="2"/>
        <v>7.8712241653418127E-3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input_7100100!A$2</f>
        <v>7100100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IFERROR(VLOOKUP(B39,input_7100100!L:R,7,FALSE),VLOOKUP(tables_7100100!C39,input_7100100!A:H,8,FALSE))</f>
        <v>13176</v>
      </c>
      <c r="P39" s="48">
        <f t="shared" ca="1" si="2"/>
        <v>5.2368839427662959E-3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input_7100100!A$2</f>
        <v>7100100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IFERROR(VLOOKUP(B40,input_7100100!L:R,7,FALSE),VLOOKUP(tables_7100100!C40,input_7100100!A:H,8,FALSE))</f>
        <v>19804</v>
      </c>
      <c r="P40" s="48">
        <f t="shared" ca="1" si="2"/>
        <v>7.8712241653418127E-3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input_7100100!A$2</f>
        <v>7100100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IFERROR(VLOOKUP(B41,input_7100100!L:R,7,FALSE),VLOOKUP(tables_7100100!C41,input_7100100!A:H,8,FALSE))</f>
        <v>13176</v>
      </c>
      <c r="P41" s="48">
        <f t="shared" ca="1" si="2"/>
        <v>5.2368839427662959E-3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input_7100100!A$2</f>
        <v>7100100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IFERROR(VLOOKUP(B42,input_7100100!L:R,7,FALSE),VLOOKUP(tables_7100100!C42,input_7100100!A:H,8,FALSE))</f>
        <v>1110</v>
      </c>
      <c r="P42" s="48">
        <f t="shared" ca="1" si="2"/>
        <v>4.4117647058823531E-4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input_7100100!A$2</f>
        <v>7100100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IFERROR(VLOOKUP(B43,input_7100100!L:R,7,FALSE),VLOOKUP(tables_7100100!C43,input_7100100!A:H,8,FALSE))</f>
        <v>999</v>
      </c>
      <c r="P43" s="48">
        <f t="shared" ca="1" si="2"/>
        <v>3.9705882352941176E-4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input_7100100!A$2</f>
        <v>7100100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IFERROR(VLOOKUP(B44,input_7100100!L:R,7,FALSE),VLOOKUP(tables_7100100!C44,input_7100100!A:H,8,FALSE))</f>
        <v>111</v>
      </c>
      <c r="P44" s="48">
        <f t="shared" ca="1" si="2"/>
        <v>4.4117647058823532E-5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input_7100100!A$2</f>
        <v>7100100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IFERROR(VLOOKUP(B45,input_7100100!L:R,7,FALSE),VLOOKUP(tables_7100100!C45,input_7100100!A:H,8,FALSE))</f>
        <v>1110</v>
      </c>
      <c r="P45" s="48">
        <f t="shared" ca="1" si="2"/>
        <v>4.4117647058823531E-4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input_7100100!A$2</f>
        <v>7100100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IFERROR(VLOOKUP(B46,input_7100100!L:R,7,FALSE),VLOOKUP(tables_7100100!C46,input_7100100!A:H,8,FALSE))</f>
        <v>999</v>
      </c>
      <c r="P46" s="48">
        <f t="shared" ca="1" si="2"/>
        <v>3.9705882352941176E-4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input_7100100!A$2</f>
        <v>7100100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IFERROR(VLOOKUP(B47,input_7100100!L:R,7,FALSE),VLOOKUP(tables_7100100!C47,input_7100100!A:H,8,FALSE))</f>
        <v>111</v>
      </c>
      <c r="P47" s="48">
        <f t="shared" ca="1" si="2"/>
        <v>4.4117647058823532E-5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input_7100100!A$2</f>
        <v>7100100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IFERROR(VLOOKUP(B48,input_7100100!L:R,7,FALSE),VLOOKUP(tables_7100100!C48,input_7100100!A:H,8,FALSE))</f>
        <v>1110</v>
      </c>
      <c r="P48" s="48">
        <f t="shared" ca="1" si="2"/>
        <v>4.4117647058823531E-4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input_7100100!A$2</f>
        <v>7100100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IFERROR(VLOOKUP(B49,input_7100100!L:R,7,FALSE),VLOOKUP(tables_7100100!C49,input_7100100!A:H,8,FALSE))</f>
        <v>999</v>
      </c>
      <c r="P49" s="48">
        <f t="shared" ca="1" si="2"/>
        <v>3.9705882352941176E-4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input_7100100!A$2</f>
        <v>7100100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IFERROR(VLOOKUP(B50,input_7100100!L:R,7,FALSE),VLOOKUP(tables_7100100!C50,input_7100100!A:H,8,FALSE))</f>
        <v>111</v>
      </c>
      <c r="P50" s="48">
        <f t="shared" ca="1" si="2"/>
        <v>4.4117647058823532E-5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input_7100100!A$2</f>
        <v>7100100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IFERROR(VLOOKUP(B51,input_7100100!L:R,7,FALSE),VLOOKUP(tables_7100100!C51,input_7100100!A:H,8,FALSE))</f>
        <v>16490</v>
      </c>
      <c r="P51" s="48">
        <f t="shared" ca="1" si="2"/>
        <v>6.5540540540540539E-3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input_7100100!A$2</f>
        <v>7100100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IFERROR(VLOOKUP(B52,input_7100100!L:R,7,FALSE),VLOOKUP(tables_7100100!C52,input_7100100!A:H,8,FALSE))</f>
        <v>14841</v>
      </c>
      <c r="P52" s="48">
        <f t="shared" ca="1" si="2"/>
        <v>5.8986486486486489E-3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input_7100100!A$2</f>
        <v>7100100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IFERROR(VLOOKUP(B53,input_7100100!L:R,7,FALSE),VLOOKUP(tables_7100100!C53,input_7100100!A:H,8,FALSE))</f>
        <v>1649</v>
      </c>
      <c r="P53" s="48">
        <f t="shared" ca="1" si="2"/>
        <v>6.5540540540540539E-4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input_7100100!A$2</f>
        <v>7100100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IFERROR(VLOOKUP(B54,input_7100100!L:R,7,FALSE),VLOOKUP(tables_7100100!C54,input_7100100!A:H,8,FALSE))</f>
        <v>16490</v>
      </c>
      <c r="P54" s="48">
        <f t="shared" ca="1" si="2"/>
        <v>6.5540540540540539E-3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input_7100100!A$2</f>
        <v>7100100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IFERROR(VLOOKUP(B55,input_7100100!L:R,7,FALSE),VLOOKUP(tables_7100100!C55,input_7100100!A:H,8,FALSE))</f>
        <v>14841</v>
      </c>
      <c r="P55" s="48">
        <f t="shared" ca="1" si="2"/>
        <v>5.8986486486486489E-3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input_7100100!A$2</f>
        <v>7100100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IFERROR(VLOOKUP(B56,input_7100100!L:R,7,FALSE),VLOOKUP(tables_7100100!C56,input_7100100!A:H,8,FALSE))</f>
        <v>1649</v>
      </c>
      <c r="P56" s="48">
        <f t="shared" ca="1" si="2"/>
        <v>6.5540540540540539E-4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input_7100100!A$2</f>
        <v>7100100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IFERROR(VLOOKUP(B57,input_7100100!L:R,7,FALSE),VLOOKUP(tables_7100100!C57,input_7100100!A:H,8,FALSE))</f>
        <v>16490</v>
      </c>
      <c r="P57" s="48">
        <f t="shared" ca="1" si="2"/>
        <v>6.5540540540540539E-3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input_7100100!A$2</f>
        <v>7100100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IFERROR(VLOOKUP(B58,input_7100100!L:R,7,FALSE),VLOOKUP(tables_7100100!C58,input_7100100!A:H,8,FALSE))</f>
        <v>14841</v>
      </c>
      <c r="P58" s="48">
        <f t="shared" ca="1" si="2"/>
        <v>5.8986486486486489E-3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input_7100100!A$2</f>
        <v>7100100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IFERROR(VLOOKUP(B59,input_7100100!L:R,7,FALSE),VLOOKUP(tables_7100100!C59,input_7100100!A:H,8,FALSE))</f>
        <v>1649</v>
      </c>
      <c r="P59" s="48">
        <f t="shared" ca="1" si="2"/>
        <v>6.5540540540540539E-4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input_7100100!A$2</f>
        <v>7100100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IFERROR(VLOOKUP(B60,input_7100100!L:R,7,FALSE),VLOOKUP(tables_7100100!C60,input_7100100!A:H,8,FALSE))</f>
        <v>16490</v>
      </c>
      <c r="P60" s="48">
        <f t="shared" ca="1" si="2"/>
        <v>6.5540540540540539E-3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input_7100100!A$2</f>
        <v>7100100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IFERROR(VLOOKUP(B61,input_7100100!L:R,7,FALSE),VLOOKUP(tables_7100100!C61,input_7100100!A:H,8,FALSE))</f>
        <v>14841</v>
      </c>
      <c r="P61" s="48">
        <f t="shared" ca="1" si="2"/>
        <v>5.8986486486486489E-3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input_7100100!A$2</f>
        <v>7100100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IFERROR(VLOOKUP(B62,input_7100100!L:R,7,FALSE),VLOOKUP(tables_7100100!C62,input_7100100!A:H,8,FALSE))</f>
        <v>1649</v>
      </c>
      <c r="P62" s="48">
        <f t="shared" ca="1" si="2"/>
        <v>6.5540540540540539E-4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input_7100100!A$2</f>
        <v>7100100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IFERROR(VLOOKUP(B63,input_7100100!L:R,7,FALSE),VLOOKUP(tables_7100100!C63,input_7100100!A:H,8,FALSE))</f>
        <v>16490</v>
      </c>
      <c r="P63" s="48">
        <f t="shared" ca="1" si="2"/>
        <v>6.5540540540540539E-3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input_7100100!A$2</f>
        <v>7100100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IFERROR(VLOOKUP(B64,input_7100100!L:R,7,FALSE),VLOOKUP(tables_7100100!C64,input_7100100!A:H,8,FALSE))</f>
        <v>14841</v>
      </c>
      <c r="P64" s="48">
        <f t="shared" ca="1" si="2"/>
        <v>5.8986486486486489E-3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input_7100100!A$2</f>
        <v>7100100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IFERROR(VLOOKUP(B65,input_7100100!L:R,7,FALSE),VLOOKUP(tables_7100100!C65,input_7100100!A:H,8,FALSE))</f>
        <v>1649</v>
      </c>
      <c r="P65" s="48">
        <f t="shared" ca="1" si="2"/>
        <v>6.5540540540540539E-4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input_7100100!A$2</f>
        <v>7100100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IFERROR(VLOOKUP(B66,input_7100100!L:R,7,FALSE),VLOOKUP(tables_7100100!C66,input_7100100!A:H,8,FALSE))</f>
        <v>16490</v>
      </c>
      <c r="P66" s="48">
        <f t="shared" ca="1" si="2"/>
        <v>6.5540540540540539E-3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input_7100100!A$2</f>
        <v>7100100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IFERROR(VLOOKUP(B67,input_7100100!L:R,7,FALSE),VLOOKUP(tables_7100100!C67,input_7100100!A:H,8,FALSE))</f>
        <v>14841</v>
      </c>
      <c r="P67" s="48">
        <f t="shared" ca="1" si="2"/>
        <v>5.8986486486486489E-3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input_7100100!A$2</f>
        <v>7100100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IFERROR(VLOOKUP(B68,input_7100100!L:R,7,FALSE),VLOOKUP(tables_7100100!C68,input_7100100!A:H,8,FALSE))</f>
        <v>1649</v>
      </c>
      <c r="P68" s="48">
        <f t="shared" ca="1" si="2"/>
        <v>6.5540540540540539E-4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input_7100100!A$2</f>
        <v>7100100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IFERROR(VLOOKUP(B69,input_7100100!L:R,7,FALSE),VLOOKUP(tables_7100100!C69,input_7100100!A:H,8,FALSE))</f>
        <v>16490</v>
      </c>
      <c r="P69" s="48">
        <f t="shared" ca="1" si="2"/>
        <v>6.5540540540540539E-3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input_7100100!A$2</f>
        <v>7100100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IFERROR(VLOOKUP(B70,input_7100100!L:R,7,FALSE),VLOOKUP(tables_7100100!C70,input_7100100!A:H,8,FALSE))</f>
        <v>14841</v>
      </c>
      <c r="P70" s="48">
        <f t="shared" ca="1" si="2"/>
        <v>5.8986486486486489E-3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input_7100100!A$2</f>
        <v>7100100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IFERROR(VLOOKUP(B71,input_7100100!L:R,7,FALSE),VLOOKUP(tables_7100100!C71,input_7100100!A:H,8,FALSE))</f>
        <v>1649</v>
      </c>
      <c r="P71" s="48">
        <f t="shared" ca="1" si="2"/>
        <v>6.5540540540540539E-4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input_7100100!A$2</f>
        <v>7100100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IFERROR(VLOOKUP(B72,input_7100100!L:R,7,FALSE),VLOOKUP(tables_7100100!C72,input_7100100!A:H,8,FALSE))</f>
        <v>16490</v>
      </c>
      <c r="P72" s="48">
        <f t="shared" ca="1" si="2"/>
        <v>6.5540540540540539E-3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input_7100100!A$2</f>
        <v>7100100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IFERROR(VLOOKUP(B73,input_7100100!L:R,7,FALSE),VLOOKUP(tables_7100100!C73,input_7100100!A:H,8,FALSE))</f>
        <v>14841</v>
      </c>
      <c r="P73" s="48">
        <f t="shared" ca="1" si="2"/>
        <v>5.8986486486486489E-3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input_7100100!A$2</f>
        <v>7100100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IFERROR(VLOOKUP(B74,input_7100100!L:R,7,FALSE),VLOOKUP(tables_7100100!C74,input_7100100!A:H,8,FALSE))</f>
        <v>1649</v>
      </c>
      <c r="P74" s="48">
        <f t="shared" ca="1" si="2"/>
        <v>6.5540540540540539E-4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input_7100100!A$2</f>
        <v>7100100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IFERROR(VLOOKUP(B75,input_7100100!L:R,7,FALSE),VLOOKUP(tables_7100100!C75,input_7100100!A:H,8,FALSE))</f>
        <v>16490</v>
      </c>
      <c r="P75" s="48">
        <f t="shared" ca="1" si="2"/>
        <v>6.5540540540540539E-3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input_7100100!A$2</f>
        <v>7100100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IFERROR(VLOOKUP(B76,input_7100100!L:R,7,FALSE),VLOOKUP(tables_7100100!C76,input_7100100!A:H,8,FALSE))</f>
        <v>14841</v>
      </c>
      <c r="P76" s="48">
        <f t="shared" ca="1" si="2"/>
        <v>5.8986486486486489E-3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input_7100100!A$2</f>
        <v>7100100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IFERROR(VLOOKUP(B77,input_7100100!L:R,7,FALSE),VLOOKUP(tables_7100100!C77,input_7100100!A:H,8,FALSE))</f>
        <v>1649</v>
      </c>
      <c r="P77" s="48">
        <f t="shared" ca="1" si="2"/>
        <v>6.5540540540540539E-4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input_7100100!A$2</f>
        <v>7100100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IFERROR(VLOOKUP(B78,input_7100100!L:R,7,FALSE),VLOOKUP(tables_7100100!C78,input_7100100!A:H,8,FALSE))</f>
        <v>16490</v>
      </c>
      <c r="P78" s="48">
        <f t="shared" ca="1" si="2"/>
        <v>6.5540540540540539E-3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input_7100100!A$2</f>
        <v>7100100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IFERROR(VLOOKUP(B79,input_7100100!L:R,7,FALSE),VLOOKUP(tables_7100100!C79,input_7100100!A:H,8,FALSE))</f>
        <v>14841</v>
      </c>
      <c r="P79" s="48">
        <f t="shared" ref="P79:P142" ca="1" si="5">O79/SUM(O:O)</f>
        <v>5.8986486486486489E-3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input_7100100!A$2</f>
        <v>7100100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IFERROR(VLOOKUP(B80,input_7100100!L:R,7,FALSE),VLOOKUP(tables_7100100!C80,input_7100100!A:H,8,FALSE))</f>
        <v>1649</v>
      </c>
      <c r="P80" s="48">
        <f t="shared" ca="1" si="5"/>
        <v>6.5540540540540539E-4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input_7100100!A$2</f>
        <v>7100100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IFERROR(VLOOKUP(B81,input_7100100!L:R,7,FALSE),VLOOKUP(tables_7100100!C81,input_7100100!A:H,8,FALSE))</f>
        <v>16490</v>
      </c>
      <c r="P81" s="48">
        <f t="shared" ca="1" si="5"/>
        <v>6.5540540540540539E-3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input_7100100!A$2</f>
        <v>7100100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IFERROR(VLOOKUP(B82,input_7100100!L:R,7,FALSE),VLOOKUP(tables_7100100!C82,input_7100100!A:H,8,FALSE))</f>
        <v>14841</v>
      </c>
      <c r="P82" s="48">
        <f t="shared" ca="1" si="5"/>
        <v>5.8986486486486489E-3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input_7100100!A$2</f>
        <v>7100100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IFERROR(VLOOKUP(B83,input_7100100!L:R,7,FALSE),VLOOKUP(tables_7100100!C83,input_7100100!A:H,8,FALSE))</f>
        <v>1649</v>
      </c>
      <c r="P83" s="48">
        <f t="shared" ca="1" si="5"/>
        <v>6.5540540540540539E-4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input_7100100!A$2</f>
        <v>7100100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IFERROR(VLOOKUP(B84,input_7100100!L:R,7,FALSE),VLOOKUP(tables_7100100!C84,input_7100100!A:H,8,FALSE))</f>
        <v>16490</v>
      </c>
      <c r="P84" s="48">
        <f t="shared" ca="1" si="5"/>
        <v>6.5540540540540539E-3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input_7100100!A$2</f>
        <v>7100100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IFERROR(VLOOKUP(B85,input_7100100!L:R,7,FALSE),VLOOKUP(tables_7100100!C85,input_7100100!A:H,8,FALSE))</f>
        <v>14841</v>
      </c>
      <c r="P85" s="48">
        <f t="shared" ca="1" si="5"/>
        <v>5.8986486486486489E-3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input_7100100!A$2</f>
        <v>7100100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IFERROR(VLOOKUP(B86,input_7100100!L:R,7,FALSE),VLOOKUP(tables_7100100!C86,input_7100100!A:H,8,FALSE))</f>
        <v>1649</v>
      </c>
      <c r="P86" s="48">
        <f t="shared" ca="1" si="5"/>
        <v>6.5540540540540539E-4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input_7100100!A$2</f>
        <v>7100100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IFERROR(VLOOKUP(B87,input_7100100!L:R,7,FALSE),VLOOKUP(tables_7100100!C87,input_7100100!A:H,8,FALSE))</f>
        <v>16490</v>
      </c>
      <c r="P87" s="48">
        <f t="shared" ca="1" si="5"/>
        <v>6.5540540540540539E-3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input_7100100!A$2</f>
        <v>7100100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IFERROR(VLOOKUP(B88,input_7100100!L:R,7,FALSE),VLOOKUP(tables_7100100!C88,input_7100100!A:H,8,FALSE))</f>
        <v>14841</v>
      </c>
      <c r="P88" s="48">
        <f t="shared" ca="1" si="5"/>
        <v>5.8986486486486489E-3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input_7100100!A$2</f>
        <v>7100100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IFERROR(VLOOKUP(B89,input_7100100!L:R,7,FALSE),VLOOKUP(tables_7100100!C89,input_7100100!A:H,8,FALSE))</f>
        <v>1649</v>
      </c>
      <c r="P89" s="48">
        <f t="shared" ca="1" si="5"/>
        <v>6.5540540540540539E-4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input_7100100!A$2</f>
        <v>7100100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IFERROR(VLOOKUP(B90,input_7100100!L:R,7,FALSE),VLOOKUP(tables_7100100!C90,input_7100100!A:H,8,FALSE))</f>
        <v>16490</v>
      </c>
      <c r="P90" s="48">
        <f t="shared" ca="1" si="5"/>
        <v>6.5540540540540539E-3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input_7100100!A$2</f>
        <v>7100100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IFERROR(VLOOKUP(B91,input_7100100!L:R,7,FALSE),VLOOKUP(tables_7100100!C91,input_7100100!A:H,8,FALSE))</f>
        <v>14841</v>
      </c>
      <c r="P91" s="48">
        <f t="shared" ca="1" si="5"/>
        <v>5.8986486486486489E-3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input_7100100!A$2</f>
        <v>7100100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IFERROR(VLOOKUP(B92,input_7100100!L:R,7,FALSE),VLOOKUP(tables_7100100!C92,input_7100100!A:H,8,FALSE))</f>
        <v>1649</v>
      </c>
      <c r="P92" s="48">
        <f t="shared" ca="1" si="5"/>
        <v>6.5540540540540539E-4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input_7100100!A$2</f>
        <v>7100100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IFERROR(VLOOKUP(B93,input_7100100!L:R,7,FALSE),VLOOKUP(tables_7100100!C93,input_7100100!A:H,8,FALSE))</f>
        <v>16490</v>
      </c>
      <c r="P93" s="48">
        <f t="shared" ca="1" si="5"/>
        <v>6.5540540540540539E-3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input_7100100!A$2</f>
        <v>7100100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IFERROR(VLOOKUP(B94,input_7100100!L:R,7,FALSE),VLOOKUP(tables_7100100!C94,input_7100100!A:H,8,FALSE))</f>
        <v>14841</v>
      </c>
      <c r="P94" s="48">
        <f t="shared" ca="1" si="5"/>
        <v>5.8986486486486489E-3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input_7100100!A$2</f>
        <v>7100100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IFERROR(VLOOKUP(B95,input_7100100!L:R,7,FALSE),VLOOKUP(tables_7100100!C95,input_7100100!A:H,8,FALSE))</f>
        <v>1649</v>
      </c>
      <c r="P95" s="48">
        <f t="shared" ca="1" si="5"/>
        <v>6.5540540540540539E-4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input_7100100!A$2</f>
        <v>7100100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IFERROR(VLOOKUP(B96,input_7100100!L:R,7,FALSE),VLOOKUP(tables_7100100!C96,input_7100100!A:H,8,FALSE))</f>
        <v>16490</v>
      </c>
      <c r="P96" s="48">
        <f t="shared" ca="1" si="5"/>
        <v>6.5540540540540539E-3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input_7100100!A$2</f>
        <v>7100100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IFERROR(VLOOKUP(B97,input_7100100!L:R,7,FALSE),VLOOKUP(tables_7100100!C97,input_7100100!A:H,8,FALSE))</f>
        <v>14841</v>
      </c>
      <c r="P97" s="48">
        <f t="shared" ca="1" si="5"/>
        <v>5.8986486486486489E-3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input_7100100!A$2</f>
        <v>7100100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IFERROR(VLOOKUP(B98,input_7100100!L:R,7,FALSE),VLOOKUP(tables_7100100!C98,input_7100100!A:H,8,FALSE))</f>
        <v>1649</v>
      </c>
      <c r="P98" s="48">
        <f t="shared" ca="1" si="5"/>
        <v>6.5540540540540539E-4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input_7100100!A$2</f>
        <v>7100100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IFERROR(VLOOKUP(B99,input_7100100!L:R,7,FALSE),VLOOKUP(tables_7100100!C99,input_7100100!A:H,8,FALSE))</f>
        <v>16490</v>
      </c>
      <c r="P99" s="48">
        <f t="shared" ca="1" si="5"/>
        <v>6.5540540540540539E-3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input_7100100!A$2</f>
        <v>7100100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IFERROR(VLOOKUP(B100,input_7100100!L:R,7,FALSE),VLOOKUP(tables_7100100!C100,input_7100100!A:H,8,FALSE))</f>
        <v>14841</v>
      </c>
      <c r="P100" s="48">
        <f t="shared" ca="1" si="5"/>
        <v>5.8986486486486489E-3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input_7100100!A$2</f>
        <v>7100100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IFERROR(VLOOKUP(B101,input_7100100!L:R,7,FALSE),VLOOKUP(tables_7100100!C101,input_7100100!A:H,8,FALSE))</f>
        <v>1649</v>
      </c>
      <c r="P101" s="48">
        <f t="shared" ca="1" si="5"/>
        <v>6.5540540540540539E-4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input_7100100!A$2</f>
        <v>7100100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IFERROR(VLOOKUP(B102,input_7100100!L:R,7,FALSE),VLOOKUP(tables_7100100!C102,input_7100100!A:H,8,FALSE))</f>
        <v>16490</v>
      </c>
      <c r="P102" s="48">
        <f t="shared" ca="1" si="5"/>
        <v>6.5540540540540539E-3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input_7100100!A$2</f>
        <v>7100100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IFERROR(VLOOKUP(B103,input_7100100!L:R,7,FALSE),VLOOKUP(tables_7100100!C103,input_7100100!A:H,8,FALSE))</f>
        <v>14841</v>
      </c>
      <c r="P103" s="48">
        <f t="shared" ca="1" si="5"/>
        <v>5.8986486486486489E-3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input_7100100!A$2</f>
        <v>7100100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IFERROR(VLOOKUP(B104,input_7100100!L:R,7,FALSE),VLOOKUP(tables_7100100!C104,input_7100100!A:H,8,FALSE))</f>
        <v>1649</v>
      </c>
      <c r="P104" s="48">
        <f t="shared" ca="1" si="5"/>
        <v>6.5540540540540539E-4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input_7100100!A$2</f>
        <v>7100100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IFERROR(VLOOKUP(B105,input_7100100!L:R,7,FALSE),VLOOKUP(tables_7100100!C105,input_7100100!A:H,8,FALSE))</f>
        <v>16490</v>
      </c>
      <c r="P105" s="48">
        <f t="shared" ca="1" si="5"/>
        <v>6.5540540540540539E-3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input_7100100!A$2</f>
        <v>7100100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IFERROR(VLOOKUP(B106,input_7100100!L:R,7,FALSE),VLOOKUP(tables_7100100!C106,input_7100100!A:H,8,FALSE))</f>
        <v>14841</v>
      </c>
      <c r="P106" s="48">
        <f t="shared" ca="1" si="5"/>
        <v>5.8986486486486489E-3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input_7100100!A$2</f>
        <v>7100100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IFERROR(VLOOKUP(B107,input_7100100!L:R,7,FALSE),VLOOKUP(tables_7100100!C107,input_7100100!A:H,8,FALSE))</f>
        <v>1649</v>
      </c>
      <c r="P107" s="48">
        <f t="shared" ca="1" si="5"/>
        <v>6.5540540540540539E-4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input_7100100!A$2</f>
        <v>7100100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IFERROR(VLOOKUP(B108,input_7100100!L:R,7,FALSE),VLOOKUP(tables_7100100!C108,input_7100100!A:H,8,FALSE))</f>
        <v>16490</v>
      </c>
      <c r="P108" s="48">
        <f t="shared" ca="1" si="5"/>
        <v>6.5540540540540539E-3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input_7100100!A$2</f>
        <v>7100100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IFERROR(VLOOKUP(B109,input_7100100!L:R,7,FALSE),VLOOKUP(tables_7100100!C109,input_7100100!A:H,8,FALSE))</f>
        <v>14841</v>
      </c>
      <c r="P109" s="48">
        <f t="shared" ca="1" si="5"/>
        <v>5.8986486486486489E-3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input_7100100!A$2</f>
        <v>7100100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IFERROR(VLOOKUP(B110,input_7100100!L:R,7,FALSE),VLOOKUP(tables_7100100!C110,input_7100100!A:H,8,FALSE))</f>
        <v>1649</v>
      </c>
      <c r="P110" s="48">
        <f t="shared" ca="1" si="5"/>
        <v>6.5540540540540539E-4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input_7100100!A$2</f>
        <v>7100100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IFERROR(VLOOKUP(B111,input_7100100!L:R,7,FALSE),VLOOKUP(tables_7100100!C111,input_7100100!A:H,8,FALSE))</f>
        <v>1110</v>
      </c>
      <c r="P111" s="48">
        <f t="shared" ca="1" si="5"/>
        <v>4.4117647058823531E-4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input_7100100!A$2</f>
        <v>7100100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IFERROR(VLOOKUP(B112,input_7100100!L:R,7,FALSE),VLOOKUP(tables_7100100!C112,input_7100100!A:H,8,FALSE))</f>
        <v>999</v>
      </c>
      <c r="P112" s="48">
        <f t="shared" ca="1" si="5"/>
        <v>3.9705882352941176E-4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input_7100100!A$2</f>
        <v>7100100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IFERROR(VLOOKUP(B113,input_7100100!L:R,7,FALSE),VLOOKUP(tables_7100100!C113,input_7100100!A:H,8,FALSE))</f>
        <v>111</v>
      </c>
      <c r="P113" s="48">
        <f t="shared" ca="1" si="5"/>
        <v>4.4117647058823532E-5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input_7100100!A$2</f>
        <v>7100100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IFERROR(VLOOKUP(B114,input_7100100!L:R,7,FALSE),VLOOKUP(tables_7100100!C114,input_7100100!A:H,8,FALSE))</f>
        <v>16490</v>
      </c>
      <c r="P114" s="48">
        <f t="shared" ca="1" si="5"/>
        <v>6.5540540540540539E-3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input_7100100!A$2</f>
        <v>7100100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IFERROR(VLOOKUP(B115,input_7100100!L:R,7,FALSE),VLOOKUP(tables_7100100!C115,input_7100100!A:H,8,FALSE))</f>
        <v>14841</v>
      </c>
      <c r="P115" s="48">
        <f t="shared" ca="1" si="5"/>
        <v>5.8986486486486489E-3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input_7100100!A$2</f>
        <v>7100100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IFERROR(VLOOKUP(B116,input_7100100!L:R,7,FALSE),VLOOKUP(tables_7100100!C116,input_7100100!A:H,8,FALSE))</f>
        <v>1649</v>
      </c>
      <c r="P116" s="48">
        <f t="shared" ca="1" si="5"/>
        <v>6.5540540540540539E-4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input_7100100!A$2</f>
        <v>7100100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IFERROR(VLOOKUP(B117,input_7100100!L:R,7,FALSE),VLOOKUP(tables_7100100!C117,input_7100100!A:H,8,FALSE))</f>
        <v>16490</v>
      </c>
      <c r="P117" s="48">
        <f t="shared" ca="1" si="5"/>
        <v>6.5540540540540539E-3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input_7100100!A$2</f>
        <v>7100100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IFERROR(VLOOKUP(B118,input_7100100!L:R,7,FALSE),VLOOKUP(tables_7100100!C118,input_7100100!A:H,8,FALSE))</f>
        <v>14841</v>
      </c>
      <c r="P118" s="48">
        <f t="shared" ca="1" si="5"/>
        <v>5.8986486486486489E-3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input_7100100!A$2</f>
        <v>7100100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IFERROR(VLOOKUP(B119,input_7100100!L:R,7,FALSE),VLOOKUP(tables_7100100!C119,input_7100100!A:H,8,FALSE))</f>
        <v>1649</v>
      </c>
      <c r="P119" s="48">
        <f t="shared" ca="1" si="5"/>
        <v>6.5540540540540539E-4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input_7100100!A$2</f>
        <v>7100100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IFERROR(VLOOKUP(B120,input_7100100!L:R,7,FALSE),VLOOKUP(tables_7100100!C120,input_7100100!A:H,8,FALSE))</f>
        <v>16490</v>
      </c>
      <c r="P120" s="48">
        <f t="shared" ca="1" si="5"/>
        <v>6.5540540540540539E-3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input_7100100!A$2</f>
        <v>7100100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IFERROR(VLOOKUP(B121,input_7100100!L:R,7,FALSE),VLOOKUP(tables_7100100!C121,input_7100100!A:H,8,FALSE))</f>
        <v>14841</v>
      </c>
      <c r="P121" s="48">
        <f t="shared" ca="1" si="5"/>
        <v>5.8986486486486489E-3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input_7100100!A$2</f>
        <v>7100100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IFERROR(VLOOKUP(B122,input_7100100!L:R,7,FALSE),VLOOKUP(tables_7100100!C122,input_7100100!A:H,8,FALSE))</f>
        <v>1649</v>
      </c>
      <c r="P122" s="48">
        <f t="shared" ca="1" si="5"/>
        <v>6.5540540540540539E-4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input_7100100!A$2</f>
        <v>7100100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IFERROR(VLOOKUP(B123,input_7100100!L:R,7,FALSE),VLOOKUP(tables_7100100!C123,input_7100100!A:H,8,FALSE))</f>
        <v>16490</v>
      </c>
      <c r="P123" s="48">
        <f t="shared" ca="1" si="5"/>
        <v>6.5540540540540539E-3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input_7100100!A$2</f>
        <v>7100100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IFERROR(VLOOKUP(B124,input_7100100!L:R,7,FALSE),VLOOKUP(tables_7100100!C124,input_7100100!A:H,8,FALSE))</f>
        <v>14841</v>
      </c>
      <c r="P124" s="48">
        <f t="shared" ca="1" si="5"/>
        <v>5.8986486486486489E-3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input_7100100!A$2</f>
        <v>7100100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IFERROR(VLOOKUP(B125,input_7100100!L:R,7,FALSE),VLOOKUP(tables_7100100!C125,input_7100100!A:H,8,FALSE))</f>
        <v>1649</v>
      </c>
      <c r="P125" s="48">
        <f t="shared" ca="1" si="5"/>
        <v>6.5540540540540539E-4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input_7100100!A$2</f>
        <v>7100100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IFERROR(VLOOKUP(B126,input_7100100!L:R,7,FALSE),VLOOKUP(tables_7100100!C126,input_7100100!A:H,8,FALSE))</f>
        <v>16490</v>
      </c>
      <c r="P126" s="48">
        <f t="shared" ca="1" si="5"/>
        <v>6.5540540540540539E-3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input_7100100!A$2</f>
        <v>7100100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IFERROR(VLOOKUP(B127,input_7100100!L:R,7,FALSE),VLOOKUP(tables_7100100!C127,input_7100100!A:H,8,FALSE))</f>
        <v>14841</v>
      </c>
      <c r="P127" s="48">
        <f t="shared" ca="1" si="5"/>
        <v>5.8986486486486489E-3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input_7100100!A$2</f>
        <v>7100100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IFERROR(VLOOKUP(B128,input_7100100!L:R,7,FALSE),VLOOKUP(tables_7100100!C128,input_7100100!A:H,8,FALSE))</f>
        <v>1649</v>
      </c>
      <c r="P128" s="48">
        <f t="shared" ca="1" si="5"/>
        <v>6.5540540540540539E-4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input_7100100!A$2</f>
        <v>7100100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IFERROR(VLOOKUP(B129,input_7100100!L:R,7,FALSE),VLOOKUP(tables_7100100!C129,input_7100100!A:H,8,FALSE))</f>
        <v>16490</v>
      </c>
      <c r="P129" s="48">
        <f t="shared" ca="1" si="5"/>
        <v>6.5540540540540539E-3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input_7100100!A$2</f>
        <v>7100100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IFERROR(VLOOKUP(B130,input_7100100!L:R,7,FALSE),VLOOKUP(tables_7100100!C130,input_7100100!A:H,8,FALSE))</f>
        <v>14841</v>
      </c>
      <c r="P130" s="48">
        <f t="shared" ca="1" si="5"/>
        <v>5.8986486486486489E-3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input_7100100!A$2</f>
        <v>7100100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IFERROR(VLOOKUP(B131,input_7100100!L:R,7,FALSE),VLOOKUP(tables_7100100!C131,input_7100100!A:H,8,FALSE))</f>
        <v>1649</v>
      </c>
      <c r="P131" s="48">
        <f t="shared" ca="1" si="5"/>
        <v>6.5540540540540539E-4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input_7100100!A$2</f>
        <v>7100100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IFERROR(VLOOKUP(B132,input_7100100!L:R,7,FALSE),VLOOKUP(tables_7100100!C132,input_7100100!A:H,8,FALSE))</f>
        <v>16490</v>
      </c>
      <c r="P132" s="48">
        <f t="shared" ca="1" si="5"/>
        <v>6.5540540540540539E-3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input_7100100!A$2</f>
        <v>7100100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IFERROR(VLOOKUP(B133,input_7100100!L:R,7,FALSE),VLOOKUP(tables_7100100!C133,input_7100100!A:H,8,FALSE))</f>
        <v>14841</v>
      </c>
      <c r="P133" s="48">
        <f t="shared" ca="1" si="5"/>
        <v>5.8986486486486489E-3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input_7100100!A$2</f>
        <v>7100100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IFERROR(VLOOKUP(B134,input_7100100!L:R,7,FALSE),VLOOKUP(tables_7100100!C134,input_7100100!A:H,8,FALSE))</f>
        <v>1649</v>
      </c>
      <c r="P134" s="48">
        <f t="shared" ca="1" si="5"/>
        <v>6.5540540540540539E-4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input_7100100!A$2</f>
        <v>7100100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IFERROR(VLOOKUP(B135,input_7100100!L:R,7,FALSE),VLOOKUP(tables_7100100!C135,input_7100100!A:H,8,FALSE))</f>
        <v>16490</v>
      </c>
      <c r="P135" s="48">
        <f t="shared" ca="1" si="5"/>
        <v>6.5540540540540539E-3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input_7100100!A$2</f>
        <v>7100100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IFERROR(VLOOKUP(B136,input_7100100!L:R,7,FALSE),VLOOKUP(tables_7100100!C136,input_7100100!A:H,8,FALSE))</f>
        <v>14841</v>
      </c>
      <c r="P136" s="48">
        <f t="shared" ca="1" si="5"/>
        <v>5.8986486486486489E-3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input_7100100!A$2</f>
        <v>7100100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IFERROR(VLOOKUP(B137,input_7100100!L:R,7,FALSE),VLOOKUP(tables_7100100!C137,input_7100100!A:H,8,FALSE))</f>
        <v>1649</v>
      </c>
      <c r="P137" s="48">
        <f t="shared" ca="1" si="5"/>
        <v>6.5540540540540539E-4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input_7100100!A$2</f>
        <v>7100100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IFERROR(VLOOKUP(B138,input_7100100!L:R,7,FALSE),VLOOKUP(tables_7100100!C138,input_7100100!A:H,8,FALSE))</f>
        <v>2109</v>
      </c>
      <c r="P138" s="48">
        <f t="shared" ca="1" si="5"/>
        <v>8.3823529411764701E-4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input_7100100!A$2</f>
        <v>7100100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IFERROR(VLOOKUP(B139,input_7100100!L:R,7,FALSE),VLOOKUP(tables_7100100!C139,input_7100100!A:H,8,FALSE))</f>
        <v>111</v>
      </c>
      <c r="P139" s="48">
        <f t="shared" ca="1" si="5"/>
        <v>4.4117647058823532E-5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input_7100100!A$2</f>
        <v>7100100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IFERROR(VLOOKUP(B140,input_7100100!L:R,7,FALSE),VLOOKUP(tables_7100100!C140,input_7100100!A:H,8,FALSE))</f>
        <v>2109</v>
      </c>
      <c r="P140" s="48">
        <f t="shared" ca="1" si="5"/>
        <v>8.3823529411764701E-4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input_7100100!A$2</f>
        <v>7100100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IFERROR(VLOOKUP(B141,input_7100100!L:R,7,FALSE),VLOOKUP(tables_7100100!C141,input_7100100!A:H,8,FALSE))</f>
        <v>111</v>
      </c>
      <c r="P141" s="48">
        <f t="shared" ca="1" si="5"/>
        <v>4.4117647058823532E-5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input_7100100!A$2</f>
        <v>7100100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IFERROR(VLOOKUP(B142,input_7100100!L:R,7,FALSE),VLOOKUP(tables_7100100!C142,input_7100100!A:H,8,FALSE))</f>
        <v>2109</v>
      </c>
      <c r="P142" s="48">
        <f t="shared" ca="1" si="5"/>
        <v>8.3823529411764701E-4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input_7100100!A$2</f>
        <v>7100100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IFERROR(VLOOKUP(B143,input_7100100!L:R,7,FALSE),VLOOKUP(tables_7100100!C143,input_7100100!A:H,8,FALSE))</f>
        <v>111</v>
      </c>
      <c r="P143" s="48">
        <f t="shared" ref="P143:P206" ca="1" si="8">O143/SUM(O:O)</f>
        <v>4.4117647058823532E-5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input_7100100!A$2</f>
        <v>7100100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IFERROR(VLOOKUP(B144,input_7100100!L:R,7,FALSE),VLOOKUP(tables_7100100!C144,input_7100100!A:H,8,FALSE))</f>
        <v>2109</v>
      </c>
      <c r="P144" s="48">
        <f t="shared" ca="1" si="8"/>
        <v>8.3823529411764701E-4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input_7100100!A$2</f>
        <v>7100100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IFERROR(VLOOKUP(B145,input_7100100!L:R,7,FALSE),VLOOKUP(tables_7100100!C145,input_7100100!A:H,8,FALSE))</f>
        <v>111</v>
      </c>
      <c r="P145" s="48">
        <f t="shared" ca="1" si="8"/>
        <v>4.4117647058823532E-5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input_7100100!A$2</f>
        <v>7100100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IFERROR(VLOOKUP(B146,input_7100100!L:R,7,FALSE),VLOOKUP(tables_7100100!C146,input_7100100!A:H,8,FALSE))</f>
        <v>16490</v>
      </c>
      <c r="P146" s="48">
        <f t="shared" ca="1" si="8"/>
        <v>6.5540540540540539E-3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input_7100100!A$2</f>
        <v>7100100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IFERROR(VLOOKUP(B147,input_7100100!L:R,7,FALSE),VLOOKUP(tables_7100100!C147,input_7100100!A:H,8,FALSE))</f>
        <v>14841</v>
      </c>
      <c r="P147" s="48">
        <f t="shared" ca="1" si="8"/>
        <v>5.8986486486486489E-3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input_7100100!A$2</f>
        <v>7100100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IFERROR(VLOOKUP(B148,input_7100100!L:R,7,FALSE),VLOOKUP(tables_7100100!C148,input_7100100!A:H,8,FALSE))</f>
        <v>1649</v>
      </c>
      <c r="P148" s="48">
        <f t="shared" ca="1" si="8"/>
        <v>6.5540540540540539E-4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input_7100100!A$2</f>
        <v>7100100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IFERROR(VLOOKUP(B149,input_7100100!L:R,7,FALSE),VLOOKUP(tables_7100100!C149,input_7100100!A:H,8,FALSE))</f>
        <v>2109</v>
      </c>
      <c r="P149" s="48">
        <f t="shared" ca="1" si="8"/>
        <v>8.3823529411764701E-4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input_7100100!A$2</f>
        <v>7100100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IFERROR(VLOOKUP(B150,input_7100100!L:R,7,FALSE),VLOOKUP(tables_7100100!C150,input_7100100!A:H,8,FALSE))</f>
        <v>111</v>
      </c>
      <c r="P150" s="48">
        <f t="shared" ca="1" si="8"/>
        <v>4.4117647058823532E-5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input_7100100!A$2</f>
        <v>7100100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IFERROR(VLOOKUP(B151,input_7100100!L:R,7,FALSE),VLOOKUP(tables_7100100!C151,input_7100100!A:H,8,FALSE))</f>
        <v>2109</v>
      </c>
      <c r="P151" s="48">
        <f t="shared" ca="1" si="8"/>
        <v>8.3823529411764701E-4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input_7100100!A$2</f>
        <v>7100100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IFERROR(VLOOKUP(B152,input_7100100!L:R,7,FALSE),VLOOKUP(tables_7100100!C152,input_7100100!A:H,8,FALSE))</f>
        <v>111</v>
      </c>
      <c r="P152" s="48">
        <f t="shared" ca="1" si="8"/>
        <v>4.4117647058823532E-5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input_7100100!A$2</f>
        <v>7100100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IFERROR(VLOOKUP(B153,input_7100100!L:R,7,FALSE),VLOOKUP(tables_7100100!C153,input_7100100!A:H,8,FALSE))</f>
        <v>16490</v>
      </c>
      <c r="P153" s="48">
        <f t="shared" ca="1" si="8"/>
        <v>6.5540540540540539E-3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input_7100100!A$2</f>
        <v>7100100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IFERROR(VLOOKUP(B154,input_7100100!L:R,7,FALSE),VLOOKUP(tables_7100100!C154,input_7100100!A:H,8,FALSE))</f>
        <v>14841</v>
      </c>
      <c r="P154" s="48">
        <f t="shared" ca="1" si="8"/>
        <v>5.8986486486486489E-3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input_7100100!A$2</f>
        <v>7100100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IFERROR(VLOOKUP(B155,input_7100100!L:R,7,FALSE),VLOOKUP(tables_7100100!C155,input_7100100!A:H,8,FALSE))</f>
        <v>1649</v>
      </c>
      <c r="P155" s="48">
        <f t="shared" ca="1" si="8"/>
        <v>6.5540540540540539E-4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input_7100100!A$2</f>
        <v>7100100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IFERROR(VLOOKUP(B156,input_7100100!L:R,7,FALSE),VLOOKUP(tables_7100100!C156,input_7100100!A:H,8,FALSE))</f>
        <v>2109</v>
      </c>
      <c r="P156" s="48">
        <f t="shared" ca="1" si="8"/>
        <v>8.3823529411764701E-4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input_7100100!A$2</f>
        <v>7100100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IFERROR(VLOOKUP(B157,input_7100100!L:R,7,FALSE),VLOOKUP(tables_7100100!C157,input_7100100!A:H,8,FALSE))</f>
        <v>111</v>
      </c>
      <c r="P157" s="48">
        <f t="shared" ca="1" si="8"/>
        <v>4.4117647058823532E-5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input_7100100!A$2</f>
        <v>7100100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IFERROR(VLOOKUP(B158,input_7100100!L:R,7,FALSE),VLOOKUP(tables_7100100!C158,input_7100100!A:H,8,FALSE))</f>
        <v>16490</v>
      </c>
      <c r="P158" s="48">
        <f t="shared" ca="1" si="8"/>
        <v>6.5540540540540539E-3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input_7100100!A$2</f>
        <v>7100100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IFERROR(VLOOKUP(B159,input_7100100!L:R,7,FALSE),VLOOKUP(tables_7100100!C159,input_7100100!A:H,8,FALSE))</f>
        <v>14841</v>
      </c>
      <c r="P159" s="48">
        <f t="shared" ca="1" si="8"/>
        <v>5.8986486486486489E-3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input_7100100!A$2</f>
        <v>7100100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IFERROR(VLOOKUP(B160,input_7100100!L:R,7,FALSE),VLOOKUP(tables_7100100!C160,input_7100100!A:H,8,FALSE))</f>
        <v>1649</v>
      </c>
      <c r="P160" s="48">
        <f t="shared" ca="1" si="8"/>
        <v>6.5540540540540539E-4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input_7100100!A$2</f>
        <v>7100100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IFERROR(VLOOKUP(B161,input_7100100!L:R,7,FALSE),VLOOKUP(tables_7100100!C161,input_7100100!A:H,8,FALSE))</f>
        <v>16490</v>
      </c>
      <c r="P161" s="48">
        <f t="shared" ca="1" si="8"/>
        <v>6.5540540540540539E-3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input_7100100!A$2</f>
        <v>7100100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IFERROR(VLOOKUP(B162,input_7100100!L:R,7,FALSE),VLOOKUP(tables_7100100!C162,input_7100100!A:H,8,FALSE))</f>
        <v>14841</v>
      </c>
      <c r="P162" s="48">
        <f t="shared" ca="1" si="8"/>
        <v>5.8986486486486489E-3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input_7100100!A$2</f>
        <v>7100100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IFERROR(VLOOKUP(B163,input_7100100!L:R,7,FALSE),VLOOKUP(tables_7100100!C163,input_7100100!A:H,8,FALSE))</f>
        <v>1649</v>
      </c>
      <c r="P163" s="48">
        <f t="shared" ca="1" si="8"/>
        <v>6.5540540540540539E-4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input_7100100!A$2</f>
        <v>7100100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IFERROR(VLOOKUP(B164,input_7100100!L:R,7,FALSE),VLOOKUP(tables_7100100!C164,input_7100100!A:H,8,FALSE))</f>
        <v>2109</v>
      </c>
      <c r="P164" s="48">
        <f t="shared" ca="1" si="8"/>
        <v>8.3823529411764701E-4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input_7100100!A$2</f>
        <v>7100100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IFERROR(VLOOKUP(B165,input_7100100!L:R,7,FALSE),VLOOKUP(tables_7100100!C165,input_7100100!A:H,8,FALSE))</f>
        <v>111</v>
      </c>
      <c r="P165" s="48">
        <f t="shared" ca="1" si="8"/>
        <v>4.4117647058823532E-5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input_7100100!A$2</f>
        <v>7100100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IFERROR(VLOOKUP(B166,input_7100100!L:R,7,FALSE),VLOOKUP(tables_7100100!C166,input_7100100!A:H,8,FALSE))</f>
        <v>16490</v>
      </c>
      <c r="P166" s="48">
        <f t="shared" ca="1" si="8"/>
        <v>6.5540540540540539E-3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input_7100100!A$2</f>
        <v>7100100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IFERROR(VLOOKUP(B167,input_7100100!L:R,7,FALSE),VLOOKUP(tables_7100100!C167,input_7100100!A:H,8,FALSE))</f>
        <v>14841</v>
      </c>
      <c r="P167" s="48">
        <f t="shared" ca="1" si="8"/>
        <v>5.8986486486486489E-3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input_7100100!A$2</f>
        <v>7100100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IFERROR(VLOOKUP(B168,input_7100100!L:R,7,FALSE),VLOOKUP(tables_7100100!C168,input_7100100!A:H,8,FALSE))</f>
        <v>1649</v>
      </c>
      <c r="P168" s="48">
        <f t="shared" ca="1" si="8"/>
        <v>6.5540540540540539E-4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input_7100100!A$2</f>
        <v>7100100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IFERROR(VLOOKUP(B169,input_7100100!L:R,7,FALSE),VLOOKUP(tables_7100100!C169,input_7100100!A:H,8,FALSE))</f>
        <v>2109</v>
      </c>
      <c r="P169" s="48">
        <f t="shared" ca="1" si="8"/>
        <v>8.3823529411764701E-4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input_7100100!A$2</f>
        <v>7100100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IFERROR(VLOOKUP(B170,input_7100100!L:R,7,FALSE),VLOOKUP(tables_7100100!C170,input_7100100!A:H,8,FALSE))</f>
        <v>111</v>
      </c>
      <c r="P170" s="48">
        <f t="shared" ca="1" si="8"/>
        <v>4.4117647058823532E-5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input_7100100!A$2</f>
        <v>7100100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IFERROR(VLOOKUP(B171,input_7100100!L:R,7,FALSE),VLOOKUP(tables_7100100!C171,input_7100100!A:H,8,FALSE))</f>
        <v>16490</v>
      </c>
      <c r="P171" s="48">
        <f t="shared" ca="1" si="8"/>
        <v>6.5540540540540539E-3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input_7100100!A$2</f>
        <v>7100100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IFERROR(VLOOKUP(B172,input_7100100!L:R,7,FALSE),VLOOKUP(tables_7100100!C172,input_7100100!A:H,8,FALSE))</f>
        <v>14841</v>
      </c>
      <c r="P172" s="48">
        <f t="shared" ca="1" si="8"/>
        <v>5.8986486486486489E-3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input_7100100!A$2</f>
        <v>7100100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IFERROR(VLOOKUP(B173,input_7100100!L:R,7,FALSE),VLOOKUP(tables_7100100!C173,input_7100100!A:H,8,FALSE))</f>
        <v>1649</v>
      </c>
      <c r="P173" s="48">
        <f t="shared" ca="1" si="8"/>
        <v>6.5540540540540539E-4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input_7100100!A$2</f>
        <v>7100100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IFERROR(VLOOKUP(B174,input_7100100!L:R,7,FALSE),VLOOKUP(tables_7100100!C174,input_7100100!A:H,8,FALSE))</f>
        <v>2109</v>
      </c>
      <c r="P174" s="48">
        <f t="shared" ca="1" si="8"/>
        <v>8.3823529411764701E-4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input_7100100!A$2</f>
        <v>7100100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IFERROR(VLOOKUP(B175,input_7100100!L:R,7,FALSE),VLOOKUP(tables_7100100!C175,input_7100100!A:H,8,FALSE))</f>
        <v>111</v>
      </c>
      <c r="P175" s="48">
        <f t="shared" ca="1" si="8"/>
        <v>4.4117647058823532E-5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input_7100100!A$2</f>
        <v>7100100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IFERROR(VLOOKUP(B176,input_7100100!L:R,7,FALSE),VLOOKUP(tables_7100100!C176,input_7100100!A:H,8,FALSE))</f>
        <v>2109</v>
      </c>
      <c r="P176" s="48">
        <f t="shared" ca="1" si="8"/>
        <v>8.3823529411764701E-4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input_7100100!A$2</f>
        <v>7100100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IFERROR(VLOOKUP(B177,input_7100100!L:R,7,FALSE),VLOOKUP(tables_7100100!C177,input_7100100!A:H,8,FALSE))</f>
        <v>111</v>
      </c>
      <c r="P177" s="48">
        <f t="shared" ca="1" si="8"/>
        <v>4.4117647058823532E-5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input_7100100!A$2</f>
        <v>7100100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IFERROR(VLOOKUP(B178,input_7100100!L:R,7,FALSE),VLOOKUP(tables_7100100!C178,input_7100100!A:H,8,FALSE))</f>
        <v>16490</v>
      </c>
      <c r="P178" s="48">
        <f t="shared" ca="1" si="8"/>
        <v>6.5540540540540539E-3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input_7100100!A$2</f>
        <v>7100100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IFERROR(VLOOKUP(B179,input_7100100!L:R,7,FALSE),VLOOKUP(tables_7100100!C179,input_7100100!A:H,8,FALSE))</f>
        <v>14841</v>
      </c>
      <c r="P179" s="48">
        <f t="shared" ca="1" si="8"/>
        <v>5.8986486486486489E-3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input_7100100!A$2</f>
        <v>7100100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IFERROR(VLOOKUP(B180,input_7100100!L:R,7,FALSE),VLOOKUP(tables_7100100!C180,input_7100100!A:H,8,FALSE))</f>
        <v>1649</v>
      </c>
      <c r="P180" s="48">
        <f t="shared" ca="1" si="8"/>
        <v>6.5540540540540539E-4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input_7100100!A$2</f>
        <v>7100100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IFERROR(VLOOKUP(B181,input_7100100!L:R,7,FALSE),VLOOKUP(tables_7100100!C181,input_7100100!A:H,8,FALSE))</f>
        <v>16490</v>
      </c>
      <c r="P181" s="48">
        <f t="shared" ca="1" si="8"/>
        <v>6.5540540540540539E-3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input_7100100!A$2</f>
        <v>7100100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IFERROR(VLOOKUP(B182,input_7100100!L:R,7,FALSE),VLOOKUP(tables_7100100!C182,input_7100100!A:H,8,FALSE))</f>
        <v>14841</v>
      </c>
      <c r="P182" s="48">
        <f t="shared" ca="1" si="8"/>
        <v>5.8986486486486489E-3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input_7100100!A$2</f>
        <v>7100100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IFERROR(VLOOKUP(B183,input_7100100!L:R,7,FALSE),VLOOKUP(tables_7100100!C183,input_7100100!A:H,8,FALSE))</f>
        <v>1649</v>
      </c>
      <c r="P183" s="48">
        <f t="shared" ca="1" si="8"/>
        <v>6.5540540540540539E-4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input_7100100!A$2</f>
        <v>7100100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IFERROR(VLOOKUP(B184,input_7100100!L:R,7,FALSE),VLOOKUP(tables_7100100!C184,input_7100100!A:H,8,FALSE))</f>
        <v>2109</v>
      </c>
      <c r="P184" s="48">
        <f t="shared" ca="1" si="8"/>
        <v>8.3823529411764701E-4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input_7100100!A$2</f>
        <v>7100100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IFERROR(VLOOKUP(B185,input_7100100!L:R,7,FALSE),VLOOKUP(tables_7100100!C185,input_7100100!A:H,8,FALSE))</f>
        <v>111</v>
      </c>
      <c r="P185" s="48">
        <f t="shared" ca="1" si="8"/>
        <v>4.4117647058823532E-5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input_7100100!A$2</f>
        <v>7100100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IFERROR(VLOOKUP(B186,input_7100100!L:R,7,FALSE),VLOOKUP(tables_7100100!C186,input_7100100!A:H,8,FALSE))</f>
        <v>16490</v>
      </c>
      <c r="P186" s="48">
        <f t="shared" ca="1" si="8"/>
        <v>6.5540540540540539E-3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input_7100100!A$2</f>
        <v>7100100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IFERROR(VLOOKUP(B187,input_7100100!L:R,7,FALSE),VLOOKUP(tables_7100100!C187,input_7100100!A:H,8,FALSE))</f>
        <v>14841</v>
      </c>
      <c r="P187" s="48">
        <f t="shared" ca="1" si="8"/>
        <v>5.8986486486486489E-3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input_7100100!A$2</f>
        <v>7100100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IFERROR(VLOOKUP(B188,input_7100100!L:R,7,FALSE),VLOOKUP(tables_7100100!C188,input_7100100!A:H,8,FALSE))</f>
        <v>1649</v>
      </c>
      <c r="P188" s="48">
        <f t="shared" ca="1" si="8"/>
        <v>6.5540540540540539E-4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input_7100100!A$2</f>
        <v>7100100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IFERROR(VLOOKUP(B189,input_7100100!L:R,7,FALSE),VLOOKUP(tables_7100100!C189,input_7100100!A:H,8,FALSE))</f>
        <v>2109</v>
      </c>
      <c r="P189" s="48">
        <f t="shared" ca="1" si="8"/>
        <v>8.3823529411764701E-4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input_7100100!A$2</f>
        <v>7100100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IFERROR(VLOOKUP(B190,input_7100100!L:R,7,FALSE),VLOOKUP(tables_7100100!C190,input_7100100!A:H,8,FALSE))</f>
        <v>111</v>
      </c>
      <c r="P190" s="48">
        <f t="shared" ca="1" si="8"/>
        <v>4.4117647058823532E-5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input_7100100!A$2</f>
        <v>7100100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IFERROR(VLOOKUP(B191,input_7100100!L:R,7,FALSE),VLOOKUP(tables_7100100!C191,input_7100100!A:H,8,FALSE))</f>
        <v>2109</v>
      </c>
      <c r="P191" s="48">
        <f t="shared" ca="1" si="8"/>
        <v>8.3823529411764701E-4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input_7100100!A$2</f>
        <v>7100100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IFERROR(VLOOKUP(B192,input_7100100!L:R,7,FALSE),VLOOKUP(tables_7100100!C192,input_7100100!A:H,8,FALSE))</f>
        <v>111</v>
      </c>
      <c r="P192" s="48">
        <f t="shared" ca="1" si="8"/>
        <v>4.4117647058823532E-5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input_7100100!A$2</f>
        <v>7100100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IFERROR(VLOOKUP(B193,input_7100100!L:R,7,FALSE),VLOOKUP(tables_7100100!C193,input_7100100!A:H,8,FALSE))</f>
        <v>16490</v>
      </c>
      <c r="P193" s="48">
        <f t="shared" ca="1" si="8"/>
        <v>6.5540540540540539E-3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input_7100100!A$2</f>
        <v>7100100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IFERROR(VLOOKUP(B194,input_7100100!L:R,7,FALSE),VLOOKUP(tables_7100100!C194,input_7100100!A:H,8,FALSE))</f>
        <v>14841</v>
      </c>
      <c r="P194" s="48">
        <f t="shared" ca="1" si="8"/>
        <v>5.8986486486486489E-3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input_7100100!A$2</f>
        <v>7100100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IFERROR(VLOOKUP(B195,input_7100100!L:R,7,FALSE),VLOOKUP(tables_7100100!C195,input_7100100!A:H,8,FALSE))</f>
        <v>1649</v>
      </c>
      <c r="P195" s="48">
        <f t="shared" ca="1" si="8"/>
        <v>6.5540540540540539E-4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input_7100100!A$2</f>
        <v>7100100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IFERROR(VLOOKUP(B196,input_7100100!L:R,7,FALSE),VLOOKUP(tables_7100100!C196,input_7100100!A:H,8,FALSE))</f>
        <v>2109</v>
      </c>
      <c r="P196" s="48">
        <f t="shared" ca="1" si="8"/>
        <v>8.3823529411764701E-4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input_7100100!A$2</f>
        <v>7100100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IFERROR(VLOOKUP(B197,input_7100100!L:R,7,FALSE),VLOOKUP(tables_7100100!C197,input_7100100!A:H,8,FALSE))</f>
        <v>111</v>
      </c>
      <c r="P197" s="48">
        <f t="shared" ca="1" si="8"/>
        <v>4.4117647058823532E-5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input_7100100!A$2</f>
        <v>7100100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IFERROR(VLOOKUP(B198,input_7100100!L:R,7,FALSE),VLOOKUP(tables_7100100!C198,input_7100100!A:H,8,FALSE))</f>
        <v>16490</v>
      </c>
      <c r="P198" s="48">
        <f t="shared" ca="1" si="8"/>
        <v>6.5540540540540539E-3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input_7100100!A$2</f>
        <v>7100100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IFERROR(VLOOKUP(B199,input_7100100!L:R,7,FALSE),VLOOKUP(tables_7100100!C199,input_7100100!A:H,8,FALSE))</f>
        <v>14841</v>
      </c>
      <c r="P199" s="48">
        <f t="shared" ca="1" si="8"/>
        <v>5.8986486486486489E-3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input_7100100!A$2</f>
        <v>7100100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IFERROR(VLOOKUP(B200,input_7100100!L:R,7,FALSE),VLOOKUP(tables_7100100!C200,input_7100100!A:H,8,FALSE))</f>
        <v>1649</v>
      </c>
      <c r="P200" s="48">
        <f t="shared" ca="1" si="8"/>
        <v>6.5540540540540539E-4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input_7100100!A$2</f>
        <v>7100100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IFERROR(VLOOKUP(B201,input_7100100!L:R,7,FALSE),VLOOKUP(tables_7100100!C201,input_7100100!A:H,8,FALSE))</f>
        <v>2109</v>
      </c>
      <c r="P201" s="48">
        <f t="shared" ca="1" si="8"/>
        <v>8.3823529411764701E-4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input_7100100!A$2</f>
        <v>7100100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IFERROR(VLOOKUP(B202,input_7100100!L:R,7,FALSE),VLOOKUP(tables_7100100!C202,input_7100100!A:H,8,FALSE))</f>
        <v>111</v>
      </c>
      <c r="P202" s="48">
        <f t="shared" ca="1" si="8"/>
        <v>4.4117647058823532E-5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input_7100100!A$2</f>
        <v>7100100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IFERROR(VLOOKUP(B203,input_7100100!L:R,7,FALSE),VLOOKUP(tables_7100100!C203,input_7100100!A:H,8,FALSE))</f>
        <v>16490</v>
      </c>
      <c r="P203" s="48">
        <f t="shared" ca="1" si="8"/>
        <v>6.5540540540540539E-3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input_7100100!A$2</f>
        <v>7100100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IFERROR(VLOOKUP(B204,input_7100100!L:R,7,FALSE),VLOOKUP(tables_7100100!C204,input_7100100!A:H,8,FALSE))</f>
        <v>14841</v>
      </c>
      <c r="P204" s="48">
        <f t="shared" ca="1" si="8"/>
        <v>5.8986486486486489E-3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input_7100100!A$2</f>
        <v>7100100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IFERROR(VLOOKUP(B205,input_7100100!L:R,7,FALSE),VLOOKUP(tables_7100100!C205,input_7100100!A:H,8,FALSE))</f>
        <v>1649</v>
      </c>
      <c r="P205" s="48">
        <f t="shared" ca="1" si="8"/>
        <v>6.5540540540540539E-4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input_7100100!A$2</f>
        <v>7100100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IFERROR(VLOOKUP(B206,input_7100100!L:R,7,FALSE),VLOOKUP(tables_7100100!C206,input_7100100!A:H,8,FALSE))</f>
        <v>2109</v>
      </c>
      <c r="P206" s="48">
        <f t="shared" ca="1" si="8"/>
        <v>8.3823529411764701E-4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input_7100100!A$2</f>
        <v>7100100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IFERROR(VLOOKUP(B207,input_7100100!L:R,7,FALSE),VLOOKUP(tables_7100100!C207,input_7100100!A:H,8,FALSE))</f>
        <v>111</v>
      </c>
      <c r="P207" s="48">
        <f t="shared" ref="P207:P270" ca="1" si="11">O207/SUM(O:O)</f>
        <v>4.4117647058823532E-5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input_7100100!A$2</f>
        <v>7100100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IFERROR(VLOOKUP(B208,input_7100100!L:R,7,FALSE),VLOOKUP(tables_7100100!C208,input_7100100!A:H,8,FALSE))</f>
        <v>2109</v>
      </c>
      <c r="P208" s="48">
        <f t="shared" ca="1" si="11"/>
        <v>8.3823529411764701E-4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input_7100100!A$2</f>
        <v>7100100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IFERROR(VLOOKUP(B209,input_7100100!L:R,7,FALSE),VLOOKUP(tables_7100100!C209,input_7100100!A:H,8,FALSE))</f>
        <v>111</v>
      </c>
      <c r="P209" s="48">
        <f t="shared" ca="1" si="11"/>
        <v>4.4117647058823532E-5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input_7100100!A$2</f>
        <v>7100100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IFERROR(VLOOKUP(B210,input_7100100!L:R,7,FALSE),VLOOKUP(tables_7100100!C210,input_7100100!A:H,8,FALSE))</f>
        <v>16490</v>
      </c>
      <c r="P210" s="48">
        <f t="shared" ca="1" si="11"/>
        <v>6.5540540540540539E-3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input_7100100!A$2</f>
        <v>7100100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IFERROR(VLOOKUP(B211,input_7100100!L:R,7,FALSE),VLOOKUP(tables_7100100!C211,input_7100100!A:H,8,FALSE))</f>
        <v>14841</v>
      </c>
      <c r="P211" s="48">
        <f t="shared" ca="1" si="11"/>
        <v>5.8986486486486489E-3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input_7100100!A$2</f>
        <v>7100100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IFERROR(VLOOKUP(B212,input_7100100!L:R,7,FALSE),VLOOKUP(tables_7100100!C212,input_7100100!A:H,8,FALSE))</f>
        <v>1649</v>
      </c>
      <c r="P212" s="48">
        <f t="shared" ca="1" si="11"/>
        <v>6.5540540540540539E-4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input_7100100!A$2</f>
        <v>7100100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IFERROR(VLOOKUP(B213,input_7100100!L:R,7,FALSE),VLOOKUP(tables_7100100!C213,input_7100100!A:H,8,FALSE))</f>
        <v>2109</v>
      </c>
      <c r="P213" s="48">
        <f t="shared" ca="1" si="11"/>
        <v>8.3823529411764701E-4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input_7100100!A$2</f>
        <v>7100100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IFERROR(VLOOKUP(B214,input_7100100!L:R,7,FALSE),VLOOKUP(tables_7100100!C214,input_7100100!A:H,8,FALSE))</f>
        <v>111</v>
      </c>
      <c r="P214" s="48">
        <f t="shared" ca="1" si="11"/>
        <v>4.4117647058823532E-5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input_7100100!A$2</f>
        <v>7100100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IFERROR(VLOOKUP(B215,input_7100100!L:R,7,FALSE),VLOOKUP(tables_7100100!C215,input_7100100!A:H,8,FALSE))</f>
        <v>2109</v>
      </c>
      <c r="P215" s="48">
        <f t="shared" ca="1" si="11"/>
        <v>8.3823529411764701E-4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input_7100100!A$2</f>
        <v>7100100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IFERROR(VLOOKUP(B216,input_7100100!L:R,7,FALSE),VLOOKUP(tables_7100100!C216,input_7100100!A:H,8,FALSE))</f>
        <v>111</v>
      </c>
      <c r="P216" s="48">
        <f t="shared" ca="1" si="11"/>
        <v>4.4117647058823532E-5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input_7100100!A$2</f>
        <v>7100100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IFERROR(VLOOKUP(B217,input_7100100!L:R,7,FALSE),VLOOKUP(tables_7100100!C217,input_7100100!A:H,8,FALSE))</f>
        <v>16490</v>
      </c>
      <c r="P217" s="48">
        <f t="shared" ca="1" si="11"/>
        <v>6.5540540540540539E-3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input_7100100!A$2</f>
        <v>7100100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IFERROR(VLOOKUP(B218,input_7100100!L:R,7,FALSE),VLOOKUP(tables_7100100!C218,input_7100100!A:H,8,FALSE))</f>
        <v>14841</v>
      </c>
      <c r="P218" s="48">
        <f t="shared" ca="1" si="11"/>
        <v>5.8986486486486489E-3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input_7100100!A$2</f>
        <v>7100100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IFERROR(VLOOKUP(B219,input_7100100!L:R,7,FALSE),VLOOKUP(tables_7100100!C219,input_7100100!A:H,8,FALSE))</f>
        <v>1649</v>
      </c>
      <c r="P219" s="48">
        <f t="shared" ca="1" si="11"/>
        <v>6.5540540540540539E-4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input_7100100!A$2</f>
        <v>7100100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IFERROR(VLOOKUP(B220,input_7100100!L:R,7,FALSE),VLOOKUP(tables_7100100!C220,input_7100100!A:H,8,FALSE))</f>
        <v>16490</v>
      </c>
      <c r="P220" s="48">
        <f t="shared" ca="1" si="11"/>
        <v>6.5540540540540539E-3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input_7100100!A$2</f>
        <v>7100100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IFERROR(VLOOKUP(B221,input_7100100!L:R,7,FALSE),VLOOKUP(tables_7100100!C221,input_7100100!A:H,8,FALSE))</f>
        <v>14841</v>
      </c>
      <c r="P221" s="48">
        <f t="shared" ca="1" si="11"/>
        <v>5.8986486486486489E-3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input_7100100!A$2</f>
        <v>7100100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IFERROR(VLOOKUP(B222,input_7100100!L:R,7,FALSE),VLOOKUP(tables_7100100!C222,input_7100100!A:H,8,FALSE))</f>
        <v>1649</v>
      </c>
      <c r="P222" s="48">
        <f t="shared" ca="1" si="11"/>
        <v>6.5540540540540539E-4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input_7100100!A$2</f>
        <v>7100100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IFERROR(VLOOKUP(B223,input_7100100!L:R,7,FALSE),VLOOKUP(tables_7100100!C223,input_7100100!A:H,8,FALSE))</f>
        <v>2109</v>
      </c>
      <c r="P223" s="48">
        <f t="shared" ca="1" si="11"/>
        <v>8.3823529411764701E-4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input_7100100!A$2</f>
        <v>7100100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IFERROR(VLOOKUP(B224,input_7100100!L:R,7,FALSE),VLOOKUP(tables_7100100!C224,input_7100100!A:H,8,FALSE))</f>
        <v>111</v>
      </c>
      <c r="P224" s="48">
        <f t="shared" ca="1" si="11"/>
        <v>4.4117647058823532E-5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input_7100100!A$2</f>
        <v>7100100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IFERROR(VLOOKUP(B225,input_7100100!L:R,7,FALSE),VLOOKUP(tables_7100100!C225,input_7100100!A:H,8,FALSE))</f>
        <v>16490</v>
      </c>
      <c r="P225" s="48">
        <f t="shared" ca="1" si="11"/>
        <v>6.5540540540540539E-3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input_7100100!A$2</f>
        <v>7100100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IFERROR(VLOOKUP(B226,input_7100100!L:R,7,FALSE),VLOOKUP(tables_7100100!C226,input_7100100!A:H,8,FALSE))</f>
        <v>14841</v>
      </c>
      <c r="P226" s="48">
        <f t="shared" ca="1" si="11"/>
        <v>5.8986486486486489E-3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input_7100100!A$2</f>
        <v>7100100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IFERROR(VLOOKUP(B227,input_7100100!L:R,7,FALSE),VLOOKUP(tables_7100100!C227,input_7100100!A:H,8,FALSE))</f>
        <v>1649</v>
      </c>
      <c r="P227" s="48">
        <f t="shared" ca="1" si="11"/>
        <v>6.5540540540540539E-4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input_7100100!A$2</f>
        <v>7100100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IFERROR(VLOOKUP(B228,input_7100100!L:R,7,FALSE),VLOOKUP(tables_7100100!C228,input_7100100!A:H,8,FALSE))</f>
        <v>16490</v>
      </c>
      <c r="P228" s="48">
        <f t="shared" ca="1" si="11"/>
        <v>6.5540540540540539E-3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input_7100100!A$2</f>
        <v>7100100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IFERROR(VLOOKUP(B229,input_7100100!L:R,7,FALSE),VLOOKUP(tables_7100100!C229,input_7100100!A:H,8,FALSE))</f>
        <v>14841</v>
      </c>
      <c r="P229" s="48">
        <f t="shared" ca="1" si="11"/>
        <v>5.8986486486486489E-3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input_7100100!A$2</f>
        <v>7100100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IFERROR(VLOOKUP(B230,input_7100100!L:R,7,FALSE),VLOOKUP(tables_7100100!C230,input_7100100!A:H,8,FALSE))</f>
        <v>1649</v>
      </c>
      <c r="P230" s="48">
        <f t="shared" ca="1" si="11"/>
        <v>6.5540540540540539E-4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input_7100100!A$2</f>
        <v>7100100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IFERROR(VLOOKUP(B231,input_7100100!L:R,7,FALSE),VLOOKUP(tables_7100100!C231,input_7100100!A:H,8,FALSE))</f>
        <v>2109</v>
      </c>
      <c r="P231" s="48">
        <f t="shared" ca="1" si="11"/>
        <v>8.3823529411764701E-4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input_7100100!A$2</f>
        <v>7100100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IFERROR(VLOOKUP(B232,input_7100100!L:R,7,FALSE),VLOOKUP(tables_7100100!C232,input_7100100!A:H,8,FALSE))</f>
        <v>111</v>
      </c>
      <c r="P232" s="48">
        <f t="shared" ca="1" si="11"/>
        <v>4.4117647058823532E-5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input_7100100!A$2</f>
        <v>7100100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IFERROR(VLOOKUP(B233,input_7100100!L:R,7,FALSE),VLOOKUP(tables_7100100!C233,input_7100100!A:H,8,FALSE))</f>
        <v>16490</v>
      </c>
      <c r="P233" s="48">
        <f t="shared" ca="1" si="11"/>
        <v>6.5540540540540539E-3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input_7100100!A$2</f>
        <v>7100100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IFERROR(VLOOKUP(B234,input_7100100!L:R,7,FALSE),VLOOKUP(tables_7100100!C234,input_7100100!A:H,8,FALSE))</f>
        <v>14841</v>
      </c>
      <c r="P234" s="48">
        <f t="shared" ca="1" si="11"/>
        <v>5.8986486486486489E-3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input_7100100!A$2</f>
        <v>7100100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IFERROR(VLOOKUP(B235,input_7100100!L:R,7,FALSE),VLOOKUP(tables_7100100!C235,input_7100100!A:H,8,FALSE))</f>
        <v>1649</v>
      </c>
      <c r="P235" s="48">
        <f t="shared" ca="1" si="11"/>
        <v>6.5540540540540539E-4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input_7100100!A$2</f>
        <v>7100100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IFERROR(VLOOKUP(B236,input_7100100!L:R,7,FALSE),VLOOKUP(tables_7100100!C236,input_7100100!A:H,8,FALSE))</f>
        <v>2109</v>
      </c>
      <c r="P236" s="48">
        <f t="shared" ca="1" si="11"/>
        <v>8.3823529411764701E-4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input_7100100!A$2</f>
        <v>7100100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IFERROR(VLOOKUP(B237,input_7100100!L:R,7,FALSE),VLOOKUP(tables_7100100!C237,input_7100100!A:H,8,FALSE))</f>
        <v>111</v>
      </c>
      <c r="P237" s="48">
        <f t="shared" ca="1" si="11"/>
        <v>4.4117647058823532E-5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input_7100100!A$2</f>
        <v>7100100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IFERROR(VLOOKUP(B238,input_7100100!L:R,7,FALSE),VLOOKUP(tables_7100100!C238,input_7100100!A:H,8,FALSE))</f>
        <v>2109</v>
      </c>
      <c r="P238" s="48">
        <f t="shared" ca="1" si="11"/>
        <v>8.3823529411764701E-4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input_7100100!A$2</f>
        <v>7100100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IFERROR(VLOOKUP(B239,input_7100100!L:R,7,FALSE),VLOOKUP(tables_7100100!C239,input_7100100!A:H,8,FALSE))</f>
        <v>111</v>
      </c>
      <c r="P239" s="48">
        <f t="shared" ca="1" si="11"/>
        <v>4.4117647058823532E-5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input_7100100!A$2</f>
        <v>7100100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IFERROR(VLOOKUP(B240,input_7100100!L:R,7,FALSE),VLOOKUP(tables_7100100!C240,input_7100100!A:H,8,FALSE))</f>
        <v>16490</v>
      </c>
      <c r="P240" s="48">
        <f t="shared" ca="1" si="11"/>
        <v>6.5540540540540539E-3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input_7100100!A$2</f>
        <v>7100100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IFERROR(VLOOKUP(B241,input_7100100!L:R,7,FALSE),VLOOKUP(tables_7100100!C241,input_7100100!A:H,8,FALSE))</f>
        <v>14841</v>
      </c>
      <c r="P241" s="48">
        <f t="shared" ca="1" si="11"/>
        <v>5.8986486486486489E-3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input_7100100!A$2</f>
        <v>7100100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IFERROR(VLOOKUP(B242,input_7100100!L:R,7,FALSE),VLOOKUP(tables_7100100!C242,input_7100100!A:H,8,FALSE))</f>
        <v>1649</v>
      </c>
      <c r="P242" s="48">
        <f t="shared" ca="1" si="11"/>
        <v>6.5540540540540539E-4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input_7100100!A$2</f>
        <v>7100100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IFERROR(VLOOKUP(B243,input_7100100!L:R,7,FALSE),VLOOKUP(tables_7100100!C243,input_7100100!A:H,8,FALSE))</f>
        <v>16490</v>
      </c>
      <c r="P243" s="48">
        <f t="shared" ca="1" si="11"/>
        <v>6.5540540540540539E-3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input_7100100!A$2</f>
        <v>7100100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IFERROR(VLOOKUP(B244,input_7100100!L:R,7,FALSE),VLOOKUP(tables_7100100!C244,input_7100100!A:H,8,FALSE))</f>
        <v>14841</v>
      </c>
      <c r="P244" s="48">
        <f t="shared" ca="1" si="11"/>
        <v>5.8986486486486489E-3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input_7100100!A$2</f>
        <v>7100100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IFERROR(VLOOKUP(B245,input_7100100!L:R,7,FALSE),VLOOKUP(tables_7100100!C245,input_7100100!A:H,8,FALSE))</f>
        <v>1649</v>
      </c>
      <c r="P245" s="48">
        <f t="shared" ca="1" si="11"/>
        <v>6.5540540540540539E-4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input_7100100!A$2</f>
        <v>7100100</v>
      </c>
      <c r="B246" s="65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IFERROR(VLOOKUP(B246,input_7100100!L:R,7,FALSE),VLOOKUP(tables_7100100!C246,input_7100100!A:H,8,FALSE))</f>
        <v>16490</v>
      </c>
      <c r="P246" s="48">
        <f t="shared" ca="1" si="11"/>
        <v>6.5540540540540539E-3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input_7100100!A$2</f>
        <v>7100100</v>
      </c>
      <c r="B247" s="65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IFERROR(VLOOKUP(B247,input_7100100!L:R,7,FALSE),VLOOKUP(tables_7100100!C247,input_7100100!A:H,8,FALSE))</f>
        <v>14841</v>
      </c>
      <c r="P247" s="48">
        <f t="shared" ca="1" si="11"/>
        <v>5.8986486486486489E-3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input_7100100!A$2</f>
        <v>7100100</v>
      </c>
      <c r="B248" s="65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IFERROR(VLOOKUP(B248,input_7100100!L:R,7,FALSE),VLOOKUP(tables_7100100!C248,input_7100100!A:H,8,FALSE))</f>
        <v>1649</v>
      </c>
      <c r="P248" s="48">
        <f t="shared" ca="1" si="11"/>
        <v>6.5540540540540539E-4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input_7100100!A$2</f>
        <v>7100100</v>
      </c>
      <c r="B249" s="65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IFERROR(VLOOKUP(B249,input_7100100!L:R,7,FALSE),VLOOKUP(tables_7100100!C249,input_7100100!A:H,8,FALSE))</f>
        <v>16490</v>
      </c>
      <c r="P249" s="48">
        <f t="shared" ca="1" si="11"/>
        <v>6.5540540540540539E-3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input_7100100!A$2</f>
        <v>7100100</v>
      </c>
      <c r="B250" s="65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IFERROR(VLOOKUP(B250,input_7100100!L:R,7,FALSE),VLOOKUP(tables_7100100!C250,input_7100100!A:H,8,FALSE))</f>
        <v>14841</v>
      </c>
      <c r="P250" s="48">
        <f t="shared" ca="1" si="11"/>
        <v>5.8986486486486489E-3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input_7100100!A$2</f>
        <v>7100100</v>
      </c>
      <c r="B251" s="65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IFERROR(VLOOKUP(B251,input_7100100!L:R,7,FALSE),VLOOKUP(tables_7100100!C251,input_7100100!A:H,8,FALSE))</f>
        <v>1649</v>
      </c>
      <c r="P251" s="48">
        <f t="shared" ca="1" si="11"/>
        <v>6.5540540540540539E-4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input_7100100!A$2</f>
        <v>7100100</v>
      </c>
      <c r="B252" s="65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IFERROR(VLOOKUP(B252,input_7100100!L:R,7,FALSE),VLOOKUP(tables_7100100!C252,input_7100100!A:H,8,FALSE))</f>
        <v>2109</v>
      </c>
      <c r="P252" s="48">
        <f t="shared" ca="1" si="11"/>
        <v>8.3823529411764701E-4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input_7100100!A$2</f>
        <v>7100100</v>
      </c>
      <c r="B253" s="65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IFERROR(VLOOKUP(B253,input_7100100!L:R,7,FALSE),VLOOKUP(tables_7100100!C253,input_7100100!A:H,8,FALSE))</f>
        <v>111</v>
      </c>
      <c r="P253" s="48">
        <f t="shared" ca="1" si="11"/>
        <v>4.4117647058823532E-5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input_7100100!A$2</f>
        <v>7100100</v>
      </c>
      <c r="B254" s="65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IFERROR(VLOOKUP(B254,input_7100100!L:R,7,FALSE),VLOOKUP(tables_7100100!C254,input_7100100!A:H,8,FALSE))</f>
        <v>2109</v>
      </c>
      <c r="P254" s="48">
        <f t="shared" ca="1" si="11"/>
        <v>8.3823529411764701E-4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input_7100100!A$2</f>
        <v>7100100</v>
      </c>
      <c r="B255" s="65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IFERROR(VLOOKUP(B255,input_7100100!L:R,7,FALSE),VLOOKUP(tables_7100100!C255,input_7100100!A:H,8,FALSE))</f>
        <v>111</v>
      </c>
      <c r="P255" s="48">
        <f t="shared" ca="1" si="11"/>
        <v>4.4117647058823532E-5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input_7100100!A$2</f>
        <v>7100100</v>
      </c>
      <c r="B256" s="65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IFERROR(VLOOKUP(B256,input_7100100!L:R,7,FALSE),VLOOKUP(tables_7100100!C256,input_7100100!A:H,8,FALSE))</f>
        <v>2109</v>
      </c>
      <c r="P256" s="48">
        <f t="shared" ca="1" si="11"/>
        <v>8.3823529411764701E-4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input_7100100!A$2</f>
        <v>7100100</v>
      </c>
      <c r="B257" s="65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IFERROR(VLOOKUP(B257,input_7100100!L:R,7,FALSE),VLOOKUP(tables_7100100!C257,input_7100100!A:H,8,FALSE))</f>
        <v>111</v>
      </c>
      <c r="P257" s="48">
        <f t="shared" ca="1" si="11"/>
        <v>4.4117647058823532E-5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input_7100100!A$2</f>
        <v>7100100</v>
      </c>
      <c r="B258" s="65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IFERROR(VLOOKUP(B258,input_7100100!L:R,7,FALSE),VLOOKUP(tables_7100100!C258,input_7100100!A:H,8,FALSE))</f>
        <v>2109</v>
      </c>
      <c r="P258" s="48">
        <f t="shared" ca="1" si="11"/>
        <v>8.3823529411764701E-4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input_7100100!A$2</f>
        <v>7100100</v>
      </c>
      <c r="B259" s="65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IFERROR(VLOOKUP(B259,input_7100100!L:R,7,FALSE),VLOOKUP(tables_7100100!C259,input_7100100!A:H,8,FALSE))</f>
        <v>111</v>
      </c>
      <c r="P259" s="48">
        <f t="shared" ca="1" si="11"/>
        <v>4.4117647058823532E-5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input_7100100!A$2</f>
        <v>7100100</v>
      </c>
      <c r="B260" s="65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IFERROR(VLOOKUP(B260,input_7100100!L:R,7,FALSE),VLOOKUP(tables_7100100!C260,input_7100100!A:H,8,FALSE))</f>
        <v>16490</v>
      </c>
      <c r="P260" s="48">
        <f t="shared" ca="1" si="11"/>
        <v>6.5540540540540539E-3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input_7100100!A$2</f>
        <v>7100100</v>
      </c>
      <c r="B261" s="65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IFERROR(VLOOKUP(B261,input_7100100!L:R,7,FALSE),VLOOKUP(tables_7100100!C261,input_7100100!A:H,8,FALSE))</f>
        <v>14841</v>
      </c>
      <c r="P261" s="48">
        <f t="shared" ca="1" si="11"/>
        <v>5.8986486486486489E-3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input_7100100!A$2</f>
        <v>7100100</v>
      </c>
      <c r="B262" s="65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IFERROR(VLOOKUP(B262,input_7100100!L:R,7,FALSE),VLOOKUP(tables_7100100!C262,input_7100100!A:H,8,FALSE))</f>
        <v>1649</v>
      </c>
      <c r="P262" s="48">
        <f t="shared" ca="1" si="11"/>
        <v>6.5540540540540539E-4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input_7100100!A$2</f>
        <v>7100100</v>
      </c>
      <c r="B263" s="65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IFERROR(VLOOKUP(B263,input_7100100!L:R,7,FALSE),VLOOKUP(tables_7100100!C263,input_7100100!A:H,8,FALSE))</f>
        <v>16490</v>
      </c>
      <c r="P263" s="48">
        <f t="shared" ca="1" si="11"/>
        <v>6.5540540540540539E-3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input_7100100!A$2</f>
        <v>7100100</v>
      </c>
      <c r="B264" s="65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IFERROR(VLOOKUP(B264,input_7100100!L:R,7,FALSE),VLOOKUP(tables_7100100!C264,input_7100100!A:H,8,FALSE))</f>
        <v>14841</v>
      </c>
      <c r="P264" s="48">
        <f t="shared" ca="1" si="11"/>
        <v>5.8986486486486489E-3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input_7100100!A$2</f>
        <v>7100100</v>
      </c>
      <c r="B265" s="65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IFERROR(VLOOKUP(B265,input_7100100!L:R,7,FALSE),VLOOKUP(tables_7100100!C265,input_7100100!A:H,8,FALSE))</f>
        <v>1649</v>
      </c>
      <c r="P265" s="48">
        <f t="shared" ca="1" si="11"/>
        <v>6.5540540540540539E-4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input_7100100!A$2</f>
        <v>7100100</v>
      </c>
      <c r="B266" s="65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IFERROR(VLOOKUP(B266,input_7100100!L:R,7,FALSE),VLOOKUP(tables_7100100!C266,input_7100100!A:H,8,FALSE))</f>
        <v>16950</v>
      </c>
      <c r="P266" s="48">
        <f t="shared" ca="1" si="11"/>
        <v>6.7368839427662955E-3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input_7100100!A$2</f>
        <v>7100100</v>
      </c>
      <c r="B267" s="65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IFERROR(VLOOKUP(B267,input_7100100!L:R,7,FALSE),VLOOKUP(tables_7100100!C267,input_7100100!A:H,8,FALSE))</f>
        <v>16030</v>
      </c>
      <c r="P267" s="48">
        <f t="shared" ca="1" si="11"/>
        <v>6.3712241653418123E-3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input_7100100!A$2</f>
        <v>7100100</v>
      </c>
      <c r="B268" s="65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IFERROR(VLOOKUP(B268,input_7100100!L:R,7,FALSE),VLOOKUP(tables_7100100!C268,input_7100100!A:H,8,FALSE))</f>
        <v>16950</v>
      </c>
      <c r="P268" s="48">
        <f t="shared" ca="1" si="11"/>
        <v>6.7368839427662955E-3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input_7100100!A$2</f>
        <v>7100100</v>
      </c>
      <c r="B269" s="65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IFERROR(VLOOKUP(B269,input_7100100!L:R,7,FALSE),VLOOKUP(tables_7100100!C269,input_7100100!A:H,8,FALSE))</f>
        <v>16030</v>
      </c>
      <c r="P269" s="48">
        <f t="shared" ca="1" si="11"/>
        <v>6.3712241653418123E-3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input_7100100!A$2</f>
        <v>7100100</v>
      </c>
      <c r="B270" s="65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IFERROR(VLOOKUP(B270,input_7100100!L:R,7,FALSE),VLOOKUP(tables_7100100!C270,input_7100100!A:H,8,FALSE))</f>
        <v>2220</v>
      </c>
      <c r="P270" s="48">
        <f t="shared" ca="1" si="11"/>
        <v>8.8235294117647062E-4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input_7100100!A$2</f>
        <v>7100100</v>
      </c>
      <c r="B271" s="65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IFERROR(VLOOKUP(B271,input_7100100!L:R,7,FALSE),VLOOKUP(tables_7100100!C271,input_7100100!A:H,8,FALSE))</f>
        <v>2220</v>
      </c>
      <c r="P271" s="48">
        <f t="shared" ref="P271" ca="1" si="14">O271/SUM(O:O)</f>
        <v>8.8235294117647062E-4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autoFilter ref="A1:V271"/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tabSelected="1" zoomScale="75" zoomScaleNormal="75" zoomScalePageLayoutView="75" workbookViewId="0">
      <pane ySplit="1" topLeftCell="A2" activePane="bottomLeft" state="frozen"/>
      <selection activeCell="A266" sqref="A266:XFD266"/>
      <selection pane="bottomLeft" activeCell="I13" sqref="I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7100100</v>
      </c>
      <c r="B2" s="6">
        <v>168</v>
      </c>
      <c r="C2" s="7" t="str">
        <f t="shared" ref="C2:C4" si="0">D2&amp;J2&amp;E2&amp;F2&amp;G2</f>
        <v>Premium5R6release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7">
        <v>10</v>
      </c>
      <c r="P2" s="48">
        <f t="shared" ref="P2:P9" si="2">O2/SUM(O:O)</f>
        <v>0.125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7100100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7">
        <v>10</v>
      </c>
      <c r="P3" s="48">
        <f t="shared" si="2"/>
        <v>0.125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7100100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7">
        <v>10</v>
      </c>
      <c r="P4" s="48">
        <f t="shared" si="2"/>
        <v>0.125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7100100</v>
      </c>
      <c r="B5" s="5">
        <v>237</v>
      </c>
      <c r="C5" s="7" t="str">
        <f t="shared" ref="C5" si="3">D5&amp;J5&amp;E5&amp;F5&amp;G5</f>
        <v>Premium5R6release</v>
      </c>
      <c r="D5" s="7" t="str">
        <f t="shared" ref="D5" si="4">IF(I5="PremiumSS",I5,IF(I5="PremiumSSS",I5,IF(I5="PremiumW",I5,"Premium")))</f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7">
        <v>10</v>
      </c>
      <c r="P5" s="48">
        <f t="shared" si="2"/>
        <v>0.125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7100100</v>
      </c>
      <c r="B6" s="65">
        <v>732</v>
      </c>
      <c r="C6" s="7" t="str">
        <f t="shared" ref="C6:C7" si="5">D6&amp;J6&amp;E6&amp;F6&amp;G6</f>
        <v>PremiumSS5R5only</v>
      </c>
      <c r="D6" s="7" t="str">
        <f t="shared" ref="D6:D7" si="6">IF(I6="PremiumSS",I6,IF(I6="PremiumSSS",I6,IF(I6="PremiumW",I6,"Premium")))</f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7">
        <v>10</v>
      </c>
      <c r="P6" s="48">
        <f t="shared" si="2"/>
        <v>0.125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7100100</v>
      </c>
      <c r="B7" s="65">
        <v>734</v>
      </c>
      <c r="C7" s="7" t="str">
        <f t="shared" si="5"/>
        <v>PremiumSS5R5only</v>
      </c>
      <c r="D7" s="7" t="str">
        <f t="shared" si="6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7">
        <v>10</v>
      </c>
      <c r="P7" s="48">
        <f t="shared" si="2"/>
        <v>0.125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7100100</v>
      </c>
      <c r="B8" s="65">
        <v>325</v>
      </c>
      <c r="C8" s="7" t="str">
        <f t="shared" ref="C8:C9" si="7">D8&amp;J8&amp;E8&amp;F8&amp;G8</f>
        <v>PremiumSS5</v>
      </c>
      <c r="D8" s="7" t="str">
        <f t="shared" ref="D8:D9" si="8">IF(I8="PremiumSS",I8,IF(I8="PremiumSSS",I8,IF(I8="PremiumW",I8,"Premium")))</f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7">
        <v>10</v>
      </c>
      <c r="P8" s="48">
        <f t="shared" si="2"/>
        <v>0.125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7100100</v>
      </c>
      <c r="B9" s="65">
        <v>391</v>
      </c>
      <c r="C9" s="7" t="str">
        <f t="shared" si="7"/>
        <v>PremiumSS5</v>
      </c>
      <c r="D9" s="7" t="str">
        <f t="shared" si="8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7">
        <v>10</v>
      </c>
      <c r="P9" s="48">
        <f t="shared" si="2"/>
        <v>0.125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7" s="1" customFormat="1" ht="21" customHeight="1" x14ac:dyDescent="0.15"/>
    <row r="18" s="1" customFormat="1" ht="21" customHeight="1" x14ac:dyDescent="0.15"/>
    <row r="19" s="1" customFormat="1" ht="21" customHeight="1" x14ac:dyDescent="0.15"/>
    <row r="20" s="1" customFormat="1" ht="21" customHeight="1" x14ac:dyDescent="0.15"/>
    <row r="21" s="1" customFormat="1" ht="21" customHeight="1" x14ac:dyDescent="0.15"/>
    <row r="22" s="1" customFormat="1" ht="21" customHeight="1" x14ac:dyDescent="0.15"/>
    <row r="23" s="1" customFormat="1" ht="21" customHeight="1" x14ac:dyDescent="0.15"/>
    <row r="24" s="1" customFormat="1" ht="21" customHeight="1" x14ac:dyDescent="0.15"/>
    <row r="25" s="1" customFormat="1" ht="21" customHeight="1" x14ac:dyDescent="0.15"/>
    <row r="26" s="1" customFormat="1" ht="21" customHeight="1" x14ac:dyDescent="0.15"/>
    <row r="27" s="1" customFormat="1" ht="21" customHeight="1" x14ac:dyDescent="0.15"/>
    <row r="28" s="1" customFormat="1" ht="21" customHeight="1" x14ac:dyDescent="0.15"/>
    <row r="29" s="1" customFormat="1" ht="21" customHeight="1" x14ac:dyDescent="0.15"/>
    <row r="30" s="1" customFormat="1" ht="21" customHeight="1" x14ac:dyDescent="0.15"/>
    <row r="31" s="1" customFormat="1" ht="21" customHeight="1" x14ac:dyDescent="0.15"/>
    <row r="32" s="1" customFormat="1" ht="21" customHeight="1" x14ac:dyDescent="0.15"/>
    <row r="33" s="1" customFormat="1" ht="21" customHeight="1" x14ac:dyDescent="0.15"/>
    <row r="34" s="1" customFormat="1" ht="21" customHeight="1" x14ac:dyDescent="0.15"/>
    <row r="35" s="1" customFormat="1" ht="21" customHeight="1" x14ac:dyDescent="0.15"/>
    <row r="36" s="1" customFormat="1" ht="21" customHeight="1" x14ac:dyDescent="0.15"/>
    <row r="37" s="1" customFormat="1" ht="21" customHeight="1" x14ac:dyDescent="0.15"/>
    <row r="38" s="1" customFormat="1" ht="21" customHeight="1" x14ac:dyDescent="0.15"/>
    <row r="39" s="1" customFormat="1" ht="21" customHeight="1" x14ac:dyDescent="0.15"/>
    <row r="40" s="1" customFormat="1" ht="21" customHeight="1" x14ac:dyDescent="0.15"/>
    <row r="41" s="1" customFormat="1" ht="21" customHeight="1" x14ac:dyDescent="0.15"/>
    <row r="42" s="1" customFormat="1" ht="21" customHeight="1" x14ac:dyDescent="0.15"/>
    <row r="43" s="1" customFormat="1" ht="21" customHeight="1" x14ac:dyDescent="0.15"/>
    <row r="44" s="1" customFormat="1" ht="21" customHeight="1" x14ac:dyDescent="0.15"/>
    <row r="45" s="1" customFormat="1" ht="21" customHeight="1" x14ac:dyDescent="0.15"/>
    <row r="46" s="1" customFormat="1" ht="21" customHeight="1" x14ac:dyDescent="0.15"/>
    <row r="47" s="1" customFormat="1" ht="21" customHeight="1" x14ac:dyDescent="0.15"/>
    <row r="48" s="1" customFormat="1" ht="21" customHeight="1" x14ac:dyDescent="0.15"/>
    <row r="49" s="1" customFormat="1" ht="21" customHeight="1" x14ac:dyDescent="0.15"/>
    <row r="50" s="1" customFormat="1" ht="21" customHeight="1" x14ac:dyDescent="0.15"/>
    <row r="51" s="1" customFormat="1" ht="21" customHeight="1" x14ac:dyDescent="0.15"/>
    <row r="52" s="1" customFormat="1" ht="21" customHeight="1" x14ac:dyDescent="0.15"/>
    <row r="53" s="1" customFormat="1" ht="21" customHeight="1" x14ac:dyDescent="0.15"/>
    <row r="54" s="1" customFormat="1" ht="21" customHeight="1" x14ac:dyDescent="0.15"/>
    <row r="55" s="1" customFormat="1" ht="21" customHeight="1" x14ac:dyDescent="0.15"/>
    <row r="56" s="1" customFormat="1" ht="21" customHeight="1" x14ac:dyDescent="0.15"/>
    <row r="57" s="1" customFormat="1" ht="21" customHeight="1" x14ac:dyDescent="0.15"/>
    <row r="58" s="1" customFormat="1" ht="21" customHeight="1" x14ac:dyDescent="0.15"/>
    <row r="59" s="1" customFormat="1" ht="21" customHeight="1" x14ac:dyDescent="0.15"/>
    <row r="60" s="1" customFormat="1" ht="21" customHeight="1" x14ac:dyDescent="0.15"/>
    <row r="61" s="1" customFormat="1" ht="21" customHeight="1" x14ac:dyDescent="0.15"/>
    <row r="62" s="1" customFormat="1" ht="21" customHeight="1" x14ac:dyDescent="0.15"/>
    <row r="63" s="1" customFormat="1" ht="21" customHeight="1" x14ac:dyDescent="0.15"/>
    <row r="64" s="1" customFormat="1" ht="21" customHeight="1" x14ac:dyDescent="0.15"/>
    <row r="65" s="1" customFormat="1" ht="21" customHeight="1" x14ac:dyDescent="0.15"/>
    <row r="66" s="1" customFormat="1" ht="21" customHeight="1" x14ac:dyDescent="0.15"/>
    <row r="67" s="1" customFormat="1" ht="21" customHeight="1" x14ac:dyDescent="0.15"/>
    <row r="68" s="1" customFormat="1" ht="21" customHeight="1" x14ac:dyDescent="0.15"/>
    <row r="69" s="1" customFormat="1" ht="21" customHeight="1" x14ac:dyDescent="0.15"/>
    <row r="70" s="1" customFormat="1" ht="21" customHeight="1" x14ac:dyDescent="0.15"/>
    <row r="71" s="1" customFormat="1" ht="21" customHeight="1" x14ac:dyDescent="0.15"/>
    <row r="72" s="1" customFormat="1" ht="21" customHeight="1" x14ac:dyDescent="0.15"/>
    <row r="73" s="1" customFormat="1" ht="21" customHeight="1" x14ac:dyDescent="0.15"/>
    <row r="74" s="1" customFormat="1" ht="21" customHeight="1" x14ac:dyDescent="0.15"/>
    <row r="75" s="1" customFormat="1" ht="21" customHeight="1" x14ac:dyDescent="0.15"/>
    <row r="76" s="1" customFormat="1" ht="21" customHeight="1" x14ac:dyDescent="0.15"/>
    <row r="77" s="1" customFormat="1" ht="21" customHeight="1" x14ac:dyDescent="0.15"/>
    <row r="78" s="1" customFormat="1" ht="21" customHeight="1" x14ac:dyDescent="0.15"/>
    <row r="79" s="1" customFormat="1" ht="21" customHeight="1" x14ac:dyDescent="0.15"/>
    <row r="80" s="1" customFormat="1" ht="21" customHeight="1" x14ac:dyDescent="0.15"/>
    <row r="81" s="1" customFormat="1" ht="21" customHeight="1" x14ac:dyDescent="0.15"/>
    <row r="82" s="1" customFormat="1" ht="21" customHeight="1" x14ac:dyDescent="0.15"/>
    <row r="83" s="1" customFormat="1" ht="21" customHeight="1" x14ac:dyDescent="0.15"/>
    <row r="84" s="1" customFormat="1" ht="21" customHeight="1" x14ac:dyDescent="0.15"/>
    <row r="85" s="1" customFormat="1" ht="21" customHeight="1" x14ac:dyDescent="0.15"/>
    <row r="86" s="1" customFormat="1" ht="21" customHeight="1" x14ac:dyDescent="0.15"/>
    <row r="87" s="1" customFormat="1" ht="21" customHeight="1" x14ac:dyDescent="0.15"/>
    <row r="88" s="1" customFormat="1" ht="21" customHeight="1" x14ac:dyDescent="0.15"/>
    <row r="89" s="1" customFormat="1" ht="21" customHeight="1" x14ac:dyDescent="0.15"/>
    <row r="90" s="1" customFormat="1" ht="21" customHeight="1" x14ac:dyDescent="0.15"/>
    <row r="91" s="1" customFormat="1" ht="21" customHeight="1" x14ac:dyDescent="0.15"/>
    <row r="92" s="1" customFormat="1" ht="21" customHeight="1" x14ac:dyDescent="0.15"/>
    <row r="93" s="1" customFormat="1" ht="21" customHeight="1" x14ac:dyDescent="0.15"/>
    <row r="94" s="1" customFormat="1" ht="21" customHeight="1" x14ac:dyDescent="0.15"/>
    <row r="95" s="1" customFormat="1" ht="21" customHeight="1" x14ac:dyDescent="0.15"/>
    <row r="96" s="1" customFormat="1" ht="21" customHeight="1" x14ac:dyDescent="0.15"/>
    <row r="97" s="1" customFormat="1" ht="21" customHeight="1" x14ac:dyDescent="0.15"/>
    <row r="98" s="1" customFormat="1" ht="21" customHeight="1" x14ac:dyDescent="0.15"/>
    <row r="99" s="1" customFormat="1" ht="21" customHeight="1" x14ac:dyDescent="0.15"/>
    <row r="100" s="1" customFormat="1" ht="21" customHeight="1" x14ac:dyDescent="0.15"/>
    <row r="101" s="1" customFormat="1" ht="21" customHeight="1" x14ac:dyDescent="0.15"/>
    <row r="102" s="1" customFormat="1" ht="21" customHeight="1" x14ac:dyDescent="0.15"/>
    <row r="103" s="1" customFormat="1" ht="21" customHeight="1" x14ac:dyDescent="0.15"/>
    <row r="104" s="1" customFormat="1" ht="21" customHeight="1" x14ac:dyDescent="0.15"/>
    <row r="105" s="1" customFormat="1" ht="21" customHeight="1" x14ac:dyDescent="0.15"/>
    <row r="106" s="1" customFormat="1" ht="21" customHeight="1" x14ac:dyDescent="0.15"/>
    <row r="107" s="1" customFormat="1" ht="21" customHeight="1" x14ac:dyDescent="0.15"/>
    <row r="108" s="1" customFormat="1" ht="21" customHeight="1" x14ac:dyDescent="0.15"/>
    <row r="109" s="1" customFormat="1" ht="21" customHeight="1" x14ac:dyDescent="0.15"/>
    <row r="110" s="1" customFormat="1" ht="21" customHeight="1" x14ac:dyDescent="0.15"/>
    <row r="111" s="1" customFormat="1" ht="21" customHeight="1" x14ac:dyDescent="0.15"/>
    <row r="112" s="1" customFormat="1" ht="21" customHeight="1" x14ac:dyDescent="0.15"/>
    <row r="113" s="1" customFormat="1" ht="21" customHeight="1" x14ac:dyDescent="0.15"/>
    <row r="114" s="1" customFormat="1" ht="21" customHeight="1" x14ac:dyDescent="0.15"/>
    <row r="115" s="1" customFormat="1" ht="21" customHeight="1" x14ac:dyDescent="0.15"/>
    <row r="116" s="1" customFormat="1" ht="21" customHeight="1" x14ac:dyDescent="0.15"/>
    <row r="117" s="1" customFormat="1" ht="21" customHeight="1" x14ac:dyDescent="0.15"/>
    <row r="118" s="1" customFormat="1" ht="21" customHeight="1" x14ac:dyDescent="0.15"/>
    <row r="119" s="1" customFormat="1" ht="21" customHeight="1" x14ac:dyDescent="0.15"/>
    <row r="120" s="1" customFormat="1" ht="21" customHeight="1" x14ac:dyDescent="0.15"/>
    <row r="121" s="1" customFormat="1" ht="21" customHeight="1" x14ac:dyDescent="0.15"/>
    <row r="122" s="1" customFormat="1" ht="21" customHeight="1" x14ac:dyDescent="0.15"/>
    <row r="123" s="1" customFormat="1" ht="21" customHeight="1" x14ac:dyDescent="0.15"/>
    <row r="124" s="1" customFormat="1" ht="21" customHeight="1" x14ac:dyDescent="0.15"/>
    <row r="125" s="1" customFormat="1" ht="21" customHeight="1" x14ac:dyDescent="0.15"/>
    <row r="126" s="1" customFormat="1" ht="21" customHeight="1" x14ac:dyDescent="0.15"/>
    <row r="127" s="1" customFormat="1" ht="21" customHeight="1" x14ac:dyDescent="0.15"/>
    <row r="128" s="1" customFormat="1" ht="21" customHeight="1" x14ac:dyDescent="0.15"/>
    <row r="129" s="1" customFormat="1" ht="21" customHeight="1" x14ac:dyDescent="0.15"/>
    <row r="130" s="1" customFormat="1" ht="21" customHeight="1" x14ac:dyDescent="0.15"/>
    <row r="131" s="1" customFormat="1" ht="21" customHeight="1" x14ac:dyDescent="0.15"/>
    <row r="132" s="1" customFormat="1" ht="21" customHeight="1" x14ac:dyDescent="0.15"/>
    <row r="133" s="1" customFormat="1" ht="21" customHeight="1" x14ac:dyDescent="0.15"/>
    <row r="134" s="1" customFormat="1" ht="21" customHeight="1" x14ac:dyDescent="0.15"/>
    <row r="135" s="1" customFormat="1" ht="21" customHeight="1" x14ac:dyDescent="0.15"/>
    <row r="136" s="1" customFormat="1" ht="21" customHeight="1" x14ac:dyDescent="0.15"/>
    <row r="137" s="1" customFormat="1" ht="21" customHeight="1" x14ac:dyDescent="0.15"/>
    <row r="138" s="1" customFormat="1" ht="21" customHeight="1" x14ac:dyDescent="0.15"/>
    <row r="139" s="1" customFormat="1" ht="21" customHeight="1" x14ac:dyDescent="0.15"/>
    <row r="140" s="1" customFormat="1" ht="21" customHeight="1" x14ac:dyDescent="0.15"/>
    <row r="141" s="1" customFormat="1" ht="21" customHeight="1" x14ac:dyDescent="0.15"/>
    <row r="142" s="1" customFormat="1" ht="21" customHeight="1" x14ac:dyDescent="0.15"/>
    <row r="143" s="1" customFormat="1" ht="21" customHeight="1" x14ac:dyDescent="0.15"/>
    <row r="144" s="1" customFormat="1" ht="21" customHeight="1" x14ac:dyDescent="0.15"/>
    <row r="145" s="1" customFormat="1" ht="21" customHeight="1" x14ac:dyDescent="0.15"/>
    <row r="146" s="1" customFormat="1" ht="21" customHeight="1" x14ac:dyDescent="0.15"/>
    <row r="147" s="1" customFormat="1" ht="21" customHeight="1" x14ac:dyDescent="0.15"/>
    <row r="148" s="1" customFormat="1" ht="21" customHeight="1" x14ac:dyDescent="0.15"/>
    <row r="149" s="1" customFormat="1" ht="21" customHeight="1" x14ac:dyDescent="0.15"/>
    <row r="150" s="1" customFormat="1" ht="21" customHeight="1" x14ac:dyDescent="0.15"/>
    <row r="151" s="1" customFormat="1" ht="21" customHeight="1" x14ac:dyDescent="0.15"/>
    <row r="152" s="1" customFormat="1" ht="21" customHeight="1" x14ac:dyDescent="0.15"/>
    <row r="153" s="1" customFormat="1" ht="21" customHeight="1" x14ac:dyDescent="0.15"/>
    <row r="154" s="1" customFormat="1" ht="21" customHeight="1" x14ac:dyDescent="0.15"/>
    <row r="155" s="1" customFormat="1" ht="21" customHeight="1" x14ac:dyDescent="0.15"/>
    <row r="156" s="1" customFormat="1" ht="21" customHeight="1" x14ac:dyDescent="0.15"/>
    <row r="157" s="1" customFormat="1" ht="21" customHeight="1" x14ac:dyDescent="0.15"/>
    <row r="158" s="1" customFormat="1" ht="21" customHeight="1" x14ac:dyDescent="0.15"/>
    <row r="159" s="1" customFormat="1" ht="21" customHeight="1" x14ac:dyDescent="0.15"/>
    <row r="160" s="1" customFormat="1" ht="21" customHeight="1" x14ac:dyDescent="0.15"/>
    <row r="161" s="1" customFormat="1" ht="21" customHeight="1" x14ac:dyDescent="0.15"/>
    <row r="162" s="1" customFormat="1" ht="21" customHeight="1" x14ac:dyDescent="0.15"/>
    <row r="163" s="1" customFormat="1" ht="21" customHeight="1" x14ac:dyDescent="0.15"/>
    <row r="164" s="1" customFormat="1" ht="21" customHeight="1" x14ac:dyDescent="0.15"/>
    <row r="165" s="1" customFormat="1" ht="21" customHeight="1" x14ac:dyDescent="0.15"/>
    <row r="166" s="1" customFormat="1" ht="21" customHeight="1" x14ac:dyDescent="0.15"/>
    <row r="167" s="1" customFormat="1" ht="21" customHeight="1" x14ac:dyDescent="0.15"/>
    <row r="168" s="1" customFormat="1" ht="21" customHeight="1" x14ac:dyDescent="0.15"/>
    <row r="169" s="1" customFormat="1" ht="21" customHeight="1" x14ac:dyDescent="0.15"/>
    <row r="170" s="1" customFormat="1" ht="21" customHeight="1" x14ac:dyDescent="0.15"/>
    <row r="171" s="1" customFormat="1" ht="21" customHeight="1" x14ac:dyDescent="0.15"/>
    <row r="172" s="1" customFormat="1" ht="21" customHeight="1" x14ac:dyDescent="0.15"/>
    <row r="173" s="1" customFormat="1" ht="21" customHeight="1" x14ac:dyDescent="0.15"/>
    <row r="174" s="1" customFormat="1" ht="21" customHeight="1" x14ac:dyDescent="0.15"/>
    <row r="175" s="1" customFormat="1" ht="21" customHeight="1" x14ac:dyDescent="0.15"/>
    <row r="176" s="1" customFormat="1" ht="21" customHeight="1" x14ac:dyDescent="0.15"/>
    <row r="177" s="1" customFormat="1" ht="21" customHeight="1" x14ac:dyDescent="0.15"/>
    <row r="178" s="1" customFormat="1" ht="21" customHeight="1" x14ac:dyDescent="0.15"/>
    <row r="179" s="1" customFormat="1" ht="21" customHeight="1" x14ac:dyDescent="0.15"/>
    <row r="180" s="1" customFormat="1" ht="21" customHeight="1" x14ac:dyDescent="0.15"/>
    <row r="181" s="1" customFormat="1" ht="21" customHeight="1" x14ac:dyDescent="0.15"/>
    <row r="182" s="1" customFormat="1" ht="21" customHeight="1" x14ac:dyDescent="0.15"/>
    <row r="183" s="1" customFormat="1" ht="21" customHeight="1" x14ac:dyDescent="0.15"/>
    <row r="184" s="1" customFormat="1" ht="21" customHeight="1" x14ac:dyDescent="0.15"/>
    <row r="185" s="1" customFormat="1" ht="21" customHeight="1" x14ac:dyDescent="0.15"/>
    <row r="186" s="1" customFormat="1" ht="21" customHeight="1" x14ac:dyDescent="0.15"/>
    <row r="187" s="1" customFormat="1" ht="21" customHeight="1" x14ac:dyDescent="0.15"/>
    <row r="188" s="1" customFormat="1" ht="21" customHeight="1" x14ac:dyDescent="0.15"/>
    <row r="189" s="1" customFormat="1" ht="21" customHeight="1" x14ac:dyDescent="0.15"/>
    <row r="190" s="1" customFormat="1" ht="21" customHeight="1" x14ac:dyDescent="0.15"/>
    <row r="191" s="1" customFormat="1" ht="21" customHeight="1" x14ac:dyDescent="0.15"/>
    <row r="192" s="1" customFormat="1" ht="21" customHeight="1" x14ac:dyDescent="0.15"/>
    <row r="193" s="1" customFormat="1" ht="21" customHeight="1" x14ac:dyDescent="0.15"/>
    <row r="194" s="1" customFormat="1" ht="21" customHeight="1" x14ac:dyDescent="0.15"/>
    <row r="195" s="1" customFormat="1" ht="21" customHeight="1" x14ac:dyDescent="0.15"/>
    <row r="196" s="1" customFormat="1" ht="21" customHeight="1" x14ac:dyDescent="0.15"/>
    <row r="197" s="1" customFormat="1" ht="21" customHeight="1" x14ac:dyDescent="0.15"/>
    <row r="198" s="1" customFormat="1" ht="21" customHeight="1" x14ac:dyDescent="0.15"/>
    <row r="199" s="1" customFormat="1" ht="21" customHeight="1" x14ac:dyDescent="0.15"/>
    <row r="200" s="1" customFormat="1" ht="21" customHeight="1" x14ac:dyDescent="0.15"/>
    <row r="201" s="1" customFormat="1" ht="21" customHeight="1" x14ac:dyDescent="0.15"/>
    <row r="202" s="1" customFormat="1" ht="21" customHeight="1" x14ac:dyDescent="0.15"/>
    <row r="203" s="1" customFormat="1" ht="21" customHeight="1" x14ac:dyDescent="0.15"/>
    <row r="204" s="1" customFormat="1" ht="21" customHeight="1" x14ac:dyDescent="0.15"/>
    <row r="205" s="1" customFormat="1" ht="21" customHeight="1" x14ac:dyDescent="0.15"/>
    <row r="206" s="1" customFormat="1" ht="21" customHeight="1" x14ac:dyDescent="0.15"/>
    <row r="207" s="1" customFormat="1" ht="21" customHeight="1" x14ac:dyDescent="0.15"/>
    <row r="208" s="1" customFormat="1" ht="21" customHeight="1" x14ac:dyDescent="0.15"/>
    <row r="209" s="1" customFormat="1" ht="21" customHeight="1" x14ac:dyDescent="0.15"/>
    <row r="210" s="1" customFormat="1" ht="21" customHeight="1" x14ac:dyDescent="0.15"/>
    <row r="211" s="1" customFormat="1" ht="21" customHeight="1" x14ac:dyDescent="0.15"/>
    <row r="212" s="1" customFormat="1" ht="21" customHeight="1" x14ac:dyDescent="0.15"/>
    <row r="213" s="1" customFormat="1" ht="21" customHeight="1" x14ac:dyDescent="0.15"/>
    <row r="214" s="1" customFormat="1" ht="21" customHeight="1" x14ac:dyDescent="0.15"/>
    <row r="215" s="1" customFormat="1" ht="21" customHeight="1" x14ac:dyDescent="0.15"/>
    <row r="216" s="1" customFormat="1" ht="21" customHeight="1" x14ac:dyDescent="0.15"/>
    <row r="217" s="1" customFormat="1" ht="21" customHeight="1" x14ac:dyDescent="0.15"/>
    <row r="218" s="1" customFormat="1" ht="21" customHeight="1" x14ac:dyDescent="0.15"/>
    <row r="219" s="1" customFormat="1" ht="21" customHeight="1" x14ac:dyDescent="0.15"/>
    <row r="220" s="1" customFormat="1" ht="21" customHeight="1" x14ac:dyDescent="0.15"/>
    <row r="221" s="1" customFormat="1" ht="21" customHeight="1" x14ac:dyDescent="0.15"/>
    <row r="222" s="1" customFormat="1" ht="21" customHeight="1" x14ac:dyDescent="0.15"/>
    <row r="223" s="1" customFormat="1" ht="21" customHeight="1" x14ac:dyDescent="0.15"/>
    <row r="224" s="1" customFormat="1" ht="21" customHeight="1" x14ac:dyDescent="0.15"/>
    <row r="225" s="1" customFormat="1" ht="21" customHeight="1" x14ac:dyDescent="0.15"/>
    <row r="226" s="1" customFormat="1" ht="21" customHeight="1" x14ac:dyDescent="0.15"/>
    <row r="227" s="1" customFormat="1" ht="21" customHeight="1" x14ac:dyDescent="0.15"/>
    <row r="228" s="1" customFormat="1" ht="21" customHeight="1" x14ac:dyDescent="0.15"/>
    <row r="229" s="1" customFormat="1" ht="21" customHeight="1" x14ac:dyDescent="0.15"/>
    <row r="230" s="1" customFormat="1" ht="21" customHeight="1" x14ac:dyDescent="0.15"/>
    <row r="231" s="1" customFormat="1" ht="21" customHeight="1" x14ac:dyDescent="0.15"/>
    <row r="232" s="1" customFormat="1" ht="21" customHeight="1" x14ac:dyDescent="0.15"/>
    <row r="233" s="1" customFormat="1" ht="21" customHeight="1" x14ac:dyDescent="0.15"/>
    <row r="234" s="1" customFormat="1" ht="21" customHeight="1" x14ac:dyDescent="0.15"/>
    <row r="235" s="1" customFormat="1" ht="21" customHeight="1" x14ac:dyDescent="0.15"/>
    <row r="236" s="1" customFormat="1" ht="21" customHeight="1" x14ac:dyDescent="0.15"/>
    <row r="237" s="1" customFormat="1" ht="21" customHeight="1" x14ac:dyDescent="0.15"/>
    <row r="238" s="1" customFormat="1" ht="21" customHeight="1" x14ac:dyDescent="0.15"/>
    <row r="239" s="1" customFormat="1" ht="21" customHeight="1" x14ac:dyDescent="0.15"/>
    <row r="240" s="1" customFormat="1" ht="21" customHeight="1" x14ac:dyDescent="0.15"/>
    <row r="241" s="1" customFormat="1" ht="21" customHeight="1" x14ac:dyDescent="0.15"/>
    <row r="242" s="1" customFormat="1" ht="21" customHeight="1" x14ac:dyDescent="0.15"/>
    <row r="243" s="1" customFormat="1" ht="21" customHeight="1" x14ac:dyDescent="0.15"/>
    <row r="244" s="1" customFormat="1" ht="21" customHeight="1" x14ac:dyDescent="0.15"/>
    <row r="245" s="1" customFormat="1" ht="21" customHeight="1" x14ac:dyDescent="0.15"/>
    <row r="246" s="1" customFormat="1" ht="21" customHeight="1" x14ac:dyDescent="0.15"/>
    <row r="247" s="1" customFormat="1" ht="21" customHeight="1" x14ac:dyDescent="0.15"/>
    <row r="248" s="1" customFormat="1" ht="21" customHeight="1" x14ac:dyDescent="0.15"/>
    <row r="249" s="1" customFormat="1" ht="21" customHeight="1" x14ac:dyDescent="0.15"/>
    <row r="250" s="1" customFormat="1" ht="21" customHeight="1" x14ac:dyDescent="0.15"/>
    <row r="251" s="1" customFormat="1" ht="21" customHeight="1" x14ac:dyDescent="0.15"/>
    <row r="252" s="1" customFormat="1" ht="21" customHeight="1" x14ac:dyDescent="0.15"/>
    <row r="253" s="1" customFormat="1" ht="21" customHeight="1" x14ac:dyDescent="0.15"/>
    <row r="254" s="1" customFormat="1" ht="21" customHeight="1" x14ac:dyDescent="0.15"/>
    <row r="255" s="1" customFormat="1" ht="21" customHeight="1" x14ac:dyDescent="0.15"/>
    <row r="256" s="1" customFormat="1" ht="21" customHeight="1" x14ac:dyDescent="0.15"/>
    <row r="257" s="1" customFormat="1" ht="21" customHeight="1" x14ac:dyDescent="0.15"/>
    <row r="258" s="1" customFormat="1" ht="21" customHeight="1" x14ac:dyDescent="0.15"/>
    <row r="259" s="1" customFormat="1" ht="21" customHeight="1" x14ac:dyDescent="0.15"/>
    <row r="260" s="1" customFormat="1" ht="21" customHeight="1" x14ac:dyDescent="0.15"/>
    <row r="261" s="1" customFormat="1" ht="21" customHeight="1" x14ac:dyDescent="0.15"/>
    <row r="262" s="1" customFormat="1" ht="21" customHeight="1" x14ac:dyDescent="0.15"/>
    <row r="263" s="1" customFormat="1" ht="21" customHeight="1" x14ac:dyDescent="0.15"/>
    <row r="264" s="1" customFormat="1" ht="21" customHeight="1" x14ac:dyDescent="0.15"/>
    <row r="265" s="1" customFormat="1" ht="21" customHeight="1" x14ac:dyDescent="0.15"/>
    <row r="266" s="1" customFormat="1" ht="21" customHeight="1" x14ac:dyDescent="0.15"/>
    <row r="267" s="1" customFormat="1" ht="21" customHeight="1" x14ac:dyDescent="0.15"/>
    <row r="268" s="1" customFormat="1" ht="21" customHeight="1" x14ac:dyDescent="0.15"/>
    <row r="269" s="1" customFormat="1" ht="21" customHeight="1" x14ac:dyDescent="0.15"/>
    <row r="270" s="1" customFormat="1" ht="21" customHeight="1" x14ac:dyDescent="0.15"/>
    <row r="271" s="1" customFormat="1" ht="21" customHeight="1" x14ac:dyDescent="0.15"/>
    <row r="272" s="1" customFormat="1" ht="21" customHeight="1" x14ac:dyDescent="0.15"/>
    <row r="273" s="1" customFormat="1" ht="21" customHeight="1" x14ac:dyDescent="0.15"/>
    <row r="274" s="1" customFormat="1" ht="21" customHeight="1" x14ac:dyDescent="0.15"/>
    <row r="275" s="1" customFormat="1" ht="21" customHeight="1" x14ac:dyDescent="0.15"/>
    <row r="276" s="1" customFormat="1" ht="21" customHeight="1" x14ac:dyDescent="0.15"/>
    <row r="277" s="1" customFormat="1" ht="21" customHeight="1" x14ac:dyDescent="0.15"/>
  </sheetData>
  <autoFilter ref="A1:V7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5" t="s">
        <v>92</v>
      </c>
      <c r="H1" s="55" t="s">
        <v>93</v>
      </c>
      <c r="I1" s="56" t="s">
        <v>94</v>
      </c>
      <c r="J1" s="56" t="s">
        <v>95</v>
      </c>
      <c r="K1" s="56" t="s">
        <v>96</v>
      </c>
      <c r="L1" s="56" t="s">
        <v>97</v>
      </c>
      <c r="M1" s="56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5">
        <v>668</v>
      </c>
      <c r="B246" s="7" t="str">
        <f>VLOOKUP(A246,[1]characters!$A:$C,3,FALSE)</f>
        <v>アグニ</v>
      </c>
    </row>
    <row r="247" spans="1:2" x14ac:dyDescent="0.15">
      <c r="A247" s="65">
        <v>669</v>
      </c>
      <c r="B247" s="7" t="str">
        <f>VLOOKUP(A247,[1]characters!$A:$C,3,FALSE)</f>
        <v>天地の仲界 アグニ</v>
      </c>
    </row>
    <row r="248" spans="1:2" x14ac:dyDescent="0.15">
      <c r="A248" s="65">
        <v>670</v>
      </c>
      <c r="B248" s="7" t="str">
        <f>VLOOKUP(A248,[1]characters!$A:$C,3,FALSE)</f>
        <v>陽天の噴煙 アグニ</v>
      </c>
    </row>
    <row r="249" spans="1:2" x14ac:dyDescent="0.15">
      <c r="A249" s="65">
        <v>671</v>
      </c>
      <c r="B249" s="7" t="str">
        <f>VLOOKUP(A249,[1]characters!$A:$C,3,FALSE)</f>
        <v>ハヌマーン</v>
      </c>
    </row>
    <row r="250" spans="1:2" x14ac:dyDescent="0.15">
      <c r="A250" s="65">
        <v>672</v>
      </c>
      <c r="B250" s="7" t="str">
        <f>VLOOKUP(A250,[1]characters!$A:$C,3,FALSE)</f>
        <v>西遊韋駄天 ハヌマーン</v>
      </c>
    </row>
    <row r="251" spans="1:2" x14ac:dyDescent="0.15">
      <c r="A251" s="65">
        <v>673</v>
      </c>
      <c r="B251" s="7" t="str">
        <f>VLOOKUP(A251,[1]characters!$A:$C,3,FALSE)</f>
        <v>変幻自在の猿王 ハヌマーン</v>
      </c>
    </row>
    <row r="252" spans="1:2" x14ac:dyDescent="0.15">
      <c r="A252" s="65">
        <v>674</v>
      </c>
      <c r="B252" s="7" t="str">
        <f>VLOOKUP(A252,[1]characters!$A:$C,3,FALSE)</f>
        <v>サラスヴァティ</v>
      </c>
    </row>
    <row r="253" spans="1:2" x14ac:dyDescent="0.15">
      <c r="A253" s="65">
        <v>675</v>
      </c>
      <c r="B253" s="7" t="str">
        <f>VLOOKUP(A253,[1]characters!$A:$C,3,FALSE)</f>
        <v>芸楽の奔流 サラスヴァティ</v>
      </c>
    </row>
    <row r="254" spans="1:2" x14ac:dyDescent="0.15">
      <c r="A254" s="65">
        <v>676</v>
      </c>
      <c r="B254" s="7" t="str">
        <f>VLOOKUP(A254,[1]characters!$A:$C,3,FALSE)</f>
        <v>ヴィシュヌ</v>
      </c>
    </row>
    <row r="255" spans="1:2" x14ac:dyDescent="0.15">
      <c r="A255" s="65">
        <v>677</v>
      </c>
      <c r="B255" s="7" t="str">
        <f>VLOOKUP(A255,[1]characters!$A:$C,3,FALSE)</f>
        <v>武遊闊歩 ヴィシュヌ</v>
      </c>
    </row>
    <row r="256" spans="1:2" x14ac:dyDescent="0.15">
      <c r="A256" s="65">
        <v>770</v>
      </c>
      <c r="B256" s="7" t="str">
        <f>VLOOKUP(A256,[1]characters!$A:$C,3,FALSE)</f>
        <v>ハヅル</v>
      </c>
    </row>
    <row r="257" spans="1:2" x14ac:dyDescent="0.15">
      <c r="A257" s="65">
        <v>771</v>
      </c>
      <c r="B257" s="7" t="str">
        <f>VLOOKUP(A257,[1]characters!$A:$C,3,FALSE)</f>
        <v>天織羽鶴 ハヅル</v>
      </c>
    </row>
    <row r="258" spans="1:2" x14ac:dyDescent="0.15">
      <c r="A258" s="65">
        <v>772</v>
      </c>
      <c r="B258" s="7" t="str">
        <f>VLOOKUP(A258,[1]characters!$A:$C,3,FALSE)</f>
        <v>イナバ</v>
      </c>
    </row>
    <row r="259" spans="1:2" x14ac:dyDescent="0.15">
      <c r="A259" s="65">
        <v>773</v>
      </c>
      <c r="B259" s="7" t="str">
        <f>VLOOKUP(A259,[1]characters!$A:$C,3,FALSE)</f>
        <v>浮跳天兎 イナバ</v>
      </c>
    </row>
    <row r="260" spans="1:2" x14ac:dyDescent="0.15">
      <c r="A260" s="65">
        <v>774</v>
      </c>
      <c r="B260" s="7" t="str">
        <f>VLOOKUP(A260,[1]characters!$A:$C,3,FALSE)</f>
        <v>ミズチ</v>
      </c>
    </row>
    <row r="261" spans="1:2" x14ac:dyDescent="0.15">
      <c r="A261" s="65">
        <v>775</v>
      </c>
      <c r="B261" s="7" t="str">
        <f>VLOOKUP(A261,[1]characters!$A:$C,3,FALSE)</f>
        <v>水底霊竜 ミズチ</v>
      </c>
    </row>
    <row r="262" spans="1:2" x14ac:dyDescent="0.15">
      <c r="A262" s="65">
        <v>776</v>
      </c>
      <c r="B262" s="7" t="str">
        <f>VLOOKUP(A262,[1]characters!$A:$C,3,FALSE)</f>
        <v>水竜底主 ミズチ</v>
      </c>
    </row>
    <row r="263" spans="1:2" x14ac:dyDescent="0.15">
      <c r="A263" s="65">
        <v>777</v>
      </c>
      <c r="B263" s="7" t="str">
        <f>VLOOKUP(A263,[1]characters!$A:$C,3,FALSE)</f>
        <v>ガメック</v>
      </c>
    </row>
    <row r="264" spans="1:2" x14ac:dyDescent="0.15">
      <c r="A264" s="65">
        <v>778</v>
      </c>
      <c r="B264" s="7" t="str">
        <f>VLOOKUP(A264,[1]characters!$A:$C,3,FALSE)</f>
        <v>一亀懸明 ガメック</v>
      </c>
    </row>
    <row r="265" spans="1:2" x14ac:dyDescent="0.15">
      <c r="A265" s="65">
        <v>779</v>
      </c>
      <c r="B265" s="7" t="str">
        <f>VLOOKUP(A265,[1]characters!$A:$C,3,FALSE)</f>
        <v>頑堅咬亀 ガメック</v>
      </c>
    </row>
    <row r="266" spans="1:2" x14ac:dyDescent="0.15">
      <c r="A266" s="6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input_7100100</vt:lpstr>
      <vt:lpstr>tables_7100100</vt:lpstr>
      <vt:lpstr>tables_settle_7100100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2016-05-06T11:21:51Z</dcterms:modified>
</cp:coreProperties>
</file>