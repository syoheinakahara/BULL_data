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560" yWindow="460" windowWidth="25860" windowHeight="163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0" i="16"/>
  <c r="C12" i="16"/>
  <c r="C11" i="16"/>
  <c r="C8" i="16"/>
  <c r="C9" i="16"/>
  <c r="C7" i="16"/>
  <c r="C4" i="16"/>
  <c r="C6" i="16"/>
  <c r="C5" i="16"/>
  <c r="C3" i="16"/>
  <c r="G4" i="21"/>
  <c r="F4" i="21"/>
  <c r="D4" i="21"/>
  <c r="C4" i="21"/>
  <c r="G3" i="2"/>
  <c r="A3" i="2"/>
  <c r="H2" i="1"/>
  <c r="H3" i="1"/>
  <c r="H4" i="1"/>
  <c r="H5" i="1"/>
  <c r="B3" i="2"/>
  <c r="G2" i="2"/>
  <c r="A2" i="2"/>
  <c r="B2" i="2"/>
  <c r="D2" i="2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21" i="9"/>
  <c r="A22" i="9"/>
  <c r="A23" i="9"/>
  <c r="A24" i="9"/>
  <c r="A25" i="9"/>
  <c r="A26" i="9"/>
  <c r="A27" i="9"/>
  <c r="A28" i="9"/>
  <c r="A29" i="9"/>
  <c r="A20" i="9"/>
  <c r="A19" i="9"/>
  <c r="A18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G6" i="21"/>
  <c r="F6" i="21"/>
  <c r="D6" i="21"/>
  <c r="C6" i="21"/>
  <c r="G5" i="21"/>
  <c r="F5" i="21"/>
  <c r="D5" i="21"/>
  <c r="C5" i="21"/>
  <c r="G3" i="21"/>
  <c r="F3" i="21"/>
  <c r="D3" i="21"/>
  <c r="C3" i="21"/>
  <c r="G2" i="21"/>
  <c r="F2" i="21"/>
  <c r="D2" i="21"/>
  <c r="C2" i="21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6" i="21"/>
  <c r="O3" i="21"/>
  <c r="O5" i="21"/>
  <c r="O2" i="21"/>
  <c r="A16" i="9"/>
  <c r="A12" i="9"/>
  <c r="A7" i="9"/>
  <c r="A6" i="9"/>
  <c r="A11" i="9"/>
  <c r="A5" i="9"/>
  <c r="A17" i="9"/>
  <c r="A15" i="9"/>
  <c r="A14" i="9"/>
  <c r="A10" i="9"/>
  <c r="A9" i="9"/>
  <c r="A4" i="9"/>
  <c r="A3" i="9"/>
  <c r="A13" i="9"/>
  <c r="A8" i="9"/>
  <c r="H3" i="2"/>
  <c r="E3" i="2"/>
  <c r="D3" i="2"/>
  <c r="A5" i="1"/>
  <c r="A4" i="1"/>
  <c r="A3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E2" i="2"/>
  <c r="H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<sst xmlns="http://schemas.openxmlformats.org/spreadsheetml/2006/main" count="662" uniqueCount="330">
  <si>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</si>
  <si>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</si>
  <si>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</si>
  <si>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</si>
  <si>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</si>
  <si>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</si>
  <si>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</si>
  <si>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</si>
  <si>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</si>
  <si>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</si>
  <si>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</si>
  <si>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</si>
  <si>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</si>
  <si>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</si>
  <si>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</si>
  <si>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</si>
  <si>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</si>
  <si>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</si>
  <si>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</si>
  <si>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</si>
  <si>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</si>
  <si>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</si>
  <si>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</si>
  <si>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</si>
  <si>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</si>
  <si>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</si>
  <si>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</si>
  <si>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</si>
  <si>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</si>
  <si>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</si>
  <si>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</si>
  <si>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</si>
  <si>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</si>
  <si>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</si>
  <si>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</si>
  <si>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</si>
  <si>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</si>
  <si>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</si>
  <si>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</si>
  <si>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</si>
  <si>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</si>
  <si>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</si>
  <si>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</si>
  <si>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</si>
  <si>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</si>
  <si>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</si>
  <si>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</si>
  <si>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</si>
  <si>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</si>
  <si>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</si>
  <si>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</si>
  <si>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</si>
  <si>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</si>
  <si>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</si>
  <si>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</si>
  <si>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</si>
  <si>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</si>
  <si>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</si>
  <si>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</si>
  <si>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</si>
  <si>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</si>
  <si>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</si>
  <si>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</si>
  <si>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</si>
  <si>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</si>
  <si>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</si>
  <si>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</si>
  <si>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</si>
  <si>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</si>
  <si>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</si>
  <si>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</si>
  <si>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</si>
  <si>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</si>
  <si>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</si>
  <si>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</si>
  <si>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</si>
  <si>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</si>
  <si>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</si>
  <si>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</si>
  <si>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</si>
  <si>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</si>
  <si>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</si>
  <si>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</si>
  <si>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</si>
  <si>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</si>
  <si>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</si>
  <si>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</si>
  <si>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</si>
  <si>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</si>
  <si>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</si>
  <si>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</si>
  <si>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</si>
  <si>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</si>
  <si>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</si>
  <si>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</si>
  <si>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</si>
  <si>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</si>
  <si>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</si>
  <si>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</si>
  <si>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</si>
  <si>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</si>
  <si>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</si>
  <si>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</si>
  <si>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</si>
  <si>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</si>
  <si>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</si>
  <si>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</si>
  <si>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</si>
  <si>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</si>
  <si>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</si>
  <si>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</si>
  <si>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</si>
  <si>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</si>
  <si>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</si>
  <si>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</si>
  <si>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</si>
  <si>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</si>
  <si>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</si>
  <si>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</si>
  <si>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</si>
  <si>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</si>
  <si>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</si>
  <si>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</si>
  <si>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</si>
  <si>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</si>
  <si>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</si>
  <si>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</si>
  <si>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</si>
  <si>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</si>
  <si>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</si>
  <si>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</si>
  <si>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</si>
  <si>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</si>
  <si>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</si>
  <si>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</si>
  <si>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</si>
  <si>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</si>
  <si>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</si>
  <si>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</si>
  <si>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</si>
  <si>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</si>
  <si>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</si>
  <si>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</si>
  <si>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</si>
  <si>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</si>
  <si>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</si>
  <si>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</si>
  <si>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</si>
  <si>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</si>
  <si>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</si>
  <si>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</si>
  <si>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</si>
  <si>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</si>
  <si>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</si>
  <si>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</si>
  <si>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</si>
  <si>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</si>
  <si>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</si>
  <si>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</si>
  <si>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</si>
  <si>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</si>
  <si>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</si>
  <si>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</si>
  <si>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</si>
  <si>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</si>
  <si>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</si>
  <si>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</si>
  <si>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</si>
  <si>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</si>
  <si>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</si>
  <si>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</si>
  <si>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</si>
  <si>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</si>
  <si>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</si>
  <si>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</si>
  <si>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</si>
  <si>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</si>
  <si>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</si>
  <si>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</si>
  <si>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</si>
  <si>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</si>
  <si>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</si>
  <si>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</si>
  <si>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</si>
  <si>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</si>
  <si>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</si>
  <si>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</si>
  <si>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</si>
  <si>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</si>
  <si>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</si>
  <si>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</si>
  <si>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</si>
  <si>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</si>
  <si>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</si>
  <si>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</si>
  <si>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</si>
  <si>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</si>
  <si>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</si>
  <si>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</si>
  <si>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</si>
  <si>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</si>
  <si>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</si>
  <si>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</si>
  <si>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</si>
  <si>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</si>
  <si>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</si>
  <si>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</si>
  <si>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</si>
  <si>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</si>
  <si>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</si>
  <si>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</si>
  <si>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</si>
  <si>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</si>
  <si>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</si>
  <si>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</si>
  <si>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</si>
  <si>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</si>
  <si>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</si>
  <si>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</si>
  <si>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</si>
  <si>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</si>
  <si>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</si>
  <si>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</si>
  <si>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</si>
  <si>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</si>
  <si>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</si>
  <si>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</si>
  <si>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</si>
  <si>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</si>
  <si>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</si>
  <si>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</si>
  <si>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</si>
  <si>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</si>
  <si>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</si>
  <si>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</si>
  <si>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</si>
  <si>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</si>
  <si>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</si>
  <si>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</si>
  <si>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</si>
  <si>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</si>
  <si>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</si>
  <si>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</si>
  <si>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</si>
  <si>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</si>
  <si>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</si>
  <si>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</si>
  <si>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</si>
  <si>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</si>
  <si>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</si>
  <si>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skip</t>
  </si>
  <si>
    <t>unit</t>
    <phoneticPr fontId="5"/>
  </si>
  <si>
    <t>link</t>
    <phoneticPr fontId="5"/>
  </si>
  <si>
    <t>null</t>
    <phoneticPr fontId="5"/>
  </si>
  <si>
    <t>singleonly</t>
    <phoneticPr fontId="5"/>
  </si>
  <si>
    <t>bit</t>
    <phoneticPr fontId="5"/>
  </si>
  <si>
    <t>bit</t>
    <phoneticPr fontId="5"/>
  </si>
  <si>
    <t>null</t>
    <phoneticPr fontId="5"/>
  </si>
  <si>
    <t>null</t>
    <phoneticPr fontId="5"/>
  </si>
  <si>
    <t>old</t>
    <phoneticPr fontId="5"/>
  </si>
  <si>
    <t>old</t>
    <phoneticPr fontId="5"/>
  </si>
  <si>
    <t>このフロアの敵は
ターンが経過すると攻撃力がUPします
なるべく素早く抜けましょう</t>
    <phoneticPr fontId="5"/>
  </si>
  <si>
    <t>チエミは攻撃頻度4ですが
途中から攻撃頻度が早くなります
それまでにミリーを倒しておきましょう</t>
    <rPh sb="4" eb="8">
      <t>コウゲキヒンド</t>
    </rPh>
    <rPh sb="13" eb="15">
      <t>トチュウカラ</t>
    </rPh>
    <rPh sb="22" eb="23">
      <t>ハヤク</t>
    </rPh>
    <phoneticPr fontId="5"/>
  </si>
  <si>
    <t>ミリーは頻繁にお邪魔パネルを生成して
こちらの行動を阻害してきます
スキルやフィーバーで上手く回避しましょう</t>
    <rPh sb="4" eb="6">
      <t>ヒンパン</t>
    </rPh>
    <rPh sb="14" eb="16">
      <t>セイセイ</t>
    </rPh>
    <rPh sb="23" eb="25">
      <t>コウドウヲ</t>
    </rPh>
    <rPh sb="26" eb="28">
      <t>ソガイ</t>
    </rPh>
    <rPh sb="45" eb="47">
      <t>ウマク</t>
    </rPh>
    <rPh sb="48" eb="50">
      <t>カイヒ</t>
    </rPh>
    <phoneticPr fontId="5"/>
  </si>
  <si>
    <t>NULL</t>
    <phoneticPr fontId="5"/>
  </si>
  <si>
    <t>「塔の結界・極」はコスト29以上のユニットに
即死級のダメージを与えます
注意しましょう</t>
    <phoneticPr fontId="5"/>
  </si>
  <si>
    <t>[effect:damage_fix_absolute, target:unit_one, val:300]</t>
    <phoneticPr fontId="5"/>
  </si>
  <si>
    <t>計測射撃</t>
    <rPh sb="0" eb="2">
      <t>ケイソク</t>
    </rPh>
    <rPh sb="2" eb="4">
      <t>シャゲキ</t>
    </rPh>
    <phoneticPr fontId="5"/>
  </si>
  <si>
    <t>14ターン後即死級の攻撃</t>
    <phoneticPr fontId="5"/>
  </si>
  <si>
    <t>[effect:damage_fix_absolute, target:unit_one, val:600]</t>
    <phoneticPr fontId="5"/>
  </si>
  <si>
    <t>だんだん強くなる固定ダメージ</t>
    <phoneticPr fontId="5"/>
  </si>
  <si>
    <t>[effect:damage_fix_absolute, target:unit_one, val:900]</t>
    <phoneticPr fontId="5"/>
  </si>
  <si>
    <t>[effect:damage_fix_absolute, target:unit_one, val:1200]</t>
    <phoneticPr fontId="5"/>
  </si>
  <si>
    <t>[effect:damage_fix_absolute, target:unit_one, val:1500]</t>
    <phoneticPr fontId="5"/>
  </si>
  <si>
    <t>[effect:damage_fix_absolute, target:unit_one, val:1800]</t>
    <phoneticPr fontId="5"/>
  </si>
  <si>
    <t>[effect:damage_fix_absolute, target:unit_one, val:2100]</t>
    <phoneticPr fontId="5"/>
  </si>
  <si>
    <t>[effect:damage_fix_absolute, target:unit_one, val:2400]</t>
    <phoneticPr fontId="5"/>
  </si>
  <si>
    <t>[effect:damage_fix_absolute, target:unit_one, val:2700]</t>
    <phoneticPr fontId="5"/>
  </si>
  <si>
    <t>[effect:damage_fix_absolute, target:unit_one, val:3000]</t>
    <phoneticPr fontId="5"/>
  </si>
  <si>
    <t>[effect:damage_fix_absolute, target:unit_one, val:3300]</t>
    <phoneticPr fontId="5"/>
  </si>
  <si>
    <t>[effect:damage_fix_absolute, target:unit_one, val:3600]</t>
    <phoneticPr fontId="5"/>
  </si>
  <si>
    <t>ja</t>
    <phoneticPr fontId="5"/>
  </si>
  <si>
    <t>だんだん強くなる固定ダメージ</t>
    <phoneticPr fontId="5"/>
  </si>
  <si>
    <t>[effect:damage_fix_absolute, target:unit_one, val:3900]</t>
    <phoneticPr fontId="5"/>
  </si>
  <si>
    <t>次のターン即死級の攻撃</t>
    <phoneticPr fontId="5"/>
  </si>
  <si>
    <t>致命射撃</t>
    <rPh sb="0" eb="2">
      <t>チメイ</t>
    </rPh>
    <rPh sb="2" eb="4">
      <t>シャゲキ</t>
    </rPh>
    <phoneticPr fontId="5"/>
  </si>
  <si>
    <t>99999固定ダメージ！</t>
    <rPh sb="5" eb="7">
      <t>コテイ</t>
    </rPh>
    <phoneticPr fontId="5"/>
  </si>
  <si>
    <t>フハハ！もたもたするな！</t>
    <phoneticPr fontId="5"/>
  </si>
  <si>
    <t>全体攻撃+2ターンタップ時間制限（9秒）</t>
    <rPh sb="18" eb="19">
      <t>ビョウ</t>
    </rPh>
    <phoneticPr fontId="5"/>
  </si>
  <si>
    <t>贈り物を用意したぞ！</t>
    <rPh sb="0" eb="1">
      <t>オクリモノヲ</t>
    </rPh>
    <rPh sb="4" eb="6">
      <t>ヨウイ</t>
    </rPh>
    <phoneticPr fontId="5"/>
  </si>
  <si>
    <t>調子に乗るなよ小童共！</t>
    <rPh sb="0" eb="2">
      <t>チョウシニ</t>
    </rPh>
    <rPh sb="3" eb="4">
      <t>ノルナヨ</t>
    </rPh>
    <rPh sb="7" eb="9">
      <t>コワッパ</t>
    </rPh>
    <rPh sb="9" eb="10">
      <t>ドモ</t>
    </rPh>
    <phoneticPr fontId="5"/>
  </si>
  <si>
    <t>これが私の流儀だ！</t>
    <rPh sb="3" eb="4">
      <t>ワタシノ</t>
    </rPh>
    <rPh sb="5" eb="7">
      <t>リュウギ</t>
    </rPh>
    <phoneticPr fontId="5"/>
  </si>
  <si>
    <t>ジャミングスラスト</t>
    <phoneticPr fontId="5"/>
  </si>
  <si>
    <t>お邪魔パネル2個生成+2回連続攻撃</t>
    <rPh sb="7" eb="8">
      <t>コ</t>
    </rPh>
    <phoneticPr fontId="5"/>
  </si>
  <si>
    <t>見えた…刈り取る！！</t>
    <rPh sb="0" eb="1">
      <t>ミエタ</t>
    </rPh>
    <rPh sb="4" eb="5">
      <t>カリトル</t>
    </rPh>
    <phoneticPr fontId="5"/>
  </si>
  <si>
    <t>50000固定ダメージ！</t>
    <rPh sb="5" eb="7">
      <t>コテイ</t>
    </rPh>
    <phoneticPr fontId="5"/>
  </si>
  <si>
    <t>ほらほら、触ってみてよ♪</t>
    <rPh sb="5" eb="6">
      <t>サワッテ</t>
    </rPh>
    <phoneticPr fontId="5"/>
  </si>
  <si>
    <t>じっとしてるのも飽きたな〜</t>
    <rPh sb="8" eb="9">
      <t>アキタ</t>
    </rPh>
    <phoneticPr fontId="5"/>
  </si>
  <si>
    <t>もうどうなっても知らな〜い</t>
    <rPh sb="8" eb="9">
      <t>シラナイ</t>
    </rPh>
    <phoneticPr fontId="5"/>
  </si>
  <si>
    <t>ビリビリあたっく！</t>
    <phoneticPr fontId="5"/>
  </si>
  <si>
    <t>6回連続攻撃</t>
    <phoneticPr fontId="5"/>
  </si>
  <si>
    <t>塔の結界・極</t>
    <rPh sb="0" eb="1">
      <t>トウノ</t>
    </rPh>
    <rPh sb="2" eb="4">
      <t>ケッカイ</t>
    </rPh>
    <phoneticPr fontId="5"/>
  </si>
  <si>
    <t>状態異常耐性</t>
    <rPh sb="0" eb="2">
      <t>ジョウタイイジョウ</t>
    </rPh>
    <rPh sb="2" eb="4">
      <t>イジョウ</t>
    </rPh>
    <rPh sb="4" eb="6">
      <t>タイセイ</t>
    </rPh>
    <phoneticPr fontId="5"/>
  </si>
  <si>
    <t>緑属性ユニットのスキルゲージ2上昇</t>
    <rPh sb="1" eb="3">
      <t>ゾクセイ</t>
    </rPh>
    <phoneticPr fontId="5"/>
  </si>
  <si>
    <t>[effect:damage_fix_absolute, target:unit_one, val:99999],[effect:enemy_message, val1:1.4, val2:2.2]</t>
    <phoneticPr fontId="5"/>
  </si>
  <si>
    <t>[effect:damage_fix_absolute, target:unit_one, val:4200],[effect:enemy_message, val1:1, val2:2.2]</t>
    <phoneticPr fontId="5"/>
  </si>
  <si>
    <t>[effect:time_limit, target:unit_all, turn:2, count:9, animation:enemy_time_limit],[effect:spread, val:0.3],[effect:enemy_message, val1:1.2, val2:2.2]</t>
    <phoneticPr fontId="5"/>
  </si>
  <si>
    <t>[effect:sp_boost, target:unit_green, val:2, animation:sp_boost_one02],[effect:enemy_message, val1:1.2, val2:2.2]</t>
    <phoneticPr fontId="5"/>
  </si>
  <si>
    <t>[effect:enemy_message, val1:1.2, val2:2.5],[effect:spread, val:0.3],[effect:force_change_block, new_block:time_bomb, target:block_yellow, ignore01:crash, ignore02:crack_bomb, ignore03:time_bomb, ignore04:jammer, color:block_yellow, count:2, val:0.3, min_time_count:2, max_time_count:3, animation:change_block]</t>
    <phoneticPr fontId="5"/>
  </si>
  <si>
    <t>[effect:enemy_message, val1:1.2, val2:2.7],[effect:degrade_unit, target:unit_all, turn:3, status:attack, val:1, calc:mul],[effect:time_limit, target:unit_all, turn:1, count:6, animation:enemy_time_limit]</t>
    <phoneticPr fontId="5"/>
  </si>
  <si>
    <t>[effect:force_change_block, new_block:jammer, target:block_all, ignore01:crash, ignore02:crack_bomb, ignore03:jammer, count:2, val:0, animation:change_block],[effect:rush, count:2, val:0.5],[effect:enemy_message, val1:1.4, val2:2]</t>
    <phoneticPr fontId="5"/>
  </si>
  <si>
    <t>[effect:damage_fix_absolute, target:unit_one, val:50000],[effect:enemy_message, val1:1.4, val2:1.6]</t>
    <phoneticPr fontId="5"/>
  </si>
  <si>
    <t>[effect:enemy_counter, target:myself, invoke_condition:unit_all, counter_target:attacker, turn:-1, val:0.5, animation:enemy_counter],[effect:enemy_message, val1:1.4, val2:1.9]</t>
    <phoneticPr fontId="5"/>
  </si>
  <si>
    <t>[effect:rush, count:6, val:0.3],[effect:enemy_message, val1:1.3, val2:1.7]</t>
    <phoneticPr fontId="5"/>
  </si>
  <si>
    <t>コスト29以上のユニットに大ダメージ+
自身が受ける全属性ダメージを究極軽減</t>
    <rPh sb="13" eb="14">
      <t>ダイダメージ</t>
    </rPh>
    <rPh sb="20" eb="22">
      <t>ジシン</t>
    </rPh>
    <rPh sb="23" eb="24">
      <t>ウケル</t>
    </rPh>
    <rPh sb="34" eb="36">
      <t>キュウキョク</t>
    </rPh>
    <phoneticPr fontId="5"/>
  </si>
  <si>
    <t>…彼女の声が聞こえるな…</t>
    <rPh sb="6" eb="7">
      <t>キコエル</t>
    </rPh>
    <phoneticPr fontId="5"/>
  </si>
  <si>
    <t>[effect:enemy_message, val1:0, val2:2.4],[effect:tolerance, target:myself, turn:-1, count:-1, tolerance_effect:all, animation:enemy_tolerance]</t>
    <phoneticPr fontId="5"/>
  </si>
  <si>
    <t>表示しない</t>
    <phoneticPr fontId="5"/>
  </si>
  <si>
    <t>全体攻撃+
黄パネルを2個時限式ダメージパネルに変換</t>
    <rPh sb="6" eb="7">
      <t>キイロ</t>
    </rPh>
    <rPh sb="12" eb="13">
      <t>コ</t>
    </rPh>
    <rPh sb="24" eb="26">
      <t>ヘンカn</t>
    </rPh>
    <phoneticPr fontId="5"/>
  </si>
  <si>
    <t>3ターン全ユニットの攻撃力100%DOWN+
1ターンタップ時間制限（6秒）</t>
    <rPh sb="36" eb="37">
      <t>ビョウ</t>
    </rPh>
    <phoneticPr fontId="5"/>
  </si>
  <si>
    <t>種族アニマルに4ターンスキルバインド+
種族アニマルに大ダメージの全体攻撃</t>
    <phoneticPr fontId="5"/>
  </si>
  <si>
    <t>6ターンタップ時間制限（9秒）+
攻撃頻度が2に変化</t>
    <rPh sb="13" eb="14">
      <t>ビョウ</t>
    </rPh>
    <rPh sb="17" eb="21">
      <t>コウゲキヒンド</t>
    </rPh>
    <rPh sb="24" eb="26">
      <t>ヘンカ</t>
    </rPh>
    <phoneticPr fontId="5"/>
  </si>
  <si>
    <t>[effect:enemy_message, val1:1.4, val2:2.5],[effect:time_limit, target:unit_all, turn:6, count:9, animation:enemy_time_limit],[effect:fix_speed, target:myself, turn:2]</t>
    <phoneticPr fontId="5"/>
  </si>
  <si>
    <t>解除するまで全ての攻撃をカウンター</t>
    <rPh sb="0" eb="2">
      <t>カイジョ</t>
    </rPh>
    <phoneticPr fontId="5"/>
  </si>
  <si>
    <t>[effect:enemy_message, val1:1, val2:3.0],[effect:damage_anti_cost, target:unit_all, lower:29, val1:99.9, val2:0.01, cost_type:unit],[effect:damage_anti_cost, target:unit_all, lower:29, val1:99.9, val2:0.01, cost_type:unit],[effect:reduction, target:myself, color:all, turn:-1, val:0.97, animation:reduction_one01]</t>
    <phoneticPr fontId="5"/>
  </si>
  <si>
    <t>[effect:enemy_counter, target:myself, invoke_condition:unit_all, counter_target:attacker, turn:4, val:0.2, animation:enemy_counter],[effect:enemy_message, val1:1.4, val2:1.9]</t>
    <phoneticPr fontId="5"/>
  </si>
  <si>
    <t>4ターン全ての攻撃をカウンター</t>
    <phoneticPr fontId="5"/>
  </si>
  <si>
    <t>[effect:hungup, target:unit_animal, turn:4, rate:1, calc_type:target_all, animation:hungup01],[effect:damage_anti_tribe, target:unit_all, tribe:animal, val1:0.85, val2:0.1],[effect:enemy_message, val1:1.4, val2:2.8]</t>
    <phoneticPr fontId="5"/>
  </si>
  <si>
    <t>13301_8</t>
    <phoneticPr fontId="5"/>
  </si>
  <si>
    <t>ユヅルは受けるダメージを大幅に
カットするスキルを使用します
ウィルス攻撃が有効です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</si>
</sst>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2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32" borderId="7" xfId="0" applyFont="1" applyFill="1" applyBorder="1"/>
    <xf numFmtId="0" fontId="16" fillId="6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8" borderId="9" xfId="0" applyFont="1" applyFill="1" applyBorder="1" applyAlignment="1">
      <alignment vertical="center"/>
    </xf>
    <xf numFmtId="0" fontId="4" fillId="32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0" fillId="0" borderId="0" xfId="0" applyAlignment="1">
      <alignment wrapText="1"/>
    </xf>
    <xf numFmtId="0" fontId="16" fillId="32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s"/>
      <sheetName val="enemy_skill_set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13300_9-1</v>
          </cell>
        </row>
        <row r="3">
          <cell r="A3" t="str">
            <v>13300_9-2</v>
          </cell>
        </row>
        <row r="4">
          <cell r="A4" t="str">
            <v>13300_9-3</v>
          </cell>
        </row>
      </sheetData>
      <sheetData sheetId="2"/>
      <sheetData sheetId="3"/>
      <sheetData sheetId="4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13300602</v>
          </cell>
        </row>
        <row r="3">
          <cell r="A3">
            <v>13300603</v>
          </cell>
        </row>
        <row r="4">
          <cell r="A4">
            <v>13300604</v>
          </cell>
        </row>
        <row r="5">
          <cell r="A5">
            <v>13300605</v>
          </cell>
        </row>
        <row r="6">
          <cell r="A6">
            <v>13300606</v>
          </cell>
        </row>
        <row r="7">
          <cell r="A7">
            <v>13300611</v>
          </cell>
        </row>
        <row r="8">
          <cell r="A8">
            <v>13300612</v>
          </cell>
        </row>
        <row r="9">
          <cell r="A9">
            <v>13300613</v>
          </cell>
        </row>
        <row r="10">
          <cell r="A10">
            <v>13300621</v>
          </cell>
        </row>
        <row r="11">
          <cell r="A11">
            <v>13300622</v>
          </cell>
        </row>
        <row r="12">
          <cell r="A12">
            <v>13300623</v>
          </cell>
        </row>
        <row r="13">
          <cell r="A13">
            <v>13300624</v>
          </cell>
        </row>
        <row r="14">
          <cell r="A14">
            <v>13300625</v>
          </cell>
        </row>
        <row r="15">
          <cell r="A15">
            <v>13300631</v>
          </cell>
        </row>
        <row r="16">
          <cell r="A16">
            <v>13300632</v>
          </cell>
        </row>
        <row r="17">
          <cell r="A17">
            <v>13300633</v>
          </cell>
        </row>
        <row r="18">
          <cell r="A18">
            <v>13300634</v>
          </cell>
        </row>
        <row r="19">
          <cell r="A19">
            <v>13300635</v>
          </cell>
        </row>
        <row r="20">
          <cell r="A20">
            <v>13300641</v>
          </cell>
        </row>
        <row r="21">
          <cell r="A21">
            <v>13300642</v>
          </cell>
        </row>
        <row r="22">
          <cell r="A22">
            <v>13300643</v>
          </cell>
        </row>
        <row r="23">
          <cell r="A23">
            <v>13300644</v>
          </cell>
        </row>
        <row r="24">
          <cell r="A24">
            <v>13300645</v>
          </cell>
        </row>
      </sheetData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13300601</v>
          </cell>
        </row>
        <row r="3">
          <cell r="B3">
            <v>13300601</v>
          </cell>
        </row>
        <row r="4">
          <cell r="B4">
            <v>13300602</v>
          </cell>
        </row>
        <row r="5">
          <cell r="B5">
            <v>13300602</v>
          </cell>
        </row>
        <row r="6">
          <cell r="B6">
            <v>13300602</v>
          </cell>
        </row>
        <row r="7">
          <cell r="B7">
            <v>13300603</v>
          </cell>
        </row>
        <row r="8">
          <cell r="B8">
            <v>13300603</v>
          </cell>
        </row>
        <row r="9">
          <cell r="B9">
            <v>13300603</v>
          </cell>
        </row>
        <row r="10">
          <cell r="B10">
            <v>13300604</v>
          </cell>
        </row>
        <row r="11">
          <cell r="B11">
            <v>13300604</v>
          </cell>
        </row>
        <row r="12">
          <cell r="B12">
            <v>13300604</v>
          </cell>
        </row>
        <row r="13">
          <cell r="B13">
            <v>13300604</v>
          </cell>
        </row>
        <row r="14">
          <cell r="B14">
            <v>13300604</v>
          </cell>
        </row>
        <row r="15">
          <cell r="B15">
            <v>13300605</v>
          </cell>
        </row>
        <row r="16">
          <cell r="B16">
            <v>13300605</v>
          </cell>
        </row>
        <row r="17">
          <cell r="B17">
            <v>13300605</v>
          </cell>
        </row>
        <row r="18">
          <cell r="B18">
            <v>13300605</v>
          </cell>
        </row>
        <row r="19">
          <cell r="B19">
            <v>13300605</v>
          </cell>
        </row>
        <row r="20">
          <cell r="B20">
            <v>13300606</v>
          </cell>
        </row>
        <row r="21">
          <cell r="B21">
            <v>13300606</v>
          </cell>
        </row>
        <row r="22">
          <cell r="B22">
            <v>13300606</v>
          </cell>
        </row>
        <row r="23">
          <cell r="B23">
            <v>13300606</v>
          </cell>
        </row>
        <row r="24">
          <cell r="B24">
            <v>13300606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13300602</v>
          </cell>
        </row>
        <row r="3">
          <cell r="A3">
            <v>13300603</v>
          </cell>
        </row>
        <row r="4">
          <cell r="A4">
            <v>13300604</v>
          </cell>
        </row>
        <row r="5">
          <cell r="A5">
            <v>13300605</v>
          </cell>
        </row>
        <row r="6">
          <cell r="A6">
            <v>13300606</v>
          </cell>
        </row>
        <row r="7">
          <cell r="A7">
            <v>13300611</v>
          </cell>
        </row>
        <row r="8">
          <cell r="A8">
            <v>13300612</v>
          </cell>
        </row>
        <row r="9">
          <cell r="A9">
            <v>13300613</v>
          </cell>
        </row>
        <row r="10">
          <cell r="A10">
            <v>13300621</v>
          </cell>
        </row>
        <row r="11">
          <cell r="A11">
            <v>13300622</v>
          </cell>
        </row>
        <row r="12">
          <cell r="A12">
            <v>13300623</v>
          </cell>
        </row>
        <row r="13">
          <cell r="A13">
            <v>13300624</v>
          </cell>
        </row>
        <row r="14">
          <cell r="A14">
            <v>13300625</v>
          </cell>
        </row>
        <row r="15">
          <cell r="A15">
            <v>13300631</v>
          </cell>
        </row>
        <row r="16">
          <cell r="A16">
            <v>13300632</v>
          </cell>
        </row>
        <row r="17">
          <cell r="A17">
            <v>13300633</v>
          </cell>
        </row>
        <row r="18">
          <cell r="A18">
            <v>13300634</v>
          </cell>
        </row>
        <row r="19">
          <cell r="A19">
            <v>13300635</v>
          </cell>
        </row>
        <row r="20">
          <cell r="A20">
            <v>13300641</v>
          </cell>
        </row>
        <row r="21">
          <cell r="A21">
            <v>13300642</v>
          </cell>
        </row>
        <row r="22">
          <cell r="A22">
            <v>13300643</v>
          </cell>
        </row>
        <row r="23">
          <cell r="A23">
            <v>13300644</v>
          </cell>
        </row>
        <row r="24">
          <cell r="A24">
            <v>13300645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0" sqref="D2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129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249</v>
      </c>
      <c r="B2" s="54" t="s">
        <v>105</v>
      </c>
      <c r="C2" s="60" t="s">
        <v>328</v>
      </c>
      <c r="D2" s="54" t="s">
        <v>106</v>
      </c>
      <c r="E2" s="53" t="str">
        <f>B2&amp;C2&amp;D2</f>
        <v>floors_13301_8.tmp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249</v>
      </c>
      <c r="B3" s="54" t="s">
        <v>108</v>
      </c>
      <c r="C3" s="60" t="str">
        <f t="shared" ref="C3:C13" si="0">C$2</f>
        <v>13301_8</v>
      </c>
      <c r="D3" s="54" t="s">
        <v>106</v>
      </c>
      <c r="E3" s="53" t="str">
        <f>B3&amp;C3&amp;D3</f>
        <v>enemy_habitats_13301_8.tmp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176</v>
      </c>
    </row>
    <row r="4" spans="1:30" x14ac:dyDescent="0.15">
      <c r="A4" s="58" t="s">
        <v>249</v>
      </c>
      <c r="B4" s="54" t="s">
        <v>110</v>
      </c>
      <c r="C4" s="60" t="str">
        <f t="shared" si="0"/>
        <v>13301_8</v>
      </c>
      <c r="D4" s="54" t="s">
        <v>106</v>
      </c>
      <c r="E4" s="53" t="str">
        <f>B4&amp;C4&amp;D4</f>
        <v>enemy_habitat_S_13301_8.tmp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249</v>
      </c>
      <c r="B5" s="54" t="s">
        <v>112</v>
      </c>
      <c r="C5" s="60" t="str">
        <f t="shared" si="0"/>
        <v>13301_8</v>
      </c>
      <c r="D5" s="54" t="s">
        <v>106</v>
      </c>
      <c r="E5" s="53" t="str">
        <f>B5&amp;C5&amp;D5</f>
        <v>enemy_skill_sets_13301_8.tmp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249</v>
      </c>
      <c r="B6" s="54" t="s">
        <v>114</v>
      </c>
      <c r="C6" s="60" t="str">
        <f t="shared" si="0"/>
        <v>13301_8</v>
      </c>
      <c r="D6" s="54" t="s">
        <v>115</v>
      </c>
      <c r="E6" s="53" t="str">
        <f t="shared" ref="E6:E10" si="1">B6&amp;C6&amp;D6</f>
        <v>enemy_skills_tmp_13301_8.tmp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249</v>
      </c>
      <c r="B7" s="54" t="s">
        <v>116</v>
      </c>
      <c r="C7" s="60" t="str">
        <f t="shared" si="0"/>
        <v>13301_8</v>
      </c>
      <c r="D7" s="54" t="s">
        <v>106</v>
      </c>
      <c r="E7" s="53" t="str">
        <f>B7&amp;C7&amp;D7</f>
        <v>enemy_skills_i18n_13301_8.tmp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249</v>
      </c>
      <c r="B8" s="54" t="s">
        <v>118</v>
      </c>
      <c r="C8" s="60" t="str">
        <f t="shared" si="0"/>
        <v>13301_8</v>
      </c>
      <c r="D8" s="54" t="s">
        <v>119</v>
      </c>
      <c r="E8" s="53" t="str">
        <f t="shared" si="1"/>
        <v>enemy_skill_triggers_13301_8.tmp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259</v>
      </c>
      <c r="B9" s="65" t="s">
        <v>175</v>
      </c>
      <c r="C9" s="60" t="str">
        <f t="shared" si="0"/>
        <v>13301_8</v>
      </c>
      <c r="D9" s="65" t="s">
        <v>169</v>
      </c>
      <c r="E9" s="66" t="str">
        <f t="shared" si="1"/>
        <v>stage_bug_bonuses_13301_8.tmp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4"/>
      <c r="Y9" s="54"/>
      <c r="Z9" s="54"/>
      <c r="AA9" s="54"/>
      <c r="AB9" s="54"/>
      <c r="AC9" s="54"/>
      <c r="AD9" s="54"/>
    </row>
    <row r="10" spans="1:30" s="72" customFormat="1" x14ac:dyDescent="0.15">
      <c r="A10" s="58" t="s">
        <v>250</v>
      </c>
      <c r="B10" s="65" t="s">
        <v>198</v>
      </c>
      <c r="C10" s="60" t="str">
        <f t="shared" si="0"/>
        <v>13301_8</v>
      </c>
      <c r="D10" s="65" t="s">
        <v>178</v>
      </c>
      <c r="E10" s="66" t="str">
        <f t="shared" si="1"/>
        <v>stage_hints_data_c_13301_8.tmp</v>
      </c>
      <c r="F10" s="65" t="s">
        <v>206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8" t="s">
        <v>249</v>
      </c>
      <c r="B11" s="65" t="s">
        <v>199</v>
      </c>
      <c r="C11" s="60" t="str">
        <f t="shared" si="0"/>
        <v>13301_8</v>
      </c>
      <c r="D11" s="65" t="s">
        <v>169</v>
      </c>
      <c r="E11" s="66" t="str">
        <f t="shared" ref="E11:E13" si="2">B11&amp;C11&amp;D11</f>
        <v>stage_hints_data_f_13301_8.tmp</v>
      </c>
      <c r="F11" s="65" t="s">
        <v>207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8" t="s">
        <v>249</v>
      </c>
      <c r="B12" s="65" t="s">
        <v>200</v>
      </c>
      <c r="C12" s="60" t="str">
        <f t="shared" si="0"/>
        <v>13301_8</v>
      </c>
      <c r="D12" s="65" t="s">
        <v>169</v>
      </c>
      <c r="E12" s="66" t="str">
        <f t="shared" si="2"/>
        <v>stage_hints_i18n_13301_8.tmp</v>
      </c>
      <c r="F12" s="65" t="s">
        <v>208</v>
      </c>
      <c r="G12" s="71" t="s">
        <v>201</v>
      </c>
      <c r="H12" s="89" t="s">
        <v>202</v>
      </c>
      <c r="I12" s="70" t="s">
        <v>203</v>
      </c>
      <c r="J12" s="97" t="s">
        <v>204</v>
      </c>
      <c r="K12" s="64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8" t="s">
        <v>260</v>
      </c>
      <c r="B13" s="65" t="s">
        <v>246</v>
      </c>
      <c r="C13" s="60" t="str">
        <f t="shared" si="0"/>
        <v>13301_8</v>
      </c>
      <c r="D13" s="65" t="s">
        <v>227</v>
      </c>
      <c r="E13" s="66" t="str">
        <f t="shared" si="2"/>
        <v>stage_bonuses_13301_8.tmp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4" sqref="C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7" style="3" customWidth="1" outlineLevel="1"/>
    <col min="5" max="5" width="20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13301_8-1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8</v>
      </c>
      <c r="G2" s="22" t="str">
        <f>C2&amp;"_"&amp;F2</f>
        <v>13301_8</v>
      </c>
      <c r="H2" s="15" t="str">
        <f ca="1">VLOOKUP($G2,OFFSET([2]stages!$A$1,0,0,COUNTA([2]stages!$A:$A),MATCH(H$1,[2]stages!$2:$2,0)-MATCH($G$1,[2]stages!$2:$2,0)+1),MATCH(H$1,[2]stages!$2:$2,0)-MATCH($G$1,[2]stages!$2:$2,0)+1,FALSE)</f>
        <v>8階 コスト28以下限定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13301_8-2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8</v>
      </c>
      <c r="G3" s="22" t="str">
        <f>C3&amp;"_"&amp;F3</f>
        <v>13301_8</v>
      </c>
      <c r="H3" s="15" t="str">
        <f ca="1">VLOOKUP($G3,OFFSET([2]stages!$A$1,0,0,COUNTA([2]stages!$A:$A),MATCH(H$1,[2]stages!$2:$2,0)-MATCH($G$1,[2]stages!$2:$2,0)+1),MATCH(H$1,[2]stages!$2:$2,0)-MATCH($G$1,[2]stages!$2:$2,0)+1,FALSE)</f>
        <v>8階 コスト28以下限定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C4" s="19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P11" sqref="P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247</v>
      </c>
      <c r="U1" s="24" t="s">
        <v>50</v>
      </c>
      <c r="V1" s="98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6" t="str">
        <f>B2&amp;"_"&amp;C2&amp;"-"&amp;G2&amp;"/"&amp;L2&amp;"&lt;lv"&amp;R2&amp;"&gt;s"&amp;AC2</f>
        <v>13301_8-1/456&lt;lv45&gt;s1</v>
      </c>
      <c r="B2" s="21">
        <v>13301</v>
      </c>
      <c r="C2" s="113">
        <v>8</v>
      </c>
      <c r="D2" s="15" t="str">
        <f>B2&amp;"_"&amp;C2</f>
        <v>13301_8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8階 コスト28以下限定</v>
      </c>
      <c r="G2" s="113">
        <v>1</v>
      </c>
      <c r="H2" s="15" t="str">
        <f>B2&amp;"_"&amp;C2&amp;"-"&amp;G2</f>
        <v>13301_8-1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88</v>
      </c>
      <c r="L2" s="114">
        <v>456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射絶 ユヅル</v>
      </c>
      <c r="N2" s="17" t="str">
        <f ca="1">VLOOKUP($L2,OFFSET([4]enemies!$A$1,0,0,COUNTA([4]enemies!$A:$A),MATCH(N$1,[4]enemies!$1:$1,0)-MATCH($L$1,[4]enemies!$1:$1,0)+1),MATCH(N$1,[4]enemies!$1:$1,0)-MATCH($L$1,[4]enemies!$1:$1,0)+1,FALSE)</f>
        <v>blue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45</v>
      </c>
      <c r="S2" s="23">
        <v>0.16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8182.56</v>
      </c>
      <c r="U2" s="23">
        <v>1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4117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59">
        <v>13301450</v>
      </c>
      <c r="Z2" s="6">
        <v>1</v>
      </c>
      <c r="AA2" s="6">
        <v>100</v>
      </c>
      <c r="AB2" s="6">
        <v>0</v>
      </c>
      <c r="AC2" s="115">
        <v>1</v>
      </c>
      <c r="AD2" s="116">
        <v>456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射絶 ユヅル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7">
        <v>1</v>
      </c>
      <c r="AI2" s="118">
        <f ca="1">AF2</f>
        <v>4</v>
      </c>
      <c r="AJ2" s="8">
        <v>0</v>
      </c>
      <c r="AK2" s="117">
        <v>0</v>
      </c>
      <c r="AL2" s="117">
        <v>0</v>
      </c>
      <c r="AM2" s="117">
        <v>0</v>
      </c>
      <c r="AN2" s="117">
        <v>0</v>
      </c>
      <c r="AO2" s="117">
        <v>1</v>
      </c>
      <c r="AP2" s="67">
        <v>1</v>
      </c>
    </row>
    <row r="3" spans="1:42" ht="21" customHeight="1" x14ac:dyDescent="0.15">
      <c r="A3" s="16" t="str">
        <f>B3&amp;"_"&amp;C3&amp;"-"&amp;G3&amp;"/"&amp;L3&amp;"&lt;lv"&amp;R3&amp;"&gt;s"&amp;AC3</f>
        <v>13301_8-1/288&lt;lv83&gt;s1</v>
      </c>
      <c r="B3" s="21">
        <v>13301</v>
      </c>
      <c r="C3" s="113">
        <v>8</v>
      </c>
      <c r="D3" s="15" t="str">
        <f>B3&amp;"_"&amp;C3</f>
        <v>13301_8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8階 コスト28以下限定</v>
      </c>
      <c r="G3" s="113">
        <v>1</v>
      </c>
      <c r="H3" s="15" t="str">
        <f>B3&amp;"_"&amp;C3&amp;"-"&amp;G3</f>
        <v>13301_8-1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88</v>
      </c>
      <c r="L3" s="114">
        <v>288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ミカド</v>
      </c>
      <c r="N3" s="17" t="str">
        <f ca="1">VLOOKUP($L3,OFFSET([4]enemies!$A$1,0,0,COUNTA([4]enemies!$A:$A),MATCH(N$1,[4]enemies!$1:$1,0)-MATCH($L$1,[4]enemies!$1:$1,0)+1),MATCH(N$1,[4]enemies!$1:$1,0)-MATCH($L$1,[4]enemies!$1:$1,0)+1,FALSE)</f>
        <v>yellow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83</v>
      </c>
      <c r="S3" s="23">
        <v>0.9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91074.6</v>
      </c>
      <c r="U3" s="23">
        <v>0.6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5140.2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59">
        <v>13301451</v>
      </c>
      <c r="Z3" s="6">
        <v>1</v>
      </c>
      <c r="AA3" s="6">
        <v>100</v>
      </c>
      <c r="AB3" s="6">
        <v>0</v>
      </c>
      <c r="AC3" s="115">
        <v>1</v>
      </c>
      <c r="AD3" s="116">
        <v>288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ミカド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17">
        <v>1</v>
      </c>
      <c r="AI3" s="118">
        <f ca="1">AF3</f>
        <v>4</v>
      </c>
      <c r="AJ3" s="8">
        <v>0</v>
      </c>
      <c r="AK3" s="117">
        <v>0</v>
      </c>
      <c r="AL3" s="117">
        <v>0</v>
      </c>
      <c r="AM3" s="117">
        <v>0</v>
      </c>
      <c r="AN3" s="117">
        <v>0</v>
      </c>
      <c r="AO3" s="117">
        <v>1</v>
      </c>
      <c r="AP3" s="67">
        <v>1</v>
      </c>
    </row>
    <row r="4" spans="1:42" ht="21" customHeight="1" x14ac:dyDescent="0.15">
      <c r="A4" s="16" t="str">
        <f>B4&amp;"_"&amp;C4&amp;"-"&amp;G4&amp;"/"&amp;L4&amp;"&lt;lv"&amp;R4&amp;"&gt;s"&amp;AC4</f>
        <v>13301_8-2/270&lt;lv80&gt;s1</v>
      </c>
      <c r="B4" s="21">
        <v>13301</v>
      </c>
      <c r="C4" s="113">
        <v>8</v>
      </c>
      <c r="D4" s="15" t="str">
        <f>B4&amp;"_"&amp;C4</f>
        <v>13301_8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8階 コスト28以下限定</v>
      </c>
      <c r="G4" s="113">
        <v>2</v>
      </c>
      <c r="H4" s="15" t="str">
        <f>B4&amp;"_"&amp;C4&amp;"-"&amp;G4</f>
        <v>13301_8-2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88</v>
      </c>
      <c r="L4" s="114">
        <v>270</v>
      </c>
      <c r="M4" s="17" t="str">
        <f ca="1">VLOOKUP($L4,OFFSET([4]enemies!$A$1,0,0,COUNTA([4]enemies!$A:$A),MATCH(M$1,[4]enemies!$1:$1,0)-MATCH($L$1,[4]enemies!$1:$1,0)+1),MATCH(M$1,[4]enemies!$1:$1,0)-MATCH($L$1,[4]enemies!$1:$1,0)+1,FALSE)</f>
        <v>風爪のミリー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80</v>
      </c>
      <c r="S4" s="23">
        <v>1.55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157456.75</v>
      </c>
      <c r="U4" s="23">
        <v>0.5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5332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59">
        <v>13301452</v>
      </c>
      <c r="Z4" s="6">
        <v>1</v>
      </c>
      <c r="AA4" s="6">
        <v>100</v>
      </c>
      <c r="AB4" s="6">
        <v>0</v>
      </c>
      <c r="AC4" s="115">
        <v>1</v>
      </c>
      <c r="AD4" s="116">
        <v>270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風爪のミリー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17">
        <v>1</v>
      </c>
      <c r="AI4" s="118">
        <f ca="1">AF4</f>
        <v>4</v>
      </c>
      <c r="AJ4" s="8">
        <v>0</v>
      </c>
      <c r="AK4" s="117">
        <v>0</v>
      </c>
      <c r="AL4" s="117">
        <v>0</v>
      </c>
      <c r="AM4" s="117">
        <v>0</v>
      </c>
      <c r="AN4" s="117">
        <v>0</v>
      </c>
      <c r="AO4" s="117">
        <v>1</v>
      </c>
      <c r="AP4" s="67">
        <v>1</v>
      </c>
    </row>
    <row r="5" spans="1:42" ht="21" customHeight="1" x14ac:dyDescent="0.15">
      <c r="A5" s="16" t="str">
        <f>B5&amp;"_"&amp;C5&amp;"-"&amp;G5&amp;"/"&amp;L5&amp;"&lt;lv"&amp;R5&amp;"&gt;s"&amp;AC5</f>
        <v>13301_8-2/305&lt;lv85&gt;s4</v>
      </c>
      <c r="B5" s="21">
        <v>13301</v>
      </c>
      <c r="C5" s="113">
        <v>8</v>
      </c>
      <c r="D5" s="15" t="str">
        <f>B5&amp;"_"&amp;C5</f>
        <v>13301_8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8階 コスト28以下限定</v>
      </c>
      <c r="G5" s="113">
        <v>2</v>
      </c>
      <c r="H5" s="15" t="str">
        <f>B5&amp;"_"&amp;C5&amp;"-"&amp;G5</f>
        <v>13301_8-2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88</v>
      </c>
      <c r="L5" s="114">
        <v>305</v>
      </c>
      <c r="M5" s="17" t="str">
        <f ca="1">VLOOKUP($L5,OFFSET([4]enemies!$A$1,0,0,COUNTA([4]enemies!$A:$A),MATCH(M$1,[4]enemies!$1:$1,0)-MATCH($L$1,[4]enemies!$1:$1,0)+1),MATCH(M$1,[4]enemies!$1:$1,0)-MATCH($L$1,[4]enemies!$1:$1,0)+1,FALSE)</f>
        <v>螺旋の雷電 チエミ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Drop2W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85</v>
      </c>
      <c r="S5" s="23">
        <v>2.2200000000000002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229967.58000000002</v>
      </c>
      <c r="U5" s="23">
        <v>0.7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8164.7999999999993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59">
        <v>13301453</v>
      </c>
      <c r="Z5" s="6">
        <v>1</v>
      </c>
      <c r="AA5" s="6">
        <v>100</v>
      </c>
      <c r="AB5" s="6">
        <v>0</v>
      </c>
      <c r="AC5" s="115">
        <v>4</v>
      </c>
      <c r="AD5" s="116">
        <v>304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電殺のチエミ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3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Drop2W</v>
      </c>
      <c r="AH5" s="117">
        <v>1</v>
      </c>
      <c r="AI5" s="118">
        <f ca="1">AF5</f>
        <v>3</v>
      </c>
      <c r="AJ5" s="8">
        <v>0</v>
      </c>
      <c r="AK5" s="117">
        <v>0</v>
      </c>
      <c r="AL5" s="117">
        <v>0</v>
      </c>
      <c r="AM5" s="117">
        <v>0</v>
      </c>
      <c r="AN5" s="117">
        <v>0</v>
      </c>
      <c r="AO5" s="117">
        <v>1</v>
      </c>
      <c r="AP5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10" sqref="K10:K1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247</v>
      </c>
      <c r="V1" s="24" t="s">
        <v>50</v>
      </c>
      <c r="W1" s="98" t="s">
        <v>248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zoomScale="150" zoomScaleNormal="150" zoomScalePageLayoutView="150" workbookViewId="0">
      <pane xSplit="5" ySplit="1" topLeftCell="F2" activePane="bottomRight" state="frozen"/>
      <selection pane="topRight"/>
      <selection pane="bottomLeft"/>
      <selection pane="bottomRight" activeCell="H23" sqref="H23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5.33203125" style="47" customWidth="1" outlineLevel="1"/>
    <col min="5" max="5" width="3.832031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13301450_13301450</v>
      </c>
      <c r="B2" s="104">
        <v>13301450</v>
      </c>
      <c r="C2" s="104">
        <v>13301450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104">
        <v>13301450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13301450_13301451</v>
      </c>
      <c r="B3" s="104">
        <v>13301450</v>
      </c>
      <c r="C3" s="104">
        <v>13301451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104">
        <v>13301451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1"/>
        <v>13301450_13301452</v>
      </c>
      <c r="B4" s="104">
        <v>13301450</v>
      </c>
      <c r="C4" s="104">
        <v>13301452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104">
        <v>13301452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ref="A5" si="2">B5&amp;"_"&amp;C5</f>
        <v>13301450_13301453</v>
      </c>
      <c r="B5" s="104">
        <v>13301450</v>
      </c>
      <c r="C5" s="104">
        <v>13301453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104">
        <v>13301453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ref="A6" si="3">B6&amp;"_"&amp;C6</f>
        <v>13301450_13301454</v>
      </c>
      <c r="B6" s="104">
        <v>13301450</v>
      </c>
      <c r="C6" s="104">
        <v>13301454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104">
        <v>13301454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ref="A7" si="4">B7&amp;"_"&amp;C7</f>
        <v>13301450_13301455</v>
      </c>
      <c r="B7" s="104">
        <v>13301450</v>
      </c>
      <c r="C7" s="104">
        <v>13301455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104">
        <v>13301455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ref="A8:A13" si="5">B8&amp;"_"&amp;C8</f>
        <v>13301450_13301456</v>
      </c>
      <c r="B8" s="104">
        <v>13301450</v>
      </c>
      <c r="C8" s="104">
        <v>13301456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4">
        <v>13301456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ref="A9:A10" si="6">B9&amp;"_"&amp;C9</f>
        <v>13301450_13301457</v>
      </c>
      <c r="B9" s="104">
        <v>13301450</v>
      </c>
      <c r="C9" s="104">
        <v>13301457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4">
        <v>13301457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6"/>
        <v>13301450_13301458</v>
      </c>
      <c r="B10" s="104">
        <v>13301450</v>
      </c>
      <c r="C10" s="104">
        <v>13301458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4">
        <v>13301458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ref="A11" si="7">B11&amp;"_"&amp;C11</f>
        <v>13301450_13301459</v>
      </c>
      <c r="B11" s="104">
        <v>13301450</v>
      </c>
      <c r="C11" s="104">
        <v>13301459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104">
        <v>13301459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ref="A12" si="8">B12&amp;"_"&amp;C12</f>
        <v>13301450_13301460</v>
      </c>
      <c r="B12" s="104">
        <v>13301450</v>
      </c>
      <c r="C12" s="104">
        <v>13301460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104">
        <v>13301460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5"/>
        <v>13301450_13301461</v>
      </c>
      <c r="B13" s="104">
        <v>13301450</v>
      </c>
      <c r="C13" s="104">
        <v>13301461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104">
        <v>13301461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ref="A14" si="9">B14&amp;"_"&amp;C14</f>
        <v>13301450_13301462</v>
      </c>
      <c r="B14" s="104">
        <v>13301450</v>
      </c>
      <c r="C14" s="104">
        <v>13301462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104">
        <v>13301462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ref="A15:A20" si="10">B15&amp;"_"&amp;C15</f>
        <v>13301450_13301463</v>
      </c>
      <c r="B15" s="104">
        <v>13301450</v>
      </c>
      <c r="C15" s="104">
        <v>13301463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104">
        <v>13301463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ref="A16" si="11">B16&amp;"_"&amp;C16</f>
        <v>13301450_13301464</v>
      </c>
      <c r="B16" s="104">
        <v>13301450</v>
      </c>
      <c r="C16" s="104">
        <v>13301464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104">
        <v>13301464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10"/>
        <v>13301450_13301465</v>
      </c>
      <c r="B17" s="104">
        <v>13301450</v>
      </c>
      <c r="C17" s="104">
        <v>13301465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104">
        <v>13301465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10"/>
        <v>13301451_13301466</v>
      </c>
      <c r="B18" s="104">
        <v>13301451</v>
      </c>
      <c r="C18" s="104">
        <v>13301466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4">
        <v>13301466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10"/>
        <v>13301451_13301467</v>
      </c>
      <c r="B19" s="104">
        <v>13301451</v>
      </c>
      <c r="C19" s="104">
        <v>13301467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4">
        <v>13301467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10"/>
        <v>13301451_13301468</v>
      </c>
      <c r="B20" s="104">
        <v>13301451</v>
      </c>
      <c r="C20" s="104">
        <v>13301468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04">
        <v>13301468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ref="A21:A29" si="12">B21&amp;"_"&amp;C21</f>
        <v>13301451_13301469</v>
      </c>
      <c r="B21" s="104">
        <v>13301451</v>
      </c>
      <c r="C21" s="104">
        <v>13301469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104">
        <v>13301469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12"/>
        <v>13301451_13301470</v>
      </c>
      <c r="B22" s="104">
        <v>13301451</v>
      </c>
      <c r="C22" s="104">
        <v>13301470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104">
        <v>13301470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12"/>
        <v>13301452_13301471</v>
      </c>
      <c r="B23" s="104">
        <v>13301452</v>
      </c>
      <c r="C23" s="104">
        <v>13301471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104">
        <v>13301471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  <row r="24" spans="1:18" ht="21" customHeight="1" x14ac:dyDescent="0.15">
      <c r="A24" s="37" t="str">
        <f t="shared" si="12"/>
        <v>13301452_13301472</v>
      </c>
      <c r="B24" s="104">
        <v>13301452</v>
      </c>
      <c r="C24" s="104">
        <v>13301472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4" s="104">
        <v>13301472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4" s="45"/>
      <c r="Q24" s="45"/>
      <c r="R24" s="45"/>
    </row>
    <row r="25" spans="1:18" ht="21" customHeight="1" x14ac:dyDescent="0.15">
      <c r="A25" s="37" t="str">
        <f t="shared" si="12"/>
        <v>13301452_13301473</v>
      </c>
      <c r="B25" s="104">
        <v>13301452</v>
      </c>
      <c r="C25" s="104">
        <v>13301473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5" s="104">
        <v>13301473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5" s="45"/>
      <c r="Q25" s="45"/>
      <c r="R25" s="45"/>
    </row>
    <row r="26" spans="1:18" ht="21" customHeight="1" x14ac:dyDescent="0.15">
      <c r="A26" s="37" t="str">
        <f t="shared" si="12"/>
        <v>13301453_13301474</v>
      </c>
      <c r="B26" s="104">
        <v>13301453</v>
      </c>
      <c r="C26" s="104">
        <v>13301474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6" s="104">
        <v>13301474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6" s="45"/>
      <c r="Q26" s="45"/>
      <c r="R26" s="45"/>
    </row>
    <row r="27" spans="1:18" ht="21" customHeight="1" x14ac:dyDescent="0.15">
      <c r="A27" s="37" t="str">
        <f t="shared" si="12"/>
        <v>13301453_13301475</v>
      </c>
      <c r="B27" s="104">
        <v>13301453</v>
      </c>
      <c r="C27" s="104">
        <v>13301475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7" s="104">
        <v>13301475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7" s="45"/>
      <c r="Q27" s="45"/>
      <c r="R27" s="45"/>
    </row>
    <row r="28" spans="1:18" ht="21" customHeight="1" x14ac:dyDescent="0.15">
      <c r="A28" s="37" t="str">
        <f t="shared" si="12"/>
        <v>13301453_13301476</v>
      </c>
      <c r="B28" s="104">
        <v>13301453</v>
      </c>
      <c r="C28" s="104">
        <v>13301476</v>
      </c>
      <c r="D28" s="44" t="e">
        <f ca="1">VLOOKUP($C28,OFFSET([3]enemy_skills!$A$1,0,0,COUNTA([3]enemy_skills!$A:$A),MATCH(D$1,[3]enemy_skills!$1:$1,0)-MATCH("enemy_skill_id",[3]enemy_skills!$1:$1,0)+1),MATCH(D$1,[3]enemy_skills!$1:$1,0)-MATCH("enemy_skill_id",[3]enemy_skills!$1:$1,0)+1,FALSE)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8" s="44" t="e">
        <f ca="1">VLOOKUP($C28,OFFSET([3]enemy_skills!$A$1,0,0,COUNTA([3]enemy_skills!$A:$A),MATCH(E$1,[3]enemy_skills!$1:$1,0)-MATCH("enemy_skill_id",[3]enemy_skills!$1:$1,0)+1),MATCH(E$1,[3]enemy_skills!$1:$1,0)-MATCH("enemy_skill_id",[3]enemy_skills!$1:$1,0)+1,FALSE)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8" s="104">
        <v>13301476</v>
      </c>
      <c r="G28" s="46" t="e">
        <f ca="1">VLOOKUP($F28,OFFSET([3]enemy_skill_triggers!$A$1,0,0,COUNTA([3]enemy_skill_triggers!$A:$A),MATCH(G$1,[3]enemy_skill_triggers!$1:$1,0)-MATCH($F$1,[3]enemy_skill_triggers!$1:$1,0)+1),MATCH(G$1,[3]enemy_skill_triggers!$1:$1,0)-MATCH($F$1,[3]enemy_skill_triggers!$1:$1,0)+1,FALSE)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8" s="46" t="e">
        <f ca="1">VLOOKUP($F28,OFFSET([3]enemy_skill_triggers!$A$1,0,0,COUNTA([3]enemy_skill_triggers!$A:$A),MATCH(H$1,[3]enemy_skill_triggers!$1:$1,0)-MATCH($F$1,[3]enemy_skill_triggers!$1:$1,0)+1),MATCH(H$1,[3]enemy_skill_triggers!$1:$1,0)-MATCH($F$1,[3]enemy_skill_triggers!$1:$1,0)+1,FALSE)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8" s="46" t="e">
        <f ca="1">VLOOKUP($F28,OFFSET([3]enemy_skill_triggers!$A$1,0,0,COUNTA([3]enemy_skill_triggers!$A:$A),MATCH(I$1,[3]enemy_skill_triggers!$1:$1,0)-MATCH($F$1,[3]enemy_skill_triggers!$1:$1,0)+1),MATCH(I$1,[3]enemy_skill_triggers!$1:$1,0)-MATCH($F$1,[3]enemy_skill_triggers!$1:$1,0)+1,FALSE)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8" s="46" t="e">
        <f ca="1">VLOOKUP($F28,OFFSET([3]enemy_skill_triggers!$A$1,0,0,COUNTA([3]enemy_skill_triggers!$A:$A),MATCH(J$1,[3]enemy_skill_triggers!$1:$1,0)-MATCH($F$1,[3]enemy_skill_triggers!$1:$1,0)+1),MATCH(J$1,[3]enemy_skill_triggers!$1:$1,0)-MATCH($F$1,[3]enemy_skill_triggers!$1:$1,0)+1,FALSE)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8" s="46" t="e">
        <f ca="1">VLOOKUP($F28,OFFSET([3]enemy_skill_triggers!$A$1,0,0,COUNTA([3]enemy_skill_triggers!$A:$A),MATCH(K$1,[3]enemy_skill_triggers!$1:$1,0)-MATCH($F$1,[3]enemy_skill_triggers!$1:$1,0)+1),MATCH(K$1,[3]enemy_skill_triggers!$1:$1,0)-MATCH($F$1,[3]enemy_skill_triggers!$1:$1,0)+1,FALSE)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8" s="46" t="e">
        <f ca="1">VLOOKUP($F28,OFFSET([3]enemy_skill_triggers!$A$1,0,0,COUNTA([3]enemy_skill_triggers!$A:$A),MATCH(L$1,[3]enemy_skill_triggers!$1:$1,0)-MATCH($F$1,[3]enemy_skill_triggers!$1:$1,0)+1),MATCH(L$1,[3]enemy_skill_triggers!$1:$1,0)-MATCH($F$1,[3]enemy_skill_triggers!$1:$1,0)+1,FALSE)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8" s="46" t="e">
        <f ca="1">VLOOKUP($F28,OFFSET([3]enemy_skill_triggers!$A$1,0,0,COUNTA([3]enemy_skill_triggers!$A:$A),MATCH(M$1,[3]enemy_skill_triggers!$1:$1,0)-MATCH($F$1,[3]enemy_skill_triggers!$1:$1,0)+1),MATCH(M$1,[3]enemy_skill_triggers!$1:$1,0)-MATCH($F$1,[3]enemy_skill_triggers!$1:$1,0)+1,FALSE)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8" s="46" t="e">
        <f ca="1">VLOOKUP($F28,OFFSET([3]enemy_skill_triggers!$A$1,0,0,COUNTA([3]enemy_skill_triggers!$A:$A),MATCH(N$1,[3]enemy_skill_triggers!$1:$1,0)-MATCH($F$1,[3]enemy_skill_triggers!$1:$1,0)+1),MATCH(N$1,[3]enemy_skill_triggers!$1:$1,0)-MATCH($F$1,[3]enemy_skill_triggers!$1:$1,0)+1,FALSE)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8" s="46" t="e">
        <f ca="1">VLOOKUP($F28,OFFSET([3]enemy_skill_triggers!$A$1,0,0,COUNTA([3]enemy_skill_triggers!$A:$A),MATCH(O$1,[3]enemy_skill_triggers!$1:$1,0)-MATCH($F$1,[3]enemy_skill_triggers!$1:$1,0)+1),MATCH(O$1,[3]enemy_skill_triggers!$1:$1,0)-MATCH($F$1,[3]enemy_skill_triggers!$1:$1,0)+1,FALSE)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8" s="45"/>
      <c r="Q28" s="45"/>
      <c r="R28" s="45"/>
    </row>
    <row r="29" spans="1:18" ht="21" customHeight="1" x14ac:dyDescent="0.15">
      <c r="A29" s="37" t="str">
        <f t="shared" si="12"/>
        <v>13301453_13301477</v>
      </c>
      <c r="B29" s="104">
        <v>13301453</v>
      </c>
      <c r="C29" s="104">
        <v>13301477</v>
      </c>
      <c r="D29" s="44" t="e">
        <f ca="1">VLOOKUP($C29,OFFSET([3]enemy_skills!$A$1,0,0,COUNTA([3]enemy_skills!$A:$A),MATCH(D$1,[3]enemy_skills!$1:$1,0)-MATCH("enemy_skill_id",[3]enemy_skills!$1:$1,0)+1),MATCH(D$1,[3]enemy_skills!$1:$1,0)-MATCH("enemy_skill_id",[3]enemy_skills!$1:$1,0)+1,FALSE)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9" s="44" t="e">
        <f ca="1">VLOOKUP($C29,OFFSET([3]enemy_skills!$A$1,0,0,COUNTA([3]enemy_skills!$A:$A),MATCH(E$1,[3]enemy_skills!$1:$1,0)-MATCH("enemy_skill_id",[3]enemy_skills!$1:$1,0)+1),MATCH(E$1,[3]enemy_skills!$1:$1,0)-MATCH("enemy_skill_id",[3]enemy_skills!$1:$1,0)+1,FALSE)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9" s="104">
        <v>13301477</v>
      </c>
      <c r="G29" s="46" t="e">
        <f ca="1">VLOOKUP($F29,OFFSET([3]enemy_skill_triggers!$A$1,0,0,COUNTA([3]enemy_skill_triggers!$A:$A),MATCH(G$1,[3]enemy_skill_triggers!$1:$1,0)-MATCH($F$1,[3]enemy_skill_triggers!$1:$1,0)+1),MATCH(G$1,[3]enemy_skill_triggers!$1:$1,0)-MATCH($F$1,[3]enemy_skill_triggers!$1:$1,0)+1,FALSE)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9" s="46" t="e">
        <f ca="1">VLOOKUP($F29,OFFSET([3]enemy_skill_triggers!$A$1,0,0,COUNTA([3]enemy_skill_triggers!$A:$A),MATCH(H$1,[3]enemy_skill_triggers!$1:$1,0)-MATCH($F$1,[3]enemy_skill_triggers!$1:$1,0)+1),MATCH(H$1,[3]enemy_skill_triggers!$1:$1,0)-MATCH($F$1,[3]enemy_skill_triggers!$1:$1,0)+1,FALSE)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9" s="46" t="e">
        <f ca="1">VLOOKUP($F29,OFFSET([3]enemy_skill_triggers!$A$1,0,0,COUNTA([3]enemy_skill_triggers!$A:$A),MATCH(I$1,[3]enemy_skill_triggers!$1:$1,0)-MATCH($F$1,[3]enemy_skill_triggers!$1:$1,0)+1),MATCH(I$1,[3]enemy_skill_triggers!$1:$1,0)-MATCH($F$1,[3]enemy_skill_triggers!$1:$1,0)+1,FALSE)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9" s="46" t="e">
        <f ca="1">VLOOKUP($F29,OFFSET([3]enemy_skill_triggers!$A$1,0,0,COUNTA([3]enemy_skill_triggers!$A:$A),MATCH(J$1,[3]enemy_skill_triggers!$1:$1,0)-MATCH($F$1,[3]enemy_skill_triggers!$1:$1,0)+1),MATCH(J$1,[3]enemy_skill_triggers!$1:$1,0)-MATCH($F$1,[3]enemy_skill_triggers!$1:$1,0)+1,FALSE)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9" s="46" t="e">
        <f ca="1">VLOOKUP($F29,OFFSET([3]enemy_skill_triggers!$A$1,0,0,COUNTA([3]enemy_skill_triggers!$A:$A),MATCH(K$1,[3]enemy_skill_triggers!$1:$1,0)-MATCH($F$1,[3]enemy_skill_triggers!$1:$1,0)+1),MATCH(K$1,[3]enemy_skill_triggers!$1:$1,0)-MATCH($F$1,[3]enemy_skill_triggers!$1:$1,0)+1,FALSE)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9" s="46" t="e">
        <f ca="1">VLOOKUP($F29,OFFSET([3]enemy_skill_triggers!$A$1,0,0,COUNTA([3]enemy_skill_triggers!$A:$A),MATCH(L$1,[3]enemy_skill_triggers!$1:$1,0)-MATCH($F$1,[3]enemy_skill_triggers!$1:$1,0)+1),MATCH(L$1,[3]enemy_skill_triggers!$1:$1,0)-MATCH($F$1,[3]enemy_skill_triggers!$1:$1,0)+1,FALSE)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9" s="46" t="e">
        <f ca="1">VLOOKUP($F29,OFFSET([3]enemy_skill_triggers!$A$1,0,0,COUNTA([3]enemy_skill_triggers!$A:$A),MATCH(M$1,[3]enemy_skill_triggers!$1:$1,0)-MATCH($F$1,[3]enemy_skill_triggers!$1:$1,0)+1),MATCH(M$1,[3]enemy_skill_triggers!$1:$1,0)-MATCH($F$1,[3]enemy_skill_triggers!$1:$1,0)+1,FALSE)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9" s="46" t="e">
        <f ca="1">VLOOKUP($F29,OFFSET([3]enemy_skill_triggers!$A$1,0,0,COUNTA([3]enemy_skill_triggers!$A:$A),MATCH(N$1,[3]enemy_skill_triggers!$1:$1,0)-MATCH($F$1,[3]enemy_skill_triggers!$1:$1,0)+1),MATCH(N$1,[3]enemy_skill_triggers!$1:$1,0)-MATCH($F$1,[3]enemy_skill_triggers!$1:$1,0)+1,FALSE)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9" s="46" t="e">
        <f ca="1">VLOOKUP($F29,OFFSET([3]enemy_skill_triggers!$A$1,0,0,COUNTA([3]enemy_skill_triggers!$A:$A),MATCH(O$1,[3]enemy_skill_triggers!$1:$1,0)-MATCH($F$1,[3]enemy_skill_triggers!$1:$1,0)+1),MATCH(O$1,[3]enemy_skill_triggers!$1:$1,0)-MATCH($F$1,[3]enemy_skill_triggers!$1:$1,0)+1,FALSE)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9" s="45"/>
      <c r="Q29" s="45"/>
      <c r="R29" s="45"/>
    </row>
    <row r="30" spans="1:18" ht="21" customHeight="1" x14ac:dyDescent="0.15">
      <c r="B30" s="120"/>
      <c r="C30" s="120"/>
      <c r="F30" s="120"/>
    </row>
    <row r="31" spans="1:18" ht="21" customHeight="1" x14ac:dyDescent="0.15">
      <c r="B31" s="120"/>
      <c r="C31" s="120"/>
      <c r="F31" s="120"/>
    </row>
    <row r="32" spans="1:18" ht="21" customHeight="1" x14ac:dyDescent="0.15">
      <c r="B32" s="120"/>
      <c r="C32" s="120"/>
      <c r="F32" s="120"/>
    </row>
    <row r="33" spans="2:6" ht="21" customHeight="1" x14ac:dyDescent="0.15">
      <c r="B33" s="120"/>
      <c r="C33" s="120"/>
      <c r="F33" s="120"/>
    </row>
    <row r="34" spans="2:6" ht="21" customHeight="1" x14ac:dyDescent="0.15">
      <c r="B34" s="120"/>
      <c r="C34" s="120"/>
      <c r="F34" s="120"/>
    </row>
    <row r="35" spans="2:6" ht="21" customHeight="1" x14ac:dyDescent="0.15">
      <c r="B35" s="120"/>
      <c r="C35" s="120"/>
      <c r="F35" s="120"/>
    </row>
    <row r="36" spans="2:6" ht="21" customHeight="1" x14ac:dyDescent="0.15">
      <c r="B36" s="120"/>
      <c r="C36" s="120"/>
      <c r="F36" s="120"/>
    </row>
    <row r="37" spans="2:6" ht="21" customHeight="1" x14ac:dyDescent="0.15">
      <c r="B37" s="120"/>
      <c r="C37" s="120"/>
      <c r="F37" s="120"/>
    </row>
    <row r="38" spans="2:6" ht="21" customHeight="1" x14ac:dyDescent="0.15">
      <c r="B38" s="120"/>
      <c r="C38" s="120"/>
      <c r="F38" s="120"/>
    </row>
    <row r="39" spans="2:6" ht="21" customHeight="1" x14ac:dyDescent="0.15">
      <c r="B39" s="120"/>
      <c r="C39" s="120"/>
      <c r="F39" s="120"/>
    </row>
    <row r="40" spans="2:6" ht="21" customHeight="1" x14ac:dyDescent="0.15">
      <c r="B40" s="120"/>
      <c r="C40" s="120"/>
      <c r="F40" s="120"/>
    </row>
    <row r="41" spans="2:6" ht="21" customHeight="1" x14ac:dyDescent="0.15">
      <c r="B41" s="120"/>
      <c r="C41" s="120"/>
      <c r="F41" s="120"/>
    </row>
    <row r="42" spans="2:6" ht="21" customHeight="1" x14ac:dyDescent="0.15">
      <c r="B42" s="120"/>
      <c r="C42" s="120"/>
      <c r="F42" s="120"/>
    </row>
    <row r="43" spans="2:6" ht="21" customHeight="1" x14ac:dyDescent="0.15">
      <c r="B43" s="120"/>
      <c r="C43" s="120"/>
      <c r="F43" s="120"/>
    </row>
    <row r="44" spans="2:6" ht="21" customHeight="1" x14ac:dyDescent="0.15">
      <c r="B44" s="120"/>
      <c r="C44" s="120"/>
      <c r="F44" s="120"/>
    </row>
    <row r="45" spans="2:6" ht="21" customHeight="1" x14ac:dyDescent="0.15">
      <c r="B45" s="120"/>
      <c r="C45" s="120"/>
      <c r="F45" s="120"/>
    </row>
    <row r="46" spans="2:6" ht="21" customHeight="1" x14ac:dyDescent="0.15">
      <c r="B46" s="120"/>
      <c r="C46" s="120"/>
      <c r="F46" s="120"/>
    </row>
    <row r="47" spans="2:6" ht="21" customHeight="1" x14ac:dyDescent="0.15">
      <c r="B47" s="120"/>
      <c r="C47" s="120"/>
      <c r="F47" s="120"/>
    </row>
    <row r="48" spans="2:6" ht="21" customHeight="1" x14ac:dyDescent="0.15">
      <c r="B48" s="120"/>
      <c r="C48" s="120"/>
      <c r="F48" s="120"/>
    </row>
    <row r="49" spans="2:6" ht="21" customHeight="1" x14ac:dyDescent="0.15">
      <c r="B49" s="120"/>
      <c r="C49" s="120"/>
      <c r="F49" s="120"/>
    </row>
    <row r="50" spans="2:6" ht="21" customHeight="1" x14ac:dyDescent="0.15">
      <c r="B50" s="120"/>
      <c r="C50" s="120"/>
      <c r="F50" s="120"/>
    </row>
    <row r="51" spans="2:6" ht="21" customHeight="1" x14ac:dyDescent="0.15">
      <c r="B51" s="120"/>
      <c r="C51" s="120"/>
      <c r="F51" s="120"/>
    </row>
    <row r="52" spans="2:6" ht="21" customHeight="1" x14ac:dyDescent="0.15">
      <c r="B52" s="120"/>
      <c r="C52" s="120"/>
      <c r="F52" s="120"/>
    </row>
    <row r="53" spans="2:6" ht="21" customHeight="1" x14ac:dyDescent="0.15">
      <c r="B53" s="120"/>
      <c r="C53" s="120"/>
      <c r="F53" s="120"/>
    </row>
    <row r="54" spans="2:6" ht="21" customHeight="1" x14ac:dyDescent="0.15">
      <c r="B54" s="120"/>
      <c r="C54" s="120"/>
      <c r="F54" s="120"/>
    </row>
    <row r="55" spans="2:6" ht="21" customHeight="1" x14ac:dyDescent="0.15">
      <c r="B55" s="120"/>
      <c r="C55" s="120"/>
      <c r="F55" s="120"/>
    </row>
    <row r="56" spans="2:6" ht="21" customHeight="1" x14ac:dyDescent="0.15">
      <c r="B56" s="120"/>
      <c r="C56" s="120"/>
      <c r="F56" s="120"/>
    </row>
    <row r="57" spans="2:6" ht="21" customHeight="1" x14ac:dyDescent="0.15">
      <c r="F57" s="120"/>
    </row>
    <row r="58" spans="2:6" ht="21" customHeight="1" x14ac:dyDescent="0.15">
      <c r="F58" s="120"/>
    </row>
    <row r="59" spans="2:6" ht="21" customHeight="1" x14ac:dyDescent="0.15">
      <c r="F59" s="120"/>
    </row>
    <row r="60" spans="2:6" ht="21" customHeight="1" x14ac:dyDescent="0.15">
      <c r="F60" s="120"/>
    </row>
    <row r="61" spans="2:6" ht="21" customHeight="1" x14ac:dyDescent="0.15">
      <c r="F61" s="120"/>
    </row>
    <row r="62" spans="2:6" ht="21" customHeight="1" x14ac:dyDescent="0.15">
      <c r="F62" s="120"/>
    </row>
    <row r="63" spans="2:6" ht="21" customHeight="1" x14ac:dyDescent="0.15">
      <c r="F63" s="120"/>
    </row>
    <row r="64" spans="2:6" ht="21" customHeight="1" x14ac:dyDescent="0.15">
      <c r="F64" s="120"/>
    </row>
    <row r="65" spans="6:6" ht="21" customHeight="1" x14ac:dyDescent="0.15">
      <c r="F65" s="120"/>
    </row>
    <row r="66" spans="6:6" ht="21" customHeight="1" x14ac:dyDescent="0.15">
      <c r="F66" s="120"/>
    </row>
    <row r="67" spans="6:6" ht="21" customHeight="1" x14ac:dyDescent="0.15">
      <c r="F67" s="120"/>
    </row>
    <row r="68" spans="6:6" ht="21" customHeight="1" x14ac:dyDescent="0.15">
      <c r="F68" s="120"/>
    </row>
    <row r="69" spans="6:6" ht="21" customHeight="1" x14ac:dyDescent="0.15">
      <c r="F69" s="120"/>
    </row>
    <row r="70" spans="6:6" ht="21" customHeight="1" x14ac:dyDescent="0.15">
      <c r="F70" s="120"/>
    </row>
    <row r="71" spans="6:6" ht="21" customHeight="1" x14ac:dyDescent="0.15">
      <c r="F71" s="120"/>
    </row>
    <row r="72" spans="6:6" ht="21" customHeight="1" x14ac:dyDescent="0.15">
      <c r="F72" s="120"/>
    </row>
    <row r="73" spans="6:6" ht="21" customHeight="1" x14ac:dyDescent="0.15">
      <c r="F73" s="120"/>
    </row>
    <row r="74" spans="6:6" ht="21" customHeight="1" x14ac:dyDescent="0.15">
      <c r="F74" s="120"/>
    </row>
    <row r="75" spans="6:6" ht="21" customHeight="1" x14ac:dyDescent="0.15">
      <c r="F75" s="120"/>
    </row>
    <row r="76" spans="6:6" ht="21" customHeight="1" x14ac:dyDescent="0.15">
      <c r="F76" s="120"/>
    </row>
    <row r="77" spans="6:6" ht="21" customHeight="1" x14ac:dyDescent="0.15">
      <c r="F77" s="120"/>
    </row>
    <row r="78" spans="6:6" ht="21" customHeight="1" x14ac:dyDescent="0.15">
      <c r="F78" s="120"/>
    </row>
    <row r="79" spans="6:6" ht="21" customHeight="1" x14ac:dyDescent="0.15">
      <c r="F79" s="12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120" zoomScaleNormal="120" zoomScalePageLayoutView="120" workbookViewId="0">
      <pane ySplit="1" topLeftCell="A12" activePane="bottomLeft" state="frozenSplit"/>
      <selection pane="bottomLeft" activeCell="E22" sqref="E22"/>
    </sheetView>
  </sheetViews>
  <sheetFormatPr baseColWidth="12" defaultColWidth="12.83203125" defaultRowHeight="40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40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75</v>
      </c>
      <c r="AA1" s="39" t="s">
        <v>76</v>
      </c>
      <c r="AB1" s="39" t="s">
        <v>77</v>
      </c>
    </row>
    <row r="2" spans="1:28" ht="40" customHeight="1" x14ac:dyDescent="0.15">
      <c r="A2" s="104">
        <v>13301450</v>
      </c>
      <c r="B2" s="45" t="s">
        <v>324</v>
      </c>
      <c r="C2" s="48">
        <v>3</v>
      </c>
      <c r="D2" s="48" t="s">
        <v>126</v>
      </c>
      <c r="E2" s="109" t="s">
        <v>301</v>
      </c>
      <c r="F2" s="109" t="s">
        <v>314</v>
      </c>
      <c r="G2" s="61" t="str">
        <f t="shared" ref="G2:G29" si="0">IFERROR(LEFT(B2,FIND("],",B2)),B2)</f>
        <v>[effect:enemy_message, val1:1, val2:3.0]</v>
      </c>
      <c r="H2" s="61">
        <f t="shared" ref="H2:H29" si="1">FIND("effect:",G2)+7</f>
        <v>9</v>
      </c>
      <c r="I2" s="61">
        <f t="shared" ref="I2:I29" si="2">IFERROR(FIND(",",G2),LEN(G2))</f>
        <v>22</v>
      </c>
      <c r="J2" s="61" t="e">
        <f t="shared" ref="J2:J29" si="3">FIND("target:",G2)+7</f>
        <v>#VALUE!</v>
      </c>
      <c r="K2" s="61">
        <f t="shared" ref="K2:K29" si="4">FIND(",",G2,I2+1)</f>
        <v>30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 t="shared" ref="M2:M29" si="5">IFERROR(RIGHT(B2,LEN(B2)-FIND("],",B2)-1),"none")</f>
        <v>[effect:damage_anti_cost, target:unit_all, lower:29, val1:99.9, val2:0.01, cost_type:unit],[effect:damage_anti_cost, target:unit_all, lower:29, val1:99.9, val2:0.01, cost_type:unit],[effect:reduction, target:myself, color:all, turn:-1, val:0.97, animation:reduction_one01]</v>
      </c>
      <c r="N2" s="46" t="str">
        <f t="shared" ref="N2:N9" si="6">IFERROR(LEFT(M2,FIND("],",M2)+S12),M2)</f>
        <v>[effect:damage_anti_cost, target:unit_all, lower:29, val1:99.9, val2:0.01, cost_type:unit],[effect:damage_anti_cost, target:unit_all, lower:29, val1:99.9, val2:0.01, cost_type:unit],[effect:reduction, target:myself, color:all, turn:-1, val:0.97, animation:reduction_one01]</v>
      </c>
      <c r="O2" s="61">
        <f t="shared" ref="O2:O29" si="7">FIND("effect:",N2)+7</f>
        <v>9</v>
      </c>
      <c r="P2" s="61">
        <f t="shared" ref="P2:P29" si="8">IFERROR(FIND(",",N2),LEN(N2))</f>
        <v>25</v>
      </c>
      <c r="Q2" s="61">
        <f t="shared" ref="Q2:Q29" si="9">FIND("target:",N2)+7</f>
        <v>34</v>
      </c>
      <c r="R2" s="61">
        <f t="shared" ref="R2:R29" si="10">FIND(",",N2,P2+1)</f>
        <v>42</v>
      </c>
      <c r="S2" s="61" t="str">
        <f>IFERROR(VLOOKUP(MID(N2,Q2,R2-Q2),[6]skilldef!$C:$D,2,FALSE),"-") &amp; " / " &amp; IFERROR(VLOOKUP(MID(N2,O2,P2-O2),[6]skilldef!$A:$B,2,FALSE),"-")</f>
        <v>味方全体に / -</v>
      </c>
      <c r="T2" s="46" t="str">
        <f t="shared" ref="T2:T29" si="11">IFERROR(RIGHT(M2,LEN(M2)-FIND("],",M2)-1),"none")</f>
        <v>[effect:damage_anti_cost, target:unit_all, lower:29, val1:99.9, val2:0.01, cost_type:unit],[effect:reduction, target:myself, color:all, turn:-1, val:0.97, animation:reduction_one01]</v>
      </c>
      <c r="U2" s="61">
        <f t="shared" ref="U2:U29" si="12">FIND("effect:",T2)+7</f>
        <v>9</v>
      </c>
      <c r="V2" s="61">
        <f t="shared" ref="V2:V29" si="13">IFERROR(FIND(",",T2),LEN(T2))</f>
        <v>25</v>
      </c>
      <c r="W2" s="61">
        <f t="shared" ref="W2:W29" si="14">FIND("target:",T2)+7</f>
        <v>34</v>
      </c>
      <c r="X2" s="61">
        <f t="shared" ref="X2:X29" si="15">FIND(",",T2,V2+1)</f>
        <v>42</v>
      </c>
      <c r="Y2" s="61" t="str">
        <f>IFERROR(VLOOKUP(MID(T2,W2,X2-W2),[6]skilldef!$C:$D,2,FALSE),"-") &amp; " / " &amp; IFERROR(VLOOKUP(MID(T2,U2,V2-U2),[6]skilldef!$A:$B,2,FALSE),"-")</f>
        <v>味方全体に / -</v>
      </c>
      <c r="Z2" s="48"/>
      <c r="AA2" s="49"/>
      <c r="AB2" s="48"/>
    </row>
    <row r="3" spans="1:28" ht="40" customHeight="1" x14ac:dyDescent="0.15">
      <c r="A3" s="104">
        <v>13301451</v>
      </c>
      <c r="B3" s="45" t="s">
        <v>266</v>
      </c>
      <c r="C3" s="48">
        <v>3</v>
      </c>
      <c r="D3" s="48" t="s">
        <v>126</v>
      </c>
      <c r="E3" s="109" t="s">
        <v>267</v>
      </c>
      <c r="F3" s="109" t="s">
        <v>268</v>
      </c>
      <c r="G3" s="61" t="str">
        <f t="shared" si="0"/>
        <v>[effect:damage_fix_absolute, target:unit_one, val:300]</v>
      </c>
      <c r="H3" s="61">
        <f t="shared" si="1"/>
        <v>9</v>
      </c>
      <c r="I3" s="61">
        <f t="shared" si="2"/>
        <v>28</v>
      </c>
      <c r="J3" s="61">
        <f t="shared" si="3"/>
        <v>37</v>
      </c>
      <c r="K3" s="61">
        <f t="shared" si="4"/>
        <v>45</v>
      </c>
      <c r="L3" s="61" t="str">
        <f>IFERROR(VLOOKUP(MID(G3,J3,K3-J3),[6]skilldef!$C:$D,2,FALSE),"-") &amp; " / " &amp; IFERROR(VLOOKUP(MID(G3,H3,I3-H3),[6]skilldef!$A:$B,2,FALSE),"-")</f>
        <v>味方単体に / -</v>
      </c>
      <c r="M3" s="61" t="str">
        <f t="shared" si="5"/>
        <v>none</v>
      </c>
      <c r="N3" s="46" t="str">
        <f t="shared" si="6"/>
        <v>none</v>
      </c>
      <c r="O3" s="61" t="e">
        <f t="shared" si="7"/>
        <v>#VALUE!</v>
      </c>
      <c r="P3" s="61">
        <f t="shared" si="8"/>
        <v>4</v>
      </c>
      <c r="Q3" s="61" t="e">
        <f t="shared" si="9"/>
        <v>#VALUE!</v>
      </c>
      <c r="R3" s="61" t="e">
        <f t="shared" si="10"/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6" t="str">
        <f t="shared" si="11"/>
        <v>none</v>
      </c>
      <c r="U3" s="61" t="e">
        <f t="shared" si="12"/>
        <v>#VALUE!</v>
      </c>
      <c r="V3" s="61">
        <f t="shared" si="13"/>
        <v>4</v>
      </c>
      <c r="W3" s="61" t="e">
        <f t="shared" si="14"/>
        <v>#VALUE!</v>
      </c>
      <c r="X3" s="61" t="e">
        <f t="shared" si="15"/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/>
      <c r="AA3" s="49"/>
      <c r="AB3" s="48"/>
    </row>
    <row r="4" spans="1:28" ht="40" customHeight="1" x14ac:dyDescent="0.15">
      <c r="A4" s="104">
        <v>13301452</v>
      </c>
      <c r="B4" s="45" t="s">
        <v>269</v>
      </c>
      <c r="C4" s="48">
        <v>3</v>
      </c>
      <c r="D4" s="48" t="s">
        <v>126</v>
      </c>
      <c r="E4" s="109" t="s">
        <v>267</v>
      </c>
      <c r="F4" s="109" t="s">
        <v>270</v>
      </c>
      <c r="G4" s="61" t="str">
        <f t="shared" si="0"/>
        <v>[effect:damage_fix_absolute, target:unit_one, val:600]</v>
      </c>
      <c r="H4" s="61">
        <f t="shared" si="1"/>
        <v>9</v>
      </c>
      <c r="I4" s="61">
        <f t="shared" si="2"/>
        <v>28</v>
      </c>
      <c r="J4" s="61">
        <f t="shared" si="3"/>
        <v>37</v>
      </c>
      <c r="K4" s="61">
        <f t="shared" si="4"/>
        <v>45</v>
      </c>
      <c r="L4" s="61" t="str">
        <f>IFERROR(VLOOKUP(MID(G4,J4,K4-J4),[6]skilldef!$C:$D,2,FALSE),"-") &amp; " / " &amp; IFERROR(VLOOKUP(MID(G4,H4,I4-H4),[6]skilldef!$A:$B,2,FALSE),"-")</f>
        <v>味方単体に / -</v>
      </c>
      <c r="M4" s="61" t="str">
        <f t="shared" si="5"/>
        <v>none</v>
      </c>
      <c r="N4" s="46" t="str">
        <f t="shared" si="6"/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49"/>
      <c r="AB4" s="48"/>
    </row>
    <row r="5" spans="1:28" ht="40" customHeight="1" x14ac:dyDescent="0.15">
      <c r="A5" s="104">
        <v>13301453</v>
      </c>
      <c r="B5" s="45" t="s">
        <v>271</v>
      </c>
      <c r="C5" s="48">
        <v>3</v>
      </c>
      <c r="D5" s="48" t="s">
        <v>126</v>
      </c>
      <c r="E5" s="109" t="s">
        <v>267</v>
      </c>
      <c r="F5" s="109" t="s">
        <v>270</v>
      </c>
      <c r="G5" s="61" t="str">
        <f t="shared" si="0"/>
        <v>[effect:damage_fix_absolute, target:unit_one, val:900]</v>
      </c>
      <c r="H5" s="61">
        <f t="shared" si="1"/>
        <v>9</v>
      </c>
      <c r="I5" s="61">
        <f t="shared" si="2"/>
        <v>28</v>
      </c>
      <c r="J5" s="61">
        <f t="shared" si="3"/>
        <v>37</v>
      </c>
      <c r="K5" s="61">
        <f t="shared" si="4"/>
        <v>45</v>
      </c>
      <c r="L5" s="61" t="str">
        <f>IFERROR(VLOOKUP(MID(G5,J5,K5-J5),[6]skilldef!$C:$D,2,FALSE),"-") &amp; " / " &amp; IFERROR(VLOOKUP(MID(G5,H5,I5-H5),[6]skilldef!$A:$B,2,FALSE),"-")</f>
        <v>味方単体に / -</v>
      </c>
      <c r="M5" s="61" t="str">
        <f t="shared" si="5"/>
        <v>none</v>
      </c>
      <c r="N5" s="46" t="str">
        <f t="shared" si="6"/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/>
      <c r="AA5" s="49"/>
      <c r="AB5" s="48"/>
    </row>
    <row r="6" spans="1:28" ht="40" customHeight="1" x14ac:dyDescent="0.15">
      <c r="A6" s="104">
        <v>13301454</v>
      </c>
      <c r="B6" s="45" t="s">
        <v>272</v>
      </c>
      <c r="C6" s="48">
        <v>3</v>
      </c>
      <c r="D6" s="48" t="s">
        <v>126</v>
      </c>
      <c r="E6" s="109" t="s">
        <v>267</v>
      </c>
      <c r="F6" s="109" t="s">
        <v>270</v>
      </c>
      <c r="G6" s="61" t="str">
        <f t="shared" si="0"/>
        <v>[effect:damage_fix_absolute, target:unit_one, val:1200]</v>
      </c>
      <c r="H6" s="61">
        <f t="shared" si="1"/>
        <v>9</v>
      </c>
      <c r="I6" s="61">
        <f t="shared" si="2"/>
        <v>28</v>
      </c>
      <c r="J6" s="61">
        <f t="shared" si="3"/>
        <v>37</v>
      </c>
      <c r="K6" s="61">
        <f t="shared" si="4"/>
        <v>45</v>
      </c>
      <c r="L6" s="61" t="str">
        <f>IFERROR(VLOOKUP(MID(G6,J6,K6-J6),[6]skilldef!$C:$D,2,FALSE),"-") &amp; " / " &amp; IFERROR(VLOOKUP(MID(G6,H6,I6-H6),[6]skilldef!$A:$B,2,FALSE),"-")</f>
        <v>味方単体に / -</v>
      </c>
      <c r="M6" s="61" t="str">
        <f t="shared" si="5"/>
        <v>none</v>
      </c>
      <c r="N6" s="46" t="str">
        <f t="shared" si="6"/>
        <v>none</v>
      </c>
      <c r="O6" s="61" t="e">
        <f t="shared" si="7"/>
        <v>#VALUE!</v>
      </c>
      <c r="P6" s="61">
        <f t="shared" si="8"/>
        <v>4</v>
      </c>
      <c r="Q6" s="61" t="e">
        <f t="shared" si="9"/>
        <v>#VALUE!</v>
      </c>
      <c r="R6" s="61" t="e">
        <f t="shared" si="10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8"/>
      <c r="AA6" s="49"/>
      <c r="AB6" s="48"/>
    </row>
    <row r="7" spans="1:28" ht="40" customHeight="1" x14ac:dyDescent="0.15">
      <c r="A7" s="104">
        <v>13301455</v>
      </c>
      <c r="B7" s="45" t="s">
        <v>273</v>
      </c>
      <c r="C7" s="48">
        <v>3</v>
      </c>
      <c r="D7" s="48" t="s">
        <v>126</v>
      </c>
      <c r="E7" s="109" t="s">
        <v>267</v>
      </c>
      <c r="F7" s="109" t="s">
        <v>270</v>
      </c>
      <c r="G7" s="61" t="str">
        <f t="shared" si="0"/>
        <v>[effect:damage_fix_absolute, target:unit_one, val:1500]</v>
      </c>
      <c r="H7" s="61">
        <f t="shared" si="1"/>
        <v>9</v>
      </c>
      <c r="I7" s="61">
        <f t="shared" si="2"/>
        <v>28</v>
      </c>
      <c r="J7" s="61">
        <f t="shared" si="3"/>
        <v>37</v>
      </c>
      <c r="K7" s="61">
        <f t="shared" si="4"/>
        <v>45</v>
      </c>
      <c r="L7" s="61" t="str">
        <f>IFERROR(VLOOKUP(MID(G7,J7,K7-J7),[6]skilldef!$C:$D,2,FALSE),"-") &amp; " / " &amp; IFERROR(VLOOKUP(MID(G7,H7,I7-H7),[6]skilldef!$A:$B,2,FALSE),"-")</f>
        <v>味方単体に / -</v>
      </c>
      <c r="M7" s="61" t="str">
        <f t="shared" si="5"/>
        <v>none</v>
      </c>
      <c r="N7" s="46" t="str">
        <f t="shared" si="6"/>
        <v>none</v>
      </c>
      <c r="O7" s="61" t="e">
        <f t="shared" si="7"/>
        <v>#VALUE!</v>
      </c>
      <c r="P7" s="61">
        <f t="shared" si="8"/>
        <v>4</v>
      </c>
      <c r="Q7" s="61" t="e">
        <f t="shared" si="9"/>
        <v>#VALUE!</v>
      </c>
      <c r="R7" s="61" t="e">
        <f t="shared" si="10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/>
      <c r="AA7" s="49"/>
      <c r="AB7" s="48"/>
    </row>
    <row r="8" spans="1:28" ht="40" customHeight="1" x14ac:dyDescent="0.15">
      <c r="A8" s="104">
        <v>13301456</v>
      </c>
      <c r="B8" s="45" t="s">
        <v>274</v>
      </c>
      <c r="C8" s="48">
        <v>3</v>
      </c>
      <c r="D8" s="48" t="s">
        <v>126</v>
      </c>
      <c r="E8" s="109" t="s">
        <v>267</v>
      </c>
      <c r="F8" s="109" t="s">
        <v>270</v>
      </c>
      <c r="G8" s="61" t="str">
        <f t="shared" si="0"/>
        <v>[effect:damage_fix_absolute, target:unit_one, val:1800]</v>
      </c>
      <c r="H8" s="61">
        <f t="shared" si="1"/>
        <v>9</v>
      </c>
      <c r="I8" s="61">
        <f t="shared" si="2"/>
        <v>28</v>
      </c>
      <c r="J8" s="61">
        <f t="shared" si="3"/>
        <v>37</v>
      </c>
      <c r="K8" s="61">
        <f t="shared" si="4"/>
        <v>45</v>
      </c>
      <c r="L8" s="61" t="str">
        <f>IFERROR(VLOOKUP(MID(G8,J8,K8-J8),[6]skilldef!$C:$D,2,FALSE),"-") &amp; " / " &amp; IFERROR(VLOOKUP(MID(G8,H8,I8-H8),[6]skilldef!$A:$B,2,FALSE),"-")</f>
        <v>味方単体に / -</v>
      </c>
      <c r="M8" s="61" t="str">
        <f t="shared" si="5"/>
        <v>none</v>
      </c>
      <c r="N8" s="46" t="str">
        <f t="shared" si="6"/>
        <v>none</v>
      </c>
      <c r="O8" s="61" t="e">
        <f t="shared" si="7"/>
        <v>#VALUE!</v>
      </c>
      <c r="P8" s="61">
        <f t="shared" si="8"/>
        <v>4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49"/>
      <c r="AB8" s="48"/>
    </row>
    <row r="9" spans="1:28" ht="40" customHeight="1" x14ac:dyDescent="0.15">
      <c r="A9" s="104">
        <v>13301457</v>
      </c>
      <c r="B9" s="45" t="s">
        <v>275</v>
      </c>
      <c r="C9" s="48">
        <v>3</v>
      </c>
      <c r="D9" s="48" t="s">
        <v>126</v>
      </c>
      <c r="E9" s="109" t="s">
        <v>267</v>
      </c>
      <c r="F9" s="109" t="s">
        <v>270</v>
      </c>
      <c r="G9" s="61" t="str">
        <f t="shared" si="0"/>
        <v>[effect:damage_fix_absolute, target:unit_one, val:2100]</v>
      </c>
      <c r="H9" s="61">
        <f t="shared" si="1"/>
        <v>9</v>
      </c>
      <c r="I9" s="61">
        <f t="shared" si="2"/>
        <v>28</v>
      </c>
      <c r="J9" s="61">
        <f t="shared" si="3"/>
        <v>37</v>
      </c>
      <c r="K9" s="61">
        <f t="shared" si="4"/>
        <v>45</v>
      </c>
      <c r="L9" s="61" t="str">
        <f>IFERROR(VLOOKUP(MID(G9,J9,K9-J9),[6]skilldef!$C:$D,2,FALSE),"-") &amp; " / " &amp; IFERROR(VLOOKUP(MID(G9,H9,I9-H9),[6]skilldef!$A:$B,2,FALSE),"-")</f>
        <v>味方単体に / -</v>
      </c>
      <c r="M9" s="61" t="str">
        <f t="shared" si="5"/>
        <v>none</v>
      </c>
      <c r="N9" s="46" t="str">
        <f t="shared" si="6"/>
        <v>none</v>
      </c>
      <c r="O9" s="61" t="e">
        <f t="shared" si="7"/>
        <v>#VALUE!</v>
      </c>
      <c r="P9" s="61">
        <f t="shared" si="8"/>
        <v>4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/>
      <c r="AA9" s="49"/>
      <c r="AB9" s="48"/>
    </row>
    <row r="10" spans="1:28" ht="40" customHeight="1" x14ac:dyDescent="0.15">
      <c r="A10" s="104">
        <v>13301458</v>
      </c>
      <c r="B10" s="45" t="s">
        <v>276</v>
      </c>
      <c r="C10" s="48">
        <v>3</v>
      </c>
      <c r="D10" s="48" t="s">
        <v>126</v>
      </c>
      <c r="E10" s="109" t="s">
        <v>267</v>
      </c>
      <c r="F10" s="109" t="s">
        <v>270</v>
      </c>
      <c r="G10" s="61" t="str">
        <f t="shared" si="0"/>
        <v>[effect:damage_fix_absolute, target:unit_one, val:2400]</v>
      </c>
      <c r="H10" s="61">
        <f t="shared" si="1"/>
        <v>9</v>
      </c>
      <c r="I10" s="61">
        <f t="shared" si="2"/>
        <v>28</v>
      </c>
      <c r="J10" s="61">
        <f t="shared" si="3"/>
        <v>37</v>
      </c>
      <c r="K10" s="61">
        <f t="shared" si="4"/>
        <v>45</v>
      </c>
      <c r="L10" s="61" t="str">
        <f>IFERROR(VLOOKUP(MID(G10,J10,K10-J10),[6]skilldef!$C:$D,2,FALSE),"-") &amp; " / " &amp; IFERROR(VLOOKUP(MID(G10,H10,I10-H10),[6]skilldef!$A:$B,2,FALSE),"-")</f>
        <v>味方単体に / -</v>
      </c>
      <c r="M10" s="61" t="str">
        <f t="shared" si="5"/>
        <v>none</v>
      </c>
      <c r="N10" s="46" t="str">
        <f t="shared" ref="N10:N18" si="16">IFERROR(LEFT(M10,FIND("],",M10)+S21),M10)</f>
        <v>none</v>
      </c>
      <c r="O10" s="61" t="e">
        <f t="shared" si="7"/>
        <v>#VALUE!</v>
      </c>
      <c r="P10" s="61">
        <f t="shared" si="8"/>
        <v>4</v>
      </c>
      <c r="Q10" s="61" t="e">
        <f t="shared" si="9"/>
        <v>#VALUE!</v>
      </c>
      <c r="R10" s="61" t="e">
        <f t="shared" si="10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/>
      <c r="AA10" s="49"/>
      <c r="AB10" s="48"/>
    </row>
    <row r="11" spans="1:28" ht="40" customHeight="1" x14ac:dyDescent="0.15">
      <c r="A11" s="104">
        <v>13301459</v>
      </c>
      <c r="B11" s="45" t="s">
        <v>277</v>
      </c>
      <c r="C11" s="48">
        <v>3</v>
      </c>
      <c r="D11" s="48" t="s">
        <v>126</v>
      </c>
      <c r="E11" s="109" t="s">
        <v>267</v>
      </c>
      <c r="F11" s="109" t="s">
        <v>270</v>
      </c>
      <c r="G11" s="61" t="str">
        <f t="shared" si="0"/>
        <v>[effect:damage_fix_absolute, target:unit_one, val:2700]</v>
      </c>
      <c r="H11" s="61">
        <f t="shared" si="1"/>
        <v>9</v>
      </c>
      <c r="I11" s="61">
        <f t="shared" si="2"/>
        <v>28</v>
      </c>
      <c r="J11" s="61">
        <f t="shared" si="3"/>
        <v>37</v>
      </c>
      <c r="K11" s="61">
        <f t="shared" si="4"/>
        <v>45</v>
      </c>
      <c r="L11" s="61" t="str">
        <f>IFERROR(VLOOKUP(MID(G11,J11,K11-J11),[6]skilldef!$C:$D,2,FALSE),"-") &amp; " / " &amp; IFERROR(VLOOKUP(MID(G11,H11,I11-H11),[6]skilldef!$A:$B,2,FALSE),"-")</f>
        <v>味方単体に / -</v>
      </c>
      <c r="M11" s="61" t="str">
        <f t="shared" si="5"/>
        <v>none</v>
      </c>
      <c r="N11" s="46" t="str">
        <f t="shared" si="16"/>
        <v>none</v>
      </c>
      <c r="O11" s="61" t="e">
        <f t="shared" si="7"/>
        <v>#VALUE!</v>
      </c>
      <c r="P11" s="61">
        <f t="shared" si="8"/>
        <v>4</v>
      </c>
      <c r="Q11" s="61" t="e">
        <f t="shared" si="9"/>
        <v>#VALUE!</v>
      </c>
      <c r="R11" s="61" t="e">
        <f t="shared" si="10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49"/>
      <c r="AB11" s="48"/>
    </row>
    <row r="12" spans="1:28" ht="40" customHeight="1" x14ac:dyDescent="0.15">
      <c r="A12" s="104">
        <v>13301460</v>
      </c>
      <c r="B12" s="45" t="s">
        <v>278</v>
      </c>
      <c r="C12" s="48">
        <v>3</v>
      </c>
      <c r="D12" s="48" t="s">
        <v>126</v>
      </c>
      <c r="E12" s="109" t="s">
        <v>267</v>
      </c>
      <c r="F12" s="109" t="s">
        <v>270</v>
      </c>
      <c r="G12" s="61" t="str">
        <f t="shared" si="0"/>
        <v>[effect:damage_fix_absolute, target:unit_one, val:3000]</v>
      </c>
      <c r="H12" s="61">
        <f t="shared" si="1"/>
        <v>9</v>
      </c>
      <c r="I12" s="61">
        <f t="shared" si="2"/>
        <v>28</v>
      </c>
      <c r="J12" s="61">
        <f t="shared" si="3"/>
        <v>37</v>
      </c>
      <c r="K12" s="61">
        <f t="shared" si="4"/>
        <v>45</v>
      </c>
      <c r="L12" s="61" t="str">
        <f>IFERROR(VLOOKUP(MID(G12,J12,K12-J12),[6]skilldef!$C:$D,2,FALSE),"-") &amp; " / " &amp; IFERROR(VLOOKUP(MID(G12,H12,I12-H12),[6]skilldef!$A:$B,2,FALSE),"-")</f>
        <v>味方単体に / -</v>
      </c>
      <c r="M12" s="61" t="str">
        <f t="shared" si="5"/>
        <v>none</v>
      </c>
      <c r="N12" s="46" t="str">
        <f t="shared" si="16"/>
        <v>none</v>
      </c>
      <c r="O12" s="61" t="e">
        <f t="shared" si="7"/>
        <v>#VALUE!</v>
      </c>
      <c r="P12" s="61">
        <f t="shared" si="8"/>
        <v>4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49"/>
      <c r="AB12" s="48"/>
    </row>
    <row r="13" spans="1:28" ht="40" customHeight="1" x14ac:dyDescent="0.15">
      <c r="A13" s="104">
        <v>13301461</v>
      </c>
      <c r="B13" s="45" t="s">
        <v>279</v>
      </c>
      <c r="C13" s="48">
        <v>3</v>
      </c>
      <c r="D13" s="48" t="s">
        <v>126</v>
      </c>
      <c r="E13" s="109" t="s">
        <v>267</v>
      </c>
      <c r="F13" s="109" t="s">
        <v>270</v>
      </c>
      <c r="G13" s="61" t="str">
        <f t="shared" si="0"/>
        <v>[effect:damage_fix_absolute, target:unit_one, val:3300]</v>
      </c>
      <c r="H13" s="61">
        <f t="shared" si="1"/>
        <v>9</v>
      </c>
      <c r="I13" s="61">
        <f t="shared" si="2"/>
        <v>28</v>
      </c>
      <c r="J13" s="61">
        <f t="shared" si="3"/>
        <v>37</v>
      </c>
      <c r="K13" s="61">
        <f t="shared" si="4"/>
        <v>45</v>
      </c>
      <c r="L13" s="61" t="str">
        <f>IFERROR(VLOOKUP(MID(G13,J13,K13-J13),[6]skilldef!$C:$D,2,FALSE),"-") &amp; " / " &amp; IFERROR(VLOOKUP(MID(G13,H13,I13-H13),[6]skilldef!$A:$B,2,FALSE),"-")</f>
        <v>味方単体に / -</v>
      </c>
      <c r="M13" s="61" t="str">
        <f t="shared" si="5"/>
        <v>none</v>
      </c>
      <c r="N13" s="46" t="str">
        <f t="shared" si="16"/>
        <v>none</v>
      </c>
      <c r="O13" s="61" t="e">
        <f t="shared" si="7"/>
        <v>#VALUE!</v>
      </c>
      <c r="P13" s="61">
        <f t="shared" si="8"/>
        <v>4</v>
      </c>
      <c r="Q13" s="61" t="e">
        <f t="shared" si="9"/>
        <v>#VALUE!</v>
      </c>
      <c r="R13" s="61" t="e">
        <f t="shared" si="10"/>
        <v>#VALUE!</v>
      </c>
      <c r="S13" s="61" t="str">
        <f>IFERROR(VLOOKUP(MID(N13,Q13,R13-Q13),[6]skilldef!$C:$D,2,FALSE),"-") &amp; " / " &amp; IFERROR(VLOOKUP(MID(N13,O13,P13-O13),[6]skilldef!$A:$B,2,FALSE),"-")</f>
        <v>- / -</v>
      </c>
      <c r="T13" s="46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8"/>
      <c r="AA13" s="49"/>
      <c r="AB13" s="48"/>
    </row>
    <row r="14" spans="1:28" ht="40" customHeight="1" x14ac:dyDescent="0.15">
      <c r="A14" s="104">
        <v>13301462</v>
      </c>
      <c r="B14" s="45" t="s">
        <v>280</v>
      </c>
      <c r="C14" s="48">
        <v>3</v>
      </c>
      <c r="D14" s="48" t="s">
        <v>281</v>
      </c>
      <c r="E14" s="109" t="s">
        <v>267</v>
      </c>
      <c r="F14" s="109" t="s">
        <v>282</v>
      </c>
      <c r="G14" s="61" t="str">
        <f t="shared" si="0"/>
        <v>[effect:damage_fix_absolute, target:unit_one, val:3600]</v>
      </c>
      <c r="H14" s="61">
        <f t="shared" si="1"/>
        <v>9</v>
      </c>
      <c r="I14" s="61">
        <f t="shared" si="2"/>
        <v>28</v>
      </c>
      <c r="J14" s="61">
        <f t="shared" si="3"/>
        <v>37</v>
      </c>
      <c r="K14" s="61">
        <f t="shared" si="4"/>
        <v>45</v>
      </c>
      <c r="L14" s="61" t="str">
        <f>IFERROR(VLOOKUP(MID(G14,J14,K14-J14),[6]skilldef!$C:$D,2,FALSE),"-") &amp; " / " &amp; IFERROR(VLOOKUP(MID(G14,H14,I14-H14),[6]skilldef!$A:$B,2,FALSE),"-")</f>
        <v>味方単体に / -</v>
      </c>
      <c r="M14" s="61" t="str">
        <f t="shared" si="5"/>
        <v>none</v>
      </c>
      <c r="N14" s="46" t="str">
        <f t="shared" si="16"/>
        <v>none</v>
      </c>
      <c r="O14" s="61" t="e">
        <f t="shared" si="7"/>
        <v>#VALUE!</v>
      </c>
      <c r="P14" s="61">
        <f t="shared" si="8"/>
        <v>4</v>
      </c>
      <c r="Q14" s="61" t="e">
        <f t="shared" si="9"/>
        <v>#VALUE!</v>
      </c>
      <c r="R14" s="61" t="e">
        <f t="shared" si="10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49"/>
      <c r="AB14" s="48"/>
    </row>
    <row r="15" spans="1:28" ht="40" customHeight="1" x14ac:dyDescent="0.15">
      <c r="A15" s="104">
        <v>13301463</v>
      </c>
      <c r="B15" s="45" t="s">
        <v>283</v>
      </c>
      <c r="C15" s="48">
        <v>3</v>
      </c>
      <c r="D15" s="48" t="s">
        <v>126</v>
      </c>
      <c r="E15" s="109" t="s">
        <v>267</v>
      </c>
      <c r="F15" s="109" t="s">
        <v>270</v>
      </c>
      <c r="G15" s="61" t="str">
        <f t="shared" si="0"/>
        <v>[effect:damage_fix_absolute, target:unit_one, val:3900]</v>
      </c>
      <c r="H15" s="61">
        <f t="shared" si="1"/>
        <v>9</v>
      </c>
      <c r="I15" s="61">
        <f t="shared" si="2"/>
        <v>28</v>
      </c>
      <c r="J15" s="61">
        <f t="shared" si="3"/>
        <v>37</v>
      </c>
      <c r="K15" s="61">
        <f t="shared" si="4"/>
        <v>45</v>
      </c>
      <c r="L15" s="61" t="str">
        <f>IFERROR(VLOOKUP(MID(G15,J15,K15-J15),[6]skilldef!$C:$D,2,FALSE),"-") &amp; " / " &amp; IFERROR(VLOOKUP(MID(G15,H15,I15-H15),[6]skilldef!$A:$B,2,FALSE),"-")</f>
        <v>味方単体に / -</v>
      </c>
      <c r="M15" s="61" t="str">
        <f t="shared" si="5"/>
        <v>none</v>
      </c>
      <c r="N15" s="46" t="str">
        <f t="shared" si="16"/>
        <v>none</v>
      </c>
      <c r="O15" s="61" t="e">
        <f t="shared" si="7"/>
        <v>#VALUE!</v>
      </c>
      <c r="P15" s="61">
        <f t="shared" si="8"/>
        <v>4</v>
      </c>
      <c r="Q15" s="61" t="e">
        <f t="shared" si="9"/>
        <v>#VALUE!</v>
      </c>
      <c r="R15" s="61" t="e">
        <f t="shared" si="10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6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49"/>
      <c r="AB15" s="48"/>
    </row>
    <row r="16" spans="1:28" ht="40" customHeight="1" x14ac:dyDescent="0.15">
      <c r="A16" s="104">
        <v>13301464</v>
      </c>
      <c r="B16" s="45" t="s">
        <v>305</v>
      </c>
      <c r="C16" s="48">
        <v>3</v>
      </c>
      <c r="D16" s="48" t="s">
        <v>126</v>
      </c>
      <c r="E16" s="109" t="s">
        <v>267</v>
      </c>
      <c r="F16" s="109" t="s">
        <v>284</v>
      </c>
      <c r="G16" s="61" t="str">
        <f t="shared" si="0"/>
        <v>[effect:damage_fix_absolute, target:unit_one, val:4200]</v>
      </c>
      <c r="H16" s="61">
        <f t="shared" si="1"/>
        <v>9</v>
      </c>
      <c r="I16" s="61">
        <f t="shared" si="2"/>
        <v>28</v>
      </c>
      <c r="J16" s="61">
        <f t="shared" si="3"/>
        <v>37</v>
      </c>
      <c r="K16" s="61">
        <f t="shared" si="4"/>
        <v>45</v>
      </c>
      <c r="L16" s="61" t="str">
        <f>IFERROR(VLOOKUP(MID(G16,J16,K16-J16),[6]skilldef!$C:$D,2,FALSE),"-") &amp; " / " &amp; IFERROR(VLOOKUP(MID(G16,H16,I16-H16),[6]skilldef!$A:$B,2,FALSE),"-")</f>
        <v>味方単体に / -</v>
      </c>
      <c r="M16" s="61" t="str">
        <f t="shared" si="5"/>
        <v>[effect:enemy_message, val1:1, val2:2.2]</v>
      </c>
      <c r="N16" s="46" t="str">
        <f t="shared" si="16"/>
        <v>[effect:enemy_message, val1:1, val2:2.2]</v>
      </c>
      <c r="O16" s="61">
        <f t="shared" si="7"/>
        <v>9</v>
      </c>
      <c r="P16" s="61">
        <f t="shared" si="8"/>
        <v>22</v>
      </c>
      <c r="Q16" s="61" t="e">
        <f t="shared" si="9"/>
        <v>#VALUE!</v>
      </c>
      <c r="R16" s="61">
        <f t="shared" si="10"/>
        <v>30</v>
      </c>
      <c r="S16" s="61" t="str">
        <f>IFERROR(VLOOKUP(MID(N16,Q16,R16-Q16),[6]skilldef!$C:$D,2,FALSE),"-") &amp; " / " &amp; IFERROR(VLOOKUP(MID(N16,O16,P16-O16),[6]skilldef!$A:$B,2,FALSE),"-")</f>
        <v>- / -</v>
      </c>
      <c r="T16" s="46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49"/>
      <c r="AB16" s="48"/>
    </row>
    <row r="17" spans="1:28" ht="40" customHeight="1" x14ac:dyDescent="0.15">
      <c r="A17" s="104">
        <v>13301465</v>
      </c>
      <c r="B17" s="45" t="s">
        <v>304</v>
      </c>
      <c r="C17" s="48">
        <v>3</v>
      </c>
      <c r="D17" s="48" t="s">
        <v>126</v>
      </c>
      <c r="E17" s="109" t="s">
        <v>285</v>
      </c>
      <c r="F17" s="109" t="s">
        <v>286</v>
      </c>
      <c r="G17" s="61" t="str">
        <f t="shared" si="0"/>
        <v>[effect:damage_fix_absolute, target:unit_one, val:99999]</v>
      </c>
      <c r="H17" s="61">
        <f t="shared" si="1"/>
        <v>9</v>
      </c>
      <c r="I17" s="61">
        <f t="shared" si="2"/>
        <v>28</v>
      </c>
      <c r="J17" s="61">
        <f t="shared" si="3"/>
        <v>37</v>
      </c>
      <c r="K17" s="61">
        <f t="shared" si="4"/>
        <v>45</v>
      </c>
      <c r="L17" s="61" t="str">
        <f>IFERROR(VLOOKUP(MID(G17,J17,K17-J17),[6]skilldef!$C:$D,2,FALSE),"-") &amp; " / " &amp; IFERROR(VLOOKUP(MID(G17,H17,I17-H17),[6]skilldef!$A:$B,2,FALSE),"-")</f>
        <v>味方単体に / -</v>
      </c>
      <c r="M17" s="61" t="str">
        <f t="shared" si="5"/>
        <v>[effect:enemy_message, val1:1.4, val2:2.2]</v>
      </c>
      <c r="N17" s="46" t="str">
        <f t="shared" si="16"/>
        <v>[effect:enemy_message, val1:1.4, val2:2.2]</v>
      </c>
      <c r="O17" s="61">
        <f t="shared" si="7"/>
        <v>9</v>
      </c>
      <c r="P17" s="61">
        <f t="shared" si="8"/>
        <v>22</v>
      </c>
      <c r="Q17" s="61" t="e">
        <f t="shared" si="9"/>
        <v>#VALUE!</v>
      </c>
      <c r="R17" s="61">
        <f t="shared" si="10"/>
        <v>32</v>
      </c>
      <c r="S17" s="61" t="str">
        <f>IFERROR(VLOOKUP(MID(N17,Q17,R17-Q17),[6]skilldef!$C:$D,2,FALSE),"-") &amp; " / " &amp; IFERROR(VLOOKUP(MID(N17,O17,P17-O17),[6]skilldef!$A:$B,2,FALSE),"-")</f>
        <v>- / -</v>
      </c>
      <c r="T17" s="46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49"/>
      <c r="AB17" s="48"/>
    </row>
    <row r="18" spans="1:28" ht="40" customHeight="1" x14ac:dyDescent="0.15">
      <c r="A18" s="104">
        <v>13301466</v>
      </c>
      <c r="B18" s="45" t="s">
        <v>316</v>
      </c>
      <c r="C18" s="48">
        <v>3</v>
      </c>
      <c r="D18" s="48" t="s">
        <v>126</v>
      </c>
      <c r="E18" s="110" t="s">
        <v>317</v>
      </c>
      <c r="F18" s="110" t="s">
        <v>302</v>
      </c>
      <c r="G18" s="61" t="str">
        <f t="shared" si="0"/>
        <v>[effect:enemy_message, val1:0, val2:2.4]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30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[effect:tolerance, target:myself, turn:-1, count:-1, tolerance_effect:all, animation:enemy_tolerance]</v>
      </c>
      <c r="N18" s="46" t="str">
        <f t="shared" si="16"/>
        <v>[effect:tolerance, target:myself, turn:-1, count:-1, tolerance_effect:all, animation:enemy_tolerance]</v>
      </c>
      <c r="O18" s="61">
        <f t="shared" si="7"/>
        <v>9</v>
      </c>
      <c r="P18" s="61">
        <f t="shared" si="8"/>
        <v>18</v>
      </c>
      <c r="Q18" s="61">
        <f t="shared" si="9"/>
        <v>27</v>
      </c>
      <c r="R18" s="61">
        <f t="shared" si="10"/>
        <v>33</v>
      </c>
      <c r="S18" s="61" t="str">
        <f>IFERROR(VLOOKUP(MID(N18,Q18,R18-Q18),[6]skilldef!$C:$D,2,FALSE),"-") &amp; " / " &amp; IFERROR(VLOOKUP(MID(N18,O18,P18-O18),[6]skilldef!$A:$B,2,FALSE),"-")</f>
        <v>自分自身に / 状態異常耐性</v>
      </c>
      <c r="T18" s="46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8"/>
      <c r="AA18" s="49"/>
      <c r="AB18" s="48"/>
    </row>
    <row r="19" spans="1:28" ht="40" customHeight="1" x14ac:dyDescent="0.15">
      <c r="A19" s="104">
        <v>13301467</v>
      </c>
      <c r="B19" s="45" t="s">
        <v>306</v>
      </c>
      <c r="C19" s="48">
        <v>3</v>
      </c>
      <c r="D19" s="48" t="s">
        <v>126</v>
      </c>
      <c r="E19" s="110" t="s">
        <v>287</v>
      </c>
      <c r="F19" s="110" t="s">
        <v>288</v>
      </c>
      <c r="G19" s="61" t="str">
        <f t="shared" si="0"/>
        <v>[effect:time_limit, target:unit_all, turn:2, count:9, animation:enemy_time_limit]</v>
      </c>
      <c r="H19" s="61">
        <f t="shared" si="1"/>
        <v>9</v>
      </c>
      <c r="I19" s="61">
        <f t="shared" si="2"/>
        <v>19</v>
      </c>
      <c r="J19" s="61">
        <f t="shared" si="3"/>
        <v>28</v>
      </c>
      <c r="K19" s="61">
        <f t="shared" si="4"/>
        <v>36</v>
      </c>
      <c r="L19" s="61" t="str">
        <f>IFERROR(VLOOKUP(MID(G19,J19,K19-J19),[6]skilldef!$C:$D,2,FALSE),"-") &amp; " / " &amp; IFERROR(VLOOKUP(MID(G19,H19,I19-H19),[6]skilldef!$A:$B,2,FALSE),"-")</f>
        <v>味方全体に / タップ制限時間</v>
      </c>
      <c r="M19" s="61" t="str">
        <f t="shared" si="5"/>
        <v>[effect:spread, val:0.3],[effect:enemy_message, val1:1.2, val2:2.2]</v>
      </c>
      <c r="N19" s="46" t="str">
        <f>IFERROR(LEFT(M19,FIND("],",M19)+#REF!),M19)</f>
        <v>[effect:spread, val:0.3],[effect:enemy_message, val1:1.2, val2:2.2]</v>
      </c>
      <c r="O19" s="61">
        <f t="shared" si="7"/>
        <v>9</v>
      </c>
      <c r="P19" s="61">
        <f t="shared" si="8"/>
        <v>15</v>
      </c>
      <c r="Q19" s="61" t="e">
        <f t="shared" si="9"/>
        <v>#VALUE!</v>
      </c>
      <c r="R19" s="61">
        <f t="shared" si="10"/>
        <v>25</v>
      </c>
      <c r="S19" s="61" t="str">
        <f>IFERROR(VLOOKUP(MID(N19,Q19,R19-Q19),[6]skilldef!$C:$D,2,FALSE),"-") &amp; " / " &amp; IFERROR(VLOOKUP(MID(N19,O19,P19-O19),[6]skilldef!$A:$B,2,FALSE),"-")</f>
        <v>- / 全体攻撃</v>
      </c>
      <c r="T19" s="46" t="str">
        <f t="shared" si="11"/>
        <v>[effect:enemy_message, val1:1.2, val2:2.2]</v>
      </c>
      <c r="U19" s="61">
        <f t="shared" si="12"/>
        <v>9</v>
      </c>
      <c r="V19" s="61">
        <f t="shared" si="13"/>
        <v>22</v>
      </c>
      <c r="W19" s="61" t="e">
        <f t="shared" si="14"/>
        <v>#VALUE!</v>
      </c>
      <c r="X19" s="61">
        <f t="shared" si="15"/>
        <v>32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49"/>
      <c r="AB19" s="48"/>
    </row>
    <row r="20" spans="1:28" ht="40" customHeight="1" x14ac:dyDescent="0.15">
      <c r="A20" s="104">
        <v>13301468</v>
      </c>
      <c r="B20" s="45" t="s">
        <v>308</v>
      </c>
      <c r="C20" s="48">
        <v>3</v>
      </c>
      <c r="D20" s="48" t="s">
        <v>126</v>
      </c>
      <c r="E20" s="110" t="s">
        <v>289</v>
      </c>
      <c r="F20" s="110" t="s">
        <v>318</v>
      </c>
      <c r="G20" s="61" t="str">
        <f t="shared" si="0"/>
        <v>[effect:enemy_message, val1:1.2, val2:2.5]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[effect:spread, val:0.3],[effect:force_change_block, new_block:time_bomb, target:block_yellow, ignore01:crash, ignore02:crack_bomb, ignore03:time_bomb, ignore04:jammer, color:block_yellow, count:2, val:0.3, min_time_count:2, max_time_count:3, animation:change_block]</v>
      </c>
      <c r="N20" s="46" t="str">
        <f>IFERROR(LEFT(M20,FIND("],",M20)+S30),M20)</f>
        <v>[effect:spread, val:0.3]</v>
      </c>
      <c r="O20" s="61">
        <f t="shared" si="7"/>
        <v>9</v>
      </c>
      <c r="P20" s="61">
        <f t="shared" si="8"/>
        <v>15</v>
      </c>
      <c r="Q20" s="61" t="e">
        <f t="shared" si="9"/>
        <v>#VALUE!</v>
      </c>
      <c r="R20" s="61" t="e">
        <f t="shared" si="10"/>
        <v>#VALUE!</v>
      </c>
      <c r="S20" s="61" t="str">
        <f>IFERROR(VLOOKUP(MID(N20,Q20,R20-Q20),[6]skilldef!$C:$D,2,FALSE),"-") &amp; " / " &amp; IFERROR(VLOOKUP(MID(N20,O20,P20-O20),[6]skilldef!$A:$B,2,FALSE),"-")</f>
        <v>- / 全体攻撃</v>
      </c>
      <c r="T20" s="46" t="str">
        <f t="shared" si="11"/>
        <v>[effect:force_change_block, new_block:time_bomb, target:block_yellow, ignore01:crash, ignore02:crack_bomb, ignore03:time_bomb, ignore04:jammer, color:block_yellow, count:2, val:0.3, min_time_count:2, max_time_count:3, animation:change_block]</v>
      </c>
      <c r="U20" s="61">
        <f t="shared" si="12"/>
        <v>9</v>
      </c>
      <c r="V20" s="61">
        <f t="shared" si="13"/>
        <v>27</v>
      </c>
      <c r="W20" s="61">
        <f t="shared" si="14"/>
        <v>57</v>
      </c>
      <c r="X20" s="61">
        <f t="shared" si="15"/>
        <v>48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49"/>
      <c r="AB20" s="48"/>
    </row>
    <row r="21" spans="1:28" ht="40" customHeight="1" x14ac:dyDescent="0.15">
      <c r="A21" s="104">
        <v>13301469</v>
      </c>
      <c r="B21" s="45" t="s">
        <v>307</v>
      </c>
      <c r="C21" s="48">
        <v>3</v>
      </c>
      <c r="D21" s="48" t="s">
        <v>126</v>
      </c>
      <c r="E21" s="110" t="s">
        <v>315</v>
      </c>
      <c r="F21" s="110" t="s">
        <v>303</v>
      </c>
      <c r="G21" s="61" t="str">
        <f t="shared" si="0"/>
        <v>[effect:sp_boost, target:unit_green, val:2, animation:sp_boost_one02]</v>
      </c>
      <c r="H21" s="61">
        <f t="shared" si="1"/>
        <v>9</v>
      </c>
      <c r="I21" s="61">
        <f t="shared" si="2"/>
        <v>17</v>
      </c>
      <c r="J21" s="61">
        <f t="shared" si="3"/>
        <v>26</v>
      </c>
      <c r="K21" s="61">
        <f t="shared" si="4"/>
        <v>36</v>
      </c>
      <c r="L21" s="61" t="str">
        <f>IFERROR(VLOOKUP(MID(G21,J21,K21-J21),[6]skilldef!$C:$D,2,FALSE),"-") &amp; " / " &amp; IFERROR(VLOOKUP(MID(G21,H21,I21-H21),[6]skilldef!$A:$B,2,FALSE),"-")</f>
        <v>緑の味方に / -</v>
      </c>
      <c r="M21" s="61" t="str">
        <f t="shared" si="5"/>
        <v>[effect:enemy_message, val1:1.2, val2:2.2]</v>
      </c>
      <c r="N21" s="46" t="str">
        <f>IFERROR(LEFT(M21,FIND("],",M21)+#REF!),M21)</f>
        <v>[effect:enemy_message, val1:1.2, val2:2.2]</v>
      </c>
      <c r="O21" s="61">
        <f t="shared" si="7"/>
        <v>9</v>
      </c>
      <c r="P21" s="61">
        <f t="shared" si="8"/>
        <v>22</v>
      </c>
      <c r="Q21" s="61" t="e">
        <f t="shared" si="9"/>
        <v>#VALUE!</v>
      </c>
      <c r="R21" s="61">
        <f t="shared" si="10"/>
        <v>32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8"/>
      <c r="AA21" s="49"/>
      <c r="AB21" s="48"/>
    </row>
    <row r="22" spans="1:28" ht="40" customHeight="1" x14ac:dyDescent="0.15">
      <c r="A22" s="104">
        <v>13301470</v>
      </c>
      <c r="B22" s="45" t="s">
        <v>309</v>
      </c>
      <c r="C22" s="48">
        <v>3</v>
      </c>
      <c r="D22" s="48" t="s">
        <v>126</v>
      </c>
      <c r="E22" s="110" t="s">
        <v>290</v>
      </c>
      <c r="F22" s="110" t="s">
        <v>319</v>
      </c>
      <c r="G22" s="61" t="str">
        <f t="shared" si="0"/>
        <v>[effect:enemy_message, val1:1.2, val2:2.7]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si="5"/>
        <v>[effect:degrade_unit, target:unit_all, turn:3, status:attack, val:1, calc:mul],[effect:time_limit, target:unit_all, turn:1, count:6, animation:enemy_time_limit]</v>
      </c>
      <c r="N22" s="46" t="str">
        <f t="shared" ref="N22:N29" si="17">IFERROR(LEFT(M22,FIND("],",M22)+S30),M22)</f>
        <v>[effect:degrade_unit, target:unit_all, turn:3, status:attack, val:1, calc:mul]</v>
      </c>
      <c r="O22" s="61">
        <f t="shared" si="7"/>
        <v>9</v>
      </c>
      <c r="P22" s="61">
        <f t="shared" si="8"/>
        <v>21</v>
      </c>
      <c r="Q22" s="61">
        <f t="shared" si="9"/>
        <v>30</v>
      </c>
      <c r="R22" s="61">
        <f t="shared" si="10"/>
        <v>38</v>
      </c>
      <c r="S22" s="61" t="str">
        <f>IFERROR(VLOOKUP(MID(N22,Q22,R22-Q22),[6]skilldef!$C:$D,2,FALSE),"-") &amp; " / " &amp; IFERROR(VLOOKUP(MID(N22,O22,P22-O22),[6]skilldef!$A:$B,2,FALSE),"-")</f>
        <v>味方全体に / ステータスDOWN</v>
      </c>
      <c r="T22" s="46" t="str">
        <f t="shared" si="11"/>
        <v>[effect:time_limit, target:unit_all, turn:1, count:6, animation:enemy_time_limit]</v>
      </c>
      <c r="U22" s="61">
        <f t="shared" si="12"/>
        <v>9</v>
      </c>
      <c r="V22" s="61">
        <f t="shared" si="13"/>
        <v>19</v>
      </c>
      <c r="W22" s="61">
        <f t="shared" si="14"/>
        <v>28</v>
      </c>
      <c r="X22" s="61">
        <f t="shared" si="15"/>
        <v>36</v>
      </c>
      <c r="Y22" s="61" t="str">
        <f>IFERROR(VLOOKUP(MID(T22,W22,X22-W22),[6]skilldef!$C:$D,2,FALSE),"-") &amp; " / " &amp; IFERROR(VLOOKUP(MID(T22,U22,V22-U22),[6]skilldef!$A:$B,2,FALSE),"-")</f>
        <v>味方全体に / タップ制限時間</v>
      </c>
      <c r="Z22" s="48"/>
      <c r="AA22" s="49"/>
      <c r="AB22" s="48"/>
    </row>
    <row r="23" spans="1:28" ht="70" x14ac:dyDescent="0.15">
      <c r="A23" s="104">
        <v>13301471</v>
      </c>
      <c r="B23" s="45" t="s">
        <v>327</v>
      </c>
      <c r="C23" s="48">
        <v>3</v>
      </c>
      <c r="D23" s="48" t="s">
        <v>126</v>
      </c>
      <c r="E23" s="111" t="s">
        <v>291</v>
      </c>
      <c r="F23" s="111" t="s">
        <v>320</v>
      </c>
      <c r="G23" s="61" t="str">
        <f t="shared" si="0"/>
        <v>[effect:hungup, target:unit_animal, turn:4, rate:1, calc_type:target_all, animation:hungup01]</v>
      </c>
      <c r="H23" s="61">
        <f t="shared" si="1"/>
        <v>9</v>
      </c>
      <c r="I23" s="61">
        <f t="shared" si="2"/>
        <v>15</v>
      </c>
      <c r="J23" s="61">
        <f t="shared" si="3"/>
        <v>24</v>
      </c>
      <c r="K23" s="61">
        <f t="shared" si="4"/>
        <v>35</v>
      </c>
      <c r="L23" s="61" t="str">
        <f>IFERROR(VLOOKUP(MID(G23,J23,K23-J23),[6]skilldef!$C:$D,2,FALSE),"-") &amp; " / " &amp; IFERROR(VLOOKUP(MID(G23,H23,I23-H23),[6]skilldef!$A:$B,2,FALSE),"-")</f>
        <v>アニマルの味方に / ハングアップ</v>
      </c>
      <c r="M23" s="61" t="str">
        <f t="shared" si="5"/>
        <v>[effect:damage_anti_tribe, target:unit_all, tribe:animal, val1:0.85, val2:0.1],[effect:enemy_message, val1:1.4, val2:2.8]</v>
      </c>
      <c r="N23" s="46" t="str">
        <f t="shared" si="17"/>
        <v>[effect:damage_anti_tribe, target:unit_all, tribe:animal, val1:0.85, val2:0.1]</v>
      </c>
      <c r="O23" s="61">
        <f t="shared" si="7"/>
        <v>9</v>
      </c>
      <c r="P23" s="61">
        <f t="shared" si="8"/>
        <v>26</v>
      </c>
      <c r="Q23" s="61">
        <f t="shared" si="9"/>
        <v>35</v>
      </c>
      <c r="R23" s="61">
        <f t="shared" si="10"/>
        <v>43</v>
      </c>
      <c r="S23" s="61" t="str">
        <f>IFERROR(VLOOKUP(MID(N23,Q23,R23-Q23),[6]skilldef!$C:$D,2,FALSE),"-") &amp; " / " &amp; IFERROR(VLOOKUP(MID(N23,O23,P23-O23),[6]skilldef!$A:$B,2,FALSE),"-")</f>
        <v>味方全体に / 種族キラー</v>
      </c>
      <c r="T23" s="46" t="str">
        <f t="shared" si="11"/>
        <v>[effect:enemy_message, val1:1.4, val2:2.8]</v>
      </c>
      <c r="U23" s="61">
        <f t="shared" si="12"/>
        <v>9</v>
      </c>
      <c r="V23" s="61">
        <f t="shared" si="13"/>
        <v>22</v>
      </c>
      <c r="W23" s="61" t="e">
        <f t="shared" si="14"/>
        <v>#VALUE!</v>
      </c>
      <c r="X23" s="61">
        <f t="shared" si="15"/>
        <v>32</v>
      </c>
      <c r="Y23" s="61" t="str">
        <f>IFERROR(VLOOKUP(MID(T23,W23,X23-W23),[6]skilldef!$C:$D,2,FALSE),"-") &amp; " / " &amp; IFERROR(VLOOKUP(MID(T23,U23,V23-U23),[6]skilldef!$A:$B,2,FALSE),"-")</f>
        <v>- / -</v>
      </c>
      <c r="Z23" s="48"/>
      <c r="AA23" s="49"/>
      <c r="AB23" s="48"/>
    </row>
    <row r="24" spans="1:28" ht="40" customHeight="1" x14ac:dyDescent="0.15">
      <c r="A24" s="104">
        <v>13301472</v>
      </c>
      <c r="B24" s="45" t="s">
        <v>310</v>
      </c>
      <c r="C24" s="48">
        <v>3</v>
      </c>
      <c r="D24" s="48" t="s">
        <v>126</v>
      </c>
      <c r="E24" s="111" t="s">
        <v>292</v>
      </c>
      <c r="F24" s="111" t="s">
        <v>293</v>
      </c>
      <c r="G24" s="61" t="str">
        <f t="shared" si="0"/>
        <v>[effect:force_change_block, new_block:jammer, target:block_all, ignore01:crash, ignore02:crack_bomb, ignore03:jammer, count:2, val:0, animation:change_block]</v>
      </c>
      <c r="H24" s="61">
        <f t="shared" si="1"/>
        <v>9</v>
      </c>
      <c r="I24" s="61">
        <f t="shared" si="2"/>
        <v>27</v>
      </c>
      <c r="J24" s="61">
        <f t="shared" si="3"/>
        <v>54</v>
      </c>
      <c r="K24" s="61">
        <f t="shared" si="4"/>
        <v>45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5"/>
        <v>[effect:rush, count:2, val:0.5],[effect:enemy_message, val1:1.4, val2:2]</v>
      </c>
      <c r="N24" s="46" t="str">
        <f t="shared" si="17"/>
        <v>[effect:rush, count:2, val:0.5]</v>
      </c>
      <c r="O24" s="61">
        <f t="shared" si="7"/>
        <v>9</v>
      </c>
      <c r="P24" s="61">
        <f t="shared" si="8"/>
        <v>13</v>
      </c>
      <c r="Q24" s="61" t="e">
        <f t="shared" si="9"/>
        <v>#VALUE!</v>
      </c>
      <c r="R24" s="61">
        <f t="shared" si="10"/>
        <v>22</v>
      </c>
      <c r="S24" s="61" t="str">
        <f>IFERROR(VLOOKUP(MID(N24,Q24,R24-Q24),[6]skilldef!$C:$D,2,FALSE),"-") &amp; " / " &amp; IFERROR(VLOOKUP(MID(N24,O24,P24-O24),[6]skilldef!$A:$B,2,FALSE),"-")</f>
        <v>- / 連続攻撃</v>
      </c>
      <c r="T24" s="46" t="str">
        <f t="shared" si="11"/>
        <v>[effect:enemy_message, val1:1.4, val2:2]</v>
      </c>
      <c r="U24" s="61">
        <f t="shared" si="12"/>
        <v>9</v>
      </c>
      <c r="V24" s="61">
        <f t="shared" si="13"/>
        <v>22</v>
      </c>
      <c r="W24" s="61" t="e">
        <f t="shared" si="14"/>
        <v>#VALUE!</v>
      </c>
      <c r="X24" s="61">
        <f t="shared" si="15"/>
        <v>32</v>
      </c>
      <c r="Y24" s="61" t="str">
        <f>IFERROR(VLOOKUP(MID(T24,W24,X24-W24),[6]skilldef!$C:$D,2,FALSE),"-") &amp; " / " &amp; IFERROR(VLOOKUP(MID(T24,U24,V24-U24),[6]skilldef!$A:$B,2,FALSE),"-")</f>
        <v>- / -</v>
      </c>
      <c r="Z24" s="48"/>
      <c r="AA24" s="49"/>
      <c r="AB24" s="48"/>
    </row>
    <row r="25" spans="1:28" ht="40" customHeight="1" x14ac:dyDescent="0.15">
      <c r="A25" s="104">
        <v>13301473</v>
      </c>
      <c r="B25" s="45" t="s">
        <v>311</v>
      </c>
      <c r="C25" s="48">
        <v>3</v>
      </c>
      <c r="D25" s="48" t="s">
        <v>126</v>
      </c>
      <c r="E25" s="111" t="s">
        <v>294</v>
      </c>
      <c r="F25" s="111" t="s">
        <v>295</v>
      </c>
      <c r="G25" s="61" t="str">
        <f t="shared" si="0"/>
        <v>[effect:damage_fix_absolute, target:unit_one, val:50000]</v>
      </c>
      <c r="H25" s="61">
        <f t="shared" si="1"/>
        <v>9</v>
      </c>
      <c r="I25" s="61">
        <f t="shared" si="2"/>
        <v>28</v>
      </c>
      <c r="J25" s="61">
        <f t="shared" si="3"/>
        <v>37</v>
      </c>
      <c r="K25" s="61">
        <f t="shared" si="4"/>
        <v>45</v>
      </c>
      <c r="L25" s="61" t="str">
        <f>IFERROR(VLOOKUP(MID(G25,J25,K25-J25),[6]skilldef!$C:$D,2,FALSE),"-") &amp; " / " &amp; IFERROR(VLOOKUP(MID(G25,H25,I25-H25),[6]skilldef!$A:$B,2,FALSE),"-")</f>
        <v>味方単体に / -</v>
      </c>
      <c r="M25" s="61" t="str">
        <f t="shared" si="5"/>
        <v>[effect:enemy_message, val1:1.4, val2:1.6]</v>
      </c>
      <c r="N25" s="46" t="str">
        <f t="shared" si="17"/>
        <v>[effect:enemy_message, val1:1.4, val2:1.6]</v>
      </c>
      <c r="O25" s="61">
        <f t="shared" si="7"/>
        <v>9</v>
      </c>
      <c r="P25" s="61">
        <f t="shared" si="8"/>
        <v>22</v>
      </c>
      <c r="Q25" s="61" t="e">
        <f t="shared" si="9"/>
        <v>#VALUE!</v>
      </c>
      <c r="R25" s="61">
        <f t="shared" si="10"/>
        <v>32</v>
      </c>
      <c r="S25" s="61" t="str">
        <f>IFERROR(VLOOKUP(MID(N25,Q25,R25-Q25),[6]skilldef!$C:$D,2,FALSE),"-") &amp; " / " &amp; IFERROR(VLOOKUP(MID(N25,O25,P25-O25),[6]skilldef!$A:$B,2,FALSE),"-")</f>
        <v>- / -</v>
      </c>
      <c r="T25" s="46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/>
      <c r="AA25" s="49"/>
      <c r="AB25" s="48"/>
    </row>
    <row r="26" spans="1:28" ht="40" customHeight="1" x14ac:dyDescent="0.15">
      <c r="A26" s="104">
        <v>13301474</v>
      </c>
      <c r="B26" s="45" t="s">
        <v>325</v>
      </c>
      <c r="C26" s="48">
        <v>3</v>
      </c>
      <c r="D26" s="48" t="s">
        <v>126</v>
      </c>
      <c r="E26" s="112" t="s">
        <v>296</v>
      </c>
      <c r="F26" s="112" t="s">
        <v>326</v>
      </c>
      <c r="G26" s="61" t="str">
        <f t="shared" si="0"/>
        <v>[effect:enemy_counter, target:myself, invoke_condition:unit_all, counter_target:attacker, turn:4, val:0.2, animation:enemy_counter]</v>
      </c>
      <c r="H26" s="61">
        <f t="shared" si="1"/>
        <v>9</v>
      </c>
      <c r="I26" s="61">
        <f t="shared" si="2"/>
        <v>22</v>
      </c>
      <c r="J26" s="61">
        <f t="shared" si="3"/>
        <v>31</v>
      </c>
      <c r="K26" s="61">
        <f t="shared" si="4"/>
        <v>37</v>
      </c>
      <c r="L26" s="61" t="str">
        <f>IFERROR(VLOOKUP(MID(G26,J26,K26-J26),[6]skilldef!$C:$D,2,FALSE),"-") &amp; " / " &amp; IFERROR(VLOOKUP(MID(G26,H26,I26-H26),[6]skilldef!$A:$B,2,FALSE),"-")</f>
        <v>自分自身に / カウンター</v>
      </c>
      <c r="M26" s="61" t="str">
        <f t="shared" si="5"/>
        <v>[effect:enemy_message, val1:1.4, val2:1.9]</v>
      </c>
      <c r="N26" s="46" t="str">
        <f t="shared" si="17"/>
        <v>[effect:enemy_message, val1:1.4, val2:1.9]</v>
      </c>
      <c r="O26" s="61">
        <f t="shared" si="7"/>
        <v>9</v>
      </c>
      <c r="P26" s="61">
        <f t="shared" si="8"/>
        <v>22</v>
      </c>
      <c r="Q26" s="61" t="e">
        <f t="shared" si="9"/>
        <v>#VALUE!</v>
      </c>
      <c r="R26" s="61">
        <f t="shared" si="10"/>
        <v>32</v>
      </c>
      <c r="S26" s="61" t="str">
        <f>IFERROR(VLOOKUP(MID(N26,Q26,R26-Q26),[6]skilldef!$C:$D,2,FALSE),"-") &amp; " / " &amp; IFERROR(VLOOKUP(MID(N26,O26,P26-O26),[6]skilldef!$A:$B,2,FALSE),"-")</f>
        <v>- / -</v>
      </c>
      <c r="T26" s="46" t="str">
        <f t="shared" si="11"/>
        <v>none</v>
      </c>
      <c r="U26" s="61" t="e">
        <f t="shared" si="12"/>
        <v>#VALUE!</v>
      </c>
      <c r="V26" s="61">
        <f t="shared" si="13"/>
        <v>4</v>
      </c>
      <c r="W26" s="61" t="e">
        <f t="shared" si="14"/>
        <v>#VALUE!</v>
      </c>
      <c r="X26" s="61" t="e">
        <f t="shared" si="15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8"/>
      <c r="AA26" s="49"/>
      <c r="AB26" s="48"/>
    </row>
    <row r="27" spans="1:28" ht="40" customHeight="1" x14ac:dyDescent="0.15">
      <c r="A27" s="104">
        <v>13301475</v>
      </c>
      <c r="B27" s="45" t="s">
        <v>322</v>
      </c>
      <c r="C27" s="48">
        <v>3</v>
      </c>
      <c r="D27" s="48" t="s">
        <v>126</v>
      </c>
      <c r="E27" s="112" t="s">
        <v>297</v>
      </c>
      <c r="F27" s="112" t="s">
        <v>321</v>
      </c>
      <c r="G27" s="61" t="str">
        <f t="shared" si="0"/>
        <v>[effect:enemy_message, val1:1.4, val2:2.5]</v>
      </c>
      <c r="H27" s="61">
        <f t="shared" si="1"/>
        <v>9</v>
      </c>
      <c r="I27" s="61">
        <f t="shared" si="2"/>
        <v>22</v>
      </c>
      <c r="J27" s="61" t="e">
        <f t="shared" si="3"/>
        <v>#VALUE!</v>
      </c>
      <c r="K27" s="61">
        <f t="shared" si="4"/>
        <v>32</v>
      </c>
      <c r="L27" s="61" t="str">
        <f>IFERROR(VLOOKUP(MID(G27,J27,K27-J27),[6]skilldef!$C:$D,2,FALSE),"-") &amp; " / " &amp; IFERROR(VLOOKUP(MID(G27,H27,I27-H27),[6]skilldef!$A:$B,2,FALSE),"-")</f>
        <v>- / -</v>
      </c>
      <c r="M27" s="61" t="str">
        <f t="shared" si="5"/>
        <v>[effect:time_limit, target:unit_all, turn:6, count:9, animation:enemy_time_limit],[effect:fix_speed, target:myself, turn:2]</v>
      </c>
      <c r="N27" s="46" t="str">
        <f t="shared" si="17"/>
        <v>[effect:time_limit, target:unit_all, turn:6, count:9, animation:enemy_time_limit]</v>
      </c>
      <c r="O27" s="61">
        <f t="shared" si="7"/>
        <v>9</v>
      </c>
      <c r="P27" s="61">
        <f t="shared" si="8"/>
        <v>19</v>
      </c>
      <c r="Q27" s="61">
        <f t="shared" si="9"/>
        <v>28</v>
      </c>
      <c r="R27" s="61">
        <f t="shared" si="10"/>
        <v>36</v>
      </c>
      <c r="S27" s="61" t="str">
        <f>IFERROR(VLOOKUP(MID(N27,Q27,R27-Q27),[6]skilldef!$C:$D,2,FALSE),"-") &amp; " / " &amp; IFERROR(VLOOKUP(MID(N27,O27,P27-O27),[6]skilldef!$A:$B,2,FALSE),"-")</f>
        <v>味方全体に / タップ制限時間</v>
      </c>
      <c r="T27" s="46" t="str">
        <f t="shared" si="11"/>
        <v>[effect:fix_speed, target:myself, turn:2]</v>
      </c>
      <c r="U27" s="61">
        <f t="shared" si="12"/>
        <v>9</v>
      </c>
      <c r="V27" s="61">
        <f t="shared" si="13"/>
        <v>18</v>
      </c>
      <c r="W27" s="61">
        <f t="shared" si="14"/>
        <v>27</v>
      </c>
      <c r="X27" s="61">
        <f t="shared" si="15"/>
        <v>33</v>
      </c>
      <c r="Y27" s="61" t="str">
        <f>IFERROR(VLOOKUP(MID(T27,W27,X27-W27),[6]skilldef!$C:$D,2,FALSE),"-") &amp; " / " &amp; IFERROR(VLOOKUP(MID(T27,U27,V27-U27),[6]skilldef!$A:$B,2,FALSE),"-")</f>
        <v>自分自身に / 行動値設定</v>
      </c>
      <c r="Z27" s="48"/>
      <c r="AA27" s="49"/>
      <c r="AB27" s="48"/>
    </row>
    <row r="28" spans="1:28" ht="40" customHeight="1" x14ac:dyDescent="0.15">
      <c r="A28" s="104">
        <v>13301476</v>
      </c>
      <c r="B28" s="45" t="s">
        <v>312</v>
      </c>
      <c r="C28" s="48">
        <v>3</v>
      </c>
      <c r="D28" s="48" t="s">
        <v>126</v>
      </c>
      <c r="E28" s="112" t="s">
        <v>298</v>
      </c>
      <c r="F28" s="112" t="s">
        <v>323</v>
      </c>
      <c r="G28" s="61" t="str">
        <f t="shared" si="0"/>
        <v>[effect:enemy_counter, target:myself, invoke_condition:unit_all, counter_target:attacker, turn:-1, val:0.5, animation:enemy_counter]</v>
      </c>
      <c r="H28" s="61">
        <f t="shared" si="1"/>
        <v>9</v>
      </c>
      <c r="I28" s="61">
        <f t="shared" si="2"/>
        <v>22</v>
      </c>
      <c r="J28" s="61">
        <f t="shared" si="3"/>
        <v>31</v>
      </c>
      <c r="K28" s="61">
        <f t="shared" si="4"/>
        <v>37</v>
      </c>
      <c r="L28" s="61" t="str">
        <f>IFERROR(VLOOKUP(MID(G28,J28,K28-J28),[6]skilldef!$C:$D,2,FALSE),"-") &amp; " / " &amp; IFERROR(VLOOKUP(MID(G28,H28,I28-H28),[6]skilldef!$A:$B,2,FALSE),"-")</f>
        <v>自分自身に / カウンター</v>
      </c>
      <c r="M28" s="61" t="str">
        <f t="shared" si="5"/>
        <v>[effect:enemy_message, val1:1.4, val2:1.9]</v>
      </c>
      <c r="N28" s="46" t="str">
        <f t="shared" si="17"/>
        <v>[effect:enemy_message, val1:1.4, val2:1.9]</v>
      </c>
      <c r="O28" s="61">
        <f t="shared" si="7"/>
        <v>9</v>
      </c>
      <c r="P28" s="61">
        <f t="shared" si="8"/>
        <v>22</v>
      </c>
      <c r="Q28" s="61" t="e">
        <f t="shared" si="9"/>
        <v>#VALUE!</v>
      </c>
      <c r="R28" s="61">
        <f t="shared" si="10"/>
        <v>32</v>
      </c>
      <c r="S28" s="61" t="str">
        <f>IFERROR(VLOOKUP(MID(N28,Q28,R28-Q28),[6]skilldef!$C:$D,2,FALSE),"-") &amp; " / " &amp; IFERROR(VLOOKUP(MID(N28,O28,P28-O28),[6]skilldef!$A:$B,2,FALSE),"-")</f>
        <v>- / -</v>
      </c>
      <c r="T28" s="46" t="str">
        <f t="shared" si="11"/>
        <v>none</v>
      </c>
      <c r="U28" s="61" t="e">
        <f t="shared" si="12"/>
        <v>#VALUE!</v>
      </c>
      <c r="V28" s="61">
        <f t="shared" si="13"/>
        <v>4</v>
      </c>
      <c r="W28" s="61" t="e">
        <f t="shared" si="14"/>
        <v>#VALUE!</v>
      </c>
      <c r="X28" s="61" t="e">
        <f t="shared" si="15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/>
      <c r="AA28" s="49"/>
      <c r="AB28" s="48"/>
    </row>
    <row r="29" spans="1:28" ht="40" customHeight="1" x14ac:dyDescent="0.15">
      <c r="A29" s="104">
        <v>13301477</v>
      </c>
      <c r="B29" s="45" t="s">
        <v>313</v>
      </c>
      <c r="C29" s="48">
        <v>3</v>
      </c>
      <c r="D29" s="48" t="s">
        <v>126</v>
      </c>
      <c r="E29" s="112" t="s">
        <v>299</v>
      </c>
      <c r="F29" s="112" t="s">
        <v>300</v>
      </c>
      <c r="G29" s="61" t="str">
        <f t="shared" si="0"/>
        <v>[effect:rush, count:6, val:0.3]</v>
      </c>
      <c r="H29" s="61">
        <f t="shared" si="1"/>
        <v>9</v>
      </c>
      <c r="I29" s="61">
        <f t="shared" si="2"/>
        <v>13</v>
      </c>
      <c r="J29" s="61" t="e">
        <f t="shared" si="3"/>
        <v>#VALUE!</v>
      </c>
      <c r="K29" s="61">
        <f t="shared" si="4"/>
        <v>22</v>
      </c>
      <c r="L29" s="61" t="str">
        <f>IFERROR(VLOOKUP(MID(G29,J29,K29-J29),[6]skilldef!$C:$D,2,FALSE),"-") &amp; " / " &amp; IFERROR(VLOOKUP(MID(G29,H29,I29-H29),[6]skilldef!$A:$B,2,FALSE),"-")</f>
        <v>- / 連続攻撃</v>
      </c>
      <c r="M29" s="61" t="str">
        <f t="shared" si="5"/>
        <v>[effect:enemy_message, val1:1.3, val2:1.7]</v>
      </c>
      <c r="N29" s="46" t="str">
        <f t="shared" si="17"/>
        <v>[effect:enemy_message, val1:1.3, val2:1.7]</v>
      </c>
      <c r="O29" s="61">
        <f t="shared" si="7"/>
        <v>9</v>
      </c>
      <c r="P29" s="61">
        <f t="shared" si="8"/>
        <v>22</v>
      </c>
      <c r="Q29" s="61" t="e">
        <f t="shared" si="9"/>
        <v>#VALUE!</v>
      </c>
      <c r="R29" s="61">
        <f t="shared" si="10"/>
        <v>32</v>
      </c>
      <c r="S29" s="61" t="str">
        <f>IFERROR(VLOOKUP(MID(N29,Q29,R29-Q29),[6]skilldef!$C:$D,2,FALSE),"-") &amp; " / " &amp; IFERROR(VLOOKUP(MID(N29,O29,P29-O29),[6]skilldef!$A:$B,2,FALSE),"-")</f>
        <v>- / -</v>
      </c>
      <c r="T29" s="46" t="str">
        <f t="shared" si="11"/>
        <v>none</v>
      </c>
      <c r="U29" s="61" t="e">
        <f t="shared" si="12"/>
        <v>#VALUE!</v>
      </c>
      <c r="V29" s="61">
        <f t="shared" si="13"/>
        <v>4</v>
      </c>
      <c r="W29" s="61" t="e">
        <f t="shared" si="14"/>
        <v>#VALUE!</v>
      </c>
      <c r="X29" s="61" t="e">
        <f t="shared" si="15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8"/>
      <c r="AA29" s="49"/>
      <c r="AB2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9"/>
  <sheetViews>
    <sheetView showGridLines="0" workbookViewId="0">
      <pane ySplit="1" topLeftCell="A7" activePane="bottomLeft" state="frozenSplit"/>
      <selection pane="bottomLeft" activeCell="H31" sqref="H31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1" ht="21" customHeight="1" x14ac:dyDescent="0.15">
      <c r="A2" s="104">
        <v>13301450</v>
      </c>
      <c r="B2" s="103">
        <v>1</v>
      </c>
      <c r="C2" s="103">
        <v>200</v>
      </c>
      <c r="D2" s="104">
        <v>100</v>
      </c>
      <c r="E2" s="104" t="s">
        <v>88</v>
      </c>
      <c r="F2" s="104" t="s">
        <v>88</v>
      </c>
      <c r="G2" s="103">
        <v>1</v>
      </c>
      <c r="H2" s="104" t="s">
        <v>88</v>
      </c>
      <c r="I2" s="104" t="s">
        <v>88</v>
      </c>
      <c r="J2" s="46">
        <f t="shared" ref="J2:J29" si="0">D2</f>
        <v>100</v>
      </c>
    </row>
    <row r="3" spans="1:11" ht="21" customHeight="1" x14ac:dyDescent="0.15">
      <c r="A3" s="104">
        <v>13301451</v>
      </c>
      <c r="B3" s="104">
        <v>0</v>
      </c>
      <c r="C3" s="103">
        <v>150</v>
      </c>
      <c r="D3" s="104">
        <v>100</v>
      </c>
      <c r="E3" s="104" t="s">
        <v>88</v>
      </c>
      <c r="F3" s="104" t="s">
        <v>88</v>
      </c>
      <c r="G3" s="103">
        <v>1</v>
      </c>
      <c r="H3" s="104" t="s">
        <v>88</v>
      </c>
      <c r="I3" s="104" t="s">
        <v>88</v>
      </c>
      <c r="J3" s="46">
        <f t="shared" si="0"/>
        <v>100</v>
      </c>
    </row>
    <row r="4" spans="1:11" ht="21" customHeight="1" x14ac:dyDescent="0.15">
      <c r="A4" s="104">
        <v>13301452</v>
      </c>
      <c r="B4" s="104">
        <v>0</v>
      </c>
      <c r="C4" s="103">
        <v>140</v>
      </c>
      <c r="D4" s="104">
        <v>100</v>
      </c>
      <c r="E4" s="104" t="s">
        <v>88</v>
      </c>
      <c r="F4" s="104" t="s">
        <v>88</v>
      </c>
      <c r="G4" s="103">
        <v>1</v>
      </c>
      <c r="H4" s="104" t="s">
        <v>88</v>
      </c>
      <c r="I4" s="104" t="s">
        <v>88</v>
      </c>
      <c r="J4" s="46">
        <f t="shared" si="0"/>
        <v>100</v>
      </c>
    </row>
    <row r="5" spans="1:11" ht="21" customHeight="1" x14ac:dyDescent="0.15">
      <c r="A5" s="104">
        <v>13301453</v>
      </c>
      <c r="B5" s="104">
        <v>0</v>
      </c>
      <c r="C5" s="103">
        <v>130</v>
      </c>
      <c r="D5" s="104">
        <v>100</v>
      </c>
      <c r="E5" s="104" t="s">
        <v>88</v>
      </c>
      <c r="F5" s="104" t="s">
        <v>88</v>
      </c>
      <c r="G5" s="103">
        <v>1</v>
      </c>
      <c r="H5" s="104" t="s">
        <v>88</v>
      </c>
      <c r="I5" s="104" t="s">
        <v>88</v>
      </c>
      <c r="J5" s="46">
        <f t="shared" si="0"/>
        <v>100</v>
      </c>
    </row>
    <row r="6" spans="1:11" ht="21" customHeight="1" x14ac:dyDescent="0.15">
      <c r="A6" s="104">
        <v>13301454</v>
      </c>
      <c r="B6" s="104">
        <v>0</v>
      </c>
      <c r="C6" s="103">
        <v>120</v>
      </c>
      <c r="D6" s="104">
        <v>100</v>
      </c>
      <c r="E6" s="104" t="s">
        <v>88</v>
      </c>
      <c r="F6" s="104" t="s">
        <v>88</v>
      </c>
      <c r="G6" s="103">
        <v>1</v>
      </c>
      <c r="H6" s="104" t="s">
        <v>88</v>
      </c>
      <c r="I6" s="104" t="s">
        <v>88</v>
      </c>
      <c r="J6" s="46">
        <f t="shared" si="0"/>
        <v>100</v>
      </c>
    </row>
    <row r="7" spans="1:11" ht="21" customHeight="1" x14ac:dyDescent="0.15">
      <c r="A7" s="104">
        <v>13301455</v>
      </c>
      <c r="B7" s="104">
        <v>0</v>
      </c>
      <c r="C7" s="103">
        <v>110</v>
      </c>
      <c r="D7" s="104">
        <v>100</v>
      </c>
      <c r="E7" s="104" t="s">
        <v>88</v>
      </c>
      <c r="F7" s="104" t="s">
        <v>88</v>
      </c>
      <c r="G7" s="103">
        <v>1</v>
      </c>
      <c r="H7" s="104" t="s">
        <v>88</v>
      </c>
      <c r="I7" s="104" t="s">
        <v>88</v>
      </c>
      <c r="J7" s="46">
        <f t="shared" si="0"/>
        <v>100</v>
      </c>
    </row>
    <row r="8" spans="1:11" ht="21" customHeight="1" x14ac:dyDescent="0.15">
      <c r="A8" s="104">
        <v>13301456</v>
      </c>
      <c r="B8" s="104">
        <v>0</v>
      </c>
      <c r="C8" s="103">
        <v>100</v>
      </c>
      <c r="D8" s="104">
        <v>100</v>
      </c>
      <c r="E8" s="104" t="s">
        <v>88</v>
      </c>
      <c r="F8" s="104" t="s">
        <v>88</v>
      </c>
      <c r="G8" s="103">
        <v>1</v>
      </c>
      <c r="H8" s="104" t="s">
        <v>88</v>
      </c>
      <c r="I8" s="104" t="s">
        <v>88</v>
      </c>
      <c r="J8" s="46">
        <f t="shared" si="0"/>
        <v>100</v>
      </c>
    </row>
    <row r="9" spans="1:11" ht="21" customHeight="1" x14ac:dyDescent="0.15">
      <c r="A9" s="104">
        <v>13301457</v>
      </c>
      <c r="B9" s="104">
        <v>0</v>
      </c>
      <c r="C9" s="103">
        <v>90</v>
      </c>
      <c r="D9" s="104">
        <v>100</v>
      </c>
      <c r="E9" s="104" t="s">
        <v>88</v>
      </c>
      <c r="F9" s="104" t="s">
        <v>88</v>
      </c>
      <c r="G9" s="103">
        <v>1</v>
      </c>
      <c r="H9" s="104" t="s">
        <v>88</v>
      </c>
      <c r="I9" s="104" t="s">
        <v>88</v>
      </c>
      <c r="J9" s="46">
        <f t="shared" si="0"/>
        <v>100</v>
      </c>
    </row>
    <row r="10" spans="1:11" ht="21" customHeight="1" x14ac:dyDescent="0.15">
      <c r="A10" s="104">
        <v>13301458</v>
      </c>
      <c r="B10" s="104">
        <v>0</v>
      </c>
      <c r="C10" s="103">
        <v>80</v>
      </c>
      <c r="D10" s="104">
        <v>100</v>
      </c>
      <c r="E10" s="104" t="s">
        <v>88</v>
      </c>
      <c r="F10" s="104" t="s">
        <v>88</v>
      </c>
      <c r="G10" s="103">
        <v>1</v>
      </c>
      <c r="H10" s="104" t="s">
        <v>88</v>
      </c>
      <c r="I10" s="104" t="s">
        <v>88</v>
      </c>
      <c r="J10" s="46">
        <f t="shared" si="0"/>
        <v>100</v>
      </c>
    </row>
    <row r="11" spans="1:11" ht="21" customHeight="1" x14ac:dyDescent="0.15">
      <c r="A11" s="104">
        <v>13301459</v>
      </c>
      <c r="B11" s="104">
        <v>0</v>
      </c>
      <c r="C11" s="103">
        <v>70</v>
      </c>
      <c r="D11" s="104">
        <v>100</v>
      </c>
      <c r="E11" s="104" t="s">
        <v>88</v>
      </c>
      <c r="F11" s="104" t="s">
        <v>88</v>
      </c>
      <c r="G11" s="103">
        <v>1</v>
      </c>
      <c r="H11" s="104" t="s">
        <v>88</v>
      </c>
      <c r="I11" s="104" t="s">
        <v>88</v>
      </c>
      <c r="J11" s="46">
        <f t="shared" si="0"/>
        <v>100</v>
      </c>
    </row>
    <row r="12" spans="1:11" ht="21" customHeight="1" x14ac:dyDescent="0.15">
      <c r="A12" s="104">
        <v>13301460</v>
      </c>
      <c r="B12" s="104">
        <v>0</v>
      </c>
      <c r="C12" s="103">
        <v>60</v>
      </c>
      <c r="D12" s="104">
        <v>100</v>
      </c>
      <c r="E12" s="104" t="s">
        <v>88</v>
      </c>
      <c r="F12" s="104" t="s">
        <v>88</v>
      </c>
      <c r="G12" s="103">
        <v>1</v>
      </c>
      <c r="H12" s="104" t="s">
        <v>88</v>
      </c>
      <c r="I12" s="104" t="s">
        <v>88</v>
      </c>
      <c r="J12" s="46">
        <f t="shared" si="0"/>
        <v>100</v>
      </c>
    </row>
    <row r="13" spans="1:11" ht="21" customHeight="1" x14ac:dyDescent="0.15">
      <c r="A13" s="104">
        <v>13301461</v>
      </c>
      <c r="B13" s="104">
        <v>0</v>
      </c>
      <c r="C13" s="103">
        <v>50</v>
      </c>
      <c r="D13" s="104">
        <v>100</v>
      </c>
      <c r="E13" s="104" t="s">
        <v>88</v>
      </c>
      <c r="F13" s="104" t="s">
        <v>88</v>
      </c>
      <c r="G13" s="103">
        <v>1</v>
      </c>
      <c r="H13" s="104" t="s">
        <v>88</v>
      </c>
      <c r="I13" s="104" t="s">
        <v>88</v>
      </c>
      <c r="J13" s="46">
        <f t="shared" si="0"/>
        <v>100</v>
      </c>
    </row>
    <row r="14" spans="1:11" ht="21" customHeight="1" x14ac:dyDescent="0.15">
      <c r="A14" s="104">
        <v>13301462</v>
      </c>
      <c r="B14" s="104">
        <v>0</v>
      </c>
      <c r="C14" s="103">
        <v>40</v>
      </c>
      <c r="D14" s="104">
        <v>100</v>
      </c>
      <c r="E14" s="104" t="s">
        <v>88</v>
      </c>
      <c r="F14" s="104" t="s">
        <v>88</v>
      </c>
      <c r="G14" s="103">
        <v>1</v>
      </c>
      <c r="H14" s="104" t="s">
        <v>88</v>
      </c>
      <c r="I14" s="104" t="s">
        <v>88</v>
      </c>
      <c r="J14" s="46">
        <f t="shared" si="0"/>
        <v>100</v>
      </c>
    </row>
    <row r="15" spans="1:11" ht="21" customHeight="1" x14ac:dyDescent="0.15">
      <c r="A15" s="104">
        <v>13301463</v>
      </c>
      <c r="B15" s="104">
        <v>0</v>
      </c>
      <c r="C15" s="103">
        <v>30</v>
      </c>
      <c r="D15" s="104">
        <v>100</v>
      </c>
      <c r="E15" s="104" t="s">
        <v>88</v>
      </c>
      <c r="F15" s="104" t="s">
        <v>88</v>
      </c>
      <c r="G15" s="103">
        <v>1</v>
      </c>
      <c r="H15" s="104" t="s">
        <v>88</v>
      </c>
      <c r="I15" s="104" t="s">
        <v>88</v>
      </c>
      <c r="J15" s="46">
        <f t="shared" si="0"/>
        <v>100</v>
      </c>
    </row>
    <row r="16" spans="1:11" ht="21" customHeight="1" x14ac:dyDescent="0.15">
      <c r="A16" s="104">
        <v>13301464</v>
      </c>
      <c r="B16" s="104">
        <v>0</v>
      </c>
      <c r="C16" s="103">
        <v>20</v>
      </c>
      <c r="D16" s="104">
        <v>100</v>
      </c>
      <c r="E16" s="104" t="s">
        <v>88</v>
      </c>
      <c r="F16" s="104" t="s">
        <v>88</v>
      </c>
      <c r="G16" s="103">
        <v>1</v>
      </c>
      <c r="H16" s="104" t="s">
        <v>88</v>
      </c>
      <c r="I16" s="104" t="s">
        <v>88</v>
      </c>
      <c r="J16" s="46">
        <f t="shared" si="0"/>
        <v>100</v>
      </c>
    </row>
    <row r="17" spans="1:10" ht="21" customHeight="1" x14ac:dyDescent="0.15">
      <c r="A17" s="104">
        <v>13301465</v>
      </c>
      <c r="B17" s="104">
        <v>0</v>
      </c>
      <c r="C17" s="103">
        <v>10</v>
      </c>
      <c r="D17" s="104">
        <v>100</v>
      </c>
      <c r="E17" s="104" t="s">
        <v>88</v>
      </c>
      <c r="F17" s="104" t="s">
        <v>88</v>
      </c>
      <c r="G17" s="103">
        <v>1</v>
      </c>
      <c r="H17" s="104" t="s">
        <v>88</v>
      </c>
      <c r="I17" s="104" t="s">
        <v>88</v>
      </c>
      <c r="J17" s="46">
        <f t="shared" si="0"/>
        <v>100</v>
      </c>
    </row>
    <row r="18" spans="1:10" ht="21" customHeight="1" x14ac:dyDescent="0.15">
      <c r="A18" s="104">
        <v>13301466</v>
      </c>
      <c r="B18" s="106">
        <v>1</v>
      </c>
      <c r="C18" s="105">
        <v>250</v>
      </c>
      <c r="D18" s="104">
        <v>100</v>
      </c>
      <c r="E18" s="104" t="s">
        <v>88</v>
      </c>
      <c r="F18" s="104" t="s">
        <v>88</v>
      </c>
      <c r="G18" s="105">
        <v>1</v>
      </c>
      <c r="H18" s="104" t="s">
        <v>88</v>
      </c>
      <c r="I18" s="104" t="s">
        <v>88</v>
      </c>
      <c r="J18" s="46">
        <f t="shared" si="0"/>
        <v>100</v>
      </c>
    </row>
    <row r="19" spans="1:10" ht="21" customHeight="1" x14ac:dyDescent="0.15">
      <c r="A19" s="104">
        <v>13301467</v>
      </c>
      <c r="B19" s="104">
        <v>0</v>
      </c>
      <c r="C19" s="105">
        <v>100</v>
      </c>
      <c r="D19" s="104">
        <v>100</v>
      </c>
      <c r="E19" s="104" t="s">
        <v>88</v>
      </c>
      <c r="F19" s="104" t="s">
        <v>88</v>
      </c>
      <c r="G19" s="105" t="s">
        <v>88</v>
      </c>
      <c r="H19" s="104" t="s">
        <v>88</v>
      </c>
      <c r="I19" s="104" t="s">
        <v>88</v>
      </c>
      <c r="J19" s="46">
        <f t="shared" si="0"/>
        <v>100</v>
      </c>
    </row>
    <row r="20" spans="1:10" ht="21" customHeight="1" x14ac:dyDescent="0.15">
      <c r="A20" s="104">
        <v>13301468</v>
      </c>
      <c r="B20" s="104">
        <v>0</v>
      </c>
      <c r="C20" s="105">
        <v>110</v>
      </c>
      <c r="D20" s="104">
        <v>40</v>
      </c>
      <c r="E20" s="104" t="s">
        <v>88</v>
      </c>
      <c r="F20" s="104" t="s">
        <v>88</v>
      </c>
      <c r="G20" s="105" t="s">
        <v>88</v>
      </c>
      <c r="H20" s="104" t="s">
        <v>88</v>
      </c>
      <c r="I20" s="104" t="s">
        <v>88</v>
      </c>
      <c r="J20" s="46">
        <f t="shared" si="0"/>
        <v>40</v>
      </c>
    </row>
    <row r="21" spans="1:10" ht="21" customHeight="1" x14ac:dyDescent="0.15">
      <c r="A21" s="104">
        <v>13301469</v>
      </c>
      <c r="B21" s="104">
        <v>0</v>
      </c>
      <c r="C21" s="105">
        <v>150</v>
      </c>
      <c r="D21" s="104">
        <v>100</v>
      </c>
      <c r="E21" s="104" t="s">
        <v>88</v>
      </c>
      <c r="F21" s="104" t="s">
        <v>88</v>
      </c>
      <c r="G21" s="105" t="s">
        <v>88</v>
      </c>
      <c r="H21" s="106">
        <v>5</v>
      </c>
      <c r="I21" s="104" t="s">
        <v>88</v>
      </c>
      <c r="J21" s="46">
        <f t="shared" si="0"/>
        <v>100</v>
      </c>
    </row>
    <row r="22" spans="1:10" ht="21" customHeight="1" x14ac:dyDescent="0.15">
      <c r="A22" s="104">
        <v>13301470</v>
      </c>
      <c r="B22" s="104">
        <v>0</v>
      </c>
      <c r="C22" s="105">
        <v>200</v>
      </c>
      <c r="D22" s="104">
        <v>100</v>
      </c>
      <c r="E22" s="106">
        <v>50</v>
      </c>
      <c r="F22" s="104" t="s">
        <v>88</v>
      </c>
      <c r="G22" s="105">
        <v>1</v>
      </c>
      <c r="H22" s="104" t="s">
        <v>88</v>
      </c>
      <c r="I22" s="104" t="s">
        <v>88</v>
      </c>
      <c r="J22" s="46">
        <f t="shared" si="0"/>
        <v>100</v>
      </c>
    </row>
    <row r="23" spans="1:10" ht="21" customHeight="1" x14ac:dyDescent="0.15">
      <c r="A23" s="104">
        <v>13301471</v>
      </c>
      <c r="B23" s="107">
        <v>1</v>
      </c>
      <c r="C23" s="107">
        <v>250</v>
      </c>
      <c r="D23" s="104">
        <v>100</v>
      </c>
      <c r="E23" s="104" t="s">
        <v>88</v>
      </c>
      <c r="F23" s="104" t="s">
        <v>88</v>
      </c>
      <c r="G23" s="107">
        <v>1</v>
      </c>
      <c r="H23" s="107" t="s">
        <v>88</v>
      </c>
      <c r="I23" s="104" t="s">
        <v>88</v>
      </c>
      <c r="J23" s="46">
        <f t="shared" si="0"/>
        <v>100</v>
      </c>
    </row>
    <row r="24" spans="1:10" ht="21" customHeight="1" x14ac:dyDescent="0.15">
      <c r="A24" s="104">
        <v>13301472</v>
      </c>
      <c r="B24" s="104">
        <v>0</v>
      </c>
      <c r="C24" s="107">
        <v>200</v>
      </c>
      <c r="D24" s="104">
        <v>100</v>
      </c>
      <c r="E24" s="104" t="s">
        <v>88</v>
      </c>
      <c r="F24" s="104" t="s">
        <v>88</v>
      </c>
      <c r="G24" s="107" t="s">
        <v>88</v>
      </c>
      <c r="H24" s="107">
        <v>2</v>
      </c>
      <c r="I24" s="104" t="s">
        <v>88</v>
      </c>
      <c r="J24" s="46">
        <f t="shared" si="0"/>
        <v>100</v>
      </c>
    </row>
    <row r="25" spans="1:10" ht="21" customHeight="1" x14ac:dyDescent="0.15">
      <c r="A25" s="104">
        <v>13301473</v>
      </c>
      <c r="B25" s="104">
        <v>0</v>
      </c>
      <c r="C25" s="107">
        <v>150</v>
      </c>
      <c r="D25" s="104">
        <v>100</v>
      </c>
      <c r="E25" s="104" t="s">
        <v>88</v>
      </c>
      <c r="F25" s="104" t="s">
        <v>88</v>
      </c>
      <c r="G25" s="107">
        <v>1</v>
      </c>
      <c r="H25" s="107">
        <v>8</v>
      </c>
      <c r="I25" s="104" t="s">
        <v>88</v>
      </c>
      <c r="J25" s="46">
        <f t="shared" si="0"/>
        <v>100</v>
      </c>
    </row>
    <row r="26" spans="1:10" ht="21" customHeight="1" x14ac:dyDescent="0.15">
      <c r="A26" s="104">
        <v>13301474</v>
      </c>
      <c r="B26" s="108">
        <v>1</v>
      </c>
      <c r="C26" s="108">
        <v>250</v>
      </c>
      <c r="D26" s="104">
        <v>100</v>
      </c>
      <c r="E26" s="104" t="s">
        <v>88</v>
      </c>
      <c r="F26" s="104" t="s">
        <v>88</v>
      </c>
      <c r="G26" s="108">
        <v>1</v>
      </c>
      <c r="H26" s="104" t="s">
        <v>88</v>
      </c>
      <c r="I26" s="104" t="s">
        <v>88</v>
      </c>
      <c r="J26" s="46">
        <f t="shared" si="0"/>
        <v>100</v>
      </c>
    </row>
    <row r="27" spans="1:10" ht="21" customHeight="1" x14ac:dyDescent="0.15">
      <c r="A27" s="104">
        <v>13301475</v>
      </c>
      <c r="B27" s="104">
        <v>0</v>
      </c>
      <c r="C27" s="108">
        <v>200</v>
      </c>
      <c r="D27" s="104">
        <v>100</v>
      </c>
      <c r="E27" s="104" t="s">
        <v>88</v>
      </c>
      <c r="F27" s="104" t="s">
        <v>88</v>
      </c>
      <c r="G27" s="108">
        <v>1</v>
      </c>
      <c r="H27" s="104" t="s">
        <v>88</v>
      </c>
      <c r="I27" s="104" t="s">
        <v>88</v>
      </c>
      <c r="J27" s="46">
        <f t="shared" si="0"/>
        <v>100</v>
      </c>
    </row>
    <row r="28" spans="1:10" ht="21" customHeight="1" x14ac:dyDescent="0.15">
      <c r="A28" s="104">
        <v>13301476</v>
      </c>
      <c r="B28" s="104">
        <v>0</v>
      </c>
      <c r="C28" s="108">
        <v>150</v>
      </c>
      <c r="D28" s="104">
        <v>100</v>
      </c>
      <c r="E28" s="104">
        <v>25</v>
      </c>
      <c r="F28" s="104" t="s">
        <v>88</v>
      </c>
      <c r="G28" s="108">
        <v>1</v>
      </c>
      <c r="H28" s="104" t="s">
        <v>88</v>
      </c>
      <c r="I28" s="104" t="s">
        <v>88</v>
      </c>
      <c r="J28" s="46">
        <f t="shared" si="0"/>
        <v>100</v>
      </c>
    </row>
    <row r="29" spans="1:10" ht="21" customHeight="1" x14ac:dyDescent="0.15">
      <c r="A29" s="104">
        <v>13301477</v>
      </c>
      <c r="B29" s="104">
        <v>0</v>
      </c>
      <c r="C29" s="108">
        <v>100</v>
      </c>
      <c r="D29" s="104">
        <v>100</v>
      </c>
      <c r="E29" s="104">
        <v>50</v>
      </c>
      <c r="F29" s="104" t="s">
        <v>88</v>
      </c>
      <c r="G29" s="104" t="s">
        <v>88</v>
      </c>
      <c r="H29" s="104" t="s">
        <v>88</v>
      </c>
      <c r="I29" s="104" t="s">
        <v>88</v>
      </c>
      <c r="J29" s="46">
        <f t="shared" si="0"/>
        <v>100</v>
      </c>
    </row>
  </sheetData>
  <autoFilter ref="A1:G1"/>
  <phoneticPr fontId="5"/>
  <conditionalFormatting sqref="K20:K1048576 K1:K2">
    <cfRule type="duplicateValues" dxfId="11" priority="12"/>
  </conditionalFormatting>
  <conditionalFormatting sqref="K18 K8 K13">
    <cfRule type="duplicateValues" dxfId="10" priority="11"/>
  </conditionalFormatting>
  <conditionalFormatting sqref="K3 K5">
    <cfRule type="duplicateValues" dxfId="9" priority="10"/>
  </conditionalFormatting>
  <conditionalFormatting sqref="K9 K11">
    <cfRule type="duplicateValues" dxfId="8" priority="9"/>
  </conditionalFormatting>
  <conditionalFormatting sqref="K19">
    <cfRule type="duplicateValues" dxfId="7" priority="7"/>
  </conditionalFormatting>
  <conditionalFormatting sqref="K14:K15 K17">
    <cfRule type="duplicateValues" dxfId="6" priority="16"/>
  </conditionalFormatting>
  <conditionalFormatting sqref="K6">
    <cfRule type="duplicateValues" dxfId="5" priority="6"/>
  </conditionalFormatting>
  <conditionalFormatting sqref="K10">
    <cfRule type="duplicateValues" dxfId="4" priority="5"/>
  </conditionalFormatting>
  <conditionalFormatting sqref="K4">
    <cfRule type="duplicateValues" dxfId="3" priority="4"/>
  </conditionalFormatting>
  <conditionalFormatting sqref="K7">
    <cfRule type="duplicateValues" dxfId="2" priority="3"/>
  </conditionalFormatting>
  <conditionalFormatting sqref="K12">
    <cfRule type="duplicateValues" dxfId="1" priority="2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>
      <selection activeCell="A10" sqref="A1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4">
        <v>13301</v>
      </c>
      <c r="B2" s="54">
        <v>8</v>
      </c>
      <c r="C2" s="68" t="str">
        <f>A2&amp; "_"&amp;B2</f>
        <v>13301_8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251</v>
      </c>
      <c r="G2" s="54">
        <v>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50</v>
      </c>
      <c r="Q2" s="54" t="s">
        <v>167</v>
      </c>
      <c r="R2" s="54" t="s">
        <v>168</v>
      </c>
    </row>
    <row r="3" spans="1:18" x14ac:dyDescent="0.15">
      <c r="A3" s="54">
        <v>13301</v>
      </c>
      <c r="B3" s="54">
        <v>8</v>
      </c>
      <c r="C3" s="68" t="str">
        <f t="shared" ref="C3:C8" si="0">A3&amp; "_"&amp;B3</f>
        <v>13301_8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251</v>
      </c>
      <c r="G3" s="54">
        <v>607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80</v>
      </c>
      <c r="Q3" s="54" t="s">
        <v>167</v>
      </c>
      <c r="R3" s="54" t="s">
        <v>168</v>
      </c>
    </row>
    <row r="4" spans="1:18" x14ac:dyDescent="0.15">
      <c r="A4" s="54">
        <v>13301</v>
      </c>
      <c r="B4" s="54">
        <v>8</v>
      </c>
      <c r="C4" s="68" t="str">
        <f t="shared" si="0"/>
        <v>13301_8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251</v>
      </c>
      <c r="G4" s="54">
        <v>611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110</v>
      </c>
      <c r="Q4" s="54" t="s">
        <v>167</v>
      </c>
      <c r="R4" s="54" t="s">
        <v>168</v>
      </c>
    </row>
    <row r="5" spans="1:18" x14ac:dyDescent="0.15">
      <c r="A5" s="54">
        <v>13301</v>
      </c>
      <c r="B5" s="54">
        <v>8</v>
      </c>
      <c r="C5" s="68" t="str">
        <f t="shared" si="0"/>
        <v>13301_8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251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40</v>
      </c>
      <c r="Q5" s="54" t="s">
        <v>167</v>
      </c>
      <c r="R5" s="54" t="s">
        <v>168</v>
      </c>
    </row>
    <row r="6" spans="1:18" x14ac:dyDescent="0.15">
      <c r="A6" s="54">
        <v>13301</v>
      </c>
      <c r="B6" s="54">
        <v>8</v>
      </c>
      <c r="C6" s="68" t="str">
        <f t="shared" si="0"/>
        <v>13301_8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252</v>
      </c>
      <c r="G6" s="54">
        <v>500</v>
      </c>
      <c r="H6" s="54" t="s">
        <v>253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320</v>
      </c>
      <c r="Q6" s="54" t="s">
        <v>167</v>
      </c>
      <c r="R6" s="54" t="s">
        <v>168</v>
      </c>
    </row>
    <row r="7" spans="1:18" x14ac:dyDescent="0.15">
      <c r="A7" s="54">
        <v>13301</v>
      </c>
      <c r="B7" s="54">
        <v>8</v>
      </c>
      <c r="C7" s="68" t="str">
        <f t="shared" si="0"/>
        <v>13301_8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251</v>
      </c>
      <c r="G7" s="54">
        <v>334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30</v>
      </c>
      <c r="Q7" s="54" t="s">
        <v>167</v>
      </c>
      <c r="R7" s="54" t="s">
        <v>168</v>
      </c>
    </row>
    <row r="8" spans="1:18" x14ac:dyDescent="0.15">
      <c r="A8" s="54">
        <v>13301</v>
      </c>
      <c r="B8" s="54">
        <v>8</v>
      </c>
      <c r="C8" s="68" t="str">
        <f t="shared" si="0"/>
        <v>13301_8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251</v>
      </c>
      <c r="G8" s="54">
        <v>335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330</v>
      </c>
      <c r="Q8" s="54" t="s">
        <v>167</v>
      </c>
      <c r="R8" s="54" t="s">
        <v>168</v>
      </c>
    </row>
    <row r="9" spans="1:18" x14ac:dyDescent="0.15">
      <c r="A9" s="54">
        <v>13301</v>
      </c>
      <c r="B9" s="54">
        <v>8</v>
      </c>
      <c r="C9" s="68" t="str">
        <f t="shared" ref="C9" si="1">A9&amp; "_"&amp;B9</f>
        <v>13301_8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251</v>
      </c>
      <c r="G9" s="54">
        <v>610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40</v>
      </c>
      <c r="Q9" s="54" t="s">
        <v>167</v>
      </c>
      <c r="R9" s="54" t="s">
        <v>168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25" sqref="L25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184</v>
      </c>
      <c r="L1" s="88" t="s">
        <v>183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8"/>
  <sheetViews>
    <sheetView showGridLines="0" workbookViewId="0">
      <pane ySplit="1" topLeftCell="A2" activePane="bottomLeft" state="frozen"/>
      <selection pane="bottomLeft" activeCell="K7" sqref="K7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185</v>
      </c>
      <c r="B1" s="70" t="s">
        <v>149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184</v>
      </c>
      <c r="M1" s="88" t="s">
        <v>183</v>
      </c>
      <c r="N1" s="77" t="s">
        <v>193</v>
      </c>
    </row>
    <row r="2" spans="1:15" ht="56" x14ac:dyDescent="0.15">
      <c r="A2" s="78" t="s">
        <v>194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8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8階 コスト28以下限定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v>1</v>
      </c>
      <c r="J2" s="102">
        <v>13301450</v>
      </c>
      <c r="K2" s="81" t="s">
        <v>126</v>
      </c>
      <c r="L2" s="83" t="s">
        <v>196</v>
      </c>
      <c r="M2" s="101" t="s">
        <v>265</v>
      </c>
      <c r="N2" s="54" t="s">
        <v>197</v>
      </c>
      <c r="O2">
        <f>LEN(M2)</f>
        <v>45</v>
      </c>
    </row>
    <row r="3" spans="1:15" ht="56" x14ac:dyDescent="0.15">
      <c r="A3" s="78" t="s">
        <v>194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8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8階 コスト28以下限定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v>2</v>
      </c>
      <c r="J3" s="102">
        <v>13301454</v>
      </c>
      <c r="K3" s="81" t="s">
        <v>126</v>
      </c>
      <c r="L3" s="83" t="s">
        <v>196</v>
      </c>
      <c r="M3" s="101" t="s">
        <v>261</v>
      </c>
      <c r="N3" s="54" t="s">
        <v>197</v>
      </c>
      <c r="O3">
        <f t="shared" ref="O3:O5" si="0">LEN(M3)</f>
        <v>42</v>
      </c>
    </row>
    <row r="4" spans="1:15" ht="56" x14ac:dyDescent="0.15">
      <c r="A4" s="78" t="s">
        <v>194</v>
      </c>
      <c r="B4" s="79">
        <v>13301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8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8階 コスト28以下限定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1</v>
      </c>
      <c r="I4" s="86">
        <v>3</v>
      </c>
      <c r="J4" s="102">
        <v>13301451</v>
      </c>
      <c r="K4" s="81" t="s">
        <v>126</v>
      </c>
      <c r="L4" s="83" t="s">
        <v>196</v>
      </c>
      <c r="M4" s="101" t="s">
        <v>329</v>
      </c>
      <c r="N4" s="54" t="s">
        <v>197</v>
      </c>
    </row>
    <row r="5" spans="1:15" ht="56" x14ac:dyDescent="0.15">
      <c r="A5" s="78" t="s">
        <v>194</v>
      </c>
      <c r="B5" s="79">
        <v>13301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8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8階 コスト28以下限定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v>4</v>
      </c>
      <c r="J5" s="102">
        <v>13301452</v>
      </c>
      <c r="K5" s="81" t="s">
        <v>126</v>
      </c>
      <c r="L5" s="83" t="s">
        <v>196</v>
      </c>
      <c r="M5" s="101" t="s">
        <v>262</v>
      </c>
      <c r="N5" s="54" t="s">
        <v>197</v>
      </c>
      <c r="O5">
        <f t="shared" si="0"/>
        <v>48</v>
      </c>
    </row>
    <row r="6" spans="1:15" ht="56" x14ac:dyDescent="0.15">
      <c r="A6" s="78" t="s">
        <v>194</v>
      </c>
      <c r="B6" s="79">
        <v>13301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8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8階 コスト28以下限定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2</v>
      </c>
      <c r="I6" s="86">
        <v>5</v>
      </c>
      <c r="J6" s="102">
        <v>13301453</v>
      </c>
      <c r="K6" s="81" t="s">
        <v>195</v>
      </c>
      <c r="L6" s="83" t="s">
        <v>196</v>
      </c>
      <c r="M6" s="101" t="s">
        <v>263</v>
      </c>
      <c r="N6" s="54" t="s">
        <v>264</v>
      </c>
      <c r="O6">
        <f t="shared" ref="O6" si="1">LEN(M6)</f>
        <v>55</v>
      </c>
    </row>
    <row r="18" spans="13:13" x14ac:dyDescent="0.15">
      <c r="M18" s="119"/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8" sqref="C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4" t="s">
        <v>211</v>
      </c>
      <c r="D1" s="74" t="s">
        <v>33</v>
      </c>
      <c r="E1" s="91" t="s">
        <v>212</v>
      </c>
      <c r="F1" s="74" t="s">
        <v>213</v>
      </c>
      <c r="G1" s="74" t="s">
        <v>33</v>
      </c>
      <c r="H1" s="91" t="s">
        <v>214</v>
      </c>
      <c r="I1" s="91" t="s">
        <v>215</v>
      </c>
      <c r="J1" s="91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56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2" t="str">
        <f>B2&amp;"_"&amp;E2&amp;"_"&amp;H2&amp;"_"&amp;I2&amp;"_"&amp;J2</f>
        <v>13301_8_singleonly_clear_1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8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8階 コスト28以下限定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254</v>
      </c>
      <c r="I2" s="81" t="s">
        <v>223</v>
      </c>
      <c r="J2" s="81">
        <v>1</v>
      </c>
      <c r="K2" s="81">
        <v>590</v>
      </c>
      <c r="L2" s="81" t="s">
        <v>255</v>
      </c>
      <c r="M2" s="81">
        <v>19000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257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13301_8_singleonly_clear_2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8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8階 コスト28以下限定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254</v>
      </c>
      <c r="I3" s="81" t="s">
        <v>223</v>
      </c>
      <c r="J3" s="81">
        <v>2</v>
      </c>
      <c r="K3" s="81">
        <v>410</v>
      </c>
      <c r="L3" s="81" t="s">
        <v>256</v>
      </c>
      <c r="M3" s="81">
        <v>54000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258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2016-11-14T01:35:43Z</dcterms:modified>
</cp:coreProperties>
</file>