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500" yWindow="860" windowWidth="25100" windowHeight="14640" tabRatio="943" activeTab="4"/>
  </bookViews>
  <sheets>
    <sheet name="確率の考え方" sheetId="110" r:id="rId1"/>
    <sheet name="Sheet1" sheetId="107" r:id="rId2"/>
    <sheet name="output" sheetId="103" r:id="rId3"/>
    <sheet name="input_settle_7112100" sheetId="130" r:id="rId4"/>
    <sheet name="tables_settle_7112100" sheetId="131" r:id="rId5"/>
    <sheet name="R6追加前" sheetId="111" r:id="rId6"/>
    <sheet name="R6開放" sheetId="112" r:id="rId7"/>
  </sheets>
  <externalReferences>
    <externalReference r:id="rId8"/>
  </externalReferences>
  <definedNames>
    <definedName name="_xlnm._FilterDatabase" localSheetId="4" hidden="1">tables_settle_7112100!$A$1:$V$275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30" l="1"/>
  <c r="A36" i="131"/>
  <c r="I36" i="131"/>
  <c r="D36" i="131"/>
  <c r="J36" i="131"/>
  <c r="E36" i="131"/>
  <c r="F36" i="131"/>
  <c r="C36" i="131"/>
  <c r="H36" i="131"/>
  <c r="K36" i="131"/>
  <c r="L36" i="131"/>
  <c r="M36" i="131"/>
  <c r="N36" i="131"/>
  <c r="P36" i="131"/>
  <c r="A37" i="131"/>
  <c r="I37" i="131"/>
  <c r="D37" i="131"/>
  <c r="J37" i="131"/>
  <c r="E37" i="131"/>
  <c r="F37" i="131"/>
  <c r="C37" i="131"/>
  <c r="H37" i="131"/>
  <c r="K37" i="131"/>
  <c r="L37" i="131"/>
  <c r="M37" i="131"/>
  <c r="N37" i="131"/>
  <c r="P37" i="131"/>
  <c r="C3" i="103"/>
  <c r="P35" i="131"/>
  <c r="N35" i="131"/>
  <c r="M35" i="131"/>
  <c r="L35" i="131"/>
  <c r="K35" i="131"/>
  <c r="J35" i="131"/>
  <c r="I35" i="131"/>
  <c r="H35" i="131"/>
  <c r="F35" i="131"/>
  <c r="E35" i="131"/>
  <c r="D35" i="131"/>
  <c r="C35" i="131"/>
  <c r="A35" i="131"/>
  <c r="P34" i="131"/>
  <c r="N34" i="131"/>
  <c r="M34" i="131"/>
  <c r="L34" i="131"/>
  <c r="K34" i="131"/>
  <c r="J34" i="131"/>
  <c r="I34" i="131"/>
  <c r="H34" i="131"/>
  <c r="F34" i="131"/>
  <c r="E34" i="131"/>
  <c r="D34" i="131"/>
  <c r="C34" i="131"/>
  <c r="A34" i="131"/>
  <c r="A31" i="131"/>
  <c r="I31" i="131"/>
  <c r="D31" i="131"/>
  <c r="J31" i="131"/>
  <c r="E31" i="131"/>
  <c r="F31" i="131"/>
  <c r="C31" i="131"/>
  <c r="H31" i="131"/>
  <c r="K31" i="131"/>
  <c r="L31" i="131"/>
  <c r="M31" i="131"/>
  <c r="N31" i="131"/>
  <c r="P31" i="131"/>
  <c r="A32" i="131"/>
  <c r="I32" i="131"/>
  <c r="D32" i="131"/>
  <c r="J32" i="131"/>
  <c r="E32" i="131"/>
  <c r="F32" i="131"/>
  <c r="C32" i="131"/>
  <c r="H32" i="131"/>
  <c r="K32" i="131"/>
  <c r="L32" i="131"/>
  <c r="M32" i="131"/>
  <c r="N32" i="131"/>
  <c r="P32" i="131"/>
  <c r="A33" i="131"/>
  <c r="I33" i="131"/>
  <c r="D33" i="131"/>
  <c r="J33" i="131"/>
  <c r="E33" i="131"/>
  <c r="F33" i="131"/>
  <c r="C33" i="131"/>
  <c r="H33" i="131"/>
  <c r="K33" i="131"/>
  <c r="L33" i="131"/>
  <c r="M33" i="131"/>
  <c r="N33" i="131"/>
  <c r="P33" i="131"/>
  <c r="A29" i="131"/>
  <c r="I29" i="131"/>
  <c r="D29" i="131"/>
  <c r="J29" i="131"/>
  <c r="E29" i="131"/>
  <c r="F29" i="131"/>
  <c r="C29" i="131"/>
  <c r="H29" i="131"/>
  <c r="K29" i="131"/>
  <c r="L29" i="131"/>
  <c r="M29" i="131"/>
  <c r="N29" i="131"/>
  <c r="P29" i="131"/>
  <c r="A30" i="131"/>
  <c r="I30" i="131"/>
  <c r="D30" i="131"/>
  <c r="J30" i="131"/>
  <c r="E30" i="131"/>
  <c r="F30" i="131"/>
  <c r="C30" i="131"/>
  <c r="H30" i="131"/>
  <c r="K30" i="131"/>
  <c r="L30" i="131"/>
  <c r="M30" i="131"/>
  <c r="N30" i="131"/>
  <c r="P30" i="131"/>
  <c r="A2" i="131"/>
  <c r="A20" i="131"/>
  <c r="I20" i="131"/>
  <c r="D20" i="131"/>
  <c r="J20" i="131"/>
  <c r="E20" i="131"/>
  <c r="F20" i="131"/>
  <c r="C20" i="131"/>
  <c r="H20" i="131"/>
  <c r="K20" i="131"/>
  <c r="L20" i="131"/>
  <c r="M20" i="131"/>
  <c r="N20" i="131"/>
  <c r="P20" i="131"/>
  <c r="A21" i="131"/>
  <c r="I21" i="131"/>
  <c r="D21" i="131"/>
  <c r="J21" i="131"/>
  <c r="E21" i="131"/>
  <c r="F21" i="131"/>
  <c r="C21" i="131"/>
  <c r="H21" i="131"/>
  <c r="K21" i="131"/>
  <c r="L21" i="131"/>
  <c r="M21" i="131"/>
  <c r="N21" i="131"/>
  <c r="P21" i="131"/>
  <c r="A22" i="131"/>
  <c r="I22" i="131"/>
  <c r="D22" i="131"/>
  <c r="J22" i="131"/>
  <c r="E22" i="131"/>
  <c r="F22" i="131"/>
  <c r="C22" i="131"/>
  <c r="H22" i="131"/>
  <c r="K22" i="131"/>
  <c r="L22" i="131"/>
  <c r="M22" i="131"/>
  <c r="N22" i="131"/>
  <c r="P22" i="131"/>
  <c r="A23" i="131"/>
  <c r="I23" i="131"/>
  <c r="D23" i="131"/>
  <c r="J23" i="131"/>
  <c r="E23" i="131"/>
  <c r="F23" i="131"/>
  <c r="C23" i="131"/>
  <c r="H23" i="131"/>
  <c r="K23" i="131"/>
  <c r="L23" i="131"/>
  <c r="M23" i="131"/>
  <c r="N23" i="131"/>
  <c r="P23" i="131"/>
  <c r="B10" i="130"/>
  <c r="I2" i="131"/>
  <c r="D2" i="131"/>
  <c r="J2" i="131"/>
  <c r="E2" i="131"/>
  <c r="F2" i="131"/>
  <c r="C2" i="131"/>
  <c r="I3" i="131"/>
  <c r="D3" i="131"/>
  <c r="J3" i="131"/>
  <c r="E3" i="131"/>
  <c r="F3" i="131"/>
  <c r="C3" i="131"/>
  <c r="I4" i="131"/>
  <c r="D4" i="131"/>
  <c r="J4" i="131"/>
  <c r="E4" i="131"/>
  <c r="F4" i="131"/>
  <c r="C4" i="131"/>
  <c r="I5" i="131"/>
  <c r="D5" i="131"/>
  <c r="J5" i="131"/>
  <c r="E5" i="131"/>
  <c r="F5" i="131"/>
  <c r="C5" i="131"/>
  <c r="I6" i="131"/>
  <c r="D6" i="131"/>
  <c r="J6" i="131"/>
  <c r="E6" i="131"/>
  <c r="F6" i="131"/>
  <c r="C6" i="131"/>
  <c r="I7" i="131"/>
  <c r="D7" i="131"/>
  <c r="J7" i="131"/>
  <c r="E7" i="131"/>
  <c r="F7" i="131"/>
  <c r="C7" i="131"/>
  <c r="I8" i="131"/>
  <c r="D8" i="131"/>
  <c r="J8" i="131"/>
  <c r="E8" i="131"/>
  <c r="F8" i="131"/>
  <c r="C8" i="131"/>
  <c r="I9" i="131"/>
  <c r="D9" i="131"/>
  <c r="J9" i="131"/>
  <c r="E9" i="131"/>
  <c r="F9" i="131"/>
  <c r="C9" i="131"/>
  <c r="I10" i="131"/>
  <c r="D10" i="131"/>
  <c r="J10" i="131"/>
  <c r="E10" i="131"/>
  <c r="F10" i="131"/>
  <c r="C10" i="131"/>
  <c r="I11" i="131"/>
  <c r="D11" i="131"/>
  <c r="J11" i="131"/>
  <c r="E11" i="131"/>
  <c r="F11" i="131"/>
  <c r="C11" i="131"/>
  <c r="I12" i="131"/>
  <c r="D12" i="131"/>
  <c r="J12" i="131"/>
  <c r="E12" i="131"/>
  <c r="F12" i="131"/>
  <c r="C12" i="131"/>
  <c r="I13" i="131"/>
  <c r="D13" i="131"/>
  <c r="J13" i="131"/>
  <c r="E13" i="131"/>
  <c r="F13" i="131"/>
  <c r="C13" i="131"/>
  <c r="I14" i="131"/>
  <c r="D14" i="131"/>
  <c r="J14" i="131"/>
  <c r="E14" i="131"/>
  <c r="F14" i="131"/>
  <c r="C14" i="131"/>
  <c r="I15" i="131"/>
  <c r="D15" i="131"/>
  <c r="J15" i="131"/>
  <c r="E15" i="131"/>
  <c r="F15" i="131"/>
  <c r="C15" i="131"/>
  <c r="I16" i="131"/>
  <c r="D16" i="131"/>
  <c r="J16" i="131"/>
  <c r="E16" i="131"/>
  <c r="F16" i="131"/>
  <c r="C16" i="131"/>
  <c r="I17" i="131"/>
  <c r="D17" i="131"/>
  <c r="J17" i="131"/>
  <c r="E17" i="131"/>
  <c r="F17" i="131"/>
  <c r="C17" i="131"/>
  <c r="I18" i="131"/>
  <c r="D18" i="131"/>
  <c r="J18" i="131"/>
  <c r="E18" i="131"/>
  <c r="F18" i="131"/>
  <c r="C18" i="131"/>
  <c r="I19" i="131"/>
  <c r="D19" i="131"/>
  <c r="J19" i="131"/>
  <c r="E19" i="131"/>
  <c r="F19" i="131"/>
  <c r="C19" i="131"/>
  <c r="I24" i="131"/>
  <c r="D24" i="131"/>
  <c r="J24" i="131"/>
  <c r="E24" i="131"/>
  <c r="F24" i="131"/>
  <c r="C24" i="131"/>
  <c r="I25" i="131"/>
  <c r="D25" i="131"/>
  <c r="J25" i="131"/>
  <c r="E25" i="131"/>
  <c r="F25" i="131"/>
  <c r="C25" i="131"/>
  <c r="I26" i="131"/>
  <c r="D26" i="131"/>
  <c r="J26" i="131"/>
  <c r="E26" i="131"/>
  <c r="F26" i="131"/>
  <c r="C26" i="131"/>
  <c r="I27" i="131"/>
  <c r="D27" i="131"/>
  <c r="J27" i="131"/>
  <c r="E27" i="131"/>
  <c r="F27" i="131"/>
  <c r="C27" i="131"/>
  <c r="I28" i="131"/>
  <c r="D28" i="131"/>
  <c r="J28" i="131"/>
  <c r="E28" i="131"/>
  <c r="F28" i="131"/>
  <c r="C28" i="131"/>
  <c r="F6" i="130"/>
  <c r="E6" i="130"/>
  <c r="A28" i="131"/>
  <c r="H28" i="131"/>
  <c r="K28" i="131"/>
  <c r="L28" i="131"/>
  <c r="M28" i="131"/>
  <c r="N28" i="131"/>
  <c r="P28" i="131"/>
  <c r="A26" i="131"/>
  <c r="H26" i="131"/>
  <c r="K26" i="131"/>
  <c r="L26" i="131"/>
  <c r="M26" i="131"/>
  <c r="N26" i="131"/>
  <c r="P26" i="131"/>
  <c r="A27" i="131"/>
  <c r="H27" i="131"/>
  <c r="K27" i="131"/>
  <c r="L27" i="131"/>
  <c r="M27" i="131"/>
  <c r="N27" i="131"/>
  <c r="P27" i="131"/>
  <c r="A24" i="131"/>
  <c r="H24" i="131"/>
  <c r="K24" i="131"/>
  <c r="L24" i="131"/>
  <c r="M24" i="131"/>
  <c r="N24" i="131"/>
  <c r="P24" i="131"/>
  <c r="A25" i="131"/>
  <c r="H25" i="131"/>
  <c r="K25" i="131"/>
  <c r="L25" i="131"/>
  <c r="M25" i="131"/>
  <c r="N25" i="131"/>
  <c r="P25" i="131"/>
  <c r="A18" i="131"/>
  <c r="H18" i="131"/>
  <c r="K18" i="131"/>
  <c r="L18" i="131"/>
  <c r="M18" i="131"/>
  <c r="N18" i="131"/>
  <c r="P18" i="131"/>
  <c r="A19" i="131"/>
  <c r="H19" i="131"/>
  <c r="K19" i="131"/>
  <c r="L19" i="131"/>
  <c r="M19" i="131"/>
  <c r="N19" i="131"/>
  <c r="P19" i="131"/>
  <c r="H16" i="131"/>
  <c r="K16" i="131"/>
  <c r="L16" i="131"/>
  <c r="M16" i="131"/>
  <c r="N16" i="131"/>
  <c r="P16" i="131"/>
  <c r="H17" i="131"/>
  <c r="K17" i="131"/>
  <c r="L17" i="131"/>
  <c r="M17" i="131"/>
  <c r="N17" i="131"/>
  <c r="P17" i="131"/>
  <c r="A16" i="131"/>
  <c r="A17" i="131"/>
  <c r="A3" i="131"/>
  <c r="A4" i="131"/>
  <c r="A5" i="131"/>
  <c r="A6" i="131"/>
  <c r="A7" i="131"/>
  <c r="A8" i="131"/>
  <c r="A9" i="131"/>
  <c r="A10" i="131"/>
  <c r="A11" i="131"/>
  <c r="A12" i="131"/>
  <c r="A13" i="131"/>
  <c r="A14" i="131"/>
  <c r="A15" i="131"/>
  <c r="H15" i="131"/>
  <c r="H14" i="131"/>
  <c r="K14" i="131"/>
  <c r="L14" i="131"/>
  <c r="M14" i="131"/>
  <c r="N14" i="131"/>
  <c r="P14" i="131"/>
  <c r="K15" i="131"/>
  <c r="L15" i="131"/>
  <c r="M15" i="131"/>
  <c r="N15" i="131"/>
  <c r="P15" i="131"/>
  <c r="H12" i="131"/>
  <c r="K12" i="131"/>
  <c r="L12" i="131"/>
  <c r="M12" i="131"/>
  <c r="N12" i="131"/>
  <c r="P12" i="131"/>
  <c r="H13" i="131"/>
  <c r="K13" i="131"/>
  <c r="L13" i="131"/>
  <c r="M13" i="131"/>
  <c r="N13" i="131"/>
  <c r="P13" i="131"/>
  <c r="H10" i="131"/>
  <c r="K10" i="131"/>
  <c r="L10" i="131"/>
  <c r="M10" i="131"/>
  <c r="N10" i="131"/>
  <c r="P10" i="131"/>
  <c r="H11" i="131"/>
  <c r="K11" i="131"/>
  <c r="L11" i="131"/>
  <c r="M11" i="131"/>
  <c r="N11" i="131"/>
  <c r="P11" i="131"/>
  <c r="P9" i="131"/>
  <c r="N9" i="131"/>
  <c r="M9" i="131"/>
  <c r="L9" i="131"/>
  <c r="K9" i="131"/>
  <c r="H9" i="131"/>
  <c r="P8" i="131"/>
  <c r="N8" i="131"/>
  <c r="M8" i="131"/>
  <c r="L8" i="131"/>
  <c r="K8" i="131"/>
  <c r="H8" i="131"/>
  <c r="P7" i="131"/>
  <c r="N7" i="131"/>
  <c r="M7" i="131"/>
  <c r="L7" i="131"/>
  <c r="K7" i="131"/>
  <c r="H7" i="131"/>
  <c r="P6" i="131"/>
  <c r="N6" i="131"/>
  <c r="M6" i="131"/>
  <c r="L6" i="131"/>
  <c r="K6" i="131"/>
  <c r="H6" i="131"/>
  <c r="P5" i="131"/>
  <c r="N5" i="131"/>
  <c r="M5" i="131"/>
  <c r="L5" i="131"/>
  <c r="K5" i="131"/>
  <c r="H5" i="131"/>
  <c r="P4" i="131"/>
  <c r="N4" i="131"/>
  <c r="M4" i="131"/>
  <c r="L4" i="131"/>
  <c r="K4" i="131"/>
  <c r="H4" i="131"/>
  <c r="P3" i="131"/>
  <c r="N3" i="131"/>
  <c r="M3" i="131"/>
  <c r="L3" i="131"/>
  <c r="K3" i="131"/>
  <c r="H3" i="131"/>
  <c r="P2" i="131"/>
  <c r="N2" i="131"/>
  <c r="M2" i="131"/>
  <c r="L2" i="131"/>
  <c r="K2" i="131"/>
  <c r="H2" i="131"/>
  <c r="F5" i="130"/>
  <c r="A36" i="130"/>
  <c r="E5" i="130"/>
  <c r="G26" i="130"/>
  <c r="Q3" i="130"/>
  <c r="Q4" i="130"/>
  <c r="Q5" i="130"/>
  <c r="Q6" i="130"/>
  <c r="Q7" i="130"/>
  <c r="Q8" i="130"/>
  <c r="Q9" i="130"/>
  <c r="Q10" i="130"/>
  <c r="Q11" i="130"/>
  <c r="Q12" i="130"/>
  <c r="Q13" i="130"/>
  <c r="Q14" i="130"/>
  <c r="Q15" i="130"/>
  <c r="Q16" i="130"/>
  <c r="Q17" i="130"/>
  <c r="Q18" i="130"/>
  <c r="Q19" i="130"/>
  <c r="Q20" i="130"/>
  <c r="E26" i="130"/>
  <c r="H26" i="130"/>
  <c r="G29" i="130"/>
  <c r="E29" i="130"/>
  <c r="H29" i="130"/>
  <c r="G28" i="130"/>
  <c r="E28" i="130"/>
  <c r="H28" i="130"/>
  <c r="G17" i="130"/>
  <c r="E17" i="130"/>
  <c r="H17" i="130"/>
  <c r="G18" i="130"/>
  <c r="E18" i="130"/>
  <c r="H18" i="130"/>
  <c r="B5" i="130"/>
  <c r="G24" i="130"/>
  <c r="E24" i="130"/>
  <c r="H24" i="130"/>
  <c r="G25" i="130"/>
  <c r="E25" i="130"/>
  <c r="H25" i="130"/>
  <c r="G19" i="130"/>
  <c r="E19" i="130"/>
  <c r="H19" i="130"/>
  <c r="G20" i="130"/>
  <c r="E20" i="130"/>
  <c r="H20" i="130"/>
  <c r="G21" i="130"/>
  <c r="E21" i="130"/>
  <c r="H21" i="130"/>
  <c r="G27" i="130"/>
  <c r="E27" i="130"/>
  <c r="H27" i="130"/>
  <c r="G22" i="130"/>
  <c r="E22" i="130"/>
  <c r="H22" i="130"/>
  <c r="B23" i="130"/>
  <c r="G23" i="130"/>
  <c r="E23" i="130"/>
  <c r="H23" i="130"/>
  <c r="F42" i="130"/>
  <c r="V6" i="130"/>
  <c r="F48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R20" i="130"/>
  <c r="P20" i="130"/>
  <c r="O20" i="130"/>
  <c r="M20" i="130"/>
  <c r="I20" i="130"/>
  <c r="J20" i="130"/>
  <c r="F20" i="130"/>
  <c r="D20" i="130"/>
  <c r="R19" i="130"/>
  <c r="P19" i="130"/>
  <c r="O19" i="130"/>
  <c r="M19" i="130"/>
  <c r="I19" i="130"/>
  <c r="J19" i="130"/>
  <c r="F19" i="130"/>
  <c r="D19" i="130"/>
  <c r="R18" i="130"/>
  <c r="P18" i="130"/>
  <c r="O18" i="130"/>
  <c r="M18" i="130"/>
  <c r="I18" i="130"/>
  <c r="J18" i="130"/>
  <c r="F18" i="130"/>
  <c r="C18" i="130"/>
  <c r="D18" i="130"/>
  <c r="R17" i="130"/>
  <c r="P17" i="130"/>
  <c r="O17" i="130"/>
  <c r="M17" i="130"/>
  <c r="I17" i="130"/>
  <c r="J17" i="130"/>
  <c r="F17" i="130"/>
  <c r="C17" i="130"/>
  <c r="D17" i="130"/>
  <c r="V16" i="130"/>
  <c r="R16" i="130"/>
  <c r="P16" i="130"/>
  <c r="O16" i="130"/>
  <c r="M16" i="130"/>
  <c r="V15" i="130"/>
  <c r="R15" i="130"/>
  <c r="P15" i="130"/>
  <c r="O15" i="130"/>
  <c r="M15" i="130"/>
  <c r="V14" i="130"/>
  <c r="R14" i="130"/>
  <c r="P14" i="130"/>
  <c r="O14" i="130"/>
  <c r="M14" i="130"/>
  <c r="V13" i="130"/>
  <c r="R13" i="130"/>
  <c r="P13" i="130"/>
  <c r="O13" i="130"/>
  <c r="M13" i="130"/>
  <c r="V12" i="130"/>
  <c r="R12" i="130"/>
  <c r="P12" i="130"/>
  <c r="O12" i="130"/>
  <c r="M12" i="130"/>
  <c r="V11" i="130"/>
  <c r="R11" i="130"/>
  <c r="P11" i="130"/>
  <c r="O11" i="130"/>
  <c r="M11" i="130"/>
  <c r="V10" i="130"/>
  <c r="R10" i="130"/>
  <c r="P10" i="130"/>
  <c r="O10" i="130"/>
  <c r="M10" i="130"/>
  <c r="V9" i="130"/>
  <c r="R9" i="130"/>
  <c r="P9" i="130"/>
  <c r="O9" i="130"/>
  <c r="M9" i="130"/>
  <c r="V8" i="130"/>
  <c r="R8" i="130"/>
  <c r="P8" i="130"/>
  <c r="O8" i="130"/>
  <c r="M8" i="130"/>
  <c r="V7" i="130"/>
  <c r="R7" i="130"/>
  <c r="P7" i="130"/>
  <c r="O7" i="130"/>
  <c r="M7" i="130"/>
  <c r="R6" i="130"/>
  <c r="P6" i="130"/>
  <c r="O6" i="130"/>
  <c r="M6" i="130"/>
  <c r="V5" i="130"/>
  <c r="R5" i="130"/>
  <c r="P5" i="130"/>
  <c r="O5" i="130"/>
  <c r="M5" i="130"/>
  <c r="V4" i="130"/>
  <c r="R4" i="130"/>
  <c r="P4" i="130"/>
  <c r="O4" i="130"/>
  <c r="M4" i="130"/>
  <c r="V3" i="130"/>
  <c r="R3" i="130"/>
  <c r="P3" i="130"/>
  <c r="O3" i="130"/>
  <c r="M3" i="130"/>
  <c r="V2" i="130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2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<sst xmlns="http://schemas.openxmlformats.org/spreadsheetml/2006/main" count="304" uniqueCount="211">
  <si>
    <t>character_id</t>
  </si>
  <si>
    <t>character_id</t>
    <phoneticPr fontId="18"/>
  </si>
  <si>
    <t>weight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</si>
  <si>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</si>
  <si>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</si>
  <si>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</si>
  <si>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</si>
  <si>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</si>
  <si>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</si>
  <si>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</si>
  <si>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</si>
  <si>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</si>
  <si>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</si>
  <si>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</si>
  <si>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</si>
  <si>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</si>
  <si>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</si>
  <si>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</si>
  <si>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</si>
  <si>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</si>
  <si>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</si>
  <si>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</si>
  <si>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</si>
  <si>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</si>
  <si>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</si>
  <si>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</si>
  <si>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</si>
  <si>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</si>
  <si>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</si>
  <si>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</si>
  <si>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</si>
  <si>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</si>
  <si>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</si>
  <si>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</si>
  <si>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</si>
  <si>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</si>
  <si>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</si>
  <si>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</si>
  <si>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</si>
  <si>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レアリティ別確率</t>
    <rPh sb="5" eb="6">
      <t>ベツ</t>
    </rPh>
    <rPh sb="6" eb="8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</si>
  <si>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</si>
  <si>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SSS</t>
    <phoneticPr fontId="18"/>
  </si>
  <si>
    <t>SS</t>
    <phoneticPr fontId="18"/>
  </si>
  <si>
    <t>ラベル*レアリティ標準確率</t>
    <rPh sb="9" eb="11">
      <t>ヒョウジュン</t>
    </rPh>
    <rPh sb="11" eb="13">
      <t>カクリツ</t>
    </rPh>
    <phoneticPr fontId="18"/>
  </si>
  <si>
    <t>性別</t>
    <rPh sb="0" eb="2">
      <t>セイベツ</t>
    </rPh>
    <phoneticPr fontId="18"/>
  </si>
  <si>
    <t>合計</t>
    <rPh sb="0" eb="2">
      <t>ゴウケイ</t>
    </rPh>
    <phoneticPr fontId="18"/>
  </si>
  <si>
    <t>グループ</t>
    <phoneticPr fontId="18"/>
  </si>
  <si>
    <t>ピックアップ確率</t>
    <rPh sb="6" eb="8">
      <t>カクリツ</t>
    </rPh>
    <phoneticPr fontId="18"/>
  </si>
  <si>
    <t>残り確率</t>
    <rPh sb="0" eb="1">
      <t>ノコ</t>
    </rPh>
    <rPh sb="2" eb="4">
      <t>カクリツ</t>
    </rPh>
    <phoneticPr fontId="18"/>
  </si>
  <si>
    <t>確率</t>
    <rPh sb="0" eb="2">
      <t>カクリツ</t>
    </rPh>
    <phoneticPr fontId="18"/>
  </si>
  <si>
    <t>所属グループ</t>
    <rPh sb="0" eb="2">
      <t>ショゾク</t>
    </rPh>
    <phoneticPr fontId="18"/>
  </si>
  <si>
    <t>名前</t>
    <rPh sb="0" eb="2">
      <t>ナマエ</t>
    </rPh>
    <phoneticPr fontId="18"/>
  </si>
  <si>
    <t>レアリティ</t>
    <phoneticPr fontId="18"/>
  </si>
  <si>
    <t>ラベル</t>
    <phoneticPr fontId="18"/>
  </si>
  <si>
    <t>R3</t>
    <phoneticPr fontId="18"/>
  </si>
  <si>
    <t>R4</t>
    <phoneticPr fontId="18"/>
  </si>
  <si>
    <t>R5</t>
    <phoneticPr fontId="18"/>
  </si>
  <si>
    <t>個別確率</t>
    <rPh sb="0" eb="4">
      <t>コベツカクリツ</t>
    </rPh>
    <phoneticPr fontId="18"/>
  </si>
  <si>
    <t>該当数(ピックアップ除く)</t>
    <rPh sb="0" eb="2">
      <t>ガイトウ</t>
    </rPh>
    <rPh sb="2" eb="3">
      <t>スウ</t>
    </rPh>
    <rPh sb="10" eb="11">
      <t>ノゾ</t>
    </rPh>
    <phoneticPr fontId="18"/>
  </si>
  <si>
    <t>個別weight</t>
    <rPh sb="0" eb="2">
      <t>コベツ</t>
    </rPh>
    <phoneticPr fontId="18"/>
  </si>
  <si>
    <t>グループweight</t>
    <phoneticPr fontId="18"/>
  </si>
  <si>
    <t>端数</t>
    <rPh sb="0" eb="2">
      <t>ハスウ</t>
    </rPh>
    <phoneticPr fontId="18"/>
  </si>
  <si>
    <t>--検算用--</t>
    <rPh sb="3" eb="6">
      <t>ケンザンヨウ</t>
    </rPh>
    <phoneticPr fontId="18"/>
  </si>
  <si>
    <t>端数逆数</t>
    <rPh sb="0" eb="2">
      <t>ハスウ</t>
    </rPh>
    <rPh sb="2" eb="4">
      <t>ギャクスウ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</si>
  <si>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</si>
  <si>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</si>
  <si>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</si>
  <si>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</si>
  <si>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テーブルid</t>
    <phoneticPr fontId="18"/>
  </si>
  <si>
    <t>→ピックアップの確率は右のほうにいます</t>
    <rPh sb="8" eb="10">
      <t>カクリツ</t>
    </rPh>
    <rPh sb="11" eb="12">
      <t>ミギ</t>
    </rPh>
    <phoneticPr fontId="18"/>
  </si>
  <si>
    <t>table_no</t>
    <phoneticPr fontId="18"/>
  </si>
  <si>
    <t>skill_level</t>
  </si>
  <si>
    <t>level</t>
  </si>
  <si>
    <t>Premium</t>
    <phoneticPr fontId="18"/>
  </si>
  <si>
    <t>Premium3</t>
    <phoneticPr fontId="18"/>
  </si>
  <si>
    <t>Premium4</t>
    <phoneticPr fontId="18"/>
  </si>
  <si>
    <t>Premium5</t>
    <phoneticPr fontId="18"/>
  </si>
  <si>
    <t>グループ確率</t>
    <rPh sb="4" eb="6">
      <t>カクリツ</t>
    </rPh>
    <phoneticPr fontId="18"/>
  </si>
  <si>
    <t>レア度別確率</t>
    <rPh sb="2" eb="4">
      <t>ドベツ</t>
    </rPh>
    <rPh sb="4" eb="6">
      <t>カクリツ</t>
    </rPh>
    <phoneticPr fontId="18"/>
  </si>
  <si>
    <t>Premium3</t>
  </si>
  <si>
    <t>Premium4</t>
  </si>
  <si>
    <t>Premium5</t>
  </si>
  <si>
    <t>PremiumSS4</t>
    <phoneticPr fontId="18"/>
  </si>
  <si>
    <t>PremiumSS5</t>
    <phoneticPr fontId="18"/>
  </si>
  <si>
    <t>PremiumSSS5</t>
    <phoneticPr fontId="18"/>
  </si>
  <si>
    <t>PremiumSS4</t>
    <phoneticPr fontId="18"/>
  </si>
  <si>
    <t>PremiumSSS4</t>
    <phoneticPr fontId="18"/>
  </si>
  <si>
    <t>PremiumSS5</t>
    <phoneticPr fontId="18"/>
  </si>
  <si>
    <t>PremiumSSS5</t>
    <phoneticPr fontId="18"/>
  </si>
  <si>
    <t>gacha_select_tables_</t>
    <phoneticPr fontId="18"/>
  </si>
  <si>
    <t>ラベル確率で考えましょう</t>
    <rPh sb="6" eb="7">
      <t>カンガエマショウ</t>
    </rPh>
    <phoneticPr fontId="51"/>
  </si>
  <si>
    <t>ラベル</t>
    <phoneticPr fontId="51"/>
  </si>
  <si>
    <t>レアリティ</t>
    <phoneticPr fontId="51"/>
  </si>
  <si>
    <t>{W}</t>
    <phoneticPr fontId="51"/>
  </si>
  <si>
    <t>{N,S}</t>
    <phoneticPr fontId="51"/>
  </si>
  <si>
    <t>{N,S}R3less</t>
    <phoneticPr fontId="51"/>
  </si>
  <si>
    <t>{N,S}R6release</t>
    <phoneticPr fontId="51"/>
  </si>
  <si>
    <t>{SS}</t>
    <phoneticPr fontId="51"/>
  </si>
  <si>
    <t>{SS}R6only</t>
    <phoneticPr fontId="51"/>
  </si>
  <si>
    <t>小計</t>
    <rPh sb="0" eb="2">
      <t>ショウケイ</t>
    </rPh>
    <phoneticPr fontId="51"/>
  </si>
  <si>
    <t>A</t>
    <phoneticPr fontId="51"/>
  </si>
  <si>
    <t>C</t>
    <phoneticPr fontId="51"/>
  </si>
  <si>
    <t>H</t>
    <phoneticPr fontId="51"/>
  </si>
  <si>
    <t>B</t>
    <phoneticPr fontId="51"/>
  </si>
  <si>
    <t>D</t>
    <phoneticPr fontId="51"/>
  </si>
  <si>
    <t>F</t>
    <phoneticPr fontId="51"/>
  </si>
  <si>
    <t>I</t>
    <phoneticPr fontId="51"/>
  </si>
  <si>
    <t>K</t>
    <phoneticPr fontId="51"/>
  </si>
  <si>
    <t>E</t>
    <phoneticPr fontId="51"/>
  </si>
  <si>
    <t>G</t>
    <phoneticPr fontId="51"/>
  </si>
  <si>
    <t>J</t>
    <phoneticPr fontId="51"/>
  </si>
  <si>
    <t>L</t>
    <phoneticPr fontId="51"/>
  </si>
  <si>
    <t>M</t>
    <phoneticPr fontId="51"/>
  </si>
  <si>
    <t>→</t>
    <phoneticPr fontId="51"/>
  </si>
  <si>
    <t>1-SS率</t>
    <rPh sb="4" eb="5">
      <t>リツ</t>
    </rPh>
    <phoneticPr fontId="51"/>
  </si>
  <si>
    <t>SS率</t>
    <rPh sb="2" eb="3">
      <t>リツ</t>
    </rPh>
    <phoneticPr fontId="51"/>
  </si>
  <si>
    <t>考え方を変える</t>
    <rPh sb="0" eb="1">
      <t>カンガエカタ</t>
    </rPh>
    <rPh sb="4" eb="5">
      <t>カエル</t>
    </rPh>
    <phoneticPr fontId="51"/>
  </si>
  <si>
    <t>SS4%は確定事項</t>
    <rPh sb="5" eb="7">
      <t>カクテイ</t>
    </rPh>
    <rPh sb="7" eb="9">
      <t>ジコウ</t>
    </rPh>
    <phoneticPr fontId="51"/>
  </si>
  <si>
    <t>当たりは分配</t>
    <rPh sb="0" eb="1">
      <t>アタリ</t>
    </rPh>
    <rPh sb="4" eb="6">
      <t>ブンパイ</t>
    </rPh>
    <phoneticPr fontId="51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</si>
  <si>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1"/>
  </si>
  <si>
    <t>=</t>
    <phoneticPr fontId="51"/>
  </si>
  <si>
    <t>X*{SS R5only}</t>
    <phoneticPr fontId="51"/>
  </si>
  <si>
    <t>K</t>
    <phoneticPr fontId="51"/>
  </si>
  <si>
    <t>=</t>
    <phoneticPr fontId="51"/>
  </si>
  <si>
    <t>X*{SS}*(R3率+R4率)</t>
    <rPh sb="10" eb="11">
      <t>リツ</t>
    </rPh>
    <rPh sb="14" eb="15">
      <t>リツ</t>
    </rPh>
    <phoneticPr fontId="51"/>
  </si>
  <si>
    <t>L</t>
    <phoneticPr fontId="51"/>
  </si>
  <si>
    <t>X*{SS}*R5率</t>
    <rPh sb="9" eb="10">
      <t>リツ</t>
    </rPh>
    <phoneticPr fontId="51"/>
  </si>
  <si>
    <t>X*{R6release}*R3率</t>
    <rPh sb="16" eb="17">
      <t>リツ</t>
    </rPh>
    <phoneticPr fontId="51"/>
  </si>
  <si>
    <t>X*{R6release}*R4率</t>
    <rPh sb="16" eb="17">
      <t>リツ</t>
    </rPh>
    <phoneticPr fontId="51"/>
  </si>
  <si>
    <t>J</t>
    <phoneticPr fontId="51"/>
  </si>
  <si>
    <t>X*{R6release}*R5率</t>
    <rPh sb="16" eb="17">
      <t>リツ</t>
    </rPh>
    <phoneticPr fontId="51"/>
  </si>
  <si>
    <t>ハズレで確率を整える</t>
    <rPh sb="4" eb="6">
      <t>カクリツ</t>
    </rPh>
    <rPh sb="7" eb="8">
      <t>トトノエル</t>
    </rPh>
    <phoneticPr fontId="51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</si>
  <si>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1"/>
  </si>
  <si>
    <t>A + C</t>
    <phoneticPr fontId="51"/>
  </si>
  <si>
    <t>=</t>
    <phoneticPr fontId="51"/>
  </si>
  <si>
    <t>50%-H</t>
    <phoneticPr fontId="51"/>
  </si>
  <si>
    <t>①</t>
    <phoneticPr fontId="51"/>
  </si>
  <si>
    <t>B + D + F</t>
    <phoneticPr fontId="51"/>
  </si>
  <si>
    <t>45%-I-K</t>
    <phoneticPr fontId="51"/>
  </si>
  <si>
    <t>②</t>
    <phoneticPr fontId="51"/>
  </si>
  <si>
    <t>E+G</t>
    <phoneticPr fontId="51"/>
  </si>
  <si>
    <t>5%-J-L-M</t>
    <phoneticPr fontId="51"/>
  </si>
  <si>
    <t>③</t>
    <phoneticPr fontId="51"/>
  </si>
  <si>
    <t>A+B</t>
    <phoneticPr fontId="51"/>
  </si>
  <si>
    <t>Y*{W}</t>
    <phoneticPr fontId="51"/>
  </si>
  <si>
    <t>④</t>
    <phoneticPr fontId="51"/>
  </si>
  <si>
    <t>C+D+E</t>
    <phoneticPr fontId="51"/>
  </si>
  <si>
    <t>Y*{N,S}</t>
    <phoneticPr fontId="51"/>
  </si>
  <si>
    <t>⑤</t>
    <phoneticPr fontId="51"/>
  </si>
  <si>
    <t>F+G</t>
    <phoneticPr fontId="51"/>
  </si>
  <si>
    <t>Y*{N,S R3less}</t>
    <phoneticPr fontId="51"/>
  </si>
  <si>
    <t>⑥</t>
    <phoneticPr fontId="51"/>
  </si>
  <si>
    <t>A+B+C+D+E+F+G</t>
    <phoneticPr fontId="51"/>
  </si>
  <si>
    <t>⑦</t>
    <phoneticPr fontId="51"/>
  </si>
  <si>
    <t>←これは4,5,6で作れるのでダメだわ</t>
    <rPh sb="10" eb="11">
      <t>ツクレル</t>
    </rPh>
    <phoneticPr fontId="51"/>
  </si>
  <si>
    <t>E*R3率/R5率</t>
    <rPh sb="4" eb="5">
      <t>リツ</t>
    </rPh>
    <rPh sb="8" eb="9">
      <t>リツ</t>
    </rPh>
    <phoneticPr fontId="51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</si>
  <si>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1"/>
  </si>
  <si>
    <t>E*R4率/R5率</t>
    <rPh sb="4" eb="5">
      <t>リツ</t>
    </rPh>
    <rPh sb="8" eb="9">
      <t>リツ</t>
    </rPh>
    <phoneticPr fontId="51"/>
  </si>
  <si>
    <t>∴</t>
    <phoneticPr fontId="51"/>
  </si>
  <si>
    <t>E</t>
    <phoneticPr fontId="51"/>
  </si>
  <si>
    <t>Y*{N,S}*R5率</t>
    <rPh sb="10" eb="11">
      <t>リツ</t>
    </rPh>
    <phoneticPr fontId="51"/>
  </si>
  <si>
    <t>Y*{N,S}*R4率</t>
    <rPh sb="10" eb="11">
      <t>リツ</t>
    </rPh>
    <phoneticPr fontId="51"/>
  </si>
  <si>
    <t>Y*{N,S}*R3率</t>
    <rPh sb="10" eb="11">
      <t>リツ</t>
    </rPh>
    <phoneticPr fontId="51"/>
  </si>
  <si>
    <t>50%-H-C</t>
    <phoneticPr fontId="51"/>
  </si>
  <si>
    <t>Y*{W}-A</t>
    <phoneticPr fontId="51"/>
  </si>
  <si>
    <t>5%-J-L-M-E</t>
    <phoneticPr fontId="51"/>
  </si>
  <si>
    <t>Y*{N,S R3less} - G</t>
    <phoneticPr fontId="51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</si>
  <si>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</si>
  <si>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</si>
  <si>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PremiumW3</t>
    <phoneticPr fontId="18"/>
  </si>
  <si>
    <t>PremiumW4</t>
    <phoneticPr fontId="18"/>
  </si>
  <si>
    <t>ラベル確率</t>
    <rPh sb="3" eb="5">
      <t>カクリツ</t>
    </rPh>
    <phoneticPr fontId="18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</si>
  <si>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</si>
  <si>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</si>
  <si>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</si>
  <si>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</si>
  <si>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</si>
  <si>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8"/>
  </si>
  <si>
    <t>PremiumSS5R5only</t>
  </si>
  <si>
    <t>計算用中間データ</t>
    <rPh sb="0" eb="3">
      <t>ケイサンヨウ</t>
    </rPh>
    <rPh sb="3" eb="5">
      <t>チュウカン</t>
    </rPh>
    <phoneticPr fontId="18"/>
  </si>
  <si>
    <t>X</t>
    <phoneticPr fontId="18"/>
  </si>
  <si>
    <t>Y</t>
    <phoneticPr fontId="18"/>
  </si>
  <si>
    <t>対象数</t>
    <rPh sb="0" eb="3">
      <t>タイショウスウ</t>
    </rPh>
    <phoneticPr fontId="18"/>
  </si>
  <si>
    <t>PremiumW</t>
    <phoneticPr fontId="18"/>
  </si>
  <si>
    <t>PremiumN</t>
    <phoneticPr fontId="18"/>
  </si>
  <si>
    <t>PremiumS</t>
    <phoneticPr fontId="18"/>
  </si>
  <si>
    <t>PremiumSS</t>
    <phoneticPr fontId="18"/>
  </si>
  <si>
    <t>←R6分はここから差し引く</t>
    <rPh sb="3" eb="4">
      <t>ブン</t>
    </rPh>
    <rPh sb="9" eb="10">
      <t>サシヒク</t>
    </rPh>
    <phoneticPr fontId="18"/>
  </si>
  <si>
    <t>除外確率</t>
    <rPh sb="0" eb="2">
      <t>ジョガイ</t>
    </rPh>
    <rPh sb="2" eb="4">
      <t>カクリツ</t>
    </rPh>
    <phoneticPr fontId="18"/>
  </si>
  <si>
    <t>除外数</t>
    <rPh sb="0" eb="3">
      <t>ジョガイスウ</t>
    </rPh>
    <phoneticPr fontId="18"/>
  </si>
  <si>
    <t>もうここは手で入れよう…</t>
    <rPh sb="5" eb="6">
      <t>テ</t>
    </rPh>
    <rPh sb="7" eb="8">
      <t>イレヨウ</t>
    </rPh>
    <phoneticPr fontId="18"/>
  </si>
  <si>
    <t>通常weight</t>
    <rPh sb="0" eb="2">
      <t>ツウジョウ</t>
    </rPh>
    <phoneticPr fontId="18"/>
  </si>
  <si>
    <t>skip</t>
    <phoneticPr fontId="18"/>
  </si>
  <si>
    <t>hogehoge</t>
    <phoneticPr fontId="18"/>
  </si>
  <si>
    <t>いつもの確率</t>
    <rPh sb="4" eb="6">
      <t>カクリツ</t>
    </rPh>
    <phoneticPr fontId="18"/>
  </si>
  <si>
    <t>tables_337010</t>
    <phoneticPr fontId="18"/>
  </si>
  <si>
    <t>skip</t>
    <phoneticPr fontId="18"/>
  </si>
  <si>
    <t>gacha_settle_tables_</t>
    <phoneticPr fontId="18"/>
  </si>
  <si>
    <t>table_no</t>
    <phoneticPr fontId="18"/>
  </si>
  <si>
    <t>drop_label2</t>
    <phoneticPr fontId="18"/>
  </si>
  <si>
    <t>color2</t>
    <phoneticPr fontId="18"/>
  </si>
  <si>
    <t>name</t>
    <phoneticPr fontId="18"/>
  </si>
  <si>
    <t>drop_label</t>
    <phoneticPr fontId="18"/>
  </si>
  <si>
    <t>rare</t>
    <phoneticPr fontId="18"/>
  </si>
  <si>
    <t>color</t>
    <phoneticPr fontId="18"/>
  </si>
  <si>
    <t>character_type_id</t>
    <phoneticPr fontId="18"/>
  </si>
  <si>
    <t>character_tribe_id</t>
    <phoneticPr fontId="18"/>
  </si>
  <si>
    <t>weight</t>
    <phoneticPr fontId="18"/>
  </si>
  <si>
    <t>unit_level</t>
    <phoneticPr fontId="18"/>
  </si>
  <si>
    <t>old</t>
    <phoneticPr fontId="18"/>
  </si>
  <si>
    <t>tables_settle_7112100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</si>
</sst>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000000000%"/>
  </numFmts>
  <fonts count="5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6" fillId="0" borderId="0"/>
  </cellStyleXfs>
  <cellXfs count="85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3" xfId="0" applyFont="1" applyFill="1" applyBorder="1" applyAlignment="1">
      <alignment horizontal="right" vertical="center"/>
    </xf>
    <xf numFmtId="0" fontId="23" fillId="2" borderId="1" xfId="2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1" borderId="1" xfId="2978" applyFont="1" applyFill="1" applyBorder="1"/>
    <xf numFmtId="0" fontId="11" fillId="21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1" borderId="1" xfId="0" applyFont="1" applyFill="1" applyBorder="1"/>
    <xf numFmtId="0" fontId="50" fillId="22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4" borderId="0" xfId="0" applyFill="1"/>
    <xf numFmtId="0" fontId="0" fillId="23" borderId="0" xfId="0" applyFill="1"/>
    <xf numFmtId="0" fontId="0" fillId="25" borderId="0" xfId="0" applyFill="1"/>
    <xf numFmtId="0" fontId="0" fillId="3" borderId="1" xfId="0" applyFill="1" applyBorder="1"/>
    <xf numFmtId="0" fontId="0" fillId="26" borderId="0" xfId="0" applyFill="1"/>
    <xf numFmtId="0" fontId="0" fillId="27" borderId="1" xfId="0" applyFill="1" applyBorder="1"/>
    <xf numFmtId="10" fontId="0" fillId="27" borderId="1" xfId="0" applyNumberFormat="1" applyFill="1" applyBorder="1"/>
    <xf numFmtId="178" fontId="0" fillId="27" borderId="1" xfId="3575" applyNumberFormat="1" applyFont="1" applyFill="1" applyBorder="1"/>
    <xf numFmtId="177" fontId="0" fillId="27" borderId="1" xfId="0" applyNumberFormat="1" applyFill="1" applyBorder="1"/>
    <xf numFmtId="179" fontId="0" fillId="0" borderId="0" xfId="3575" applyNumberFormat="1" applyFont="1"/>
    <xf numFmtId="0" fontId="0" fillId="3" borderId="14" xfId="0" applyFill="1" applyBorder="1"/>
    <xf numFmtId="0" fontId="0" fillId="28" borderId="1" xfId="0" applyFill="1" applyBorder="1"/>
    <xf numFmtId="177" fontId="0" fillId="28" borderId="1" xfId="3575" applyNumberFormat="1" applyFont="1" applyFill="1" applyBorder="1"/>
    <xf numFmtId="0" fontId="0" fillId="0" borderId="0" xfId="0" quotePrefix="1"/>
    <xf numFmtId="0" fontId="0" fillId="27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2" fillId="24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4" fillId="0" borderId="0" xfId="0" applyFont="1"/>
    <xf numFmtId="10" fontId="0" fillId="29" borderId="1" xfId="3575" applyNumberFormat="1" applyFont="1" applyFill="1" applyBorder="1"/>
    <xf numFmtId="177" fontId="0" fillId="29" borderId="1" xfId="0" applyNumberFormat="1" applyFill="1" applyBorder="1"/>
    <xf numFmtId="177" fontId="0" fillId="0" borderId="0" xfId="3575" applyNumberFormat="1" applyFont="1"/>
    <xf numFmtId="178" fontId="55" fillId="30" borderId="1" xfId="0" applyNumberFormat="1" applyFont="1" applyFill="1" applyBorder="1"/>
    <xf numFmtId="0" fontId="5" fillId="0" borderId="1" xfId="3036" applyFont="1" applyBorder="1"/>
    <xf numFmtId="0" fontId="5" fillId="0" borderId="1" xfId="2978" applyFont="1" applyBorder="1"/>
    <xf numFmtId="178" fontId="0" fillId="4" borderId="0" xfId="0" applyNumberFormat="1" applyFill="1"/>
    <xf numFmtId="0" fontId="4" fillId="4" borderId="1" xfId="2978" applyFont="1" applyFill="1" applyBorder="1"/>
    <xf numFmtId="0" fontId="3" fillId="0" borderId="1" xfId="3036" applyFont="1" applyBorder="1"/>
    <xf numFmtId="0" fontId="3" fillId="0" borderId="1" xfId="2978" applyFont="1" applyBorder="1"/>
    <xf numFmtId="181" fontId="0" fillId="4" borderId="1" xfId="0" applyNumberFormat="1" applyFill="1" applyBorder="1"/>
    <xf numFmtId="177" fontId="0" fillId="0" borderId="1" xfId="0" applyNumberFormat="1" applyFill="1" applyBorder="1"/>
    <xf numFmtId="10" fontId="0" fillId="0" borderId="1" xfId="0" applyNumberFormat="1" applyFont="1" applyFill="1" applyBorder="1"/>
    <xf numFmtId="0" fontId="23" fillId="24" borderId="1" xfId="2" applyFont="1" applyFill="1" applyBorder="1" applyAlignment="1">
      <alignment vertical="center"/>
    </xf>
    <xf numFmtId="0" fontId="2" fillId="0" borderId="1" xfId="3036" applyFont="1" applyBorder="1"/>
    <xf numFmtId="0" fontId="1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源義経（牛若丸）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balance</v>
          </cell>
          <cell r="L1075" t="str">
            <v>バランスタイプ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balance</v>
          </cell>
          <cell r="L1076" t="str">
            <v>バランスタイプ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DropWizSS</v>
          </cell>
          <cell r="K1089" t="str">
            <v>attack</v>
          </cell>
          <cell r="L1089" t="str">
            <v>攻撃タイプ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DropWizSS</v>
          </cell>
          <cell r="K1090" t="str">
            <v>attack</v>
          </cell>
          <cell r="L1090" t="str">
            <v>攻撃タイプ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DropWizSS</v>
          </cell>
          <cell r="K1099" t="str">
            <v>attack</v>
          </cell>
          <cell r="L1099" t="str">
            <v>攻撃タイプ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DropWizSS</v>
          </cell>
          <cell r="K1100" t="str">
            <v>attack</v>
          </cell>
          <cell r="L1100" t="str">
            <v>攻撃タイプ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unknown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unknown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attack</v>
          </cell>
          <cell r="L1114" t="str">
            <v>攻撃タイプ</v>
          </cell>
          <cell r="M1114" t="str">
            <v>unknown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6001</v>
          </cell>
          <cell r="B1130" t="str">
            <v>ja</v>
          </cell>
          <cell r="C1130" t="str">
            <v>ジェリー</v>
          </cell>
          <cell r="D1130" t="str">
            <v>ノーマルクエスト</v>
          </cell>
          <cell r="E1130" t="str">
            <v>QoH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1</v>
          </cell>
          <cell r="J1130" t="str">
            <v>Drop1T</v>
          </cell>
          <cell r="K1130" t="str">
            <v>ra</v>
          </cell>
          <cell r="L1130" t="str">
            <v>ラグランジュチャレンジ</v>
          </cell>
          <cell r="M1130" t="str">
            <v>unknown</v>
          </cell>
        </row>
        <row r="1131">
          <cell r="A1131">
            <v>6002</v>
          </cell>
          <cell r="B1131" t="str">
            <v>ja</v>
          </cell>
          <cell r="C1131" t="str">
            <v>ヨシタカ</v>
          </cell>
          <cell r="D1131" t="str">
            <v>ノーマルクエスト</v>
          </cell>
          <cell r="E1131" t="str">
            <v>アバター</v>
          </cell>
          <cell r="F1131" t="str">
            <v>世界観</v>
          </cell>
          <cell r="G1131" t="str">
            <v>男性</v>
          </cell>
          <cell r="H1131" t="str">
            <v>red</v>
          </cell>
          <cell r="I1131">
            <v>2</v>
          </cell>
          <cell r="J1131" t="str">
            <v>Drop1N</v>
          </cell>
          <cell r="K1131" t="str">
            <v>ra</v>
          </cell>
          <cell r="L1131" t="str">
            <v>ラグランジュチャレンジ</v>
          </cell>
          <cell r="M1131" t="str">
            <v>human</v>
          </cell>
        </row>
        <row r="1132">
          <cell r="A1132">
            <v>6003</v>
          </cell>
          <cell r="B1132" t="str">
            <v>ja</v>
          </cell>
          <cell r="C1132" t="str">
            <v>朱雀</v>
          </cell>
          <cell r="D1132" t="str">
            <v>リンクガチャ:4神</v>
          </cell>
          <cell r="E1132" t="str">
            <v>守護神</v>
          </cell>
          <cell r="F1132" t="str">
            <v>格好いい</v>
          </cell>
          <cell r="G1132" t="str">
            <v>不明</v>
          </cell>
          <cell r="H1132" t="str">
            <v>red</v>
          </cell>
          <cell r="I1132">
            <v>3</v>
          </cell>
          <cell r="J1132" t="str">
            <v>Drop2N</v>
          </cell>
          <cell r="K1132" t="str">
            <v>ra</v>
          </cell>
          <cell r="L1132" t="str">
            <v>ラグランジュチャレンジ</v>
          </cell>
          <cell r="M1132" t="str">
            <v>animal</v>
          </cell>
        </row>
        <row r="1133">
          <cell r="A1133">
            <v>6004</v>
          </cell>
          <cell r="B1133" t="str">
            <v>ja</v>
          </cell>
          <cell r="C1133" t="str">
            <v>ブレット</v>
          </cell>
          <cell r="D1133" t="str">
            <v>ノーマルクエスト</v>
          </cell>
          <cell r="E1133" t="str">
            <v>アバター</v>
          </cell>
          <cell r="F1133" t="str">
            <v>世界観</v>
          </cell>
          <cell r="G1133" t="str">
            <v>不明</v>
          </cell>
          <cell r="H1133" t="str">
            <v>red</v>
          </cell>
          <cell r="I1133">
            <v>1</v>
          </cell>
          <cell r="J1133" t="str">
            <v>Drop1W</v>
          </cell>
          <cell r="K1133" t="str">
            <v>ra</v>
          </cell>
          <cell r="L1133" t="str">
            <v>ラグランジュチャレンジ</v>
          </cell>
          <cell r="M1133" t="str">
            <v>animal</v>
          </cell>
        </row>
        <row r="1134">
          <cell r="A1134">
            <v>6005</v>
          </cell>
          <cell r="B1134" t="str">
            <v>ja</v>
          </cell>
          <cell r="C1134" t="str">
            <v>孤神 テティス</v>
          </cell>
          <cell r="D1134" t="str">
            <v>初期ガチャ</v>
          </cell>
          <cell r="E1134" t="str">
            <v>管理者</v>
          </cell>
          <cell r="F1134" t="str">
            <v>美しい</v>
          </cell>
          <cell r="G1134" t="str">
            <v>女性</v>
          </cell>
          <cell r="H1134" t="str">
            <v>blue</v>
          </cell>
          <cell r="I1134">
            <v>4</v>
          </cell>
          <cell r="J1134" t="str">
            <v>PremiumN</v>
          </cell>
          <cell r="K1134" t="str">
            <v>ra</v>
          </cell>
          <cell r="L1134" t="str">
            <v>ラグランジュチャレンジ</v>
          </cell>
          <cell r="M1134" t="str">
            <v>god</v>
          </cell>
        </row>
        <row r="1135">
          <cell r="A1135">
            <v>6006</v>
          </cell>
          <cell r="B1135" t="str">
            <v>ja</v>
          </cell>
          <cell r="C1135" t="str">
            <v>海底の孤高神 テティス</v>
          </cell>
          <cell r="D1135" t="str">
            <v>初期ガチャ</v>
          </cell>
          <cell r="E1135" t="str">
            <v>管理者</v>
          </cell>
          <cell r="F1135" t="str">
            <v>美しい</v>
          </cell>
          <cell r="G1135" t="str">
            <v>女性</v>
          </cell>
          <cell r="H1135" t="str">
            <v>blue</v>
          </cell>
          <cell r="I1135">
            <v>5</v>
          </cell>
          <cell r="J1135" t="str">
            <v>PremiumN</v>
          </cell>
          <cell r="K1135" t="str">
            <v>ra</v>
          </cell>
          <cell r="L1135" t="str">
            <v>ラグランジュチャレンジ</v>
          </cell>
          <cell r="M1135" t="str">
            <v>god</v>
          </cell>
        </row>
        <row r="1136">
          <cell r="A1136">
            <v>6007</v>
          </cell>
          <cell r="B1136" t="str">
            <v>ja</v>
          </cell>
          <cell r="C1136" t="str">
            <v>番犬 ケルベロス</v>
          </cell>
          <cell r="D1136" t="str">
            <v>初期ガチャ</v>
          </cell>
          <cell r="E1136" t="str">
            <v>破界者</v>
          </cell>
          <cell r="F1136" t="str">
            <v>可愛い</v>
          </cell>
          <cell r="G1136" t="str">
            <v>女性</v>
          </cell>
          <cell r="H1136" t="str">
            <v>red</v>
          </cell>
          <cell r="I1136">
            <v>4</v>
          </cell>
          <cell r="J1136" t="str">
            <v>PremiumN</v>
          </cell>
          <cell r="K1136" t="str">
            <v>ra</v>
          </cell>
          <cell r="L1136" t="str">
            <v>ラグランジュチャレンジ</v>
          </cell>
          <cell r="M1136" t="str">
            <v>animal</v>
          </cell>
        </row>
        <row r="1137">
          <cell r="A1137">
            <v>6008</v>
          </cell>
          <cell r="B1137" t="str">
            <v>ja</v>
          </cell>
          <cell r="C1137" t="str">
            <v>焔神 プロメテウス</v>
          </cell>
          <cell r="D1137" t="str">
            <v>初期ガチャ</v>
          </cell>
          <cell r="E1137" t="str">
            <v>管理者</v>
          </cell>
          <cell r="F1137" t="str">
            <v>格好いい</v>
          </cell>
          <cell r="G1137" t="str">
            <v>男性</v>
          </cell>
          <cell r="H1137" t="str">
            <v>red</v>
          </cell>
          <cell r="I1137">
            <v>4</v>
          </cell>
          <cell r="J1137" t="str">
            <v>PremiumN</v>
          </cell>
          <cell r="K1137" t="str">
            <v>ra</v>
          </cell>
          <cell r="L1137" t="str">
            <v>ラグランジュチャレンジ</v>
          </cell>
          <cell r="M1137" t="str">
            <v>god</v>
          </cell>
        </row>
        <row r="1138">
          <cell r="A1138">
            <v>6009</v>
          </cell>
          <cell r="B1138" t="str">
            <v>ja</v>
          </cell>
          <cell r="C1138" t="str">
            <v>超越自我 ラグランジュ</v>
          </cell>
          <cell r="D1138" t="str">
            <v>ガチャ:フィーバーフェス02</v>
          </cell>
          <cell r="E1138" t="str">
            <v>執行者</v>
          </cell>
          <cell r="F1138" t="str">
            <v>格好いい</v>
          </cell>
          <cell r="G1138" t="str">
            <v>女性</v>
          </cell>
          <cell r="H1138" t="str">
            <v>red</v>
          </cell>
          <cell r="I1138">
            <v>5</v>
          </cell>
          <cell r="J1138" t="str">
            <v>PremiumSSS</v>
          </cell>
          <cell r="K1138" t="str">
            <v>ra</v>
          </cell>
          <cell r="L1138" t="str">
            <v>ラグランジュチャレンジ</v>
          </cell>
          <cell r="M1138" t="str">
            <v>human</v>
          </cell>
        </row>
        <row r="1139">
          <cell r="A1139">
            <v>6010</v>
          </cell>
          <cell r="B1139" t="str">
            <v>ja</v>
          </cell>
          <cell r="C1139" t="str">
            <v>超越凌駕 ラグランジュ</v>
          </cell>
          <cell r="D1139" t="str">
            <v>ガチャ:フィーバーフェス02</v>
          </cell>
          <cell r="E1139" t="str">
            <v>執行者</v>
          </cell>
          <cell r="F1139" t="str">
            <v>格好いい</v>
          </cell>
          <cell r="G1139" t="str">
            <v>女性</v>
          </cell>
          <cell r="H1139" t="str">
            <v>red</v>
          </cell>
          <cell r="I1139">
            <v>6</v>
          </cell>
          <cell r="J1139" t="str">
            <v>PremiumSSS</v>
          </cell>
          <cell r="K1139" t="str">
            <v>ra</v>
          </cell>
          <cell r="L1139" t="str">
            <v>ラグランジュチャレンジ</v>
          </cell>
          <cell r="M1139" t="str">
            <v>human</v>
          </cell>
        </row>
        <row r="1140">
          <cell r="A1140">
            <v>6011</v>
          </cell>
          <cell r="B1140" t="str">
            <v>ja</v>
          </cell>
          <cell r="C1140" t="str">
            <v>パトドッグリーダー ポチ</v>
          </cell>
          <cell r="D1140" t="str">
            <v>ガチャ:フィーバーフェス02</v>
          </cell>
          <cell r="E1140" t="str">
            <v>執行者</v>
          </cell>
          <cell r="F1140" t="str">
            <v>格好いい</v>
          </cell>
          <cell r="G1140" t="str">
            <v>男性</v>
          </cell>
          <cell r="H1140" t="str">
            <v>blue</v>
          </cell>
          <cell r="I1140">
            <v>2</v>
          </cell>
          <cell r="J1140" t="str">
            <v>Drop1T</v>
          </cell>
          <cell r="K1140" t="str">
            <v>ra002</v>
          </cell>
          <cell r="L1140" t="str">
            <v>ユークリッドチャレンジ</v>
          </cell>
          <cell r="M1140" t="str">
            <v>unknown</v>
          </cell>
        </row>
        <row r="1141">
          <cell r="A1141">
            <v>6012</v>
          </cell>
          <cell r="B1141" t="str">
            <v>ja</v>
          </cell>
          <cell r="C1141" t="str">
            <v>ミミ</v>
          </cell>
          <cell r="D1141" t="str">
            <v>ガチャ:フィーバーフェス02</v>
          </cell>
          <cell r="E1141" t="str">
            <v>執行者</v>
          </cell>
          <cell r="F1141" t="str">
            <v>格好いい</v>
          </cell>
          <cell r="G1141" t="str">
            <v>男性</v>
          </cell>
          <cell r="H1141" t="str">
            <v>yellow</v>
          </cell>
          <cell r="I1141">
            <v>1</v>
          </cell>
          <cell r="J1141" t="str">
            <v>Drop1W</v>
          </cell>
          <cell r="K1141" t="str">
            <v>ra002</v>
          </cell>
          <cell r="L1141" t="str">
            <v>ユークリッドチャレンジ</v>
          </cell>
          <cell r="M1141" t="str">
            <v>animal</v>
          </cell>
        </row>
        <row r="1142">
          <cell r="A1142">
            <v>6013</v>
          </cell>
          <cell r="B1142" t="str">
            <v>ja</v>
          </cell>
          <cell r="C1142" t="str">
            <v>護衛機人 スケアクロウ</v>
          </cell>
          <cell r="D1142" t="str">
            <v>ガチャ:フィーバーフェス02</v>
          </cell>
          <cell r="E1142" t="str">
            <v>執行者</v>
          </cell>
          <cell r="F1142" t="str">
            <v>格好いい</v>
          </cell>
          <cell r="G1142" t="str">
            <v>男性</v>
          </cell>
          <cell r="H1142" t="str">
            <v>blue</v>
          </cell>
          <cell r="I1142">
            <v>2</v>
          </cell>
          <cell r="J1142" t="str">
            <v>Drop1N</v>
          </cell>
          <cell r="K1142" t="str">
            <v>ra002</v>
          </cell>
          <cell r="L1142" t="str">
            <v>ユークリッドチャレンジ</v>
          </cell>
          <cell r="M1142" t="str">
            <v>machine</v>
          </cell>
        </row>
        <row r="1143">
          <cell r="A1143">
            <v>6014</v>
          </cell>
          <cell r="B1143" t="str">
            <v>ja</v>
          </cell>
          <cell r="C1143" t="str">
            <v>月下の人狼 ローレンス</v>
          </cell>
          <cell r="D1143" t="str">
            <v>ガチャ:フィーバーフェス02</v>
          </cell>
          <cell r="E1143" t="str">
            <v>執行者</v>
          </cell>
          <cell r="F1143" t="str">
            <v>格好いい</v>
          </cell>
          <cell r="G1143" t="str">
            <v>男性</v>
          </cell>
          <cell r="H1143" t="str">
            <v>blue</v>
          </cell>
          <cell r="I1143">
            <v>4</v>
          </cell>
          <cell r="J1143" t="str">
            <v>PremiumW</v>
          </cell>
          <cell r="K1143" t="str">
            <v>ra002</v>
          </cell>
          <cell r="L1143" t="str">
            <v>ユークリッドチャレンジ</v>
          </cell>
          <cell r="M1143" t="str">
            <v>animal</v>
          </cell>
        </row>
        <row r="1144">
          <cell r="A1144">
            <v>6015</v>
          </cell>
          <cell r="B1144" t="str">
            <v>ja</v>
          </cell>
          <cell r="C1144" t="str">
            <v>フレイヤ</v>
          </cell>
          <cell r="D1144" t="str">
            <v>ガチャ:フィーバーフェス02</v>
          </cell>
          <cell r="E1144" t="str">
            <v>執行者</v>
          </cell>
          <cell r="F1144" t="str">
            <v>格好いい</v>
          </cell>
          <cell r="G1144" t="str">
            <v>男性</v>
          </cell>
          <cell r="H1144" t="str">
            <v>blue</v>
          </cell>
          <cell r="I1144">
            <v>4</v>
          </cell>
          <cell r="J1144" t="str">
            <v>PremiumSS</v>
          </cell>
          <cell r="K1144" t="str">
            <v>ra002</v>
          </cell>
          <cell r="L1144" t="str">
            <v>ユークリッドチャレンジ</v>
          </cell>
          <cell r="M1144" t="str">
            <v>animal</v>
          </cell>
        </row>
        <row r="1145">
          <cell r="A1145">
            <v>6016</v>
          </cell>
          <cell r="B1145" t="str">
            <v>ja</v>
          </cell>
          <cell r="C1145" t="str">
            <v>根原論理 ユークリッド</v>
          </cell>
          <cell r="D1145" t="str">
            <v>ガチャ:フィーバーフェス02</v>
          </cell>
          <cell r="E1145" t="str">
            <v>執行者</v>
          </cell>
          <cell r="F1145" t="str">
            <v>格好いい</v>
          </cell>
          <cell r="G1145" t="str">
            <v>男性</v>
          </cell>
          <cell r="H1145" t="str">
            <v>blue</v>
          </cell>
          <cell r="I1145">
            <v>5</v>
          </cell>
          <cell r="J1145" t="str">
            <v>PremiumSSS</v>
          </cell>
          <cell r="K1145" t="str">
            <v>ra002</v>
          </cell>
          <cell r="L1145" t="str">
            <v>ユークリッドチャレンジ</v>
          </cell>
          <cell r="M1145" t="str">
            <v>human</v>
          </cell>
        </row>
        <row r="1146">
          <cell r="A1146">
            <v>6017</v>
          </cell>
          <cell r="B1146" t="str">
            <v>ja</v>
          </cell>
          <cell r="C1146" t="str">
            <v>不朽の極論 ユークリッド</v>
          </cell>
          <cell r="D1146" t="str">
            <v>ガチャ:フィーバーフェス02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blue</v>
          </cell>
          <cell r="I1146">
            <v>6</v>
          </cell>
          <cell r="J1146" t="str">
            <v>PremiumSSS</v>
          </cell>
          <cell r="K1146" t="str">
            <v>ra002</v>
          </cell>
          <cell r="L1146" t="str">
            <v>ユークリッドチャレンジ</v>
          </cell>
          <cell r="M1146" t="str">
            <v>human</v>
          </cell>
        </row>
        <row r="1147">
          <cell r="A1147">
            <v>6018</v>
          </cell>
          <cell r="B1147" t="str">
            <v>ja</v>
          </cell>
          <cell r="C1147" t="str">
            <v>ハヅル</v>
          </cell>
          <cell r="D1147" t="str">
            <v>ガチャ:フィーバーフェス02</v>
          </cell>
          <cell r="E1147" t="str">
            <v>執行者</v>
          </cell>
          <cell r="F1147" t="str">
            <v>格好いい</v>
          </cell>
          <cell r="G1147" t="str">
            <v>男性</v>
          </cell>
          <cell r="H1147" t="str">
            <v>red</v>
          </cell>
          <cell r="I1147">
            <v>4</v>
          </cell>
          <cell r="J1147" t="str">
            <v>PremiumSS</v>
          </cell>
          <cell r="K1147" t="str">
            <v>ra002</v>
          </cell>
          <cell r="L1147" t="str">
            <v>ユークリッドチャレンジ</v>
          </cell>
          <cell r="M1147" t="str">
            <v>animal</v>
          </cell>
        </row>
        <row r="1148">
          <cell r="A1148">
            <v>6019</v>
          </cell>
          <cell r="B1148" t="str">
            <v>ja</v>
          </cell>
          <cell r="C1148" t="str">
            <v>天織羽鶴 ハヅル</v>
          </cell>
          <cell r="D1148" t="str">
            <v>ガチャ:フィーバーフェス02</v>
          </cell>
          <cell r="E1148" t="str">
            <v>執行者</v>
          </cell>
          <cell r="F1148" t="str">
            <v>格好いい</v>
          </cell>
          <cell r="G1148" t="str">
            <v>男性</v>
          </cell>
          <cell r="H1148" t="str">
            <v>red</v>
          </cell>
          <cell r="I1148">
            <v>5</v>
          </cell>
          <cell r="J1148" t="str">
            <v>PremiumSS</v>
          </cell>
          <cell r="K1148" t="str">
            <v>ra002</v>
          </cell>
          <cell r="L1148" t="str">
            <v>ユークリッドチャレンジ</v>
          </cell>
          <cell r="M1148" t="str">
            <v>animal</v>
          </cell>
        </row>
        <row r="1149">
          <cell r="A1149">
            <v>6020</v>
          </cell>
          <cell r="B1149" t="str">
            <v>ja</v>
          </cell>
          <cell r="C1149" t="str">
            <v>ミズチ</v>
          </cell>
          <cell r="D1149" t="str">
            <v>ガチャ:フィーバーフェス02</v>
          </cell>
          <cell r="E1149" t="str">
            <v>執行者</v>
          </cell>
          <cell r="F1149" t="str">
            <v>格好いい</v>
          </cell>
          <cell r="G1149" t="str">
            <v>男性</v>
          </cell>
          <cell r="H1149" t="str">
            <v>blue</v>
          </cell>
          <cell r="I1149">
            <v>4</v>
          </cell>
          <cell r="J1149" t="str">
            <v>PremiumS</v>
          </cell>
          <cell r="K1149" t="str">
            <v>ra002</v>
          </cell>
          <cell r="L1149" t="str">
            <v>ユークリッドチャレンジ</v>
          </cell>
          <cell r="M1149" t="str">
            <v>dragon</v>
          </cell>
        </row>
        <row r="1150">
          <cell r="A1150">
            <v>8001</v>
          </cell>
          <cell r="B1150" t="str">
            <v>ja</v>
          </cell>
          <cell r="C1150" t="str">
            <v>媽祖</v>
          </cell>
          <cell r="D1150" t="str">
            <v>イベント:ミクコラボ01</v>
          </cell>
          <cell r="E1150" t="str">
            <v>執行者</v>
          </cell>
          <cell r="F1150" t="str">
            <v>格好いい</v>
          </cell>
          <cell r="G1150" t="str">
            <v>女性</v>
          </cell>
          <cell r="H1150" t="str">
            <v>yellow</v>
          </cell>
          <cell r="I1150">
            <v>5</v>
          </cell>
          <cell r="J1150" t="str">
            <v>PremiumSS</v>
          </cell>
          <cell r="K1150" t="str">
            <v>attack</v>
          </cell>
          <cell r="L1150" t="str">
            <v>攻撃タイプ</v>
          </cell>
          <cell r="M1150" t="str">
            <v>god</v>
          </cell>
        </row>
        <row r="1151">
          <cell r="A1151">
            <v>8002</v>
          </cell>
          <cell r="B1151" t="str">
            <v>ja</v>
          </cell>
          <cell r="C1151" t="str">
            <v>天后 媽祖</v>
          </cell>
          <cell r="D1151" t="str">
            <v>イベント:ミクコラボ01</v>
          </cell>
          <cell r="E1151" t="str">
            <v>執行者</v>
          </cell>
          <cell r="F1151" t="str">
            <v>格好いい</v>
          </cell>
          <cell r="G1151" t="str">
            <v>女性</v>
          </cell>
          <cell r="H1151" t="str">
            <v>yellow</v>
          </cell>
          <cell r="I1151">
            <v>6</v>
          </cell>
          <cell r="J1151" t="str">
            <v>PremiumSS</v>
          </cell>
          <cell r="K1151" t="str">
            <v>attack</v>
          </cell>
          <cell r="L1151" t="str">
            <v>攻撃タイプ</v>
          </cell>
          <cell r="M1151" t="str">
            <v>god</v>
          </cell>
        </row>
        <row r="1152">
          <cell r="A1152">
            <v>8003</v>
          </cell>
          <cell r="B1152" t="str">
            <v>ja</v>
          </cell>
          <cell r="C1152" t="str">
            <v>蛟龍</v>
          </cell>
          <cell r="D1152" t="str">
            <v>イベント:ミクコラボ01</v>
          </cell>
          <cell r="E1152" t="str">
            <v>執行者</v>
          </cell>
          <cell r="F1152" t="str">
            <v>格好いい</v>
          </cell>
          <cell r="G1152" t="str">
            <v>不明</v>
          </cell>
          <cell r="H1152" t="str">
            <v>blue</v>
          </cell>
          <cell r="I1152">
            <v>5</v>
          </cell>
          <cell r="J1152" t="str">
            <v>DropWizS</v>
          </cell>
          <cell r="K1152" t="str">
            <v>hp</v>
          </cell>
          <cell r="L1152" t="str">
            <v>体力タイプ</v>
          </cell>
          <cell r="M1152" t="str">
            <v>dragon</v>
          </cell>
        </row>
        <row r="1153">
          <cell r="A1153">
            <v>8004</v>
          </cell>
          <cell r="B1153" t="str">
            <v>ja</v>
          </cell>
          <cell r="C1153" t="str">
            <v>深海蛟龍怪‧晏公</v>
          </cell>
          <cell r="D1153" t="str">
            <v>イベント:ミクコラボ01</v>
          </cell>
          <cell r="E1153" t="str">
            <v>執行者</v>
          </cell>
          <cell r="F1153" t="str">
            <v>格好いい</v>
          </cell>
          <cell r="G1153" t="str">
            <v>不明</v>
          </cell>
          <cell r="H1153" t="str">
            <v>blue</v>
          </cell>
          <cell r="I1153">
            <v>6</v>
          </cell>
          <cell r="J1153" t="str">
            <v>DropWizS</v>
          </cell>
          <cell r="K1153" t="str">
            <v>hp</v>
          </cell>
          <cell r="L1153" t="str">
            <v>体力タイプ</v>
          </cell>
          <cell r="M1153" t="str">
            <v>dragon</v>
          </cell>
        </row>
        <row r="1154">
          <cell r="A1154">
            <v>8005</v>
          </cell>
          <cell r="B1154" t="str">
            <v>ja</v>
          </cell>
          <cell r="C1154" t="str">
            <v>三蔵法師</v>
          </cell>
          <cell r="D1154" t="str">
            <v>イベント:ミクコラボ01</v>
          </cell>
          <cell r="E1154" t="str">
            <v>執行者</v>
          </cell>
          <cell r="F1154" t="str">
            <v>格好いい</v>
          </cell>
          <cell r="G1154" t="str">
            <v>不明</v>
          </cell>
          <cell r="H1154" t="str">
            <v>blue</v>
          </cell>
          <cell r="I1154">
            <v>5</v>
          </cell>
          <cell r="J1154" t="str">
            <v>PremiumSS</v>
          </cell>
          <cell r="K1154" t="str">
            <v>balance</v>
          </cell>
          <cell r="L1154" t="str">
            <v>バランスタイプ</v>
          </cell>
          <cell r="M1154" t="str">
            <v>human</v>
          </cell>
        </row>
        <row r="1155">
          <cell r="A1155">
            <v>8006</v>
          </cell>
          <cell r="B1155" t="str">
            <v>ja</v>
          </cell>
          <cell r="C1155" t="str">
            <v>三蔵法師</v>
          </cell>
          <cell r="D1155" t="str">
            <v>イベント:ミクコラボ01</v>
          </cell>
          <cell r="E1155" t="str">
            <v>執行者</v>
          </cell>
          <cell r="F1155" t="str">
            <v>格好いい</v>
          </cell>
          <cell r="G1155" t="str">
            <v>不明</v>
          </cell>
          <cell r="H1155" t="str">
            <v>blue</v>
          </cell>
          <cell r="I1155">
            <v>6</v>
          </cell>
          <cell r="J1155" t="str">
            <v>PremiumSS</v>
          </cell>
          <cell r="K1155" t="str">
            <v>balance</v>
          </cell>
          <cell r="L1155" t="str">
            <v>バランスタイプ</v>
          </cell>
          <cell r="M1155" t="str">
            <v>human</v>
          </cell>
        </row>
        <row r="1156">
          <cell r="A1156">
            <v>8007</v>
          </cell>
          <cell r="B1156" t="str">
            <v>ja</v>
          </cell>
          <cell r="C1156" t="str">
            <v>孫悟空</v>
          </cell>
          <cell r="D1156" t="str">
            <v>イベント:ミクコラボ01</v>
          </cell>
          <cell r="E1156" t="str">
            <v>執行者</v>
          </cell>
          <cell r="F1156" t="str">
            <v>格好いい</v>
          </cell>
          <cell r="G1156" t="str">
            <v>不明</v>
          </cell>
          <cell r="H1156" t="str">
            <v>red</v>
          </cell>
          <cell r="I1156">
            <v>5</v>
          </cell>
          <cell r="J1156" t="str">
            <v>DropWizS</v>
          </cell>
          <cell r="K1156" t="str">
            <v>attack</v>
          </cell>
          <cell r="L1156" t="str">
            <v>攻撃タイプ</v>
          </cell>
          <cell r="M1156" t="str">
            <v>animal</v>
          </cell>
        </row>
        <row r="1157">
          <cell r="A1157">
            <v>8008</v>
          </cell>
          <cell r="B1157" t="str">
            <v>ja</v>
          </cell>
          <cell r="C1157" t="str">
            <v>孫悟空</v>
          </cell>
          <cell r="D1157" t="str">
            <v>イベント:ミクコラボ01</v>
          </cell>
          <cell r="E1157" t="str">
            <v>執行者</v>
          </cell>
          <cell r="F1157" t="str">
            <v>格好いい</v>
          </cell>
          <cell r="G1157" t="str">
            <v>不明</v>
          </cell>
          <cell r="H1157" t="str">
            <v>red</v>
          </cell>
          <cell r="I1157">
            <v>6</v>
          </cell>
          <cell r="J1157" t="str">
            <v>DropWizS</v>
          </cell>
          <cell r="K1157" t="str">
            <v>attack</v>
          </cell>
          <cell r="L1157" t="str">
            <v>攻撃タイプ</v>
          </cell>
          <cell r="M1157" t="str">
            <v>animal</v>
          </cell>
        </row>
        <row r="1158">
          <cell r="A1158">
            <v>8009</v>
          </cell>
          <cell r="B1158" t="str">
            <v>ja</v>
          </cell>
          <cell r="C1158" t="str">
            <v>西王娘娘</v>
          </cell>
          <cell r="D1158" t="str">
            <v>イベント:ミクコラボ01</v>
          </cell>
          <cell r="E1158" t="str">
            <v>執行者</v>
          </cell>
          <cell r="F1158" t="str">
            <v>格好いい</v>
          </cell>
          <cell r="G1158" t="str">
            <v>不明</v>
          </cell>
          <cell r="H1158" t="str">
            <v>green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8010</v>
          </cell>
          <cell r="B1159" t="str">
            <v>ja</v>
          </cell>
          <cell r="C1159" t="str">
            <v>西王娘娘</v>
          </cell>
          <cell r="D1159" t="str">
            <v>イベント:ミクコラボ01</v>
          </cell>
          <cell r="E1159" t="str">
            <v>執行者</v>
          </cell>
          <cell r="F1159" t="str">
            <v>格好いい</v>
          </cell>
          <cell r="G1159" t="str">
            <v>不明</v>
          </cell>
          <cell r="H1159" t="str">
            <v>green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8011</v>
          </cell>
          <cell r="B1160" t="str">
            <v>ja</v>
          </cell>
          <cell r="C1160" t="str">
            <v>月下老人</v>
          </cell>
          <cell r="D1160" t="str">
            <v>イベント:ミクコラボ01</v>
          </cell>
          <cell r="E1160" t="str">
            <v>執行者</v>
          </cell>
          <cell r="F1160" t="str">
            <v>格好いい</v>
          </cell>
          <cell r="G1160" t="str">
            <v>女性</v>
          </cell>
          <cell r="H1160" t="str">
            <v>yellow</v>
          </cell>
          <cell r="I1160">
            <v>5</v>
          </cell>
          <cell r="J1160" t="str">
            <v>DropWizS</v>
          </cell>
          <cell r="K1160" t="str">
            <v>balance</v>
          </cell>
          <cell r="L1160" t="str">
            <v>バランスタイプ</v>
          </cell>
          <cell r="M1160" t="str">
            <v>god</v>
          </cell>
        </row>
        <row r="1161">
          <cell r="A1161">
            <v>8012</v>
          </cell>
          <cell r="B1161" t="str">
            <v>ja</v>
          </cell>
          <cell r="C1161" t="str">
            <v>良緣祈福 月下老人</v>
          </cell>
          <cell r="D1161" t="str">
            <v>イベント:ミクコラボ01</v>
          </cell>
          <cell r="E1161" t="str">
            <v>執行者</v>
          </cell>
          <cell r="F1161" t="str">
            <v>格好いい</v>
          </cell>
          <cell r="G1161" t="str">
            <v>女性</v>
          </cell>
          <cell r="H1161" t="str">
            <v>yellow</v>
          </cell>
          <cell r="I1161">
            <v>6</v>
          </cell>
          <cell r="J1161" t="str">
            <v>DropWizS</v>
          </cell>
          <cell r="K1161" t="str">
            <v>balance</v>
          </cell>
          <cell r="L1161" t="str">
            <v>バランスタイプ</v>
          </cell>
          <cell r="M1161" t="str">
            <v>god</v>
          </cell>
        </row>
        <row r="1162">
          <cell r="A1162">
            <v>8013</v>
          </cell>
          <cell r="B1162" t="str">
            <v>ja</v>
          </cell>
          <cell r="C1162" t="str">
            <v>初音ミクV3</v>
          </cell>
          <cell r="D1162" t="str">
            <v>初音ミクV3</v>
          </cell>
          <cell r="E1162" t="str">
            <v>執行者</v>
          </cell>
          <cell r="F1162" t="str">
            <v>格好いい</v>
          </cell>
          <cell r="G1162" t="str">
            <v>女性</v>
          </cell>
          <cell r="H1162" t="str">
            <v>yellow</v>
          </cell>
          <cell r="I1162">
            <v>4</v>
          </cell>
          <cell r="J1162" t="str">
            <v>DropWizS</v>
          </cell>
          <cell r="K1162" t="str">
            <v>balance</v>
          </cell>
          <cell r="L1162" t="str">
            <v>バランスタイプ</v>
          </cell>
          <cell r="M1162" t="str">
            <v>unknown</v>
          </cell>
        </row>
        <row r="1163">
          <cell r="A1163">
            <v>8014</v>
          </cell>
          <cell r="B1163" t="str">
            <v>ja</v>
          </cell>
          <cell r="C1163" t="str">
            <v>初音ミクV3</v>
          </cell>
          <cell r="D1163" t="str">
            <v>初音ミクV3</v>
          </cell>
          <cell r="E1163" t="str">
            <v>執行者</v>
          </cell>
          <cell r="F1163" t="str">
            <v>格好いい</v>
          </cell>
          <cell r="G1163" t="str">
            <v>女性</v>
          </cell>
          <cell r="H1163" t="str">
            <v>yellow</v>
          </cell>
          <cell r="I1163">
            <v>5</v>
          </cell>
          <cell r="J1163" t="str">
            <v>DropWizS</v>
          </cell>
          <cell r="K1163" t="str">
            <v>balance</v>
          </cell>
          <cell r="L1163" t="str">
            <v>バランスタイプ</v>
          </cell>
          <cell r="M1163" t="str">
            <v>unknown</v>
          </cell>
        </row>
        <row r="1164">
          <cell r="A1164">
            <v>8015</v>
          </cell>
          <cell r="B1164" t="str">
            <v>ja</v>
          </cell>
          <cell r="C1164" t="str">
            <v>初音ミク・アペンド</v>
          </cell>
          <cell r="D1164" t="str">
            <v>初音ミク・アペンド</v>
          </cell>
          <cell r="E1164" t="str">
            <v>執行者</v>
          </cell>
          <cell r="F1164" t="str">
            <v>格好いい</v>
          </cell>
          <cell r="G1164" t="str">
            <v>女性</v>
          </cell>
          <cell r="H1164" t="str">
            <v>green</v>
          </cell>
          <cell r="I1164">
            <v>4</v>
          </cell>
          <cell r="J1164" t="str">
            <v>PremiumSSS</v>
          </cell>
          <cell r="K1164" t="str">
            <v>technical</v>
          </cell>
          <cell r="L1164" t="str">
            <v>テクニカルタイプ</v>
          </cell>
          <cell r="M1164" t="str">
            <v>unknown</v>
          </cell>
        </row>
        <row r="1165">
          <cell r="A1165">
            <v>8016</v>
          </cell>
          <cell r="B1165" t="str">
            <v>ja</v>
          </cell>
          <cell r="C1165" t="str">
            <v>初音ミク・アペンド</v>
          </cell>
          <cell r="D1165" t="str">
            <v>初音ミク・アペンド</v>
          </cell>
          <cell r="E1165" t="str">
            <v>執行者</v>
          </cell>
          <cell r="F1165" t="str">
            <v>格好いい</v>
          </cell>
          <cell r="G1165" t="str">
            <v>女性</v>
          </cell>
          <cell r="H1165" t="str">
            <v>green</v>
          </cell>
          <cell r="I1165">
            <v>5</v>
          </cell>
          <cell r="J1165" t="str">
            <v>PremiumSSS</v>
          </cell>
          <cell r="K1165" t="str">
            <v>technical</v>
          </cell>
          <cell r="L1165" t="str">
            <v>テクニカルタイプ</v>
          </cell>
          <cell r="M1165" t="str">
            <v>unknown</v>
          </cell>
        </row>
        <row r="1166">
          <cell r="A1166">
            <v>8017</v>
          </cell>
          <cell r="B1166" t="str">
            <v>ja</v>
          </cell>
          <cell r="C1166" t="str">
            <v>初音ミク</v>
          </cell>
          <cell r="D1166" t="str">
            <v>初音ミク</v>
          </cell>
          <cell r="E1166" t="str">
            <v>執行者</v>
          </cell>
          <cell r="F1166" t="str">
            <v>格好いい</v>
          </cell>
          <cell r="G1166" t="str">
            <v>女性</v>
          </cell>
          <cell r="H1166" t="str">
            <v>green</v>
          </cell>
          <cell r="I1166">
            <v>4</v>
          </cell>
          <cell r="J1166" t="str">
            <v>PremiumSSS</v>
          </cell>
          <cell r="K1166" t="str">
            <v>balance</v>
          </cell>
          <cell r="L1166" t="str">
            <v>バランスタイプ</v>
          </cell>
          <cell r="M1166" t="str">
            <v>unknown</v>
          </cell>
        </row>
        <row r="1167">
          <cell r="A1167">
            <v>8018</v>
          </cell>
          <cell r="B1167" t="str">
            <v>ja</v>
          </cell>
          <cell r="C1167" t="str">
            <v>初音ミク</v>
          </cell>
          <cell r="D1167" t="str">
            <v>初音ミク</v>
          </cell>
          <cell r="E1167" t="str">
            <v>執行者</v>
          </cell>
          <cell r="F1167" t="str">
            <v>格好いい</v>
          </cell>
          <cell r="G1167" t="str">
            <v>女性</v>
          </cell>
          <cell r="H1167" t="str">
            <v>green</v>
          </cell>
          <cell r="I1167">
            <v>5</v>
          </cell>
          <cell r="J1167" t="str">
            <v>PremiumSSS</v>
          </cell>
          <cell r="K1167" t="str">
            <v>balance</v>
          </cell>
          <cell r="L1167" t="str">
            <v>バランスタイプ</v>
          </cell>
          <cell r="M1167" t="str">
            <v>unknown</v>
          </cell>
        </row>
        <row r="1168">
          <cell r="A1168">
            <v>8019</v>
          </cell>
          <cell r="B1168" t="str">
            <v>ja</v>
          </cell>
          <cell r="C1168" t="str">
            <v>鏡音リン</v>
          </cell>
          <cell r="D1168" t="str">
            <v>鏡音リン</v>
          </cell>
          <cell r="E1168" t="str">
            <v>執行者</v>
          </cell>
          <cell r="F1168" t="str">
            <v>格好いい</v>
          </cell>
          <cell r="G1168" t="str">
            <v>男性</v>
          </cell>
          <cell r="H1168" t="str">
            <v>yellow</v>
          </cell>
          <cell r="I1168">
            <v>4</v>
          </cell>
          <cell r="J1168" t="str">
            <v>PremiumSS</v>
          </cell>
          <cell r="K1168" t="str">
            <v>balance</v>
          </cell>
          <cell r="L1168" t="str">
            <v>バランスタイプ</v>
          </cell>
          <cell r="M1168" t="str">
            <v>unknown</v>
          </cell>
        </row>
        <row r="1169">
          <cell r="A1169">
            <v>8020</v>
          </cell>
          <cell r="B1169" t="str">
            <v>ja</v>
          </cell>
          <cell r="C1169" t="str">
            <v>鏡音リン</v>
          </cell>
          <cell r="D1169" t="str">
            <v>鏡音リン</v>
          </cell>
          <cell r="E1169" t="str">
            <v>執行者</v>
          </cell>
          <cell r="F1169" t="str">
            <v>格好いい</v>
          </cell>
          <cell r="G1169" t="str">
            <v>男性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balance</v>
          </cell>
          <cell r="L1169" t="str">
            <v>バランスタイプ</v>
          </cell>
          <cell r="M1169" t="str">
            <v>unknown</v>
          </cell>
        </row>
        <row r="1170">
          <cell r="A1170">
            <v>8021</v>
          </cell>
          <cell r="B1170" t="str">
            <v>ja</v>
          </cell>
          <cell r="C1170" t="str">
            <v>鏡音レン</v>
          </cell>
          <cell r="D1170" t="str">
            <v>鏡音レン</v>
          </cell>
          <cell r="E1170" t="str">
            <v>執行者</v>
          </cell>
          <cell r="F1170" t="str">
            <v>格好いい</v>
          </cell>
          <cell r="G1170" t="str">
            <v>女性</v>
          </cell>
          <cell r="H1170" t="str">
            <v>yellow</v>
          </cell>
          <cell r="I1170">
            <v>4</v>
          </cell>
          <cell r="J1170" t="str">
            <v>PremiumSS</v>
          </cell>
          <cell r="K1170" t="str">
            <v>heal</v>
          </cell>
          <cell r="L1170" t="str">
            <v>回復タイプ</v>
          </cell>
          <cell r="M1170" t="str">
            <v>unknown</v>
          </cell>
        </row>
        <row r="1171">
          <cell r="A1171">
            <v>8022</v>
          </cell>
          <cell r="B1171" t="str">
            <v>ja</v>
          </cell>
          <cell r="C1171" t="str">
            <v>鏡音レン</v>
          </cell>
          <cell r="D1171" t="str">
            <v>鏡音レン</v>
          </cell>
          <cell r="E1171" t="str">
            <v>執行者</v>
          </cell>
          <cell r="F1171" t="str">
            <v>格好いい</v>
          </cell>
          <cell r="G1171" t="str">
            <v>女性</v>
          </cell>
          <cell r="H1171" t="str">
            <v>yellow</v>
          </cell>
          <cell r="I1171">
            <v>5</v>
          </cell>
          <cell r="J1171" t="str">
            <v>PremiumSS</v>
          </cell>
          <cell r="K1171" t="str">
            <v>heal</v>
          </cell>
          <cell r="L1171" t="str">
            <v>回復タイプ</v>
          </cell>
          <cell r="M1171" t="str">
            <v>unknown</v>
          </cell>
        </row>
        <row r="1172">
          <cell r="A1172">
            <v>8023</v>
          </cell>
          <cell r="B1172" t="str">
            <v>ja</v>
          </cell>
          <cell r="C1172" t="str">
            <v>巡音ルカ</v>
          </cell>
          <cell r="D1172" t="str">
            <v>巡音ルカ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3</v>
          </cell>
          <cell r="J1172" t="str">
            <v>PremiumS</v>
          </cell>
          <cell r="K1172" t="str">
            <v>attack</v>
          </cell>
          <cell r="L1172" t="str">
            <v>攻撃タイプ</v>
          </cell>
          <cell r="M1172" t="str">
            <v>unknown</v>
          </cell>
        </row>
        <row r="1173">
          <cell r="A1173">
            <v>8024</v>
          </cell>
          <cell r="B1173" t="str">
            <v>ja</v>
          </cell>
          <cell r="C1173" t="str">
            <v>巡音ルカ</v>
          </cell>
          <cell r="D1173" t="str">
            <v>巡音ルカ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4</v>
          </cell>
          <cell r="J1173" t="str">
            <v>PremiumS</v>
          </cell>
          <cell r="K1173" t="str">
            <v>attack</v>
          </cell>
          <cell r="L1173" t="str">
            <v>攻撃タイプ</v>
          </cell>
          <cell r="M1173" t="str">
            <v>unknown</v>
          </cell>
        </row>
        <row r="1174">
          <cell r="A1174">
            <v>8025</v>
          </cell>
          <cell r="B1174" t="str">
            <v>ja</v>
          </cell>
          <cell r="C1174" t="str">
            <v>MEIKO</v>
          </cell>
          <cell r="D1174" t="str">
            <v>MEIKO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red</v>
          </cell>
          <cell r="I1174">
            <v>3</v>
          </cell>
          <cell r="J1174" t="str">
            <v>PremiumS</v>
          </cell>
          <cell r="K1174" t="str">
            <v>hp</v>
          </cell>
          <cell r="L1174" t="str">
            <v>体力タイプ</v>
          </cell>
          <cell r="M1174" t="str">
            <v>unknown</v>
          </cell>
        </row>
        <row r="1175">
          <cell r="A1175">
            <v>8026</v>
          </cell>
          <cell r="B1175" t="str">
            <v>ja</v>
          </cell>
          <cell r="C1175" t="str">
            <v>MEIKO</v>
          </cell>
          <cell r="D1175" t="str">
            <v>MEIKO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red</v>
          </cell>
          <cell r="I1175">
            <v>4</v>
          </cell>
          <cell r="J1175" t="str">
            <v>PremiumS</v>
          </cell>
          <cell r="K1175" t="str">
            <v>hp</v>
          </cell>
          <cell r="L1175" t="str">
            <v>体力タイプ</v>
          </cell>
          <cell r="M1175" t="str">
            <v>unknown</v>
          </cell>
        </row>
        <row r="1176">
          <cell r="A1176">
            <v>8027</v>
          </cell>
          <cell r="B1176" t="str">
            <v>ja</v>
          </cell>
          <cell r="C1176" t="str">
            <v>KAITO</v>
          </cell>
          <cell r="D1176" t="str">
            <v>KAITO</v>
          </cell>
          <cell r="E1176" t="str">
            <v>執行者</v>
          </cell>
          <cell r="F1176" t="str">
            <v>格好いい</v>
          </cell>
          <cell r="G1176" t="str">
            <v>女性</v>
          </cell>
          <cell r="H1176" t="str">
            <v>blue</v>
          </cell>
          <cell r="I1176">
            <v>3</v>
          </cell>
          <cell r="J1176" t="str">
            <v>PremiumS</v>
          </cell>
          <cell r="K1176" t="str">
            <v>technical</v>
          </cell>
          <cell r="L1176" t="str">
            <v>テクニカルタイプ</v>
          </cell>
          <cell r="M1176" t="str">
            <v>unknown</v>
          </cell>
        </row>
        <row r="1177">
          <cell r="A1177">
            <v>8028</v>
          </cell>
          <cell r="B1177" t="str">
            <v>ja</v>
          </cell>
          <cell r="C1177" t="str">
            <v>KAITO</v>
          </cell>
          <cell r="D1177" t="str">
            <v>KAITO</v>
          </cell>
          <cell r="E1177" t="str">
            <v>執行者</v>
          </cell>
          <cell r="F1177" t="str">
            <v>格好いい</v>
          </cell>
          <cell r="G1177" t="str">
            <v>女性</v>
          </cell>
          <cell r="H1177" t="str">
            <v>blue</v>
          </cell>
          <cell r="I1177">
            <v>4</v>
          </cell>
          <cell r="J1177" t="str">
            <v>PremiumS</v>
          </cell>
          <cell r="K1177" t="str">
            <v>technical</v>
          </cell>
          <cell r="L1177" t="str">
            <v>テクニカルタイプ</v>
          </cell>
          <cell r="M1177" t="str">
            <v>unknown</v>
          </cell>
        </row>
        <row r="1178">
          <cell r="A1178">
            <v>8029</v>
          </cell>
          <cell r="B1178" t="str">
            <v>ja</v>
          </cell>
          <cell r="C1178" t="str">
            <v>Expoミク</v>
          </cell>
          <cell r="D1178" t="str">
            <v>Expoミク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blue</v>
          </cell>
          <cell r="I1178">
            <v>4</v>
          </cell>
          <cell r="J1178" t="str">
            <v>Drop2N</v>
          </cell>
          <cell r="K1178" t="str">
            <v>heal</v>
          </cell>
          <cell r="L1178" t="str">
            <v>回復タイプ</v>
          </cell>
          <cell r="M1178" t="str">
            <v>unknown</v>
          </cell>
        </row>
        <row r="1179">
          <cell r="A1179">
            <v>8030</v>
          </cell>
          <cell r="B1179" t="str">
            <v>ja</v>
          </cell>
          <cell r="C1179" t="str">
            <v>Expoミク</v>
          </cell>
          <cell r="D1179" t="str">
            <v>Expoミク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blue</v>
          </cell>
          <cell r="I1179">
            <v>5</v>
          </cell>
          <cell r="J1179" t="str">
            <v>Drop2N</v>
          </cell>
          <cell r="K1179" t="str">
            <v>heal</v>
          </cell>
          <cell r="L1179" t="str">
            <v>回復タイプ</v>
          </cell>
          <cell r="M117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59" customWidth="1"/>
    <col min="2" max="16384" width="13" style="59"/>
  </cols>
  <sheetData>
    <row r="1" spans="1:13" x14ac:dyDescent="0.15">
      <c r="A1" s="59" t="s">
        <v>90</v>
      </c>
      <c r="B1" s="59" t="s">
        <v>91</v>
      </c>
    </row>
    <row r="2" spans="1:13" x14ac:dyDescent="0.15">
      <c r="A2" s="59" t="s">
        <v>92</v>
      </c>
      <c r="B2" s="59" t="s">
        <v>93</v>
      </c>
      <c r="C2" s="59" t="s">
        <v>94</v>
      </c>
      <c r="D2" s="59" t="s">
        <v>95</v>
      </c>
      <c r="E2" s="59" t="s">
        <v>96</v>
      </c>
      <c r="F2" s="59" t="s">
        <v>97</v>
      </c>
      <c r="G2" s="59" t="s">
        <v>98</v>
      </c>
      <c r="H2" s="59" t="s">
        <v>99</v>
      </c>
    </row>
    <row r="3" spans="1:13" x14ac:dyDescent="0.15">
      <c r="A3" s="59">
        <v>3</v>
      </c>
      <c r="B3" s="60" t="s">
        <v>100</v>
      </c>
      <c r="C3" s="60" t="s">
        <v>101</v>
      </c>
      <c r="D3" s="59">
        <v>0</v>
      </c>
      <c r="E3" s="60" t="s">
        <v>102</v>
      </c>
      <c r="F3" s="59">
        <v>0</v>
      </c>
      <c r="G3" s="59">
        <v>0</v>
      </c>
      <c r="H3" s="61">
        <v>0.5</v>
      </c>
    </row>
    <row r="4" spans="1:13" x14ac:dyDescent="0.15">
      <c r="A4" s="59">
        <v>4</v>
      </c>
      <c r="B4" s="60" t="s">
        <v>103</v>
      </c>
      <c r="C4" s="60" t="s">
        <v>104</v>
      </c>
      <c r="D4" s="60" t="s">
        <v>105</v>
      </c>
      <c r="E4" s="60" t="s">
        <v>106</v>
      </c>
      <c r="F4" s="60" t="s">
        <v>107</v>
      </c>
      <c r="G4" s="59">
        <v>0</v>
      </c>
      <c r="H4" s="61">
        <v>0.45</v>
      </c>
    </row>
    <row r="5" spans="1:13" x14ac:dyDescent="0.15">
      <c r="A5" s="59">
        <v>5</v>
      </c>
      <c r="B5" s="62">
        <v>0</v>
      </c>
      <c r="C5" s="60" t="s">
        <v>108</v>
      </c>
      <c r="D5" s="60" t="s">
        <v>109</v>
      </c>
      <c r="E5" s="60" t="s">
        <v>110</v>
      </c>
      <c r="F5" s="60" t="s">
        <v>111</v>
      </c>
      <c r="G5" s="60" t="s">
        <v>112</v>
      </c>
      <c r="H5" s="61">
        <v>0.05</v>
      </c>
    </row>
    <row r="6" spans="1:13" x14ac:dyDescent="0.15">
      <c r="B6" s="61" t="s">
        <v>113</v>
      </c>
      <c r="C6" s="61" t="s">
        <v>113</v>
      </c>
      <c r="D6" s="61" t="s">
        <v>114</v>
      </c>
      <c r="E6" s="61" t="s">
        <v>113</v>
      </c>
      <c r="F6" s="61" t="s">
        <v>113</v>
      </c>
      <c r="G6" s="63" t="s">
        <v>115</v>
      </c>
      <c r="H6" s="61">
        <v>1</v>
      </c>
    </row>
    <row r="7" spans="1:13" x14ac:dyDescent="0.15">
      <c r="B7" s="61"/>
      <c r="C7" s="61"/>
      <c r="D7" s="61"/>
      <c r="E7" s="61"/>
      <c r="F7" s="61"/>
      <c r="G7" s="63"/>
      <c r="H7" s="61"/>
    </row>
    <row r="8" spans="1:13" x14ac:dyDescent="0.15">
      <c r="A8" s="59" t="s">
        <v>116</v>
      </c>
      <c r="B8" s="61"/>
      <c r="C8" s="61"/>
      <c r="D8" s="61"/>
      <c r="E8" s="61"/>
      <c r="F8" s="61"/>
      <c r="G8" s="63"/>
      <c r="H8" s="61"/>
    </row>
    <row r="9" spans="1:13" x14ac:dyDescent="0.15">
      <c r="A9" s="59" t="s">
        <v>117</v>
      </c>
      <c r="B9" s="61"/>
      <c r="C9" s="61"/>
      <c r="D9" s="61"/>
      <c r="E9" s="61"/>
      <c r="F9" s="61"/>
      <c r="G9" s="63"/>
      <c r="H9" s="61"/>
    </row>
    <row r="10" spans="1:13" x14ac:dyDescent="0.15">
      <c r="A10" s="59" t="s">
        <v>118</v>
      </c>
      <c r="B10" s="61"/>
      <c r="C10" s="61"/>
      <c r="D10" s="61"/>
      <c r="E10" s="61"/>
      <c r="F10" s="61"/>
      <c r="G10" s="63"/>
      <c r="H10" s="61"/>
    </row>
    <row r="11" spans="1:13" x14ac:dyDescent="0.15">
      <c r="A11" s="59" t="s">
        <v>119</v>
      </c>
      <c r="B11" s="61"/>
      <c r="C11" s="61"/>
      <c r="D11" s="61"/>
      <c r="E11" s="61"/>
      <c r="F11" s="61"/>
      <c r="G11" s="63"/>
      <c r="H11" s="61"/>
    </row>
    <row r="12" spans="1:13" x14ac:dyDescent="0.15">
      <c r="A12" s="59" t="s">
        <v>112</v>
      </c>
      <c r="B12" s="61" t="s">
        <v>120</v>
      </c>
      <c r="C12" s="61" t="s">
        <v>121</v>
      </c>
      <c r="D12" s="61"/>
      <c r="E12" s="61"/>
      <c r="F12" s="61"/>
      <c r="G12" s="63"/>
      <c r="H12" s="61"/>
    </row>
    <row r="13" spans="1:13" x14ac:dyDescent="0.15">
      <c r="A13" s="59" t="s">
        <v>122</v>
      </c>
      <c r="B13" s="59" t="s">
        <v>123</v>
      </c>
      <c r="C13" s="59" t="s">
        <v>124</v>
      </c>
    </row>
    <row r="14" spans="1:13" x14ac:dyDescent="0.15">
      <c r="A14" s="59" t="s">
        <v>125</v>
      </c>
      <c r="B14" s="59" t="s">
        <v>120</v>
      </c>
      <c r="C14" s="62" t="s">
        <v>126</v>
      </c>
      <c r="E14" s="62"/>
      <c r="F14" s="62"/>
      <c r="M14" s="61"/>
    </row>
    <row r="15" spans="1:13" x14ac:dyDescent="0.15">
      <c r="A15" s="59" t="s">
        <v>102</v>
      </c>
      <c r="B15" s="61" t="s">
        <v>120</v>
      </c>
      <c r="C15" s="61" t="s">
        <v>127</v>
      </c>
      <c r="H15" s="64"/>
      <c r="M15" s="61"/>
    </row>
    <row r="16" spans="1:13" x14ac:dyDescent="0.15">
      <c r="A16" s="59" t="s">
        <v>106</v>
      </c>
      <c r="B16" s="61" t="s">
        <v>120</v>
      </c>
      <c r="C16" s="61" t="s">
        <v>128</v>
      </c>
      <c r="M16" s="61"/>
    </row>
    <row r="17" spans="1:13" x14ac:dyDescent="0.15">
      <c r="A17" s="59" t="s">
        <v>129</v>
      </c>
      <c r="B17" s="61" t="s">
        <v>120</v>
      </c>
      <c r="C17" s="61" t="s">
        <v>130</v>
      </c>
      <c r="M17" s="61"/>
    </row>
    <row r="18" spans="1:13" x14ac:dyDescent="0.15">
      <c r="B18" s="61"/>
      <c r="C18" s="61"/>
    </row>
    <row r="19" spans="1:13" x14ac:dyDescent="0.15">
      <c r="A19" s="59" t="s">
        <v>131</v>
      </c>
    </row>
    <row r="20" spans="1:13" x14ac:dyDescent="0.15">
      <c r="A20" s="59" t="s">
        <v>132</v>
      </c>
      <c r="B20" s="61"/>
      <c r="C20" s="61"/>
    </row>
    <row r="21" spans="1:13" x14ac:dyDescent="0.15">
      <c r="A21" s="59" t="s">
        <v>133</v>
      </c>
      <c r="B21" s="61" t="s">
        <v>134</v>
      </c>
      <c r="C21" s="61" t="s">
        <v>135</v>
      </c>
      <c r="D21" s="59" t="s">
        <v>136</v>
      </c>
    </row>
    <row r="22" spans="1:13" x14ac:dyDescent="0.15">
      <c r="A22" s="59" t="s">
        <v>137</v>
      </c>
      <c r="B22" s="61" t="s">
        <v>120</v>
      </c>
      <c r="C22" s="61" t="s">
        <v>138</v>
      </c>
      <c r="D22" s="59" t="s">
        <v>139</v>
      </c>
    </row>
    <row r="23" spans="1:13" x14ac:dyDescent="0.15">
      <c r="A23" s="59" t="s">
        <v>140</v>
      </c>
      <c r="B23" s="61" t="s">
        <v>120</v>
      </c>
      <c r="C23" s="59" t="s">
        <v>141</v>
      </c>
      <c r="D23" s="59" t="s">
        <v>142</v>
      </c>
    </row>
    <row r="24" spans="1:13" x14ac:dyDescent="0.15">
      <c r="A24" s="59" t="s">
        <v>143</v>
      </c>
      <c r="B24" s="61" t="s">
        <v>120</v>
      </c>
      <c r="C24" s="61" t="s">
        <v>144</v>
      </c>
      <c r="D24" s="59" t="s">
        <v>145</v>
      </c>
    </row>
    <row r="25" spans="1:13" x14ac:dyDescent="0.15">
      <c r="A25" s="59" t="s">
        <v>146</v>
      </c>
      <c r="B25" s="61" t="s">
        <v>120</v>
      </c>
      <c r="C25" s="61" t="s">
        <v>147</v>
      </c>
      <c r="D25" s="59" t="s">
        <v>148</v>
      </c>
    </row>
    <row r="26" spans="1:13" x14ac:dyDescent="0.15">
      <c r="A26" s="59" t="s">
        <v>149</v>
      </c>
      <c r="B26" s="61" t="s">
        <v>120</v>
      </c>
      <c r="C26" s="61" t="s">
        <v>150</v>
      </c>
      <c r="D26" s="59" t="s">
        <v>151</v>
      </c>
    </row>
    <row r="27" spans="1:13" x14ac:dyDescent="0.15">
      <c r="A27" s="59" t="s">
        <v>152</v>
      </c>
      <c r="B27" s="61" t="s">
        <v>120</v>
      </c>
      <c r="C27" s="61" t="s">
        <v>114</v>
      </c>
      <c r="D27" s="59" t="s">
        <v>153</v>
      </c>
      <c r="E27" s="59" t="s">
        <v>154</v>
      </c>
    </row>
    <row r="28" spans="1:13" x14ac:dyDescent="0.15">
      <c r="A28" s="59" t="s">
        <v>101</v>
      </c>
      <c r="B28" s="61" t="s">
        <v>120</v>
      </c>
      <c r="C28" s="61" t="s">
        <v>155</v>
      </c>
      <c r="E28" s="59" t="s">
        <v>156</v>
      </c>
    </row>
    <row r="29" spans="1:13" x14ac:dyDescent="0.15">
      <c r="A29" s="59" t="s">
        <v>104</v>
      </c>
      <c r="B29" s="61" t="s">
        <v>120</v>
      </c>
      <c r="C29" s="61" t="s">
        <v>157</v>
      </c>
    </row>
    <row r="30" spans="1:13" x14ac:dyDescent="0.15">
      <c r="B30" s="61"/>
    </row>
    <row r="31" spans="1:13" x14ac:dyDescent="0.15">
      <c r="A31" s="59" t="s">
        <v>158</v>
      </c>
    </row>
    <row r="32" spans="1:13" x14ac:dyDescent="0.15">
      <c r="A32" s="59" t="s">
        <v>159</v>
      </c>
      <c r="B32" s="61" t="s">
        <v>120</v>
      </c>
      <c r="C32" s="61" t="s">
        <v>160</v>
      </c>
    </row>
    <row r="33" spans="1:3" x14ac:dyDescent="0.15">
      <c r="A33" s="59" t="s">
        <v>104</v>
      </c>
      <c r="B33" s="61" t="s">
        <v>120</v>
      </c>
      <c r="C33" s="61" t="s">
        <v>161</v>
      </c>
    </row>
    <row r="34" spans="1:3" x14ac:dyDescent="0.15">
      <c r="A34" s="59" t="s">
        <v>101</v>
      </c>
      <c r="B34" s="61" t="s">
        <v>120</v>
      </c>
      <c r="C34" s="61" t="s">
        <v>162</v>
      </c>
    </row>
    <row r="35" spans="1:3" x14ac:dyDescent="0.15">
      <c r="A35" s="59" t="s">
        <v>100</v>
      </c>
      <c r="B35" s="61" t="s">
        <v>120</v>
      </c>
      <c r="C35" s="61" t="s">
        <v>163</v>
      </c>
    </row>
    <row r="36" spans="1:3" x14ac:dyDescent="0.15">
      <c r="A36" s="59" t="s">
        <v>103</v>
      </c>
      <c r="B36" s="61" t="s">
        <v>120</v>
      </c>
      <c r="C36" s="61" t="s">
        <v>164</v>
      </c>
    </row>
    <row r="37" spans="1:3" x14ac:dyDescent="0.15">
      <c r="A37" s="59" t="s">
        <v>109</v>
      </c>
      <c r="B37" s="61" t="s">
        <v>120</v>
      </c>
      <c r="C37" s="61" t="s">
        <v>165</v>
      </c>
    </row>
    <row r="38" spans="1:3" x14ac:dyDescent="0.15">
      <c r="A38" s="59" t="s">
        <v>105</v>
      </c>
      <c r="B38" s="61" t="s">
        <v>120</v>
      </c>
      <c r="C38" s="61" t="s">
        <v>166</v>
      </c>
    </row>
  </sheetData>
  <phoneticPr fontId="18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32" sqref="G32"/>
    </sheetView>
  </sheetViews>
  <sheetFormatPr baseColWidth="12" defaultRowHeight="14" x14ac:dyDescent="0.15"/>
  <sheetData>
    <row r="1" spans="1:1" x14ac:dyDescent="0.15">
      <c r="A1" t="s">
        <v>64</v>
      </c>
    </row>
    <row r="2" spans="1:1" x14ac:dyDescent="0.15">
      <c r="A2" t="s">
        <v>65</v>
      </c>
    </row>
    <row r="3" spans="1:1" x14ac:dyDescent="0.15">
      <c r="A3" t="s">
        <v>66</v>
      </c>
    </row>
    <row r="4" spans="1:1" x14ac:dyDescent="0.15">
      <c r="A4" t="s">
        <v>67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C4" sqref="C4"/>
    </sheetView>
  </sheetViews>
  <sheetFormatPr baseColWidth="12" defaultRowHeight="15" x14ac:dyDescent="0.15"/>
  <cols>
    <col min="1" max="1" width="13" style="15"/>
    <col min="2" max="2" width="14.796875" style="15" bestFit="1" customWidth="1"/>
    <col min="3" max="4" width="13" style="15"/>
    <col min="5" max="5" width="17.59765625" style="15" bestFit="1" customWidth="1"/>
    <col min="6" max="6" width="22.19921875" style="15" bestFit="1" customWidth="1"/>
    <col min="7" max="16384" width="13" style="15"/>
  </cols>
  <sheetData>
    <row r="1" spans="1:21" x14ac:dyDescent="0.15">
      <c r="A1" s="25" t="s">
        <v>38</v>
      </c>
      <c r="B1" s="13" t="s">
        <v>26</v>
      </c>
      <c r="C1" s="13" t="s">
        <v>27</v>
      </c>
      <c r="D1" s="13" t="s">
        <v>28</v>
      </c>
      <c r="E1" s="13" t="s">
        <v>29</v>
      </c>
      <c r="F1" s="13" t="s">
        <v>30</v>
      </c>
      <c r="G1" s="13" t="s">
        <v>31</v>
      </c>
      <c r="H1" s="13"/>
      <c r="I1" s="13"/>
      <c r="J1" s="13"/>
      <c r="K1" s="13"/>
      <c r="L1" s="14"/>
      <c r="M1" s="14"/>
      <c r="N1" s="14"/>
      <c r="O1" s="14"/>
    </row>
    <row r="2" spans="1:21" x14ac:dyDescent="0.15">
      <c r="A2" s="77" t="s">
        <v>196</v>
      </c>
      <c r="B2" s="56" t="s">
        <v>89</v>
      </c>
      <c r="C2" s="47" t="str">
        <f>RIGHT(F2,6)</f>
        <v>337010</v>
      </c>
      <c r="D2" s="16" t="s">
        <v>32</v>
      </c>
      <c r="E2" s="14" t="str">
        <f t="shared" ref="E2:E6" si="0">B2&amp;C2&amp;D2</f>
        <v>gacha_select_tables_337010.tmp</v>
      </c>
      <c r="F2" s="76" t="s">
        <v>195</v>
      </c>
      <c r="G2" s="46" t="s">
        <v>70</v>
      </c>
      <c r="H2" s="19" t="s">
        <v>0</v>
      </c>
      <c r="I2" s="19" t="s">
        <v>3</v>
      </c>
      <c r="J2" s="19" t="s">
        <v>4</v>
      </c>
      <c r="K2" s="19" t="s">
        <v>5</v>
      </c>
      <c r="L2" s="19" t="s">
        <v>6</v>
      </c>
      <c r="M2" s="19" t="s">
        <v>7</v>
      </c>
      <c r="N2" s="19" t="s">
        <v>8</v>
      </c>
      <c r="O2" s="19" t="s">
        <v>9</v>
      </c>
    </row>
    <row r="3" spans="1:21" x14ac:dyDescent="0.15">
      <c r="A3" s="83" t="s">
        <v>209</v>
      </c>
      <c r="B3" s="78" t="s">
        <v>197</v>
      </c>
      <c r="C3" s="47" t="str">
        <f>RIGHT(F3,7)</f>
        <v>7112100</v>
      </c>
      <c r="D3" s="16" t="s">
        <v>32</v>
      </c>
      <c r="E3" s="14" t="str">
        <f t="shared" ref="E3" si="1">B3&amp;C3&amp;D3</f>
        <v>gacha_settle_tables_7112100.tmp</v>
      </c>
      <c r="F3" s="84" t="s">
        <v>210</v>
      </c>
      <c r="G3" s="46" t="s">
        <v>70</v>
      </c>
      <c r="H3" s="19" t="s">
        <v>0</v>
      </c>
      <c r="I3" s="19" t="s">
        <v>3</v>
      </c>
      <c r="J3" s="19" t="s">
        <v>4</v>
      </c>
      <c r="K3" s="19" t="s">
        <v>5</v>
      </c>
      <c r="L3" s="19" t="s">
        <v>6</v>
      </c>
      <c r="M3" s="19" t="s">
        <v>7</v>
      </c>
      <c r="N3" s="19" t="s">
        <v>8</v>
      </c>
      <c r="O3" s="19" t="s">
        <v>9</v>
      </c>
    </row>
    <row r="4" spans="1:21" x14ac:dyDescent="0.15">
      <c r="A4" s="73" t="s">
        <v>192</v>
      </c>
      <c r="B4" s="24" t="s">
        <v>37</v>
      </c>
      <c r="C4" s="74" t="s">
        <v>193</v>
      </c>
      <c r="D4" s="16" t="s">
        <v>33</v>
      </c>
      <c r="E4" s="14" t="str">
        <f t="shared" si="0"/>
        <v>gacha_bonus_tables_hogehoge.tmp</v>
      </c>
      <c r="F4" s="16" t="s">
        <v>34</v>
      </c>
      <c r="G4" s="18" t="s">
        <v>10</v>
      </c>
      <c r="H4" s="20" t="s">
        <v>13</v>
      </c>
      <c r="I4" s="18" t="s">
        <v>11</v>
      </c>
      <c r="J4" s="17"/>
      <c r="K4" s="17"/>
      <c r="L4" s="17"/>
      <c r="M4" s="17"/>
      <c r="N4" s="17"/>
      <c r="O4" s="17"/>
    </row>
    <row r="5" spans="1:21" x14ac:dyDescent="0.15">
      <c r="A5" s="73" t="s">
        <v>192</v>
      </c>
      <c r="B5" s="16" t="s">
        <v>35</v>
      </c>
      <c r="C5" s="74" t="s">
        <v>193</v>
      </c>
      <c r="D5" s="16" t="s">
        <v>33</v>
      </c>
      <c r="E5" s="14" t="str">
        <f t="shared" si="0"/>
        <v>gifts_tmp_hogehoge.tmp</v>
      </c>
      <c r="F5" s="16" t="s">
        <v>34</v>
      </c>
      <c r="G5" s="20" t="s">
        <v>14</v>
      </c>
      <c r="H5" s="21" t="s">
        <v>22</v>
      </c>
      <c r="I5" s="20" t="s">
        <v>15</v>
      </c>
      <c r="J5" s="20" t="s">
        <v>16</v>
      </c>
      <c r="K5" s="20" t="s">
        <v>16</v>
      </c>
      <c r="L5" s="20" t="s">
        <v>17</v>
      </c>
      <c r="M5" s="20" t="s">
        <v>17</v>
      </c>
      <c r="N5" s="20" t="s">
        <v>17</v>
      </c>
      <c r="O5" s="48" t="s">
        <v>7</v>
      </c>
      <c r="P5" s="48" t="s">
        <v>9</v>
      </c>
      <c r="Q5" s="48" t="s">
        <v>6</v>
      </c>
      <c r="R5" s="48" t="s">
        <v>71</v>
      </c>
      <c r="S5" s="48" t="s">
        <v>8</v>
      </c>
      <c r="T5" s="48" t="s">
        <v>72</v>
      </c>
      <c r="U5" s="48" t="s">
        <v>5</v>
      </c>
    </row>
    <row r="6" spans="1:21" x14ac:dyDescent="0.15">
      <c r="A6" s="73" t="s">
        <v>192</v>
      </c>
      <c r="B6" s="16" t="s">
        <v>36</v>
      </c>
      <c r="C6" s="74" t="s">
        <v>193</v>
      </c>
      <c r="D6" s="16" t="s">
        <v>33</v>
      </c>
      <c r="E6" s="14" t="str">
        <f t="shared" si="0"/>
        <v>gifts_i18n_hogehoge.tmp</v>
      </c>
      <c r="F6" s="16" t="s">
        <v>34</v>
      </c>
      <c r="G6" s="20" t="s">
        <v>12</v>
      </c>
      <c r="H6" s="22" t="s">
        <v>18</v>
      </c>
      <c r="I6" s="22" t="s">
        <v>19</v>
      </c>
      <c r="J6" s="22" t="s">
        <v>20</v>
      </c>
      <c r="K6" s="22" t="s">
        <v>21</v>
      </c>
      <c r="L6" s="23"/>
      <c r="M6" s="20"/>
      <c r="N6" s="20"/>
      <c r="O6" s="16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A3" sqref="A3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5" t="s">
        <v>68</v>
      </c>
      <c r="B1" s="45"/>
      <c r="L1" s="35" t="s">
        <v>47</v>
      </c>
      <c r="M1" s="35"/>
      <c r="U1" t="s">
        <v>47</v>
      </c>
    </row>
    <row r="2" spans="1:22" x14ac:dyDescent="0.15">
      <c r="A2" t="str">
        <f ca="1">RIGHT(RIGHT(CELL("filename",A2),LEN(CELL("filename",A2))-FIND("]",CELL("filename",A2))),7)</f>
        <v>7112100</v>
      </c>
      <c r="L2" s="29" t="s">
        <v>1</v>
      </c>
      <c r="M2" s="34" t="s">
        <v>51</v>
      </c>
      <c r="N2" s="29" t="s">
        <v>49</v>
      </c>
      <c r="O2" s="34" t="s">
        <v>52</v>
      </c>
      <c r="P2" s="34" t="s">
        <v>53</v>
      </c>
      <c r="Q2" s="34" t="s">
        <v>50</v>
      </c>
      <c r="R2" s="41" t="s">
        <v>59</v>
      </c>
      <c r="U2" s="29" t="s">
        <v>169</v>
      </c>
      <c r="V2" s="49">
        <f>SUMIF(Q:Q,U2,N:N)</f>
        <v>0</v>
      </c>
    </row>
    <row r="3" spans="1:22" x14ac:dyDescent="0.15">
      <c r="H3" s="68" t="s">
        <v>190</v>
      </c>
      <c r="L3" s="1"/>
      <c r="M3" s="34" t="e">
        <f>VLOOKUP(L3,[1]characters!$A:$C,3,FALSE)</f>
        <v>#N/A</v>
      </c>
      <c r="N3" s="58"/>
      <c r="O3" s="34" t="e">
        <f>VLOOKUP(L3,[1]characters!$A:$I,9,FALSE)</f>
        <v>#N/A</v>
      </c>
      <c r="P3" s="34" t="e">
        <f>VLOOKUP(L3,[1]characters!$A:$J,10,FALSE)</f>
        <v>#N/A</v>
      </c>
      <c r="Q3" s="34" t="e">
        <f>VLOOKUP(L3,tables_settle_7112100!B:C,2,FALSE)</f>
        <v>#N/A</v>
      </c>
      <c r="R3" s="57">
        <f t="shared" ref="R3:R20" si="0">N3*A$36</f>
        <v>0</v>
      </c>
      <c r="S3">
        <v>190</v>
      </c>
      <c r="U3" s="29" t="s">
        <v>170</v>
      </c>
      <c r="V3" s="49">
        <f t="shared" ref="V3:V16" si="1">SUMIF(Q:Q,U3,N:N)</f>
        <v>0</v>
      </c>
    </row>
    <row r="4" spans="1:22" x14ac:dyDescent="0.15">
      <c r="A4" s="31" t="s">
        <v>39</v>
      </c>
      <c r="B4" s="31"/>
      <c r="D4" t="s">
        <v>179</v>
      </c>
      <c r="F4" t="s">
        <v>182</v>
      </c>
      <c r="H4" t="s">
        <v>188</v>
      </c>
      <c r="I4" t="s">
        <v>189</v>
      </c>
      <c r="L4" s="1"/>
      <c r="M4" s="34" t="e">
        <f>VLOOKUP(L4,[1]characters!$A:$C,3,FALSE)</f>
        <v>#N/A</v>
      </c>
      <c r="N4" s="58"/>
      <c r="O4" s="34" t="e">
        <f>VLOOKUP(L4,[1]characters!$A:$I,9,FALSE)</f>
        <v>#N/A</v>
      </c>
      <c r="P4" s="34" t="e">
        <f>VLOOKUP(L4,[1]characters!$A:$J,10,FALSE)</f>
        <v>#N/A</v>
      </c>
      <c r="Q4" s="34" t="e">
        <f>VLOOKUP(L4,tables_settle_7112100!B:C,2,FALSE)</f>
        <v>#N/A</v>
      </c>
      <c r="R4" s="57">
        <f t="shared" si="0"/>
        <v>0</v>
      </c>
      <c r="S4">
        <v>191</v>
      </c>
      <c r="U4" s="29" t="s">
        <v>74</v>
      </c>
      <c r="V4" s="49">
        <f t="shared" si="1"/>
        <v>0</v>
      </c>
    </row>
    <row r="5" spans="1:22" x14ac:dyDescent="0.15">
      <c r="A5" s="29" t="s">
        <v>54</v>
      </c>
      <c r="B5" s="67">
        <f>1-B6-B7-B8</f>
        <v>0</v>
      </c>
      <c r="D5" t="s">
        <v>180</v>
      </c>
      <c r="E5" s="40">
        <f>(B11-H5)/(F5-I5)</f>
        <v>8.3333333333333328E-4</v>
      </c>
      <c r="F5">
        <f>(COUNTIF(tables_settle_7112100!C:C,input_settle_7112100!A26)+COUNTIF(tables_settle_7112100!C:C,input_settle_7112100!A28)+COUNTIF(tables_settle_7112100!C:C,input_settle_7112100!A29))</f>
        <v>36</v>
      </c>
      <c r="H5" s="75">
        <v>0</v>
      </c>
      <c r="I5" s="28">
        <v>0</v>
      </c>
      <c r="L5" s="1"/>
      <c r="M5" s="34" t="e">
        <f>VLOOKUP(L5,[1]characters!$A:$C,3,FALSE)</f>
        <v>#N/A</v>
      </c>
      <c r="N5" s="58"/>
      <c r="O5" s="34" t="e">
        <f>VLOOKUP(L5,[1]characters!$A:$I,9,FALSE)</f>
        <v>#N/A</v>
      </c>
      <c r="P5" s="34" t="e">
        <f>VLOOKUP(L5,[1]characters!$A:$J,10,FALSE)</f>
        <v>#N/A</v>
      </c>
      <c r="Q5" s="34" t="e">
        <f>VLOOKUP(L5,tables_settle_7112100!B:C,2,FALSE)</f>
        <v>#N/A</v>
      </c>
      <c r="R5" s="57">
        <f>N5*A$36</f>
        <v>0</v>
      </c>
      <c r="S5">
        <v>192</v>
      </c>
      <c r="U5" s="29" t="s">
        <v>75</v>
      </c>
      <c r="V5" s="49">
        <f t="shared" si="1"/>
        <v>0</v>
      </c>
    </row>
    <row r="6" spans="1:22" x14ac:dyDescent="0.15">
      <c r="A6" s="29" t="s">
        <v>55</v>
      </c>
      <c r="B6" s="67">
        <v>0</v>
      </c>
      <c r="D6" t="s">
        <v>181</v>
      </c>
      <c r="E6" s="71" t="e">
        <f>(B10-H6)/(F6-I6)</f>
        <v>#DIV/0!</v>
      </c>
      <c r="F6">
        <f>(COUNTIF(tables_settle_7112100!C:C,input_settle_7112100!A18)+COUNTIF(tables_settle_7112100!C:C,input_settle_7112100!A20)+COUNTIF(tables_settle_7112100!C:C,input_settle_7112100!A22))</f>
        <v>0</v>
      </c>
      <c r="H6" s="75">
        <v>0</v>
      </c>
      <c r="I6" s="28">
        <v>0</v>
      </c>
      <c r="L6" s="1"/>
      <c r="M6" s="34" t="e">
        <f>VLOOKUP(L6,[1]characters!$A:$C,3,FALSE)</f>
        <v>#N/A</v>
      </c>
      <c r="N6" s="58"/>
      <c r="O6" s="34" t="e">
        <f>VLOOKUP(L6,[1]characters!$A:$I,9,FALSE)</f>
        <v>#N/A</v>
      </c>
      <c r="P6" s="34" t="e">
        <f>VLOOKUP(L6,[1]characters!$A:$J,10,FALSE)</f>
        <v>#N/A</v>
      </c>
      <c r="Q6" s="34" t="e">
        <f>VLOOKUP(L6,tables_settle_7112100!B:C,2,FALSE)</f>
        <v>#N/A</v>
      </c>
      <c r="R6" s="57">
        <f t="shared" si="0"/>
        <v>0</v>
      </c>
      <c r="S6">
        <v>596</v>
      </c>
      <c r="U6" s="29" t="s">
        <v>76</v>
      </c>
      <c r="V6" s="49">
        <f t="shared" si="1"/>
        <v>0</v>
      </c>
    </row>
    <row r="7" spans="1:22" x14ac:dyDescent="0.15">
      <c r="A7" s="29" t="s">
        <v>56</v>
      </c>
      <c r="B7" s="67">
        <v>1</v>
      </c>
      <c r="L7" s="1"/>
      <c r="M7" s="34" t="e">
        <f>VLOOKUP(L7,[1]characters!$A:$C,3,FALSE)</f>
        <v>#N/A</v>
      </c>
      <c r="N7" s="58"/>
      <c r="O7" s="34" t="e">
        <f>VLOOKUP(L7,[1]characters!$A:$I,9,FALSE)</f>
        <v>#N/A</v>
      </c>
      <c r="P7" s="34" t="e">
        <f>VLOOKUP(L7,[1]characters!$A:$J,10,FALSE)</f>
        <v>#N/A</v>
      </c>
      <c r="Q7" s="34" t="e">
        <f>VLOOKUP(L7,tables_settle_7112100!B:C,2,FALSE)</f>
        <v>#N/A</v>
      </c>
      <c r="R7" s="57">
        <f t="shared" si="0"/>
        <v>0</v>
      </c>
      <c r="S7">
        <v>597</v>
      </c>
      <c r="U7" s="29" t="s">
        <v>175</v>
      </c>
      <c r="V7" s="49">
        <f t="shared" si="1"/>
        <v>0</v>
      </c>
    </row>
    <row r="8" spans="1:22" x14ac:dyDescent="0.15">
      <c r="A8" s="52"/>
      <c r="B8" s="66"/>
      <c r="L8" s="1"/>
      <c r="M8" s="34" t="e">
        <f>VLOOKUP(L8,[1]characters!$A:$C,3,FALSE)</f>
        <v>#N/A</v>
      </c>
      <c r="N8" s="58"/>
      <c r="O8" s="34" t="e">
        <f>VLOOKUP(L8,[1]characters!$A:$I,9,FALSE)</f>
        <v>#N/A</v>
      </c>
      <c r="P8" s="34" t="e">
        <f>VLOOKUP(L8,[1]characters!$A:$J,10,FALSE)</f>
        <v>#N/A</v>
      </c>
      <c r="Q8" s="34" t="e">
        <f>VLOOKUP(L8,tables_settle_7112100!B:C,2,FALSE)</f>
        <v>#N/A</v>
      </c>
      <c r="R8" s="57">
        <f t="shared" si="0"/>
        <v>0</v>
      </c>
      <c r="S8">
        <v>598</v>
      </c>
      <c r="U8" s="29" t="s">
        <v>176</v>
      </c>
      <c r="V8" s="49">
        <f t="shared" si="1"/>
        <v>0</v>
      </c>
    </row>
    <row r="9" spans="1:22" x14ac:dyDescent="0.15">
      <c r="A9" s="32" t="s">
        <v>40</v>
      </c>
      <c r="B9" s="32"/>
      <c r="M9" s="34" t="e">
        <f>VLOOKUP(L9,[1]characters!$A:$C,3,FALSE)</f>
        <v>#N/A</v>
      </c>
      <c r="N9" s="58"/>
      <c r="O9" s="34" t="e">
        <f>VLOOKUP(L9,[1]characters!$A:$I,9,FALSE)</f>
        <v>#N/A</v>
      </c>
      <c r="P9" s="34" t="e">
        <f>VLOOKUP(L9,[1]characters!$A:$J,10,FALSE)</f>
        <v>#N/A</v>
      </c>
      <c r="Q9" s="34" t="e">
        <f>VLOOKUP(L9,tables_settle_7112100!B:C,2,FALSE)</f>
        <v>#N/A</v>
      </c>
      <c r="R9" s="57">
        <f t="shared" si="0"/>
        <v>0</v>
      </c>
      <c r="S9">
        <v>390</v>
      </c>
      <c r="U9" s="29" t="s">
        <v>172</v>
      </c>
      <c r="V9" s="49">
        <f t="shared" si="1"/>
        <v>0</v>
      </c>
    </row>
    <row r="10" spans="1:22" x14ac:dyDescent="0.15">
      <c r="A10" s="29" t="s">
        <v>73</v>
      </c>
      <c r="B10" s="67">
        <f>1-B11-B12-B8</f>
        <v>0.97</v>
      </c>
      <c r="C10" t="s">
        <v>187</v>
      </c>
      <c r="M10" s="34" t="e">
        <f>VLOOKUP(L10,[1]characters!$A:$C,3,FALSE)</f>
        <v>#N/A</v>
      </c>
      <c r="N10" s="58"/>
      <c r="O10" s="34" t="e">
        <f>VLOOKUP(L10,[1]characters!$A:$I,9,FALSE)</f>
        <v>#N/A</v>
      </c>
      <c r="P10" s="34" t="e">
        <f>VLOOKUP(L10,[1]characters!$A:$J,10,FALSE)</f>
        <v>#N/A</v>
      </c>
      <c r="Q10" s="34" t="e">
        <f>VLOOKUP(L10,tables_settle_7112100!B:C,2,FALSE)</f>
        <v>#N/A</v>
      </c>
      <c r="R10" s="57">
        <f t="shared" si="0"/>
        <v>0</v>
      </c>
      <c r="S10">
        <v>391</v>
      </c>
      <c r="U10" s="29" t="s">
        <v>173</v>
      </c>
      <c r="V10" s="49">
        <f t="shared" si="1"/>
        <v>0</v>
      </c>
    </row>
    <row r="11" spans="1:22" x14ac:dyDescent="0.15">
      <c r="A11" s="29" t="s">
        <v>42</v>
      </c>
      <c r="B11" s="72">
        <v>0.03</v>
      </c>
      <c r="C11" t="s">
        <v>194</v>
      </c>
      <c r="M11" s="34" t="e">
        <f>VLOOKUP(L11,[1]characters!$A:$C,3,FALSE)</f>
        <v>#N/A</v>
      </c>
      <c r="N11" s="58"/>
      <c r="O11" s="34" t="e">
        <f>VLOOKUP(L11,[1]characters!$A:$I,9,FALSE)</f>
        <v>#N/A</v>
      </c>
      <c r="P11" s="34" t="e">
        <f>VLOOKUP(L11,[1]characters!$A:$J,10,FALSE)</f>
        <v>#N/A</v>
      </c>
      <c r="Q11" s="34" t="e">
        <f>VLOOKUP(L11,tables_settle_7112100!B:C,2,FALSE)</f>
        <v>#N/A</v>
      </c>
      <c r="R11" s="57">
        <f t="shared" si="0"/>
        <v>0</v>
      </c>
      <c r="S11">
        <v>811</v>
      </c>
      <c r="U11" s="29" t="s">
        <v>174</v>
      </c>
      <c r="V11" s="49">
        <f t="shared" si="1"/>
        <v>0</v>
      </c>
    </row>
    <row r="12" spans="1:22" x14ac:dyDescent="0.15">
      <c r="A12" s="29" t="s">
        <v>41</v>
      </c>
      <c r="B12" s="30">
        <v>0</v>
      </c>
      <c r="M12" s="34" t="e">
        <f>VLOOKUP(L12,[1]characters!$A:$C,3,FALSE)</f>
        <v>#N/A</v>
      </c>
      <c r="N12" s="58"/>
      <c r="O12" s="34" t="e">
        <f>VLOOKUP(L12,[1]characters!$A:$I,9,FALSE)</f>
        <v>#N/A</v>
      </c>
      <c r="P12" s="34" t="e">
        <f>VLOOKUP(L12,[1]characters!$A:$J,10,FALSE)</f>
        <v>#N/A</v>
      </c>
      <c r="Q12" s="34" t="e">
        <f>VLOOKUP(L12,tables_settle_7112100!B:C,2,FALSE)</f>
        <v>#N/A</v>
      </c>
      <c r="R12" s="57">
        <f t="shared" si="0"/>
        <v>0</v>
      </c>
      <c r="S12">
        <v>496</v>
      </c>
      <c r="U12" s="29" t="s">
        <v>82</v>
      </c>
      <c r="V12" s="49">
        <f t="shared" si="1"/>
        <v>0</v>
      </c>
    </row>
    <row r="13" spans="1:22" x14ac:dyDescent="0.15">
      <c r="M13" s="34" t="e">
        <f>VLOOKUP(L13,[1]characters!$A:$C,3,FALSE)</f>
        <v>#N/A</v>
      </c>
      <c r="N13" s="58"/>
      <c r="O13" s="34" t="e">
        <f>VLOOKUP(L13,[1]characters!$A:$I,9,FALSE)</f>
        <v>#N/A</v>
      </c>
      <c r="P13" s="34" t="e">
        <f>VLOOKUP(L13,[1]characters!$A:$J,10,FALSE)</f>
        <v>#N/A</v>
      </c>
      <c r="Q13" s="34" t="e">
        <f>VLOOKUP(L13,tables_settle_7112100!B:C,2,FALSE)</f>
        <v>#N/A</v>
      </c>
      <c r="R13" s="57">
        <f t="shared" si="0"/>
        <v>0</v>
      </c>
      <c r="S13">
        <v>497</v>
      </c>
      <c r="U13" s="29" t="s">
        <v>83</v>
      </c>
      <c r="V13" s="49">
        <f t="shared" si="1"/>
        <v>0</v>
      </c>
    </row>
    <row r="14" spans="1:22" x14ac:dyDescent="0.15">
      <c r="M14" s="34" t="e">
        <f>VLOOKUP(L14,[1]characters!$A:$C,3,FALSE)</f>
        <v>#N/A</v>
      </c>
      <c r="N14" s="58"/>
      <c r="O14" s="34" t="e">
        <f>VLOOKUP(L14,[1]characters!$A:$I,9,FALSE)</f>
        <v>#N/A</v>
      </c>
      <c r="P14" s="34" t="e">
        <f>VLOOKUP(L14,[1]characters!$A:$J,10,FALSE)</f>
        <v>#N/A</v>
      </c>
      <c r="Q14" s="34" t="e">
        <f>VLOOKUP(L14,tables_settle_7112100!B:C,2,FALSE)</f>
        <v>#N/A</v>
      </c>
      <c r="R14" s="57">
        <f t="shared" si="0"/>
        <v>0</v>
      </c>
      <c r="S14">
        <v>498</v>
      </c>
      <c r="U14" s="29" t="s">
        <v>178</v>
      </c>
      <c r="V14" s="49">
        <f t="shared" si="1"/>
        <v>0</v>
      </c>
    </row>
    <row r="15" spans="1:22" x14ac:dyDescent="0.15">
      <c r="A15" s="33" t="s">
        <v>43</v>
      </c>
      <c r="B15" s="33"/>
      <c r="C15" t="s">
        <v>69</v>
      </c>
      <c r="M15" s="34" t="e">
        <f>VLOOKUP(L15,[1]characters!$A:$C,3,FALSE)</f>
        <v>#N/A</v>
      </c>
      <c r="N15" s="58"/>
      <c r="O15" s="34" t="e">
        <f>VLOOKUP(L15,[1]characters!$A:$I,9,FALSE)</f>
        <v>#N/A</v>
      </c>
      <c r="P15" s="34" t="e">
        <f>VLOOKUP(L15,[1]characters!$A:$J,10,FALSE)</f>
        <v>#N/A</v>
      </c>
      <c r="Q15" s="34" t="e">
        <f>VLOOKUP(L15,tables_settle_7112100!B:C,2,FALSE)</f>
        <v>#N/A</v>
      </c>
      <c r="R15" s="57">
        <f t="shared" si="0"/>
        <v>0</v>
      </c>
      <c r="S15">
        <v>395</v>
      </c>
      <c r="U15" s="29" t="s">
        <v>177</v>
      </c>
      <c r="V15" s="49">
        <f t="shared" si="1"/>
        <v>0</v>
      </c>
    </row>
    <row r="16" spans="1:22" x14ac:dyDescent="0.15">
      <c r="A16" s="29" t="s">
        <v>46</v>
      </c>
      <c r="B16" s="29" t="s">
        <v>171</v>
      </c>
      <c r="C16" s="34" t="s">
        <v>47</v>
      </c>
      <c r="D16" s="34" t="s">
        <v>48</v>
      </c>
      <c r="E16" t="s">
        <v>58</v>
      </c>
      <c r="F16" t="s">
        <v>57</v>
      </c>
      <c r="G16" t="s">
        <v>60</v>
      </c>
      <c r="H16" t="s">
        <v>191</v>
      </c>
      <c r="I16" t="s">
        <v>61</v>
      </c>
      <c r="J16" t="s">
        <v>63</v>
      </c>
      <c r="M16" s="34" t="e">
        <f>VLOOKUP(L16,[1]characters!$A:$C,3,FALSE)</f>
        <v>#N/A</v>
      </c>
      <c r="N16" s="58"/>
      <c r="O16" s="34" t="e">
        <f>VLOOKUP(L16,[1]characters!$A:$I,9,FALSE)</f>
        <v>#N/A</v>
      </c>
      <c r="P16" s="34" t="e">
        <f>VLOOKUP(L16,[1]characters!$A:$J,10,FALSE)</f>
        <v>#N/A</v>
      </c>
      <c r="Q16" s="34" t="e">
        <f>VLOOKUP(L16,tables_settle_7112100!B:C,2,FALSE)</f>
        <v>#N/A</v>
      </c>
      <c r="R16" s="57">
        <f t="shared" si="0"/>
        <v>0</v>
      </c>
      <c r="S16">
        <v>396</v>
      </c>
      <c r="U16" s="29" t="s">
        <v>84</v>
      </c>
      <c r="V16" s="49">
        <f t="shared" si="1"/>
        <v>0</v>
      </c>
    </row>
    <row r="17" spans="1:19" x14ac:dyDescent="0.15">
      <c r="A17" s="29" t="s">
        <v>169</v>
      </c>
      <c r="B17" s="79">
        <v>0</v>
      </c>
      <c r="C17" s="69">
        <f t="shared" ref="C17:C31" si="2">SUMIF(Q:Q,A17,N:N)</f>
        <v>0</v>
      </c>
      <c r="D17" s="70">
        <f t="shared" ref="D17:D32" si="3">B17-C17</f>
        <v>0</v>
      </c>
      <c r="E17">
        <f>COUNTIF(tables_settle_7112100!C:C,input_settle_7112100!A17)-COUNTIF(Q:Q,A17)</f>
        <v>0</v>
      </c>
      <c r="F17" s="40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4" t="e">
        <f>VLOOKUP(L17,[1]characters!$A:$C,3,FALSE)</f>
        <v>#N/A</v>
      </c>
      <c r="N17" s="58"/>
      <c r="O17" s="34" t="e">
        <f>VLOOKUP(L17,[1]characters!$A:$I,9,FALSE)</f>
        <v>#N/A</v>
      </c>
      <c r="P17" s="34" t="e">
        <f>VLOOKUP(L17,[1]characters!$A:$J,10,FALSE)</f>
        <v>#N/A</v>
      </c>
      <c r="Q17" s="34" t="e">
        <f>VLOOKUP(L17,tables_settle_7112100!B:C,2,FALSE)</f>
        <v>#N/A</v>
      </c>
      <c r="R17" s="57">
        <f t="shared" si="0"/>
        <v>0</v>
      </c>
      <c r="S17">
        <v>397</v>
      </c>
    </row>
    <row r="18" spans="1:19" x14ac:dyDescent="0.15">
      <c r="A18" s="29" t="s">
        <v>170</v>
      </c>
      <c r="B18" s="79">
        <v>0</v>
      </c>
      <c r="C18" s="69">
        <f t="shared" si="2"/>
        <v>0</v>
      </c>
      <c r="D18" s="70">
        <f t="shared" si="3"/>
        <v>0</v>
      </c>
      <c r="E18">
        <f>COUNTIF(tables_settle_7112100!C:C,input_settle_7112100!A18)-COUNTIF(Q:Q,A18)</f>
        <v>0</v>
      </c>
      <c r="F18" s="40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4" t="e">
        <f>VLOOKUP(L18,[1]characters!$A:$C,3,FALSE)</f>
        <v>#N/A</v>
      </c>
      <c r="N18" s="58"/>
      <c r="O18" s="34" t="e">
        <f>VLOOKUP(L18,[1]characters!$A:$I,9,FALSE)</f>
        <v>#N/A</v>
      </c>
      <c r="P18" s="34" t="e">
        <f>VLOOKUP(L18,[1]characters!$A:$J,10,FALSE)</f>
        <v>#N/A</v>
      </c>
      <c r="Q18" s="34" t="e">
        <f>VLOOKUP(L18,tables_settle_7112100!B:C,2,FALSE)</f>
        <v>#N/A</v>
      </c>
      <c r="R18" s="57">
        <f t="shared" si="0"/>
        <v>0</v>
      </c>
      <c r="S18">
        <v>324</v>
      </c>
    </row>
    <row r="19" spans="1:19" x14ac:dyDescent="0.15">
      <c r="A19" s="29" t="s">
        <v>74</v>
      </c>
      <c r="B19" s="51">
        <v>0</v>
      </c>
      <c r="C19" s="69">
        <f t="shared" si="2"/>
        <v>0</v>
      </c>
      <c r="D19" s="70">
        <f t="shared" si="3"/>
        <v>0</v>
      </c>
      <c r="E19">
        <f>COUNTIF(tables_settle_7112100!C:C,input_settle_7112100!A19)-COUNTIF(Q:Q,A19)</f>
        <v>0</v>
      </c>
      <c r="F19" s="40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4" t="e">
        <f>VLOOKUP(L19,[1]characters!$A:$C,3,FALSE)</f>
        <v>#N/A</v>
      </c>
      <c r="N19" s="58"/>
      <c r="O19" s="34" t="e">
        <f>VLOOKUP(L19,[1]characters!$A:$I,9,FALSE)</f>
        <v>#N/A</v>
      </c>
      <c r="P19" s="34" t="e">
        <f>VLOOKUP(L19,[1]characters!$A:$J,10,FALSE)</f>
        <v>#N/A</v>
      </c>
      <c r="Q19" s="34" t="e">
        <f>VLOOKUP(L19,tables_settle_7112100!B:C,2,FALSE)</f>
        <v>#N/A</v>
      </c>
      <c r="R19" s="57">
        <f t="shared" si="0"/>
        <v>0</v>
      </c>
      <c r="S19">
        <v>325</v>
      </c>
    </row>
    <row r="20" spans="1:19" x14ac:dyDescent="0.15">
      <c r="A20" s="29" t="s">
        <v>75</v>
      </c>
      <c r="B20" s="51">
        <v>0</v>
      </c>
      <c r="C20" s="69">
        <f t="shared" si="2"/>
        <v>0</v>
      </c>
      <c r="D20" s="70">
        <f t="shared" si="3"/>
        <v>0</v>
      </c>
      <c r="E20">
        <f>COUNTIF(tables_settle_7112100!C:C,input_settle_7112100!A20)-COUNTIF(Q:Q,A20)</f>
        <v>0</v>
      </c>
      <c r="F20" s="40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4" t="e">
        <f>VLOOKUP(L20,[1]characters!$A:$C,3,FALSE)</f>
        <v>#N/A</v>
      </c>
      <c r="N20" s="58"/>
      <c r="O20" s="34" t="e">
        <f>VLOOKUP(L20,[1]characters!$A:$I,9,FALSE)</f>
        <v>#N/A</v>
      </c>
      <c r="P20" s="34" t="e">
        <f>VLOOKUP(L20,[1]characters!$A:$J,10,FALSE)</f>
        <v>#N/A</v>
      </c>
      <c r="Q20" s="34" t="e">
        <f>VLOOKUP(L20,tables_settle_7112100!B:C,2,FALSE)</f>
        <v>#N/A</v>
      </c>
      <c r="R20" s="57">
        <f t="shared" si="0"/>
        <v>0</v>
      </c>
      <c r="S20">
        <v>809</v>
      </c>
    </row>
    <row r="21" spans="1:19" x14ac:dyDescent="0.15">
      <c r="A21" s="29" t="s">
        <v>76</v>
      </c>
      <c r="B21" s="80" t="e">
        <v>#DIV/0!</v>
      </c>
      <c r="C21" s="69">
        <f t="shared" si="2"/>
        <v>0</v>
      </c>
      <c r="D21" s="70" t="e">
        <f t="shared" si="3"/>
        <v>#DIV/0!</v>
      </c>
      <c r="E21">
        <f>COUNTIF(tables_settle_7112100!C:C,input_settle_7112100!A21)-COUNTIF(Q:Q,A21)</f>
        <v>0</v>
      </c>
      <c r="F21" s="40">
        <f t="shared" si="7"/>
        <v>0</v>
      </c>
      <c r="G21" t="e">
        <f t="shared" si="8"/>
        <v>#DIV/0!</v>
      </c>
      <c r="H21">
        <f t="shared" si="4"/>
        <v>0</v>
      </c>
      <c r="I21">
        <f t="shared" si="5"/>
        <v>0</v>
      </c>
      <c r="J21">
        <f t="shared" si="6"/>
        <v>1</v>
      </c>
      <c r="L21" s="52"/>
      <c r="M21" s="52"/>
      <c r="N21" s="53"/>
      <c r="O21" s="52"/>
      <c r="P21" s="52"/>
      <c r="Q21" s="52"/>
      <c r="R21" s="54"/>
    </row>
    <row r="22" spans="1:19" x14ac:dyDescent="0.15">
      <c r="A22" s="29" t="s">
        <v>175</v>
      </c>
      <c r="B22" s="65">
        <v>0</v>
      </c>
      <c r="C22" s="69">
        <f t="shared" si="2"/>
        <v>0</v>
      </c>
      <c r="D22" s="70">
        <f t="shared" si="3"/>
        <v>0</v>
      </c>
      <c r="E22">
        <f>COUNTIF(tables_settle_7112100!C:C,input_settle_7112100!A22)-COUNTIF(Q:Q,A22)</f>
        <v>0</v>
      </c>
      <c r="F22" s="40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2"/>
      <c r="M22" s="52"/>
      <c r="N22" s="53"/>
      <c r="O22" s="52"/>
      <c r="P22" s="52"/>
      <c r="Q22" s="52"/>
      <c r="R22" s="54"/>
    </row>
    <row r="23" spans="1:19" x14ac:dyDescent="0.15">
      <c r="A23" s="29" t="s">
        <v>176</v>
      </c>
      <c r="B23" s="81" t="e">
        <f>B7-B26-B28-B29-B21</f>
        <v>#DIV/0!</v>
      </c>
      <c r="C23" s="69">
        <f t="shared" si="2"/>
        <v>0</v>
      </c>
      <c r="D23" s="70" t="e">
        <f t="shared" si="3"/>
        <v>#DIV/0!</v>
      </c>
      <c r="E23">
        <f>COUNTIF(tables_settle_7112100!C:C,input_settle_7112100!A23)-COUNTIF(Q:Q,A23)</f>
        <v>0</v>
      </c>
      <c r="F23" s="40">
        <f t="shared" si="7"/>
        <v>0</v>
      </c>
      <c r="G23" t="e">
        <f t="shared" si="8"/>
        <v>#DIV/0!</v>
      </c>
      <c r="H23">
        <f t="shared" si="4"/>
        <v>0</v>
      </c>
      <c r="I23">
        <f t="shared" si="5"/>
        <v>0</v>
      </c>
      <c r="J23">
        <f t="shared" si="6"/>
        <v>1</v>
      </c>
      <c r="L23" s="52"/>
      <c r="M23" s="52"/>
      <c r="N23" s="53"/>
      <c r="O23" s="52"/>
      <c r="P23" s="52"/>
      <c r="Q23" s="52"/>
      <c r="R23" s="54"/>
    </row>
    <row r="24" spans="1:19" x14ac:dyDescent="0.15">
      <c r="A24" s="29" t="s">
        <v>172</v>
      </c>
      <c r="B24" s="39">
        <v>0</v>
      </c>
      <c r="C24" s="69">
        <f t="shared" si="2"/>
        <v>0</v>
      </c>
      <c r="D24" s="70">
        <f t="shared" si="3"/>
        <v>0</v>
      </c>
      <c r="E24">
        <f>COUNTIF(tables_settle_7112100!C:C,input_settle_7112100!A24)-COUNTIF(Q:Q,A24)</f>
        <v>0</v>
      </c>
      <c r="F24" s="40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2"/>
      <c r="M24" s="52"/>
      <c r="N24" s="53"/>
      <c r="O24" s="52"/>
      <c r="P24" s="52"/>
      <c r="Q24" s="52"/>
      <c r="R24" s="54"/>
    </row>
    <row r="25" spans="1:19" x14ac:dyDescent="0.15">
      <c r="A25" s="29" t="s">
        <v>173</v>
      </c>
      <c r="B25" s="39">
        <v>0</v>
      </c>
      <c r="C25" s="69">
        <f t="shared" si="2"/>
        <v>0</v>
      </c>
      <c r="D25" s="70">
        <f t="shared" si="3"/>
        <v>0</v>
      </c>
      <c r="E25">
        <f>COUNTIF(tables_settle_7112100!C:C,input_settle_7112100!A25)-COUNTIF(Q:Q,A25)</f>
        <v>0</v>
      </c>
      <c r="F25" s="40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2"/>
      <c r="M25" s="52"/>
      <c r="N25" s="53"/>
      <c r="O25" s="52"/>
      <c r="P25" s="52"/>
      <c r="Q25" s="52"/>
      <c r="R25" s="54"/>
    </row>
    <row r="26" spans="1:19" x14ac:dyDescent="0.15">
      <c r="A26" s="29" t="s">
        <v>174</v>
      </c>
      <c r="B26" s="39">
        <v>7.4999999999999997E-3</v>
      </c>
      <c r="C26" s="69">
        <f t="shared" si="2"/>
        <v>0</v>
      </c>
      <c r="D26" s="70">
        <f t="shared" si="3"/>
        <v>7.4999999999999997E-3</v>
      </c>
      <c r="E26">
        <f>COUNTIF(tables_settle_7112100!C:C,input_settle_7112100!A26)-COUNTIF(Q:Q,A26)</f>
        <v>4</v>
      </c>
      <c r="F26" s="40">
        <f t="shared" si="7"/>
        <v>1.8749999999999999E-3</v>
      </c>
      <c r="G26">
        <f t="shared" si="8"/>
        <v>0</v>
      </c>
      <c r="H26">
        <f t="shared" si="4"/>
        <v>0</v>
      </c>
      <c r="I26">
        <f t="shared" si="5"/>
        <v>0</v>
      </c>
      <c r="J26">
        <f t="shared" si="6"/>
        <v>1</v>
      </c>
      <c r="L26" s="52"/>
      <c r="M26" s="52"/>
      <c r="N26" s="53"/>
      <c r="O26" s="52"/>
      <c r="P26" s="52"/>
      <c r="Q26" s="52"/>
      <c r="R26" s="54"/>
    </row>
    <row r="27" spans="1:19" x14ac:dyDescent="0.15">
      <c r="A27" s="29" t="s">
        <v>82</v>
      </c>
      <c r="B27" s="39">
        <v>0</v>
      </c>
      <c r="C27" s="69">
        <f t="shared" si="2"/>
        <v>0</v>
      </c>
      <c r="D27" s="70">
        <f t="shared" si="3"/>
        <v>0</v>
      </c>
      <c r="E27">
        <f>COUNTIF(tables_settle_7112100!C:C,input_settle_7112100!A27)-COUNTIF(Q:Q,A27)</f>
        <v>0</v>
      </c>
      <c r="F27" s="40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2"/>
      <c r="M27" s="52"/>
      <c r="N27" s="53"/>
      <c r="O27" s="52"/>
      <c r="P27" s="52"/>
      <c r="Q27" s="52"/>
      <c r="R27" s="54"/>
    </row>
    <row r="28" spans="1:19" x14ac:dyDescent="0.15">
      <c r="A28" s="29" t="s">
        <v>83</v>
      </c>
      <c r="B28" s="39">
        <v>5.2499999999999998E-2</v>
      </c>
      <c r="C28" s="69">
        <f t="shared" si="2"/>
        <v>0</v>
      </c>
      <c r="D28" s="70">
        <f t="shared" si="3"/>
        <v>5.2499999999999998E-2</v>
      </c>
      <c r="E28">
        <f>COUNTIF(tables_settle_7112100!C:C,input_settle_7112100!A28)-COUNTIF(Q:Q,A28)</f>
        <v>18</v>
      </c>
      <c r="F28" s="40">
        <f t="shared" si="7"/>
        <v>2.9166666666666664E-3</v>
      </c>
      <c r="G28">
        <f t="shared" si="8"/>
        <v>0</v>
      </c>
      <c r="H28">
        <f t="shared" si="4"/>
        <v>0</v>
      </c>
      <c r="I28">
        <f t="shared" si="5"/>
        <v>0</v>
      </c>
      <c r="J28">
        <f t="shared" si="6"/>
        <v>1</v>
      </c>
      <c r="L28" s="52"/>
      <c r="M28" s="52"/>
      <c r="N28" s="53"/>
      <c r="O28" s="52"/>
      <c r="P28" s="52"/>
      <c r="Q28" s="52"/>
      <c r="R28" s="54"/>
    </row>
    <row r="29" spans="1:19" x14ac:dyDescent="0.15">
      <c r="A29" s="29" t="s">
        <v>178</v>
      </c>
      <c r="B29" s="39">
        <v>3.7499999999999999E-3</v>
      </c>
      <c r="C29" s="69">
        <f t="shared" si="2"/>
        <v>0</v>
      </c>
      <c r="D29" s="70">
        <f t="shared" si="3"/>
        <v>3.7499999999999999E-3</v>
      </c>
      <c r="E29">
        <f>COUNTIF(tables_settle_7112100!C:C,input_settle_7112100!A29)-COUNTIF(Q:Q,A29)</f>
        <v>14</v>
      </c>
      <c r="F29" s="40">
        <f>IFERROR(B29/E29,0)</f>
        <v>2.6785714285714287E-4</v>
      </c>
      <c r="G29">
        <f t="shared" si="8"/>
        <v>0</v>
      </c>
      <c r="H29">
        <f t="shared" si="4"/>
        <v>0</v>
      </c>
      <c r="I29">
        <f t="shared" si="5"/>
        <v>0</v>
      </c>
      <c r="J29">
        <f t="shared" si="6"/>
        <v>1</v>
      </c>
      <c r="L29" s="52"/>
      <c r="M29" s="52"/>
      <c r="N29" s="53"/>
      <c r="O29" s="52"/>
      <c r="P29" s="52"/>
      <c r="Q29" s="52"/>
      <c r="R29" s="54"/>
    </row>
    <row r="30" spans="1:19" x14ac:dyDescent="0.15">
      <c r="A30" s="29" t="s">
        <v>177</v>
      </c>
      <c r="B30" s="39">
        <v>0</v>
      </c>
      <c r="C30" s="69">
        <f t="shared" si="2"/>
        <v>0</v>
      </c>
      <c r="D30" s="70">
        <f t="shared" si="3"/>
        <v>0</v>
      </c>
      <c r="E30">
        <f>COUNTIF(tables_settle_7112100!C:C,input_settle_7112100!A30)-COUNTIF(Q:Q,A30)</f>
        <v>0</v>
      </c>
      <c r="F30" s="40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2"/>
      <c r="M30" s="52"/>
      <c r="N30" s="53"/>
      <c r="O30" s="52"/>
      <c r="P30" s="52"/>
      <c r="Q30" s="52"/>
      <c r="R30" s="54"/>
    </row>
    <row r="31" spans="1:19" x14ac:dyDescent="0.15">
      <c r="A31" s="29" t="s">
        <v>84</v>
      </c>
      <c r="B31" s="39">
        <v>0</v>
      </c>
      <c r="C31" s="69">
        <f t="shared" si="2"/>
        <v>0</v>
      </c>
      <c r="D31" s="70">
        <f t="shared" si="3"/>
        <v>0</v>
      </c>
      <c r="E31">
        <f>COUNTIF(tables_settle_7112100!C:C,input_settle_7112100!A31)-COUNTIF(Q:Q,A31)</f>
        <v>0</v>
      </c>
      <c r="F31" s="40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2"/>
      <c r="M31" s="52"/>
      <c r="N31" s="53"/>
      <c r="O31" s="52"/>
      <c r="P31" s="52"/>
      <c r="Q31" s="52"/>
      <c r="R31" s="54"/>
    </row>
    <row r="32" spans="1:19" x14ac:dyDescent="0.15">
      <c r="A32" s="36" t="s">
        <v>45</v>
      </c>
      <c r="B32" s="37" t="e">
        <f>SUM(B17:B31)</f>
        <v>#DIV/0!</v>
      </c>
      <c r="C32" s="38">
        <f>SUM(C19:C31)</f>
        <v>0</v>
      </c>
      <c r="D32" s="39" t="e">
        <f t="shared" si="3"/>
        <v>#DIV/0!</v>
      </c>
      <c r="L32" s="52"/>
      <c r="M32" s="52"/>
      <c r="N32" s="52"/>
      <c r="O32" s="52"/>
      <c r="P32" s="52"/>
      <c r="Q32" s="52"/>
      <c r="R32" s="54"/>
    </row>
    <row r="35" spans="1:7" x14ac:dyDescent="0.15">
      <c r="A35" t="s">
        <v>59</v>
      </c>
    </row>
    <row r="36" spans="1:7" x14ac:dyDescent="0.15">
      <c r="A36" s="28">
        <f>LCM(F5-I5,F6-I6)*1000*2*2</f>
        <v>0</v>
      </c>
    </row>
    <row r="38" spans="1:7" x14ac:dyDescent="0.15">
      <c r="A38" s="44" t="s">
        <v>62</v>
      </c>
    </row>
    <row r="39" spans="1:7" x14ac:dyDescent="0.15">
      <c r="A39" s="29" t="s">
        <v>46</v>
      </c>
      <c r="B39" t="s">
        <v>60</v>
      </c>
      <c r="C39" t="s">
        <v>77</v>
      </c>
      <c r="E39" t="s">
        <v>78</v>
      </c>
      <c r="F39" t="s">
        <v>2</v>
      </c>
      <c r="G39" t="s">
        <v>49</v>
      </c>
    </row>
    <row r="40" spans="1:7" x14ac:dyDescent="0.15">
      <c r="A40" s="29" t="s">
        <v>79</v>
      </c>
      <c r="B40">
        <f>SUMIF(tables_settle_7112100!C:C,input_settle_7112100!A40,tables_settle_7112100!O:O)</f>
        <v>0</v>
      </c>
      <c r="C40" s="49">
        <f t="shared" ref="C40:C46" si="9">B40/B$47</f>
        <v>0</v>
      </c>
      <c r="E40">
        <v>3</v>
      </c>
      <c r="F40">
        <f>SUMIF(tables_settle_7112100!J:J,input_settle_7112100!E40,tables_settle_7112100!O:O)</f>
        <v>0</v>
      </c>
      <c r="G40" t="e">
        <f>F40/A36</f>
        <v>#DIV/0!</v>
      </c>
    </row>
    <row r="41" spans="1:7" x14ac:dyDescent="0.15">
      <c r="A41" s="29" t="s">
        <v>80</v>
      </c>
      <c r="B41">
        <f>SUMIF(tables_settle_7112100!C:C,input_settle_7112100!A41,tables_settle_7112100!O:O)</f>
        <v>0</v>
      </c>
      <c r="C41" s="49">
        <f t="shared" si="9"/>
        <v>0</v>
      </c>
      <c r="E41">
        <v>4</v>
      </c>
      <c r="F41">
        <f>SUMIF(tables_settle_7112100!J:J,input_settle_7112100!E41,tables_settle_7112100!O:O)</f>
        <v>0</v>
      </c>
      <c r="G41" t="e">
        <f>F41/A36</f>
        <v>#DIV/0!</v>
      </c>
    </row>
    <row r="42" spans="1:7" x14ac:dyDescent="0.15">
      <c r="A42" s="29" t="s">
        <v>85</v>
      </c>
      <c r="B42">
        <f>SUMIF(tables_settle_7112100!C:C,input_settle_7112100!A42,tables_settle_7112100!O:O)</f>
        <v>0</v>
      </c>
      <c r="C42" s="49">
        <f t="shared" si="9"/>
        <v>0</v>
      </c>
      <c r="E42">
        <v>5</v>
      </c>
      <c r="F42">
        <f>SUMIF(tables_settle_7112100!J:J,input_settle_7112100!E42,tables_settle_7112100!O:O)</f>
        <v>360</v>
      </c>
      <c r="G42" t="e">
        <f>F42/A36</f>
        <v>#DIV/0!</v>
      </c>
    </row>
    <row r="43" spans="1:7" x14ac:dyDescent="0.15">
      <c r="A43" s="29" t="s">
        <v>86</v>
      </c>
      <c r="B43">
        <f>SUMIF(tables_settle_7112100!C:C,input_settle_7112100!A43,tables_settle_7112100!O:O)</f>
        <v>0</v>
      </c>
      <c r="C43" s="49">
        <f t="shared" si="9"/>
        <v>0</v>
      </c>
      <c r="F43" s="50"/>
    </row>
    <row r="44" spans="1:7" x14ac:dyDescent="0.15">
      <c r="A44" s="29" t="s">
        <v>81</v>
      </c>
      <c r="B44">
        <f>SUMIF(tables_settle_7112100!C:C,input_settle_7112100!A44,tables_settle_7112100!O:O)</f>
        <v>0</v>
      </c>
      <c r="C44" s="49">
        <f t="shared" si="9"/>
        <v>0</v>
      </c>
      <c r="E44" t="s">
        <v>40</v>
      </c>
      <c r="F44" s="50"/>
    </row>
    <row r="45" spans="1:7" x14ac:dyDescent="0.15">
      <c r="A45" s="29" t="s">
        <v>87</v>
      </c>
      <c r="B45">
        <f>SUMIF(tables_settle_7112100!C:C,input_settle_7112100!A45,tables_settle_7112100!O:O)</f>
        <v>180</v>
      </c>
      <c r="C45" s="49">
        <f t="shared" si="9"/>
        <v>1</v>
      </c>
      <c r="E45" t="s">
        <v>183</v>
      </c>
      <c r="F45" s="50">
        <f>SUMIF(tables_settle_7112100!I:I,input_settle_7112100!E45,tables_settle_7112100!P:P)</f>
        <v>0</v>
      </c>
    </row>
    <row r="46" spans="1:7" x14ac:dyDescent="0.15">
      <c r="A46" s="29" t="s">
        <v>88</v>
      </c>
      <c r="B46">
        <f>SUMIF(tables_settle_7112100!C:C,input_settle_7112100!A46,tables_settle_7112100!O:O)</f>
        <v>0</v>
      </c>
      <c r="C46" s="49">
        <f t="shared" si="9"/>
        <v>0</v>
      </c>
      <c r="E46" t="s">
        <v>184</v>
      </c>
      <c r="F46" s="50">
        <f>SUMIF(tables_settle_7112100!I:I,input_settle_7112100!E46,tables_settle_7112100!P:P)</f>
        <v>8.3333333333333329E-2</v>
      </c>
    </row>
    <row r="47" spans="1:7" x14ac:dyDescent="0.15">
      <c r="A47" s="36" t="s">
        <v>45</v>
      </c>
      <c r="B47">
        <f>SUM(B40:B46)</f>
        <v>180</v>
      </c>
      <c r="C47" s="50">
        <f>SUM(C40:C46)</f>
        <v>1</v>
      </c>
      <c r="E47" t="s">
        <v>185</v>
      </c>
      <c r="F47" s="50">
        <f>SUMIF(tables_settle_7112100!I:I,input_settle_7112100!E47,tables_settle_7112100!P:P)</f>
        <v>2.7777777777777776E-2</v>
      </c>
    </row>
    <row r="48" spans="1:7" x14ac:dyDescent="0.15">
      <c r="E48" t="s">
        <v>186</v>
      </c>
      <c r="F48" s="50">
        <f>SUMIF(tables_settle_7112100!I:I,input_settle_7112100!E48,tables_settle_7112100!P:P)</f>
        <v>0.88888888888888917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81"/>
  <sheetViews>
    <sheetView showGridLines="0" tabSelected="1" zoomScale="75" zoomScaleNormal="75" zoomScalePageLayoutView="75" workbookViewId="0">
      <pane ySplit="1" topLeftCell="A22" activePane="bottomLeft" state="frozen"/>
      <selection activeCell="E6" sqref="E6"/>
      <selection pane="bottomLeft" activeCell="H44" sqref="H4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198</v>
      </c>
      <c r="B1" s="12" t="s">
        <v>1</v>
      </c>
      <c r="C1" s="3" t="s">
        <v>23</v>
      </c>
      <c r="D1" s="3" t="s">
        <v>199</v>
      </c>
      <c r="E1" s="3" t="s">
        <v>167</v>
      </c>
      <c r="F1" s="3" t="s">
        <v>168</v>
      </c>
      <c r="G1" s="3" t="s">
        <v>200</v>
      </c>
      <c r="H1" s="3" t="s">
        <v>201</v>
      </c>
      <c r="I1" s="3" t="s">
        <v>202</v>
      </c>
      <c r="J1" s="3" t="s">
        <v>203</v>
      </c>
      <c r="K1" s="3" t="s">
        <v>204</v>
      </c>
      <c r="L1" s="3" t="s">
        <v>205</v>
      </c>
      <c r="M1" s="3" t="s">
        <v>206</v>
      </c>
      <c r="N1" s="3" t="s">
        <v>44</v>
      </c>
      <c r="O1" s="12" t="s">
        <v>207</v>
      </c>
      <c r="P1" s="3" t="s">
        <v>49</v>
      </c>
      <c r="Q1" s="12" t="s">
        <v>208</v>
      </c>
      <c r="R1" s="26" t="s">
        <v>5</v>
      </c>
      <c r="S1" s="26" t="s">
        <v>6</v>
      </c>
      <c r="T1" s="26" t="s">
        <v>7</v>
      </c>
      <c r="U1" s="26" t="s">
        <v>8</v>
      </c>
      <c r="V1" s="26" t="s">
        <v>9</v>
      </c>
    </row>
    <row r="2" spans="1:22" ht="21" customHeight="1" x14ac:dyDescent="0.15">
      <c r="A2" s="2" t="str">
        <f ca="1">input_settle_7112100!A$2</f>
        <v>7112100</v>
      </c>
      <c r="B2" s="6">
        <v>168</v>
      </c>
      <c r="C2" s="7" t="str">
        <f t="shared" ref="C2:C9" si="0">D2&amp;J2&amp;E2&amp;F2&amp;G2</f>
        <v>Premium5R6release</v>
      </c>
      <c r="D2" s="7" t="str">
        <f t="shared" ref="D2:D9" si="1">IF(I2="PremiumSS",I2,IF(I2="PremiumSSS",I2,IF(I2="PremiumW",I2,"Premium")))</f>
        <v>Premium</v>
      </c>
      <c r="E2" s="7" t="str">
        <f>IF(COUNTIF('R6追加前'!A:A,B2)=0,IF(I2="PremiumSS","R5only","R3less"),"")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2">
        <v>10</v>
      </c>
      <c r="P2" s="43">
        <f t="shared" ref="P2:P19" si="2">O2/SUM(O:O)</f>
        <v>2.7777777777777776E-2</v>
      </c>
      <c r="Q2" s="27">
        <v>1</v>
      </c>
      <c r="R2" s="27">
        <v>0</v>
      </c>
      <c r="S2" s="27">
        <v>0</v>
      </c>
      <c r="T2" s="27">
        <v>0</v>
      </c>
      <c r="U2" s="27">
        <v>0</v>
      </c>
      <c r="V2" s="27">
        <v>1</v>
      </c>
    </row>
    <row r="3" spans="1:22" ht="21" customHeight="1" x14ac:dyDescent="0.15">
      <c r="A3" s="2" t="str">
        <f ca="1">input_settle_7112100!A$2</f>
        <v>7112100</v>
      </c>
      <c r="B3" s="6">
        <v>171</v>
      </c>
      <c r="C3" s="7" t="str">
        <f t="shared" si="0"/>
        <v>Premium5R6release</v>
      </c>
      <c r="D3" s="7" t="str">
        <f t="shared" si="1"/>
        <v>Premium</v>
      </c>
      <c r="E3" s="7" t="str">
        <f>IF(COUNTIF('R6追加前'!A:A,B3)=0,IF(I3="PremiumSS","R5only","R3less"),"")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2">
        <v>10</v>
      </c>
      <c r="P3" s="43">
        <f t="shared" si="2"/>
        <v>2.7777777777777776E-2</v>
      </c>
      <c r="Q3" s="27">
        <v>1</v>
      </c>
      <c r="R3" s="27">
        <v>0</v>
      </c>
      <c r="S3" s="27">
        <v>0</v>
      </c>
      <c r="T3" s="27">
        <v>0</v>
      </c>
      <c r="U3" s="27">
        <v>0</v>
      </c>
      <c r="V3" s="27">
        <v>1</v>
      </c>
    </row>
    <row r="4" spans="1:22" ht="21" customHeight="1" x14ac:dyDescent="0.15">
      <c r="A4" s="2" t="str">
        <f ca="1">input_settle_7112100!A$2</f>
        <v>7112100</v>
      </c>
      <c r="B4" s="6">
        <v>174</v>
      </c>
      <c r="C4" s="7" t="str">
        <f t="shared" si="0"/>
        <v>Premium5R6release</v>
      </c>
      <c r="D4" s="7" t="str">
        <f t="shared" si="1"/>
        <v>Premium</v>
      </c>
      <c r="E4" s="7" t="str">
        <f>IF(COUNTIF('R6追加前'!A:A,B4)=0,IF(I4="PremiumSS","R5only","R3less"),"")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2">
        <v>10</v>
      </c>
      <c r="P4" s="43">
        <f t="shared" si="2"/>
        <v>2.7777777777777776E-2</v>
      </c>
      <c r="Q4" s="27">
        <v>1</v>
      </c>
      <c r="R4" s="27">
        <v>0</v>
      </c>
      <c r="S4" s="27">
        <v>0</v>
      </c>
      <c r="T4" s="27">
        <v>0</v>
      </c>
      <c r="U4" s="27">
        <v>0</v>
      </c>
      <c r="V4" s="27">
        <v>1</v>
      </c>
    </row>
    <row r="5" spans="1:22" ht="21" customHeight="1" x14ac:dyDescent="0.15">
      <c r="A5" s="2" t="str">
        <f ca="1">input_settle_7112100!A$2</f>
        <v>7112100</v>
      </c>
      <c r="B5" s="5">
        <v>237</v>
      </c>
      <c r="C5" s="7" t="str">
        <f t="shared" si="0"/>
        <v>Premium5R6release</v>
      </c>
      <c r="D5" s="7" t="str">
        <f t="shared" si="1"/>
        <v>Premium</v>
      </c>
      <c r="E5" s="7" t="str">
        <f>IF(COUNTIF('R6追加前'!A:A,B5)=0,IF(I5="PremiumSS","R5only","R3less"),"")</f>
        <v/>
      </c>
      <c r="F5" s="7" t="str">
        <f>IF(COUNTIF('R6開放'!A:A,B5)&gt;0,"R6release","")</f>
        <v>R6release</v>
      </c>
      <c r="G5" s="7"/>
      <c r="H5" s="7" t="str">
        <f>VLOOKUP(B5,[1]characters!$A:$C,3,FALSE)</f>
        <v>森羅万象の神母 イザナミ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2">
        <v>10</v>
      </c>
      <c r="P5" s="43">
        <f t="shared" si="2"/>
        <v>2.7777777777777776E-2</v>
      </c>
      <c r="Q5" s="27">
        <v>1</v>
      </c>
      <c r="R5" s="27">
        <v>0</v>
      </c>
      <c r="S5" s="27">
        <v>0</v>
      </c>
      <c r="T5" s="27">
        <v>0</v>
      </c>
      <c r="U5" s="27">
        <v>0</v>
      </c>
      <c r="V5" s="27">
        <v>1</v>
      </c>
    </row>
    <row r="6" spans="1:22" ht="21" customHeight="1" x14ac:dyDescent="0.15">
      <c r="A6" s="2" t="str">
        <f ca="1">input_settle_7112100!A$2</f>
        <v>7112100</v>
      </c>
      <c r="B6" s="55">
        <v>732</v>
      </c>
      <c r="C6" s="7" t="str">
        <f t="shared" si="0"/>
        <v>PremiumSS5R5only</v>
      </c>
      <c r="D6" s="7" t="str">
        <f t="shared" si="1"/>
        <v>PremiumSS</v>
      </c>
      <c r="E6" s="7" t="str">
        <f>IF(COUNTIF('R6追加前'!A:A,B6)=0,IF(I6="PremiumSS","R5only","R3less"),"")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上杉謙信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女性</v>
      </c>
      <c r="O6" s="42">
        <v>10</v>
      </c>
      <c r="P6" s="43">
        <f t="shared" si="2"/>
        <v>2.7777777777777776E-2</v>
      </c>
      <c r="Q6" s="27">
        <v>1</v>
      </c>
      <c r="R6" s="27">
        <v>0</v>
      </c>
      <c r="S6" s="27">
        <v>0</v>
      </c>
      <c r="T6" s="27">
        <v>0</v>
      </c>
      <c r="U6" s="27">
        <v>0</v>
      </c>
      <c r="V6" s="27">
        <v>1</v>
      </c>
    </row>
    <row r="7" spans="1:22" ht="21" customHeight="1" x14ac:dyDescent="0.15">
      <c r="A7" s="2" t="str">
        <f ca="1">input_settle_7112100!A$2</f>
        <v>7112100</v>
      </c>
      <c r="B7" s="55">
        <v>734</v>
      </c>
      <c r="C7" s="7" t="str">
        <f t="shared" si="0"/>
        <v>PremiumSS5R5only</v>
      </c>
      <c r="D7" s="7" t="str">
        <f t="shared" si="1"/>
        <v>PremiumSS</v>
      </c>
      <c r="E7" s="7" t="str">
        <f>IF(COUNTIF('R6追加前'!A:A,B7)=0,IF(I7="PremiumSS","R5only","R3less"),"")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伊達政宗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balance</v>
      </c>
      <c r="M7" s="7" t="str">
        <f>VLOOKUP(B7,[1]characters!$A:$M,13,FALSE)</f>
        <v>human</v>
      </c>
      <c r="N7" s="7" t="str">
        <f>VLOOKUP(B7,[1]characters!$A:$G,7,FALSE)</f>
        <v>男性</v>
      </c>
      <c r="O7" s="42">
        <v>10</v>
      </c>
      <c r="P7" s="43">
        <f t="shared" si="2"/>
        <v>2.7777777777777776E-2</v>
      </c>
      <c r="Q7" s="27">
        <v>1</v>
      </c>
      <c r="R7" s="27">
        <v>0</v>
      </c>
      <c r="S7" s="27">
        <v>0</v>
      </c>
      <c r="T7" s="27">
        <v>0</v>
      </c>
      <c r="U7" s="27">
        <v>0</v>
      </c>
      <c r="V7" s="27">
        <v>1</v>
      </c>
    </row>
    <row r="8" spans="1:22" ht="21" customHeight="1" x14ac:dyDescent="0.15">
      <c r="A8" s="2" t="str">
        <f ca="1">input_settle_7112100!A$2</f>
        <v>7112100</v>
      </c>
      <c r="B8" s="55">
        <v>325</v>
      </c>
      <c r="C8" s="7" t="str">
        <f t="shared" si="0"/>
        <v>PremiumSS5</v>
      </c>
      <c r="D8" s="7" t="str">
        <f t="shared" si="1"/>
        <v>PremiumSS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天賦の凛志士 沖田総司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human</v>
      </c>
      <c r="N8" s="7" t="str">
        <f>VLOOKUP(B8,[1]characters!$A:$G,7,FALSE)</f>
        <v>女性</v>
      </c>
      <c r="O8" s="42">
        <v>10</v>
      </c>
      <c r="P8" s="43">
        <f t="shared" si="2"/>
        <v>2.7777777777777776E-2</v>
      </c>
      <c r="Q8" s="27">
        <v>1</v>
      </c>
      <c r="R8" s="27">
        <v>0</v>
      </c>
      <c r="S8" s="27">
        <v>0</v>
      </c>
      <c r="T8" s="27">
        <v>0</v>
      </c>
      <c r="U8" s="27">
        <v>0</v>
      </c>
      <c r="V8" s="27">
        <v>1</v>
      </c>
    </row>
    <row r="9" spans="1:22" ht="21" customHeight="1" x14ac:dyDescent="0.15">
      <c r="A9" s="2" t="str">
        <f ca="1">input_settle_7112100!A$2</f>
        <v>7112100</v>
      </c>
      <c r="B9" s="55">
        <v>391</v>
      </c>
      <c r="C9" s="7" t="str">
        <f t="shared" si="0"/>
        <v>PremiumSS5</v>
      </c>
      <c r="D9" s="7" t="str">
        <f t="shared" si="1"/>
        <v>PremiumSS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燕翼の旅人 親指姫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red</v>
      </c>
      <c r="L9" s="7" t="str">
        <f>VLOOKUP(B9,[1]characters!$A:$K,11,FALSE)</f>
        <v>heal</v>
      </c>
      <c r="M9" s="7" t="str">
        <f>VLOOKUP(B9,[1]characters!$A:$M,13,FALSE)</f>
        <v>human</v>
      </c>
      <c r="N9" s="7" t="str">
        <f>VLOOKUP(B9,[1]characters!$A:$G,7,FALSE)</f>
        <v>女性</v>
      </c>
      <c r="O9" s="42">
        <v>10</v>
      </c>
      <c r="P9" s="43">
        <f t="shared" si="2"/>
        <v>2.7777777777777776E-2</v>
      </c>
      <c r="Q9" s="27">
        <v>1</v>
      </c>
      <c r="R9" s="27">
        <v>0</v>
      </c>
      <c r="S9" s="27">
        <v>0</v>
      </c>
      <c r="T9" s="27">
        <v>0</v>
      </c>
      <c r="U9" s="27">
        <v>0</v>
      </c>
      <c r="V9" s="27">
        <v>1</v>
      </c>
    </row>
    <row r="10" spans="1:22" ht="21" customHeight="1" x14ac:dyDescent="0.15">
      <c r="A10" s="2" t="str">
        <f ca="1">input_settle_7112100!A$2</f>
        <v>7112100</v>
      </c>
      <c r="B10" s="55">
        <v>848</v>
      </c>
      <c r="C10" s="7" t="str">
        <f t="shared" ref="C10:C11" si="3">D10&amp;J10&amp;E10&amp;F10&amp;G10</f>
        <v>PremiumSS5R5only</v>
      </c>
      <c r="D10" s="7" t="str">
        <f t="shared" ref="D10:D11" si="4">IF(I10="PremiumSS",I10,IF(I10="PremiumSSS",I10,IF(I10="PremiumW",I10,"Premium")))</f>
        <v>PremiumSS</v>
      </c>
      <c r="E10" s="7" t="str">
        <f>IF(COUNTIF('R6追加前'!A:A,B10)=0,IF(I10="PremiumSS","R5only","R3less"),"")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メタトロン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god</v>
      </c>
      <c r="N10" s="7" t="str">
        <f>VLOOKUP(B10,[1]characters!$A:$G,7,FALSE)</f>
        <v>男性</v>
      </c>
      <c r="O10" s="42">
        <v>10</v>
      </c>
      <c r="P10" s="43">
        <f t="shared" si="2"/>
        <v>2.7777777777777776E-2</v>
      </c>
      <c r="Q10" s="27">
        <v>1</v>
      </c>
      <c r="R10" s="27">
        <v>0</v>
      </c>
      <c r="S10" s="27">
        <v>0</v>
      </c>
      <c r="T10" s="27">
        <v>0</v>
      </c>
      <c r="U10" s="27">
        <v>0</v>
      </c>
      <c r="V10" s="27">
        <v>1</v>
      </c>
    </row>
    <row r="11" spans="1:22" ht="21" customHeight="1" x14ac:dyDescent="0.15">
      <c r="A11" s="2" t="str">
        <f ca="1">input_settle_7112100!A$2</f>
        <v>7112100</v>
      </c>
      <c r="B11" s="55">
        <v>850</v>
      </c>
      <c r="C11" s="7" t="str">
        <f t="shared" si="3"/>
        <v>PremiumSS5R5only</v>
      </c>
      <c r="D11" s="7" t="str">
        <f t="shared" si="4"/>
        <v>PremiumSS</v>
      </c>
      <c r="E11" s="7" t="str">
        <f>IF(COUNTIF('R6追加前'!A:A,B11)=0,IF(I11="PremiumSS","R5only","R3less"),"")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バアル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technical</v>
      </c>
      <c r="M11" s="7" t="str">
        <f>VLOOKUP(B11,[1]characters!$A:$M,13,FALSE)</f>
        <v>god</v>
      </c>
      <c r="N11" s="7" t="str">
        <f>VLOOKUP(B11,[1]characters!$A:$G,7,FALSE)</f>
        <v>男性</v>
      </c>
      <c r="O11" s="42">
        <v>10</v>
      </c>
      <c r="P11" s="43">
        <f t="shared" si="2"/>
        <v>2.7777777777777776E-2</v>
      </c>
      <c r="Q11" s="27">
        <v>1</v>
      </c>
      <c r="R11" s="27">
        <v>0</v>
      </c>
      <c r="S11" s="27">
        <v>0</v>
      </c>
      <c r="T11" s="27">
        <v>0</v>
      </c>
      <c r="U11" s="27">
        <v>0</v>
      </c>
      <c r="V11" s="27">
        <v>1</v>
      </c>
    </row>
    <row r="12" spans="1:22" ht="21" customHeight="1" x14ac:dyDescent="0.15">
      <c r="A12" s="2" t="str">
        <f ca="1">input_settle_7112100!A$2</f>
        <v>7112100</v>
      </c>
      <c r="B12" s="55">
        <v>404</v>
      </c>
      <c r="C12" s="7" t="str">
        <f t="shared" ref="C12:C13" si="5">D12&amp;J12&amp;E12&amp;F12&amp;G12</f>
        <v>PremiumSS5</v>
      </c>
      <c r="D12" s="7" t="str">
        <f t="shared" ref="D12:D13" si="6">IF(I12="PremiumSS",I12,IF(I12="PremiumSSS",I12,IF(I12="PremiumW",I12,"Premium")))</f>
        <v>PremiumSS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空襲の神眼 八咫烏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animal</v>
      </c>
      <c r="N12" s="7" t="str">
        <f>VLOOKUP(B12,[1]characters!$A:$G,7,FALSE)</f>
        <v>女性</v>
      </c>
      <c r="O12" s="42">
        <v>10</v>
      </c>
      <c r="P12" s="43">
        <f t="shared" si="2"/>
        <v>2.7777777777777776E-2</v>
      </c>
      <c r="Q12" s="27">
        <v>1</v>
      </c>
      <c r="R12" s="27">
        <v>0</v>
      </c>
      <c r="S12" s="27">
        <v>0</v>
      </c>
      <c r="T12" s="27">
        <v>0</v>
      </c>
      <c r="U12" s="27">
        <v>0</v>
      </c>
      <c r="V12" s="27">
        <v>1</v>
      </c>
    </row>
    <row r="13" spans="1:22" ht="21" customHeight="1" x14ac:dyDescent="0.15">
      <c r="A13" s="2" t="str">
        <f ca="1">input_settle_7112100!A$2</f>
        <v>7112100</v>
      </c>
      <c r="B13" s="55">
        <v>399</v>
      </c>
      <c r="C13" s="7" t="str">
        <f t="shared" si="5"/>
        <v>PremiumSS5</v>
      </c>
      <c r="D13" s="7" t="str">
        <f t="shared" si="6"/>
        <v>PremiumSS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信愛の兄妹 ヘンゼル＆グレーテル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2">
        <v>10</v>
      </c>
      <c r="P13" s="43">
        <f t="shared" si="2"/>
        <v>2.7777777777777776E-2</v>
      </c>
      <c r="Q13" s="27">
        <v>1</v>
      </c>
      <c r="R13" s="27">
        <v>0</v>
      </c>
      <c r="S13" s="27">
        <v>0</v>
      </c>
      <c r="T13" s="27">
        <v>0</v>
      </c>
      <c r="U13" s="27">
        <v>0</v>
      </c>
      <c r="V13" s="27">
        <v>1</v>
      </c>
    </row>
    <row r="14" spans="1:22" ht="21" customHeight="1" x14ac:dyDescent="0.15">
      <c r="A14" s="2" t="str">
        <f ca="1">input_settle_7112100!A$2</f>
        <v>7112100</v>
      </c>
      <c r="B14" s="55">
        <v>866</v>
      </c>
      <c r="C14" s="7" t="str">
        <f t="shared" ref="C14:C15" si="7">D14&amp;J14&amp;E14&amp;F14&amp;G14</f>
        <v>PremiumSS5R5only</v>
      </c>
      <c r="D14" s="7" t="str">
        <f t="shared" ref="D14:D15" si="8">IF(I14="PremiumSS",I14,IF(I14="PremiumSSS",I14,IF(I14="PremiumW",I14,"Premium")))</f>
        <v>PremiumSS</v>
      </c>
      <c r="E14" s="7" t="str">
        <f>IF(COUNTIF('R6追加前'!A:A,B14)=0,IF(I14="PremiumSS","R5only","R3less"),"")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無敗の司令姫 白雪姫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42">
        <v>10</v>
      </c>
      <c r="P14" s="43">
        <f t="shared" si="2"/>
        <v>2.7777777777777776E-2</v>
      </c>
      <c r="Q14" s="27">
        <v>1</v>
      </c>
      <c r="R14" s="27">
        <v>0</v>
      </c>
      <c r="S14" s="27">
        <v>0</v>
      </c>
      <c r="T14" s="27">
        <v>0</v>
      </c>
      <c r="U14" s="27">
        <v>0</v>
      </c>
      <c r="V14" s="27">
        <v>1</v>
      </c>
    </row>
    <row r="15" spans="1:22" ht="21" customHeight="1" x14ac:dyDescent="0.15">
      <c r="A15" s="2" t="str">
        <f ca="1">input_settle_7112100!A$2</f>
        <v>7112100</v>
      </c>
      <c r="B15" s="55">
        <v>868</v>
      </c>
      <c r="C15" s="7" t="str">
        <f t="shared" si="7"/>
        <v>PremiumSS5R5only</v>
      </c>
      <c r="D15" s="7" t="str">
        <f t="shared" si="8"/>
        <v>PremiumSS</v>
      </c>
      <c r="E15" s="7" t="str">
        <f>IF(COUNTIF('R6追加前'!A:A,B15)=0,IF(I15="PremiumSS","R5only","R3less"),"")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アラジンと殲滅機兵LAMP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yellow</v>
      </c>
      <c r="L15" s="7" t="str">
        <f>VLOOKUP(B15,[1]characters!$A:$K,11,FALSE)</f>
        <v>hp</v>
      </c>
      <c r="M15" s="7" t="str">
        <f>VLOOKUP(B15,[1]characters!$A:$M,13,FALSE)</f>
        <v>human</v>
      </c>
      <c r="N15" s="7" t="str">
        <f>VLOOKUP(B15,[1]characters!$A:$G,7,FALSE)</f>
        <v>男性</v>
      </c>
      <c r="O15" s="42">
        <v>10</v>
      </c>
      <c r="P15" s="43">
        <f t="shared" si="2"/>
        <v>2.7777777777777776E-2</v>
      </c>
      <c r="Q15" s="27">
        <v>1</v>
      </c>
      <c r="R15" s="27">
        <v>0</v>
      </c>
      <c r="S15" s="27">
        <v>0</v>
      </c>
      <c r="T15" s="27">
        <v>0</v>
      </c>
      <c r="U15" s="27">
        <v>0</v>
      </c>
      <c r="V15" s="27">
        <v>1</v>
      </c>
    </row>
    <row r="16" spans="1:22" ht="21" customHeight="1" x14ac:dyDescent="0.15">
      <c r="A16" s="2" t="str">
        <f ca="1">input_settle_7112100!A$2</f>
        <v>7112100</v>
      </c>
      <c r="B16" s="82">
        <v>435</v>
      </c>
      <c r="C16" s="7" t="str">
        <f t="shared" ref="C16:C17" si="9">D16&amp;J16&amp;E16&amp;F16&amp;G16</f>
        <v>PremiumSS5</v>
      </c>
      <c r="D16" s="7" t="str">
        <f t="shared" ref="D16:D17" si="10">IF(I16="PremiumSS",I16,IF(I16="PremiumSSS",I16,IF(I16="PremiumW",I16,"Premium")))</f>
        <v>PremiumSS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曝弾の密偵 D.R.T.H.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balance</v>
      </c>
      <c r="M16" s="7" t="str">
        <f>VLOOKUP(B16,[1]characters!$A:$M,13,FALSE)</f>
        <v>human</v>
      </c>
      <c r="N16" s="7" t="str">
        <f>VLOOKUP(B16,[1]characters!$A:$G,7,FALSE)</f>
        <v>女性</v>
      </c>
      <c r="O16" s="42">
        <v>10</v>
      </c>
      <c r="P16" s="43">
        <f t="shared" si="2"/>
        <v>2.7777777777777776E-2</v>
      </c>
      <c r="Q16" s="27">
        <v>1</v>
      </c>
      <c r="R16" s="27">
        <v>0</v>
      </c>
      <c r="S16" s="27">
        <v>0</v>
      </c>
      <c r="T16" s="27">
        <v>0</v>
      </c>
      <c r="U16" s="27">
        <v>0</v>
      </c>
      <c r="V16" s="27">
        <v>1</v>
      </c>
    </row>
    <row r="17" spans="1:22" ht="21" customHeight="1" x14ac:dyDescent="0.15">
      <c r="A17" s="2" t="str">
        <f ca="1">input_settle_7112100!A$2</f>
        <v>7112100</v>
      </c>
      <c r="B17" s="82">
        <v>468</v>
      </c>
      <c r="C17" s="7" t="str">
        <f t="shared" si="9"/>
        <v>PremiumSS5</v>
      </c>
      <c r="D17" s="7" t="str">
        <f t="shared" si="10"/>
        <v>PremiumSS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憎愛の尖鋒 モルドレッド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technical</v>
      </c>
      <c r="M17" s="7" t="str">
        <f>VLOOKUP(B17,[1]characters!$A:$M,13,FALSE)</f>
        <v>human</v>
      </c>
      <c r="N17" s="7" t="str">
        <f>VLOOKUP(B17,[1]characters!$A:$G,7,FALSE)</f>
        <v>女性</v>
      </c>
      <c r="O17" s="42">
        <v>10</v>
      </c>
      <c r="P17" s="43">
        <f t="shared" si="2"/>
        <v>2.7777777777777776E-2</v>
      </c>
      <c r="Q17" s="27">
        <v>1</v>
      </c>
      <c r="R17" s="27">
        <v>0</v>
      </c>
      <c r="S17" s="27">
        <v>0</v>
      </c>
      <c r="T17" s="27">
        <v>0</v>
      </c>
      <c r="U17" s="27">
        <v>0</v>
      </c>
      <c r="V17" s="27">
        <v>1</v>
      </c>
    </row>
    <row r="18" spans="1:22" ht="21" customHeight="1" x14ac:dyDescent="0.15">
      <c r="A18" s="2" t="str">
        <f ca="1">input_settle_7112100!A$2</f>
        <v>7112100</v>
      </c>
      <c r="B18" s="82">
        <v>493</v>
      </c>
      <c r="C18" s="7" t="str">
        <f t="shared" ref="C18:C19" si="11">D18&amp;J18&amp;E18&amp;F18&amp;G18</f>
        <v>PremiumSS5</v>
      </c>
      <c r="D18" s="7" t="str">
        <f t="shared" ref="D18:D19" si="12">IF(I18="PremiumSS",I18,IF(I18="PremiumSSS",I18,IF(I18="PremiumW",I18,"Premium")))</f>
        <v>PremiumSS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跋扈の機脚 ブートレグ・ペロー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hp</v>
      </c>
      <c r="M18" s="7" t="str">
        <f>VLOOKUP(B18,[1]characters!$A:$M,13,FALSE)</f>
        <v>animal</v>
      </c>
      <c r="N18" s="7" t="str">
        <f>VLOOKUP(B18,[1]characters!$A:$G,7,FALSE)</f>
        <v>不明</v>
      </c>
      <c r="O18" s="42">
        <v>10</v>
      </c>
      <c r="P18" s="43">
        <f t="shared" si="2"/>
        <v>2.7777777777777776E-2</v>
      </c>
      <c r="Q18" s="27">
        <v>1</v>
      </c>
      <c r="R18" s="27">
        <v>0</v>
      </c>
      <c r="S18" s="27">
        <v>0</v>
      </c>
      <c r="T18" s="27">
        <v>0</v>
      </c>
      <c r="U18" s="27">
        <v>0</v>
      </c>
      <c r="V18" s="27">
        <v>1</v>
      </c>
    </row>
    <row r="19" spans="1:22" ht="21" customHeight="1" x14ac:dyDescent="0.15">
      <c r="A19" s="2" t="str">
        <f ca="1">input_settle_7112100!A$2</f>
        <v>7112100</v>
      </c>
      <c r="B19" s="82">
        <v>495</v>
      </c>
      <c r="C19" s="7" t="str">
        <f t="shared" si="11"/>
        <v>PremiumSS5</v>
      </c>
      <c r="D19" s="7" t="str">
        <f t="shared" si="12"/>
        <v>PremiumSS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鼠災呼ぶ笛音 ハーメルン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technical</v>
      </c>
      <c r="M19" s="7" t="str">
        <f>VLOOKUP(B19,[1]characters!$A:$M,13,FALSE)</f>
        <v>human</v>
      </c>
      <c r="N19" s="7" t="str">
        <f>VLOOKUP(B19,[1]characters!$A:$G,7,FALSE)</f>
        <v>男性</v>
      </c>
      <c r="O19" s="42">
        <v>10</v>
      </c>
      <c r="P19" s="43">
        <f t="shared" si="2"/>
        <v>2.7777777777777776E-2</v>
      </c>
      <c r="Q19" s="27">
        <v>1</v>
      </c>
      <c r="R19" s="27">
        <v>0</v>
      </c>
      <c r="S19" s="27">
        <v>0</v>
      </c>
      <c r="T19" s="27">
        <v>0</v>
      </c>
      <c r="U19" s="27">
        <v>0</v>
      </c>
      <c r="V19" s="27">
        <v>1</v>
      </c>
    </row>
    <row r="20" spans="1:22" ht="21" customHeight="1" x14ac:dyDescent="0.15">
      <c r="A20" s="2" t="str">
        <f ca="1">input_settle_7112100!A$2</f>
        <v>7112100</v>
      </c>
      <c r="B20" s="82">
        <v>659</v>
      </c>
      <c r="C20" s="7" t="str">
        <f t="shared" ref="C20:C23" si="13">D20&amp;J20&amp;E20&amp;F20&amp;G20</f>
        <v>PremiumSS5</v>
      </c>
      <c r="D20" s="7" t="str">
        <f t="shared" ref="D20:D23" si="14">IF(I20="PremiumSS",I20,IF(I20="PremiumSSS",I20,IF(I20="PremiumW",I20,"Premium")))</f>
        <v>PremiumSS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跳梁する化猫 クルミ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red</v>
      </c>
      <c r="L20" s="7" t="str">
        <f>VLOOKUP(B20,[1]characters!$A:$K,11,FALSE)</f>
        <v>attack</v>
      </c>
      <c r="M20" s="7" t="str">
        <f>VLOOKUP(B20,[1]characters!$A:$M,13,FALSE)</f>
        <v>animal</v>
      </c>
      <c r="N20" s="7" t="str">
        <f>VLOOKUP(B20,[1]characters!$A:$G,7,FALSE)</f>
        <v>女性</v>
      </c>
      <c r="O20" s="42">
        <v>10</v>
      </c>
      <c r="P20" s="43">
        <f t="shared" ref="P20:P23" si="15">O20/SUM(O:O)</f>
        <v>2.7777777777777776E-2</v>
      </c>
      <c r="Q20" s="27">
        <v>1</v>
      </c>
      <c r="R20" s="27">
        <v>0</v>
      </c>
      <c r="S20" s="27">
        <v>0</v>
      </c>
      <c r="T20" s="27">
        <v>0</v>
      </c>
      <c r="U20" s="27">
        <v>0</v>
      </c>
      <c r="V20" s="27">
        <v>1</v>
      </c>
    </row>
    <row r="21" spans="1:22" ht="21" customHeight="1" x14ac:dyDescent="0.15">
      <c r="A21" s="2" t="str">
        <f ca="1">input_settle_7112100!A$2</f>
        <v>7112100</v>
      </c>
      <c r="B21" s="82">
        <v>661</v>
      </c>
      <c r="C21" s="7" t="str">
        <f t="shared" si="13"/>
        <v>PremiumSS5</v>
      </c>
      <c r="D21" s="7" t="str">
        <f t="shared" si="14"/>
        <v>PremiumSS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疾風の天狗礫 フウガ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green</v>
      </c>
      <c r="L21" s="7" t="str">
        <f>VLOOKUP(B21,[1]characters!$A:$K,11,FALSE)</f>
        <v>balance</v>
      </c>
      <c r="M21" s="7" t="str">
        <f>VLOOKUP(B21,[1]characters!$A:$M,13,FALSE)</f>
        <v>animal</v>
      </c>
      <c r="N21" s="7" t="str">
        <f>VLOOKUP(B21,[1]characters!$A:$G,7,FALSE)</f>
        <v>男性</v>
      </c>
      <c r="O21" s="42">
        <v>10</v>
      </c>
      <c r="P21" s="43">
        <f t="shared" si="15"/>
        <v>2.7777777777777776E-2</v>
      </c>
      <c r="Q21" s="27">
        <v>1</v>
      </c>
      <c r="R21" s="27">
        <v>0</v>
      </c>
      <c r="S21" s="27">
        <v>0</v>
      </c>
      <c r="T21" s="27">
        <v>0</v>
      </c>
      <c r="U21" s="27">
        <v>0</v>
      </c>
      <c r="V21" s="27">
        <v>1</v>
      </c>
    </row>
    <row r="22" spans="1:22" ht="21" customHeight="1" x14ac:dyDescent="0.15">
      <c r="A22" s="2" t="str">
        <f ca="1">input_settle_7112100!A$2</f>
        <v>7112100</v>
      </c>
      <c r="B22" s="82">
        <v>500</v>
      </c>
      <c r="C22" s="7" t="str">
        <f t="shared" si="13"/>
        <v>PremiumSS5</v>
      </c>
      <c r="D22" s="7" t="str">
        <f t="shared" si="14"/>
        <v>PremiumSS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脈動の禁髪 ラプンツェル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balance</v>
      </c>
      <c r="M22" s="7" t="str">
        <f>VLOOKUP(B22,[1]characters!$A:$M,13,FALSE)</f>
        <v>human</v>
      </c>
      <c r="N22" s="7" t="str">
        <f>VLOOKUP(B22,[1]characters!$A:$G,7,FALSE)</f>
        <v>女性</v>
      </c>
      <c r="O22" s="42">
        <v>10</v>
      </c>
      <c r="P22" s="43">
        <f t="shared" si="15"/>
        <v>2.7777777777777776E-2</v>
      </c>
      <c r="Q22" s="27">
        <v>1</v>
      </c>
      <c r="R22" s="27">
        <v>0</v>
      </c>
      <c r="S22" s="27">
        <v>0</v>
      </c>
      <c r="T22" s="27">
        <v>0</v>
      </c>
      <c r="U22" s="27">
        <v>0</v>
      </c>
      <c r="V22" s="27">
        <v>1</v>
      </c>
    </row>
    <row r="23" spans="1:22" ht="21" customHeight="1" x14ac:dyDescent="0.15">
      <c r="A23" s="2" t="str">
        <f ca="1">input_settle_7112100!A$2</f>
        <v>7112100</v>
      </c>
      <c r="B23" s="82">
        <v>603</v>
      </c>
      <c r="C23" s="7" t="str">
        <f t="shared" si="13"/>
        <v>PremiumSS5</v>
      </c>
      <c r="D23" s="7" t="str">
        <f t="shared" si="14"/>
        <v>PremiumSS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掌愛の豊穣女神 フレイヤ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heal</v>
      </c>
      <c r="M23" s="7" t="str">
        <f>VLOOKUP(B23,[1]characters!$A:$M,13,FALSE)</f>
        <v>animal</v>
      </c>
      <c r="N23" s="7" t="str">
        <f>VLOOKUP(B23,[1]characters!$A:$G,7,FALSE)</f>
        <v>女性</v>
      </c>
      <c r="O23" s="42">
        <v>10</v>
      </c>
      <c r="P23" s="43">
        <f t="shared" si="15"/>
        <v>2.7777777777777776E-2</v>
      </c>
      <c r="Q23" s="27">
        <v>1</v>
      </c>
      <c r="R23" s="27">
        <v>0</v>
      </c>
      <c r="S23" s="27">
        <v>0</v>
      </c>
      <c r="T23" s="27">
        <v>0</v>
      </c>
      <c r="U23" s="27">
        <v>0</v>
      </c>
      <c r="V23" s="27">
        <v>1</v>
      </c>
    </row>
    <row r="24" spans="1:22" ht="21" customHeight="1" x14ac:dyDescent="0.15">
      <c r="A24" s="2" t="str">
        <f ca="1">input_settle_7112100!A$2</f>
        <v>7112100</v>
      </c>
      <c r="B24" s="82">
        <v>742</v>
      </c>
      <c r="C24" s="7" t="str">
        <f t="shared" ref="C24:C25" si="16">D24&amp;J24&amp;E24&amp;F24&amp;G24</f>
        <v>PremiumSS5R5only</v>
      </c>
      <c r="D24" s="7" t="str">
        <f t="shared" ref="D24:D25" si="17">IF(I24="PremiumSS",I24,IF(I24="PremiumSSS",I24,IF(I24="PremiumW",I24,"Premium")))</f>
        <v>PremiumSS</v>
      </c>
      <c r="E24" s="7" t="str">
        <f>IF(COUNTIF('R6追加前'!A:A,B24)=0,IF(I24="PremiumSS","R5only","R3less"),"")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アポロン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attack</v>
      </c>
      <c r="M24" s="7" t="str">
        <f>VLOOKUP(B24,[1]characters!$A:$M,13,FALSE)</f>
        <v>god</v>
      </c>
      <c r="N24" s="7" t="str">
        <f>VLOOKUP(B24,[1]characters!$A:$G,7,FALSE)</f>
        <v>男性</v>
      </c>
      <c r="O24" s="42">
        <v>10</v>
      </c>
      <c r="P24" s="43">
        <f>O24/SUM(O:O)</f>
        <v>2.7777777777777776E-2</v>
      </c>
      <c r="Q24" s="27">
        <v>1</v>
      </c>
      <c r="R24" s="27">
        <v>0</v>
      </c>
      <c r="S24" s="27">
        <v>0</v>
      </c>
      <c r="T24" s="27">
        <v>0</v>
      </c>
      <c r="U24" s="27">
        <v>0</v>
      </c>
      <c r="V24" s="27">
        <v>1</v>
      </c>
    </row>
    <row r="25" spans="1:22" ht="21" customHeight="1" x14ac:dyDescent="0.15">
      <c r="A25" s="2" t="str">
        <f ca="1">input_settle_7112100!A$2</f>
        <v>7112100</v>
      </c>
      <c r="B25" s="82">
        <v>744</v>
      </c>
      <c r="C25" s="7" t="str">
        <f t="shared" si="16"/>
        <v>PremiumSS5R5only</v>
      </c>
      <c r="D25" s="7" t="str">
        <f t="shared" si="17"/>
        <v>PremiumSS</v>
      </c>
      <c r="E25" s="7" t="str">
        <f>IF(COUNTIF('R6追加前'!A:A,B25)=0,IF(I25="PremiumSS","R5only","R3less"),"")</f>
        <v>R5only</v>
      </c>
      <c r="F25" s="7" t="str">
        <f>IF(COUNTIF('R6開放'!A:A,B25)&gt;0,"R6release","")</f>
        <v/>
      </c>
      <c r="G25" s="7"/>
      <c r="H25" s="7" t="str">
        <f>VLOOKUP(B25,[1]characters!$A:$C,3,FALSE)</f>
        <v>ヘルメス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green</v>
      </c>
      <c r="L25" s="7" t="str">
        <f>VLOOKUP(B25,[1]characters!$A:$K,11,FALSE)</f>
        <v>technical</v>
      </c>
      <c r="M25" s="7" t="str">
        <f>VLOOKUP(B25,[1]characters!$A:$M,13,FALSE)</f>
        <v>god</v>
      </c>
      <c r="N25" s="7" t="str">
        <f>VLOOKUP(B25,[1]characters!$A:$G,7,FALSE)</f>
        <v>男性</v>
      </c>
      <c r="O25" s="42">
        <v>10</v>
      </c>
      <c r="P25" s="43">
        <f>O25/SUM(O:O)</f>
        <v>2.7777777777777776E-2</v>
      </c>
      <c r="Q25" s="27">
        <v>1</v>
      </c>
      <c r="R25" s="27">
        <v>0</v>
      </c>
      <c r="S25" s="27">
        <v>0</v>
      </c>
      <c r="T25" s="27">
        <v>0</v>
      </c>
      <c r="U25" s="27">
        <v>0</v>
      </c>
      <c r="V25" s="27">
        <v>1</v>
      </c>
    </row>
    <row r="26" spans="1:22" ht="21" customHeight="1" x14ac:dyDescent="0.15">
      <c r="A26" s="2" t="str">
        <f ca="1">input_settle_7112100!A$2</f>
        <v>7112100</v>
      </c>
      <c r="B26" s="82">
        <v>937</v>
      </c>
      <c r="C26" s="7" t="str">
        <f t="shared" ref="C26:C27" si="18">D26&amp;J26&amp;E26&amp;F26&amp;G26</f>
        <v>PremiumSS5R5only</v>
      </c>
      <c r="D26" s="7" t="str">
        <f t="shared" ref="D26:D27" si="19">IF(I26="PremiumSS",I26,IF(I26="PremiumSSS",I26,IF(I26="PremiumW",I26,"Premium")))</f>
        <v>PremiumSS</v>
      </c>
      <c r="E26" s="7" t="str">
        <f>IF(COUNTIF('R6追加前'!A:A,B26)=0,IF(I26="PremiumSS","R5only","R3less"),"")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ナポレオン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balance</v>
      </c>
      <c r="M26" s="7" t="str">
        <f>VLOOKUP(B26,[1]characters!$A:$M,13,FALSE)</f>
        <v>human</v>
      </c>
      <c r="N26" s="7" t="str">
        <f>VLOOKUP(B26,[1]characters!$A:$G,7,FALSE)</f>
        <v>男性</v>
      </c>
      <c r="O26" s="42">
        <v>10</v>
      </c>
      <c r="P26" s="43">
        <f>O26/SUM(O:O)</f>
        <v>2.7777777777777776E-2</v>
      </c>
      <c r="Q26" s="27">
        <v>1</v>
      </c>
      <c r="R26" s="27">
        <v>0</v>
      </c>
      <c r="S26" s="27">
        <v>0</v>
      </c>
      <c r="T26" s="27">
        <v>0</v>
      </c>
      <c r="U26" s="27">
        <v>0</v>
      </c>
      <c r="V26" s="27">
        <v>1</v>
      </c>
    </row>
    <row r="27" spans="1:22" ht="21" customHeight="1" x14ac:dyDescent="0.15">
      <c r="A27" s="2" t="str">
        <f ca="1">input_settle_7112100!A$2</f>
        <v>7112100</v>
      </c>
      <c r="B27" s="82">
        <v>941</v>
      </c>
      <c r="C27" s="7" t="str">
        <f t="shared" si="18"/>
        <v>PremiumSS5R5only</v>
      </c>
      <c r="D27" s="7" t="str">
        <f t="shared" si="19"/>
        <v>PremiumSS</v>
      </c>
      <c r="E27" s="7" t="str">
        <f>IF(COUNTIF('R6追加前'!A:A,B27)=0,IF(I27="PremiumSS","R5only","R3less"),"")</f>
        <v>R5only</v>
      </c>
      <c r="F27" s="7" t="str">
        <f>IF(COUNTIF('R6開放'!A:A,B27)&gt;0,"R6release","")</f>
        <v/>
      </c>
      <c r="G27" s="7"/>
      <c r="H27" s="7" t="str">
        <f>VLOOKUP(B27,[1]characters!$A:$C,3,FALSE)</f>
        <v>アントワネット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blue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男性</v>
      </c>
      <c r="O27" s="42">
        <v>10</v>
      </c>
      <c r="P27" s="43">
        <f>O27/SUM(O:O)</f>
        <v>2.7777777777777776E-2</v>
      </c>
      <c r="Q27" s="27">
        <v>1</v>
      </c>
      <c r="R27" s="27">
        <v>0</v>
      </c>
      <c r="S27" s="27">
        <v>0</v>
      </c>
      <c r="T27" s="27">
        <v>0</v>
      </c>
      <c r="U27" s="27">
        <v>0</v>
      </c>
      <c r="V27" s="27">
        <v>1</v>
      </c>
    </row>
    <row r="28" spans="1:22" ht="21" customHeight="1" x14ac:dyDescent="0.15">
      <c r="A28" s="2" t="str">
        <f ca="1">input_settle_7112100!A$2</f>
        <v>7112100</v>
      </c>
      <c r="B28" s="82">
        <v>943</v>
      </c>
      <c r="C28" s="7" t="str">
        <f t="shared" ref="C28" si="20">D28&amp;J28&amp;E28&amp;F28&amp;G28</f>
        <v>PremiumSS5R5only</v>
      </c>
      <c r="D28" s="7" t="str">
        <f t="shared" ref="D28" si="21">IF(I28="PremiumSS",I28,IF(I28="PremiumSSS",I28,IF(I28="PremiumW",I28,"Premium")))</f>
        <v>PremiumSS</v>
      </c>
      <c r="E28" s="7" t="str">
        <f>IF(COUNTIF('R6追加前'!A:A,B28)=0,IF(I28="PremiumSS","R5only","R3less"),"")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サンソン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yellow</v>
      </c>
      <c r="L28" s="7" t="str">
        <f>VLOOKUP(B28,[1]characters!$A:$K,11,FALSE)</f>
        <v>attack</v>
      </c>
      <c r="M28" s="7" t="str">
        <f>VLOOKUP(B28,[1]characters!$A:$M,13,FALSE)</f>
        <v>human</v>
      </c>
      <c r="N28" s="7" t="str">
        <f>VLOOKUP(B28,[1]characters!$A:$G,7,FALSE)</f>
        <v>男性</v>
      </c>
      <c r="O28" s="42">
        <v>10</v>
      </c>
      <c r="P28" s="43">
        <f>O28/SUM(O:O)</f>
        <v>2.7777777777777776E-2</v>
      </c>
      <c r="Q28" s="27">
        <v>1</v>
      </c>
      <c r="R28" s="27">
        <v>0</v>
      </c>
      <c r="S28" s="27">
        <v>0</v>
      </c>
      <c r="T28" s="27">
        <v>0</v>
      </c>
      <c r="U28" s="27">
        <v>0</v>
      </c>
      <c r="V28" s="27">
        <v>1</v>
      </c>
    </row>
    <row r="29" spans="1:22" ht="21" customHeight="1" x14ac:dyDescent="0.15">
      <c r="A29" s="2" t="str">
        <f ca="1">input_settle_7112100!A$2</f>
        <v>7112100</v>
      </c>
      <c r="B29" s="82">
        <v>321</v>
      </c>
      <c r="C29" s="7" t="str">
        <f t="shared" ref="C29:C30" si="22">D29&amp;J29&amp;E29&amp;F29&amp;G29</f>
        <v>PremiumSS5</v>
      </c>
      <c r="D29" s="7" t="str">
        <f t="shared" ref="D29:D30" si="23">IF(I29="PremiumSS",I29,IF(I29="PremiumSSS",I29,IF(I29="PremiumW",I29,"Premium")))</f>
        <v>PremiumSS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巌鉄の烈志士 近藤勇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red</v>
      </c>
      <c r="L29" s="7" t="str">
        <f>VLOOKUP(B29,[1]characters!$A:$K,11,FALSE)</f>
        <v>hp</v>
      </c>
      <c r="M29" s="7" t="str">
        <f>VLOOKUP(B29,[1]characters!$A:$M,13,FALSE)</f>
        <v>human</v>
      </c>
      <c r="N29" s="7" t="str">
        <f>VLOOKUP(B29,[1]characters!$A:$G,7,FALSE)</f>
        <v>男性</v>
      </c>
      <c r="O29" s="42">
        <v>10</v>
      </c>
      <c r="P29" s="43">
        <f t="shared" ref="P29:P30" si="24">O29/SUM(O:O)</f>
        <v>2.7777777777777776E-2</v>
      </c>
      <c r="Q29" s="27">
        <v>1</v>
      </c>
      <c r="R29" s="27">
        <v>0</v>
      </c>
      <c r="S29" s="27">
        <v>0</v>
      </c>
      <c r="T29" s="27">
        <v>0</v>
      </c>
      <c r="U29" s="27">
        <v>0</v>
      </c>
      <c r="V29" s="27">
        <v>1</v>
      </c>
    </row>
    <row r="30" spans="1:22" ht="21" customHeight="1" x14ac:dyDescent="0.15">
      <c r="A30" s="2" t="str">
        <f ca="1">input_settle_7112100!A$2</f>
        <v>7112100</v>
      </c>
      <c r="B30" s="82">
        <v>466</v>
      </c>
      <c r="C30" s="7" t="str">
        <f t="shared" si="22"/>
        <v>PremiumSS5</v>
      </c>
      <c r="D30" s="7" t="str">
        <f t="shared" si="23"/>
        <v>PremiumSS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真断の勇覇 ランスロット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green</v>
      </c>
      <c r="L30" s="7" t="str">
        <f>VLOOKUP(B30,[1]characters!$A:$K,11,FALSE)</f>
        <v>balance</v>
      </c>
      <c r="M30" s="7" t="str">
        <f>VLOOKUP(B30,[1]characters!$A:$M,13,FALSE)</f>
        <v>human</v>
      </c>
      <c r="N30" s="7" t="str">
        <f>VLOOKUP(B30,[1]characters!$A:$G,7,FALSE)</f>
        <v>男性</v>
      </c>
      <c r="O30" s="42">
        <v>10</v>
      </c>
      <c r="P30" s="43">
        <f t="shared" si="24"/>
        <v>2.7777777777777776E-2</v>
      </c>
      <c r="Q30" s="27">
        <v>1</v>
      </c>
      <c r="R30" s="27">
        <v>0</v>
      </c>
      <c r="S30" s="27">
        <v>0</v>
      </c>
      <c r="T30" s="27">
        <v>0</v>
      </c>
      <c r="U30" s="27">
        <v>0</v>
      </c>
      <c r="V30" s="27">
        <v>1</v>
      </c>
    </row>
    <row r="31" spans="1:22" ht="21" customHeight="1" x14ac:dyDescent="0.15">
      <c r="A31" s="2" t="str">
        <f ca="1">input_settle_7112100!A$2</f>
        <v>7112100</v>
      </c>
      <c r="B31" s="82">
        <v>1012</v>
      </c>
      <c r="C31" s="7" t="str">
        <f t="shared" ref="C31:C33" si="25">D31&amp;J31&amp;E31&amp;F31&amp;G31</f>
        <v>PremiumSS5R5only</v>
      </c>
      <c r="D31" s="7" t="str">
        <f t="shared" ref="D31:D33" si="26">IF(I31="PremiumSS",I31,IF(I31="PremiumSSS",I31,IF(I31="PremiumW",I31,"Premium")))</f>
        <v>PremiumSS</v>
      </c>
      <c r="E31" s="7" t="str">
        <f>IF(COUNTIF('R6追加前'!A:A,B31)=0,IF(I31="PremiumSS","R5only","R3less"),"")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ラー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red</v>
      </c>
      <c r="L31" s="7" t="str">
        <f>VLOOKUP(B31,[1]characters!$A:$K,11,FALSE)</f>
        <v>balance</v>
      </c>
      <c r="M31" s="7" t="str">
        <f>VLOOKUP(B31,[1]characters!$A:$M,13,FALSE)</f>
        <v>god</v>
      </c>
      <c r="N31" s="7" t="str">
        <f>VLOOKUP(B31,[1]characters!$A:$G,7,FALSE)</f>
        <v>男性</v>
      </c>
      <c r="O31" s="42">
        <v>10</v>
      </c>
      <c r="P31" s="43">
        <f t="shared" ref="P31:P33" si="27">O31/SUM(O:O)</f>
        <v>2.7777777777777776E-2</v>
      </c>
      <c r="Q31" s="27">
        <v>1</v>
      </c>
      <c r="R31" s="27">
        <v>0</v>
      </c>
      <c r="S31" s="27">
        <v>0</v>
      </c>
      <c r="T31" s="27">
        <v>0</v>
      </c>
      <c r="U31" s="27">
        <v>0</v>
      </c>
      <c r="V31" s="27">
        <v>1</v>
      </c>
    </row>
    <row r="32" spans="1:22" ht="21" customHeight="1" x14ac:dyDescent="0.15">
      <c r="A32" s="2" t="str">
        <f ca="1">input_settle_7112100!A$2</f>
        <v>7112100</v>
      </c>
      <c r="B32" s="82">
        <v>1014</v>
      </c>
      <c r="C32" s="7" t="str">
        <f t="shared" si="25"/>
        <v>PremiumSS5R5only</v>
      </c>
      <c r="D32" s="7" t="str">
        <f t="shared" si="26"/>
        <v>PremiumSS</v>
      </c>
      <c r="E32" s="7" t="str">
        <f>IF(COUNTIF('R6追加前'!A:A,B32)=0,IF(I32="PremiumSS","R5only","R3less"),"")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イシス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green</v>
      </c>
      <c r="L32" s="7" t="str">
        <f>VLOOKUP(B32,[1]characters!$A:$K,11,FALSE)</f>
        <v>hp</v>
      </c>
      <c r="M32" s="7" t="str">
        <f>VLOOKUP(B32,[1]characters!$A:$M,13,FALSE)</f>
        <v>god</v>
      </c>
      <c r="N32" s="7" t="str">
        <f>VLOOKUP(B32,[1]characters!$A:$G,7,FALSE)</f>
        <v>男性</v>
      </c>
      <c r="O32" s="42">
        <v>10</v>
      </c>
      <c r="P32" s="43">
        <f t="shared" si="27"/>
        <v>2.7777777777777776E-2</v>
      </c>
      <c r="Q32" s="27">
        <v>1</v>
      </c>
      <c r="R32" s="27">
        <v>0</v>
      </c>
      <c r="S32" s="27">
        <v>0</v>
      </c>
      <c r="T32" s="27">
        <v>0</v>
      </c>
      <c r="U32" s="27">
        <v>0</v>
      </c>
      <c r="V32" s="27">
        <v>1</v>
      </c>
    </row>
    <row r="33" spans="1:22" ht="21" customHeight="1" x14ac:dyDescent="0.15">
      <c r="A33" s="2" t="str">
        <f ca="1">input_settle_7112100!A$2</f>
        <v>7112100</v>
      </c>
      <c r="B33" s="82">
        <v>1018</v>
      </c>
      <c r="C33" s="7" t="str">
        <f t="shared" si="25"/>
        <v>PremiumSS5R5only</v>
      </c>
      <c r="D33" s="7" t="str">
        <f t="shared" si="26"/>
        <v>PremiumSS</v>
      </c>
      <c r="E33" s="7" t="str">
        <f>IF(COUNTIF('R6追加前'!A:A,B33)=0,IF(I33="PremiumSS","R5only","R3less"),"")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バステト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attack</v>
      </c>
      <c r="M33" s="7" t="str">
        <f>VLOOKUP(B33,[1]characters!$A:$M,13,FALSE)</f>
        <v>god</v>
      </c>
      <c r="N33" s="7" t="str">
        <f>VLOOKUP(B33,[1]characters!$A:$G,7,FALSE)</f>
        <v>男性</v>
      </c>
      <c r="O33" s="42">
        <v>10</v>
      </c>
      <c r="P33" s="43">
        <f t="shared" si="27"/>
        <v>2.7777777777777776E-2</v>
      </c>
      <c r="Q33" s="27">
        <v>1</v>
      </c>
      <c r="R33" s="27">
        <v>0</v>
      </c>
      <c r="S33" s="27">
        <v>0</v>
      </c>
      <c r="T33" s="27">
        <v>0</v>
      </c>
      <c r="U33" s="27">
        <v>0</v>
      </c>
      <c r="V33" s="27">
        <v>1</v>
      </c>
    </row>
    <row r="34" spans="1:22" ht="21" customHeight="1" x14ac:dyDescent="0.15">
      <c r="A34" s="2" t="str">
        <f ca="1">input_settle_7112100!A$2</f>
        <v>7112100</v>
      </c>
      <c r="B34" s="82">
        <v>677</v>
      </c>
      <c r="C34" s="7" t="str">
        <f t="shared" ref="C34:C35" si="28">D34&amp;J34&amp;E34&amp;F34&amp;G34</f>
        <v>PremiumSS5</v>
      </c>
      <c r="D34" s="7" t="str">
        <f t="shared" ref="D34:D35" si="29">IF(I34="PremiumSS",I34,IF(I34="PremiumSSS",I34,IF(I34="PremiumW",I34,"Premium")))</f>
        <v>PremiumSS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武遊闊歩 ヴィシュヌ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yellow</v>
      </c>
      <c r="L34" s="7" t="str">
        <f>VLOOKUP(B34,[1]characters!$A:$K,11,FALSE)</f>
        <v>attack</v>
      </c>
      <c r="M34" s="7" t="str">
        <f>VLOOKUP(B34,[1]characters!$A:$M,13,FALSE)</f>
        <v>god</v>
      </c>
      <c r="N34" s="7" t="str">
        <f>VLOOKUP(B34,[1]characters!$A:$G,7,FALSE)</f>
        <v>女性</v>
      </c>
      <c r="O34" s="42">
        <v>10</v>
      </c>
      <c r="P34" s="43">
        <f t="shared" ref="P34:P35" si="30">O34/SUM(O:O)</f>
        <v>2.7777777777777776E-2</v>
      </c>
      <c r="Q34" s="27">
        <v>1</v>
      </c>
      <c r="R34" s="27">
        <v>0</v>
      </c>
      <c r="S34" s="27">
        <v>0</v>
      </c>
      <c r="T34" s="27">
        <v>0</v>
      </c>
      <c r="U34" s="27">
        <v>0</v>
      </c>
      <c r="V34" s="27">
        <v>1</v>
      </c>
    </row>
    <row r="35" spans="1:22" ht="21" customHeight="1" x14ac:dyDescent="0.15">
      <c r="A35" s="2" t="str">
        <f ca="1">input_settle_7112100!A$2</f>
        <v>7112100</v>
      </c>
      <c r="B35" s="82">
        <v>675</v>
      </c>
      <c r="C35" s="7" t="str">
        <f t="shared" si="28"/>
        <v>PremiumSS5</v>
      </c>
      <c r="D35" s="7" t="str">
        <f t="shared" si="29"/>
        <v>PremiumSS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芸楽の奔流 サラスヴァティ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blue</v>
      </c>
      <c r="L35" s="7" t="str">
        <f>VLOOKUP(B35,[1]characters!$A:$K,11,FALSE)</f>
        <v>balance</v>
      </c>
      <c r="M35" s="7" t="str">
        <f>VLOOKUP(B35,[1]characters!$A:$M,13,FALSE)</f>
        <v>god</v>
      </c>
      <c r="N35" s="7" t="str">
        <f>VLOOKUP(B35,[1]characters!$A:$G,7,FALSE)</f>
        <v>女性</v>
      </c>
      <c r="O35" s="42">
        <v>10</v>
      </c>
      <c r="P35" s="43">
        <f t="shared" si="30"/>
        <v>2.7777777777777776E-2</v>
      </c>
      <c r="Q35" s="27">
        <v>1</v>
      </c>
      <c r="R35" s="27">
        <v>0</v>
      </c>
      <c r="S35" s="27">
        <v>0</v>
      </c>
      <c r="T35" s="27">
        <v>0</v>
      </c>
      <c r="U35" s="27">
        <v>0</v>
      </c>
      <c r="V35" s="27">
        <v>1</v>
      </c>
    </row>
    <row r="36" spans="1:22" ht="21" customHeight="1" x14ac:dyDescent="0.15">
      <c r="A36" s="2" t="str">
        <f ca="1">input_settle_7112100!A$2</f>
        <v>7112100</v>
      </c>
      <c r="B36" s="82">
        <v>771</v>
      </c>
      <c r="C36" s="7" t="str">
        <f t="shared" ref="C36:C37" si="31">D36&amp;J36&amp;E36&amp;F36&amp;G36</f>
        <v>PremiumSS5</v>
      </c>
      <c r="D36" s="7" t="str">
        <f t="shared" ref="D36:D37" si="32">IF(I36="PremiumSS",I36,IF(I36="PremiumSSS",I36,IF(I36="PremiumW",I36,"Premium")))</f>
        <v>PremiumSS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天織羽鶴 ハヅル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red</v>
      </c>
      <c r="L36" s="7" t="str">
        <f>VLOOKUP(B36,[1]characters!$A:$K,11,FALSE)</f>
        <v>balance</v>
      </c>
      <c r="M36" s="7" t="str">
        <f>VLOOKUP(B36,[1]characters!$A:$M,13,FALSE)</f>
        <v>animal</v>
      </c>
      <c r="N36" s="7" t="str">
        <f>VLOOKUP(B36,[1]characters!$A:$G,7,FALSE)</f>
        <v>女性</v>
      </c>
      <c r="O36" s="42">
        <v>10</v>
      </c>
      <c r="P36" s="43">
        <f t="shared" ref="P36:P37" si="33">O36/SUM(O:O)</f>
        <v>2.7777777777777776E-2</v>
      </c>
      <c r="Q36" s="27">
        <v>1</v>
      </c>
      <c r="R36" s="27">
        <v>0</v>
      </c>
      <c r="S36" s="27">
        <v>0</v>
      </c>
      <c r="T36" s="27">
        <v>0</v>
      </c>
      <c r="U36" s="27">
        <v>0</v>
      </c>
      <c r="V36" s="27">
        <v>1</v>
      </c>
    </row>
    <row r="37" spans="1:22" ht="21" customHeight="1" x14ac:dyDescent="0.15">
      <c r="A37" s="2" t="str">
        <f ca="1">input_settle_7112100!A$2</f>
        <v>7112100</v>
      </c>
      <c r="B37" s="82">
        <v>773</v>
      </c>
      <c r="C37" s="7" t="str">
        <f t="shared" si="31"/>
        <v>PremiumSS5</v>
      </c>
      <c r="D37" s="7" t="str">
        <f t="shared" si="32"/>
        <v>PremiumSS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浮跳天兎 イナバ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animal</v>
      </c>
      <c r="N37" s="7" t="str">
        <f>VLOOKUP(B37,[1]characters!$A:$G,7,FALSE)</f>
        <v>女性</v>
      </c>
      <c r="O37" s="42">
        <v>10</v>
      </c>
      <c r="P37" s="43">
        <f t="shared" si="33"/>
        <v>2.7777777777777776E-2</v>
      </c>
      <c r="Q37" s="27">
        <v>1</v>
      </c>
      <c r="R37" s="27">
        <v>0</v>
      </c>
      <c r="S37" s="27">
        <v>0</v>
      </c>
      <c r="T37" s="27">
        <v>0</v>
      </c>
      <c r="U37" s="27">
        <v>0</v>
      </c>
      <c r="V37" s="27">
        <v>1</v>
      </c>
    </row>
    <row r="38" spans="1:22" ht="21" customHeight="1" x14ac:dyDescent="0.15">
      <c r="K38" s="1"/>
    </row>
    <row r="39" spans="1:22" ht="21" customHeight="1" x14ac:dyDescent="0.15">
      <c r="K39" s="1"/>
    </row>
    <row r="40" spans="1:22" ht="21" customHeight="1" x14ac:dyDescent="0.15">
      <c r="K40" s="1"/>
    </row>
    <row r="41" spans="1:22" ht="21" customHeight="1" x14ac:dyDescent="0.15">
      <c r="K41" s="1"/>
    </row>
    <row r="42" spans="1:22" ht="21" customHeight="1" x14ac:dyDescent="0.15">
      <c r="K42" s="1"/>
    </row>
    <row r="43" spans="1:22" ht="21" customHeight="1" x14ac:dyDescent="0.15">
      <c r="K43" s="1"/>
    </row>
    <row r="44" spans="1:22" ht="21" customHeight="1" x14ac:dyDescent="0.15">
      <c r="K44" s="1"/>
    </row>
    <row r="45" spans="1:22" ht="21" customHeight="1" x14ac:dyDescent="0.15">
      <c r="K45" s="1"/>
    </row>
    <row r="46" spans="1:22" ht="21" customHeight="1" x14ac:dyDescent="0.15">
      <c r="K46" s="1"/>
    </row>
    <row r="47" spans="1:22" ht="21" customHeight="1" x14ac:dyDescent="0.15">
      <c r="K47" s="1"/>
    </row>
    <row r="48" spans="1:22" ht="21" customHeight="1" x14ac:dyDescent="0.15">
      <c r="K48" s="1"/>
    </row>
    <row r="49" spans="11:11" ht="21" customHeight="1" x14ac:dyDescent="0.15">
      <c r="K49" s="1"/>
    </row>
    <row r="50" spans="11:11" ht="21" customHeight="1" x14ac:dyDescent="0.15">
      <c r="K50" s="1"/>
    </row>
    <row r="51" spans="11:11" ht="21" customHeight="1" x14ac:dyDescent="0.15">
      <c r="K51" s="1"/>
    </row>
    <row r="52" spans="11:11" ht="21" customHeight="1" x14ac:dyDescent="0.15">
      <c r="K52" s="1"/>
    </row>
    <row r="53" spans="11:11" ht="21" customHeight="1" x14ac:dyDescent="0.15">
      <c r="K53" s="1"/>
    </row>
    <row r="54" spans="11:11" ht="21" customHeight="1" x14ac:dyDescent="0.15">
      <c r="K54" s="1"/>
    </row>
    <row r="55" spans="11:11" ht="21" customHeight="1" x14ac:dyDescent="0.15">
      <c r="K55" s="1"/>
    </row>
    <row r="56" spans="11:11" ht="21" customHeight="1" x14ac:dyDescent="0.15">
      <c r="K56" s="1"/>
    </row>
    <row r="57" spans="11:11" ht="21" customHeight="1" x14ac:dyDescent="0.15">
      <c r="K57" s="1"/>
    </row>
    <row r="58" spans="11:11" ht="21" customHeight="1" x14ac:dyDescent="0.15">
      <c r="K58" s="1"/>
    </row>
    <row r="59" spans="11:11" ht="21" customHeight="1" x14ac:dyDescent="0.15">
      <c r="K59" s="1"/>
    </row>
    <row r="60" spans="11:11" ht="21" customHeight="1" x14ac:dyDescent="0.15">
      <c r="K60" s="1"/>
    </row>
    <row r="61" spans="11:11" ht="21" customHeight="1" x14ac:dyDescent="0.15">
      <c r="K61" s="1"/>
    </row>
    <row r="62" spans="11:11" ht="21" customHeight="1" x14ac:dyDescent="0.15">
      <c r="K62" s="1"/>
    </row>
    <row r="63" spans="11:11" ht="21" customHeight="1" x14ac:dyDescent="0.15">
      <c r="K63" s="1"/>
    </row>
    <row r="64" spans="11:11" ht="21" customHeight="1" x14ac:dyDescent="0.15">
      <c r="K64" s="1"/>
    </row>
    <row r="65" spans="11:11" ht="21" customHeight="1" x14ac:dyDescent="0.15">
      <c r="K65" s="1"/>
    </row>
    <row r="66" spans="11:11" ht="21" customHeight="1" x14ac:dyDescent="0.15">
      <c r="K66" s="1"/>
    </row>
    <row r="67" spans="11:11" ht="21" customHeight="1" x14ac:dyDescent="0.15">
      <c r="K67" s="1"/>
    </row>
    <row r="68" spans="11:11" ht="21" customHeight="1" x14ac:dyDescent="0.15">
      <c r="K68" s="1"/>
    </row>
    <row r="69" spans="11:11" ht="21" customHeight="1" x14ac:dyDescent="0.15">
      <c r="K69" s="1"/>
    </row>
    <row r="70" spans="11:11" ht="21" customHeight="1" x14ac:dyDescent="0.15">
      <c r="K70" s="1"/>
    </row>
    <row r="71" spans="11:11" ht="21" customHeight="1" x14ac:dyDescent="0.15">
      <c r="K71" s="1"/>
    </row>
    <row r="72" spans="11:11" ht="21" customHeight="1" x14ac:dyDescent="0.15">
      <c r="K72" s="1"/>
    </row>
    <row r="73" spans="11:11" ht="21" customHeight="1" x14ac:dyDescent="0.15">
      <c r="K73" s="1"/>
    </row>
    <row r="74" spans="11:11" ht="21" customHeight="1" x14ac:dyDescent="0.15">
      <c r="K74" s="1"/>
    </row>
    <row r="75" spans="11:11" ht="21" customHeight="1" x14ac:dyDescent="0.15">
      <c r="K75" s="1"/>
    </row>
    <row r="76" spans="11:11" ht="21" customHeight="1" x14ac:dyDescent="0.15">
      <c r="K76" s="1"/>
    </row>
    <row r="77" spans="11:11" ht="21" customHeight="1" x14ac:dyDescent="0.15">
      <c r="K77" s="1"/>
    </row>
    <row r="78" spans="11:11" ht="21" customHeight="1" x14ac:dyDescent="0.15">
      <c r="K78" s="1"/>
    </row>
    <row r="79" spans="11:11" ht="21" customHeight="1" x14ac:dyDescent="0.15">
      <c r="K79" s="1"/>
    </row>
    <row r="80" spans="11:11" ht="21" customHeight="1" x14ac:dyDescent="0.15">
      <c r="K80" s="1"/>
    </row>
    <row r="81" spans="11:11" ht="21" customHeight="1" x14ac:dyDescent="0.15">
      <c r="K81" s="1"/>
    </row>
    <row r="82" spans="11:11" ht="21" customHeight="1" x14ac:dyDescent="0.15">
      <c r="K82" s="1"/>
    </row>
    <row r="83" spans="11:11" ht="21" customHeight="1" x14ac:dyDescent="0.15">
      <c r="K83" s="1"/>
    </row>
    <row r="84" spans="11:11" ht="21" customHeight="1" x14ac:dyDescent="0.15">
      <c r="K84" s="1"/>
    </row>
    <row r="85" spans="11:11" ht="21" customHeight="1" x14ac:dyDescent="0.15">
      <c r="K85" s="1"/>
    </row>
    <row r="86" spans="11:11" ht="21" customHeight="1" x14ac:dyDescent="0.15">
      <c r="K86" s="1"/>
    </row>
    <row r="87" spans="11:11" ht="21" customHeight="1" x14ac:dyDescent="0.15">
      <c r="K87" s="1"/>
    </row>
    <row r="88" spans="11:11" ht="21" customHeight="1" x14ac:dyDescent="0.15">
      <c r="K88" s="1"/>
    </row>
    <row r="89" spans="11:11" ht="21" customHeight="1" x14ac:dyDescent="0.15">
      <c r="K89" s="1"/>
    </row>
    <row r="90" spans="11:11" ht="21" customHeight="1" x14ac:dyDescent="0.15">
      <c r="K90" s="1"/>
    </row>
    <row r="91" spans="11:11" ht="21" customHeight="1" x14ac:dyDescent="0.15">
      <c r="K91" s="1"/>
    </row>
    <row r="92" spans="11:11" ht="21" customHeight="1" x14ac:dyDescent="0.15">
      <c r="K92" s="1"/>
    </row>
    <row r="93" spans="11:11" ht="21" customHeight="1" x14ac:dyDescent="0.15">
      <c r="K93" s="1"/>
    </row>
    <row r="94" spans="11:11" ht="21" customHeight="1" x14ac:dyDescent="0.15">
      <c r="K94" s="1"/>
    </row>
    <row r="95" spans="11:11" ht="21" customHeight="1" x14ac:dyDescent="0.15">
      <c r="K95" s="1"/>
    </row>
    <row r="96" spans="11:11" ht="21" customHeight="1" x14ac:dyDescent="0.15">
      <c r="K96" s="1"/>
    </row>
    <row r="97" spans="11:11" ht="21" customHeight="1" x14ac:dyDescent="0.15">
      <c r="K97" s="1"/>
    </row>
    <row r="98" spans="11:11" ht="21" customHeight="1" x14ac:dyDescent="0.15">
      <c r="K98" s="1"/>
    </row>
    <row r="99" spans="11:11" ht="21" customHeight="1" x14ac:dyDescent="0.15">
      <c r="K99" s="1"/>
    </row>
    <row r="100" spans="11:11" ht="21" customHeight="1" x14ac:dyDescent="0.15">
      <c r="K100" s="1"/>
    </row>
    <row r="101" spans="11:11" ht="21" customHeight="1" x14ac:dyDescent="0.15">
      <c r="K101" s="1"/>
    </row>
    <row r="102" spans="11:11" ht="21" customHeight="1" x14ac:dyDescent="0.15">
      <c r="K102" s="1"/>
    </row>
    <row r="103" spans="11:11" ht="21" customHeight="1" x14ac:dyDescent="0.15">
      <c r="K103" s="1"/>
    </row>
    <row r="104" spans="11:11" ht="21" customHeight="1" x14ac:dyDescent="0.15">
      <c r="K104" s="1"/>
    </row>
    <row r="105" spans="11:11" ht="21" customHeight="1" x14ac:dyDescent="0.15">
      <c r="K105" s="1"/>
    </row>
    <row r="106" spans="11:11" ht="21" customHeight="1" x14ac:dyDescent="0.15">
      <c r="K106" s="1"/>
    </row>
    <row r="107" spans="11:11" ht="21" customHeight="1" x14ac:dyDescent="0.15">
      <c r="K107" s="1"/>
    </row>
    <row r="108" spans="11:11" ht="21" customHeight="1" x14ac:dyDescent="0.15">
      <c r="K108" s="1"/>
    </row>
    <row r="109" spans="11:11" ht="21" customHeight="1" x14ac:dyDescent="0.15">
      <c r="K109" s="1"/>
    </row>
    <row r="110" spans="11:11" ht="21" customHeight="1" x14ac:dyDescent="0.15">
      <c r="K110" s="1"/>
    </row>
    <row r="111" spans="11:11" ht="21" customHeight="1" x14ac:dyDescent="0.15">
      <c r="K111" s="1"/>
    </row>
    <row r="112" spans="11:11" ht="21" customHeight="1" x14ac:dyDescent="0.15">
      <c r="K112" s="1"/>
    </row>
    <row r="113" spans="11:11" ht="21" customHeight="1" x14ac:dyDescent="0.15">
      <c r="K113" s="1"/>
    </row>
    <row r="114" spans="11:11" ht="21" customHeight="1" x14ac:dyDescent="0.15">
      <c r="K114" s="1"/>
    </row>
    <row r="115" spans="11:11" ht="21" customHeight="1" x14ac:dyDescent="0.15">
      <c r="K115" s="1"/>
    </row>
    <row r="116" spans="11:11" ht="21" customHeight="1" x14ac:dyDescent="0.15">
      <c r="K116" s="1"/>
    </row>
    <row r="117" spans="11:11" ht="21" customHeight="1" x14ac:dyDescent="0.15">
      <c r="K117" s="1"/>
    </row>
    <row r="118" spans="11:11" ht="21" customHeight="1" x14ac:dyDescent="0.15">
      <c r="K118" s="1"/>
    </row>
    <row r="119" spans="11:11" ht="21" customHeight="1" x14ac:dyDescent="0.15">
      <c r="K119" s="1"/>
    </row>
    <row r="120" spans="11:11" ht="21" customHeight="1" x14ac:dyDescent="0.15">
      <c r="K120" s="1"/>
    </row>
    <row r="121" spans="11:11" ht="21" customHeight="1" x14ac:dyDescent="0.15">
      <c r="K121" s="1"/>
    </row>
    <row r="122" spans="11:11" ht="21" customHeight="1" x14ac:dyDescent="0.15">
      <c r="K122" s="1"/>
    </row>
    <row r="123" spans="11:11" ht="21" customHeight="1" x14ac:dyDescent="0.15">
      <c r="K123" s="1"/>
    </row>
    <row r="124" spans="11:11" ht="21" customHeight="1" x14ac:dyDescent="0.15">
      <c r="K124" s="1"/>
    </row>
    <row r="125" spans="11:11" ht="21" customHeight="1" x14ac:dyDescent="0.15">
      <c r="K125" s="1"/>
    </row>
    <row r="126" spans="11:11" ht="21" customHeight="1" x14ac:dyDescent="0.15">
      <c r="K126" s="1"/>
    </row>
    <row r="127" spans="11:11" ht="21" customHeight="1" x14ac:dyDescent="0.15">
      <c r="K127" s="1"/>
    </row>
    <row r="128" spans="11:11" ht="21" customHeight="1" x14ac:dyDescent="0.15">
      <c r="K128" s="1"/>
    </row>
    <row r="129" spans="11:11" ht="21" customHeight="1" x14ac:dyDescent="0.15">
      <c r="K129" s="1"/>
    </row>
    <row r="130" spans="11:11" ht="21" customHeight="1" x14ac:dyDescent="0.15">
      <c r="K130" s="1"/>
    </row>
    <row r="131" spans="11:11" ht="21" customHeight="1" x14ac:dyDescent="0.15">
      <c r="K131" s="1"/>
    </row>
    <row r="132" spans="11:11" ht="21" customHeight="1" x14ac:dyDescent="0.15">
      <c r="K132" s="1"/>
    </row>
    <row r="133" spans="11:11" ht="21" customHeight="1" x14ac:dyDescent="0.15">
      <c r="K133" s="1"/>
    </row>
    <row r="134" spans="11:11" ht="21" customHeight="1" x14ac:dyDescent="0.15">
      <c r="K134" s="1"/>
    </row>
    <row r="135" spans="11:11" ht="21" customHeight="1" x14ac:dyDescent="0.15">
      <c r="K135" s="1"/>
    </row>
    <row r="136" spans="11:11" ht="21" customHeight="1" x14ac:dyDescent="0.15">
      <c r="K136" s="1"/>
    </row>
    <row r="137" spans="11:11" ht="21" customHeight="1" x14ac:dyDescent="0.15">
      <c r="K137" s="1"/>
    </row>
    <row r="138" spans="11:11" ht="21" customHeight="1" x14ac:dyDescent="0.15">
      <c r="K138" s="1"/>
    </row>
    <row r="139" spans="11:11" ht="21" customHeight="1" x14ac:dyDescent="0.15">
      <c r="K139" s="1"/>
    </row>
    <row r="140" spans="11:11" ht="21" customHeight="1" x14ac:dyDescent="0.15">
      <c r="K140" s="1"/>
    </row>
    <row r="141" spans="11:11" ht="21" customHeight="1" x14ac:dyDescent="0.15">
      <c r="K141" s="1"/>
    </row>
    <row r="142" spans="11:11" ht="21" customHeight="1" x14ac:dyDescent="0.15">
      <c r="K142" s="1"/>
    </row>
    <row r="143" spans="11:11" ht="21" customHeight="1" x14ac:dyDescent="0.15">
      <c r="K143" s="1"/>
    </row>
    <row r="144" spans="11:11" ht="21" customHeight="1" x14ac:dyDescent="0.15">
      <c r="K144" s="1"/>
    </row>
    <row r="145" spans="11:11" ht="21" customHeight="1" x14ac:dyDescent="0.15">
      <c r="K145" s="1"/>
    </row>
    <row r="146" spans="11:11" ht="21" customHeight="1" x14ac:dyDescent="0.15">
      <c r="K146" s="1"/>
    </row>
    <row r="147" spans="11:11" ht="21" customHeight="1" x14ac:dyDescent="0.15">
      <c r="K147" s="1"/>
    </row>
    <row r="148" spans="11:11" ht="21" customHeight="1" x14ac:dyDescent="0.15">
      <c r="K148" s="1"/>
    </row>
    <row r="149" spans="11:11" ht="21" customHeight="1" x14ac:dyDescent="0.15">
      <c r="K149" s="1"/>
    </row>
    <row r="150" spans="11:11" ht="21" customHeight="1" x14ac:dyDescent="0.15">
      <c r="K150" s="1"/>
    </row>
    <row r="151" spans="11:11" ht="21" customHeight="1" x14ac:dyDescent="0.15">
      <c r="K151" s="1"/>
    </row>
    <row r="152" spans="11:11" ht="21" customHeight="1" x14ac:dyDescent="0.15">
      <c r="K152" s="1"/>
    </row>
    <row r="153" spans="11:11" ht="21" customHeight="1" x14ac:dyDescent="0.15">
      <c r="K153" s="1"/>
    </row>
    <row r="154" spans="11:11" ht="21" customHeight="1" x14ac:dyDescent="0.15">
      <c r="K154" s="1"/>
    </row>
    <row r="155" spans="11:11" ht="21" customHeight="1" x14ac:dyDescent="0.15">
      <c r="K155" s="1"/>
    </row>
    <row r="156" spans="11:11" ht="21" customHeight="1" x14ac:dyDescent="0.15">
      <c r="K156" s="1"/>
    </row>
    <row r="157" spans="11:11" ht="21" customHeight="1" x14ac:dyDescent="0.15">
      <c r="K157" s="1"/>
    </row>
    <row r="158" spans="11:11" ht="21" customHeight="1" x14ac:dyDescent="0.15">
      <c r="K158" s="1"/>
    </row>
    <row r="159" spans="11:11" ht="21" customHeight="1" x14ac:dyDescent="0.15">
      <c r="K159" s="1"/>
    </row>
    <row r="160" spans="11:11" ht="21" customHeight="1" x14ac:dyDescent="0.15">
      <c r="K160" s="1"/>
    </row>
    <row r="161" spans="11:11" ht="21" customHeight="1" x14ac:dyDescent="0.15">
      <c r="K161" s="1"/>
    </row>
    <row r="162" spans="11:11" ht="21" customHeight="1" x14ac:dyDescent="0.15">
      <c r="K162" s="1"/>
    </row>
    <row r="163" spans="11:11" ht="21" customHeight="1" x14ac:dyDescent="0.15">
      <c r="K163" s="1"/>
    </row>
    <row r="164" spans="11:11" ht="21" customHeight="1" x14ac:dyDescent="0.15">
      <c r="K164" s="1"/>
    </row>
    <row r="165" spans="11:11" ht="21" customHeight="1" x14ac:dyDescent="0.15">
      <c r="K165" s="1"/>
    </row>
    <row r="166" spans="11:11" ht="21" customHeight="1" x14ac:dyDescent="0.15">
      <c r="K166" s="1"/>
    </row>
    <row r="167" spans="11:11" ht="21" customHeight="1" x14ac:dyDescent="0.15">
      <c r="K167" s="1"/>
    </row>
    <row r="168" spans="11:11" ht="21" customHeight="1" x14ac:dyDescent="0.15">
      <c r="K168" s="1"/>
    </row>
    <row r="169" spans="11:11" ht="21" customHeight="1" x14ac:dyDescent="0.15">
      <c r="K169" s="1"/>
    </row>
    <row r="170" spans="11:11" ht="21" customHeight="1" x14ac:dyDescent="0.15">
      <c r="K170" s="1"/>
    </row>
    <row r="171" spans="11:11" ht="21" customHeight="1" x14ac:dyDescent="0.15">
      <c r="K171" s="1"/>
    </row>
    <row r="172" spans="11:11" ht="21" customHeight="1" x14ac:dyDescent="0.15">
      <c r="K172" s="1"/>
    </row>
    <row r="173" spans="11:11" ht="21" customHeight="1" x14ac:dyDescent="0.15">
      <c r="K173" s="1"/>
    </row>
    <row r="174" spans="11:11" ht="21" customHeight="1" x14ac:dyDescent="0.15">
      <c r="K174" s="1"/>
    </row>
    <row r="175" spans="11:11" ht="21" customHeight="1" x14ac:dyDescent="0.15">
      <c r="K175" s="1"/>
    </row>
    <row r="176" spans="11:11" ht="21" customHeight="1" x14ac:dyDescent="0.15">
      <c r="K176" s="1"/>
    </row>
    <row r="177" spans="11:11" ht="21" customHeight="1" x14ac:dyDescent="0.15">
      <c r="K177" s="1"/>
    </row>
    <row r="178" spans="11:11" ht="21" customHeight="1" x14ac:dyDescent="0.15">
      <c r="K178" s="1"/>
    </row>
    <row r="179" spans="11:11" ht="21" customHeight="1" x14ac:dyDescent="0.15">
      <c r="K179" s="1"/>
    </row>
    <row r="180" spans="11:11" ht="21" customHeight="1" x14ac:dyDescent="0.15">
      <c r="K180" s="1"/>
    </row>
    <row r="181" spans="11:11" ht="21" customHeight="1" x14ac:dyDescent="0.15">
      <c r="K181" s="1"/>
    </row>
    <row r="182" spans="11:11" ht="21" customHeight="1" x14ac:dyDescent="0.15">
      <c r="K182" s="1"/>
    </row>
    <row r="183" spans="11:11" ht="21" customHeight="1" x14ac:dyDescent="0.15">
      <c r="K183" s="1"/>
    </row>
    <row r="184" spans="11:11" ht="21" customHeight="1" x14ac:dyDescent="0.15">
      <c r="K184" s="1"/>
    </row>
    <row r="185" spans="11:11" ht="21" customHeight="1" x14ac:dyDescent="0.15">
      <c r="K185" s="1"/>
    </row>
    <row r="186" spans="11:11" ht="21" customHeight="1" x14ac:dyDescent="0.15">
      <c r="K186" s="1"/>
    </row>
    <row r="187" spans="11:11" ht="21" customHeight="1" x14ac:dyDescent="0.15">
      <c r="K187" s="1"/>
    </row>
    <row r="188" spans="11:11" ht="21" customHeight="1" x14ac:dyDescent="0.15">
      <c r="K188" s="1"/>
    </row>
    <row r="189" spans="11:11" ht="21" customHeight="1" x14ac:dyDescent="0.15">
      <c r="K189" s="1"/>
    </row>
    <row r="190" spans="11:11" ht="21" customHeight="1" x14ac:dyDescent="0.15">
      <c r="K190" s="1"/>
    </row>
    <row r="191" spans="11:11" ht="21" customHeight="1" x14ac:dyDescent="0.15">
      <c r="K191" s="1"/>
    </row>
    <row r="192" spans="11:11" ht="21" customHeight="1" x14ac:dyDescent="0.15">
      <c r="K192" s="1"/>
    </row>
    <row r="193" spans="11:11" ht="21" customHeight="1" x14ac:dyDescent="0.15">
      <c r="K193" s="1"/>
    </row>
    <row r="194" spans="11:11" ht="21" customHeight="1" x14ac:dyDescent="0.15">
      <c r="K194" s="1"/>
    </row>
    <row r="195" spans="11:11" ht="21" customHeight="1" x14ac:dyDescent="0.15">
      <c r="K195" s="1"/>
    </row>
    <row r="196" spans="11:11" ht="21" customHeight="1" x14ac:dyDescent="0.15">
      <c r="K196" s="1"/>
    </row>
    <row r="197" spans="11:11" ht="21" customHeight="1" x14ac:dyDescent="0.15">
      <c r="K197" s="1"/>
    </row>
    <row r="198" spans="11:11" ht="21" customHeight="1" x14ac:dyDescent="0.15">
      <c r="K198" s="1"/>
    </row>
    <row r="199" spans="11:11" ht="21" customHeight="1" x14ac:dyDescent="0.15">
      <c r="K199" s="1"/>
    </row>
    <row r="200" spans="11:11" ht="21" customHeight="1" x14ac:dyDescent="0.15">
      <c r="K200" s="1"/>
    </row>
    <row r="201" spans="11:11" ht="21" customHeight="1" x14ac:dyDescent="0.15">
      <c r="K201" s="1"/>
    </row>
    <row r="202" spans="11:11" ht="21" customHeight="1" x14ac:dyDescent="0.15">
      <c r="K202" s="1"/>
    </row>
    <row r="203" spans="11:11" ht="21" customHeight="1" x14ac:dyDescent="0.15">
      <c r="K203" s="1"/>
    </row>
    <row r="204" spans="11:11" ht="21" customHeight="1" x14ac:dyDescent="0.15">
      <c r="K204" s="1"/>
    </row>
    <row r="205" spans="11:11" ht="21" customHeight="1" x14ac:dyDescent="0.15">
      <c r="K205" s="1"/>
    </row>
    <row r="206" spans="11:11" ht="21" customHeight="1" x14ac:dyDescent="0.15">
      <c r="K206" s="1"/>
    </row>
    <row r="207" spans="11:11" ht="21" customHeight="1" x14ac:dyDescent="0.15">
      <c r="K207" s="1"/>
    </row>
    <row r="208" spans="11:11" ht="21" customHeight="1" x14ac:dyDescent="0.15">
      <c r="K208" s="1"/>
    </row>
    <row r="209" spans="11:11" ht="21" customHeight="1" x14ac:dyDescent="0.15">
      <c r="K209" s="1"/>
    </row>
    <row r="210" spans="11:11" ht="21" customHeight="1" x14ac:dyDescent="0.15">
      <c r="K210" s="1"/>
    </row>
    <row r="211" spans="11:11" ht="21" customHeight="1" x14ac:dyDescent="0.15">
      <c r="K211" s="1"/>
    </row>
    <row r="212" spans="11:11" ht="21" customHeight="1" x14ac:dyDescent="0.15">
      <c r="K212" s="1"/>
    </row>
    <row r="213" spans="11:11" ht="21" customHeight="1" x14ac:dyDescent="0.15">
      <c r="K213" s="1"/>
    </row>
    <row r="214" spans="11:11" ht="21" customHeight="1" x14ac:dyDescent="0.15">
      <c r="K214" s="1"/>
    </row>
    <row r="215" spans="11:11" ht="21" customHeight="1" x14ac:dyDescent="0.15">
      <c r="K215" s="1"/>
    </row>
    <row r="216" spans="11:11" ht="21" customHeight="1" x14ac:dyDescent="0.15">
      <c r="K216" s="1"/>
    </row>
    <row r="217" spans="11:11" ht="21" customHeight="1" x14ac:dyDescent="0.15">
      <c r="K217" s="1"/>
    </row>
    <row r="218" spans="11:11" ht="21" customHeight="1" x14ac:dyDescent="0.15">
      <c r="K218" s="1"/>
    </row>
    <row r="219" spans="11:11" ht="21" customHeight="1" x14ac:dyDescent="0.15">
      <c r="K219" s="1"/>
    </row>
    <row r="220" spans="11:11" ht="21" customHeight="1" x14ac:dyDescent="0.15">
      <c r="K220" s="1"/>
    </row>
    <row r="221" spans="11:11" ht="21" customHeight="1" x14ac:dyDescent="0.15">
      <c r="K221" s="1"/>
    </row>
    <row r="222" spans="11:11" ht="21" customHeight="1" x14ac:dyDescent="0.15">
      <c r="K222" s="1"/>
    </row>
    <row r="223" spans="11:11" ht="21" customHeight="1" x14ac:dyDescent="0.15">
      <c r="K223" s="1"/>
    </row>
    <row r="224" spans="11:11" ht="21" customHeight="1" x14ac:dyDescent="0.15">
      <c r="K224" s="1"/>
    </row>
    <row r="225" spans="11:11" ht="21" customHeight="1" x14ac:dyDescent="0.15">
      <c r="K225" s="1"/>
    </row>
    <row r="226" spans="11:11" ht="21" customHeight="1" x14ac:dyDescent="0.15">
      <c r="K226" s="1"/>
    </row>
    <row r="227" spans="11:11" ht="21" customHeight="1" x14ac:dyDescent="0.15">
      <c r="K227" s="1"/>
    </row>
    <row r="228" spans="11:11" ht="21" customHeight="1" x14ac:dyDescent="0.15">
      <c r="K228" s="1"/>
    </row>
    <row r="229" spans="11:11" ht="21" customHeight="1" x14ac:dyDescent="0.15">
      <c r="K229" s="1"/>
    </row>
    <row r="230" spans="11:11" ht="21" customHeight="1" x14ac:dyDescent="0.15">
      <c r="K230" s="1"/>
    </row>
    <row r="231" spans="11:11" ht="21" customHeight="1" x14ac:dyDescent="0.15">
      <c r="K231" s="1"/>
    </row>
    <row r="232" spans="11:11" ht="21" customHeight="1" x14ac:dyDescent="0.15">
      <c r="K232" s="1"/>
    </row>
    <row r="233" spans="11:11" ht="21" customHeight="1" x14ac:dyDescent="0.15">
      <c r="K233" s="1"/>
    </row>
    <row r="234" spans="11:11" ht="21" customHeight="1" x14ac:dyDescent="0.15">
      <c r="K234" s="1"/>
    </row>
    <row r="235" spans="11:11" ht="21" customHeight="1" x14ac:dyDescent="0.15">
      <c r="K235" s="1"/>
    </row>
    <row r="236" spans="11:11" ht="21" customHeight="1" x14ac:dyDescent="0.15">
      <c r="K236" s="1"/>
    </row>
    <row r="237" spans="11:11" ht="21" customHeight="1" x14ac:dyDescent="0.15">
      <c r="K237" s="1"/>
    </row>
    <row r="238" spans="11:11" ht="21" customHeight="1" x14ac:dyDescent="0.15">
      <c r="K238" s="1"/>
    </row>
    <row r="239" spans="11:11" ht="21" customHeight="1" x14ac:dyDescent="0.15">
      <c r="K239" s="1"/>
    </row>
    <row r="240" spans="11:11" ht="21" customHeight="1" x14ac:dyDescent="0.15">
      <c r="K240" s="1"/>
    </row>
    <row r="241" spans="11:11" ht="21" customHeight="1" x14ac:dyDescent="0.15">
      <c r="K241" s="1"/>
    </row>
    <row r="242" spans="11:11" ht="21" customHeight="1" x14ac:dyDescent="0.15">
      <c r="K242" s="1"/>
    </row>
    <row r="243" spans="11:11" ht="21" customHeight="1" x14ac:dyDescent="0.15">
      <c r="K243" s="1"/>
    </row>
    <row r="244" spans="11:11" ht="21" customHeight="1" x14ac:dyDescent="0.15">
      <c r="K244" s="1"/>
    </row>
    <row r="245" spans="11:11" ht="21" customHeight="1" x14ac:dyDescent="0.15">
      <c r="K245" s="1"/>
    </row>
    <row r="246" spans="11:11" ht="21" customHeight="1" x14ac:dyDescent="0.15">
      <c r="K246" s="1"/>
    </row>
    <row r="247" spans="11:11" ht="21" customHeight="1" x14ac:dyDescent="0.15">
      <c r="K247" s="1"/>
    </row>
    <row r="248" spans="11:11" ht="21" customHeight="1" x14ac:dyDescent="0.15">
      <c r="K248" s="1"/>
    </row>
    <row r="249" spans="11:11" ht="21" customHeight="1" x14ac:dyDescent="0.15">
      <c r="K249" s="1"/>
    </row>
    <row r="250" spans="11:11" ht="21" customHeight="1" x14ac:dyDescent="0.15">
      <c r="K250" s="1"/>
    </row>
    <row r="251" spans="11:11" ht="21" customHeight="1" x14ac:dyDescent="0.15">
      <c r="K251" s="1"/>
    </row>
    <row r="252" spans="11:11" ht="21" customHeight="1" x14ac:dyDescent="0.15">
      <c r="K252" s="1"/>
    </row>
    <row r="253" spans="11:11" ht="21" customHeight="1" x14ac:dyDescent="0.15">
      <c r="K253" s="1"/>
    </row>
    <row r="254" spans="11:11" ht="21" customHeight="1" x14ac:dyDescent="0.15">
      <c r="K254" s="1"/>
    </row>
    <row r="255" spans="11:11" ht="21" customHeight="1" x14ac:dyDescent="0.15">
      <c r="K255" s="1"/>
    </row>
    <row r="256" spans="11:11" ht="21" customHeight="1" x14ac:dyDescent="0.15">
      <c r="K256" s="1"/>
    </row>
    <row r="257" spans="11:11" ht="21" customHeight="1" x14ac:dyDescent="0.15">
      <c r="K257" s="1"/>
    </row>
    <row r="258" spans="11:11" ht="21" customHeight="1" x14ac:dyDescent="0.15">
      <c r="K258" s="1"/>
    </row>
    <row r="259" spans="11:11" ht="21" customHeight="1" x14ac:dyDescent="0.15">
      <c r="K259" s="1"/>
    </row>
    <row r="260" spans="11:11" ht="21" customHeight="1" x14ac:dyDescent="0.15">
      <c r="K260" s="1"/>
    </row>
    <row r="261" spans="11:11" ht="21" customHeight="1" x14ac:dyDescent="0.15">
      <c r="K261" s="1"/>
    </row>
    <row r="262" spans="11:11" ht="21" customHeight="1" x14ac:dyDescent="0.15">
      <c r="K262" s="1"/>
    </row>
    <row r="263" spans="11:11" ht="21" customHeight="1" x14ac:dyDescent="0.15">
      <c r="K263" s="1"/>
    </row>
    <row r="264" spans="11:11" ht="21" customHeight="1" x14ac:dyDescent="0.15">
      <c r="K264" s="1"/>
    </row>
    <row r="265" spans="11:11" ht="21" customHeight="1" x14ac:dyDescent="0.15">
      <c r="K265" s="1"/>
    </row>
    <row r="266" spans="11:11" ht="21" customHeight="1" x14ac:dyDescent="0.15">
      <c r="K266" s="1"/>
    </row>
    <row r="267" spans="11:11" ht="21" customHeight="1" x14ac:dyDescent="0.15">
      <c r="K267" s="1"/>
    </row>
    <row r="268" spans="11:11" ht="21" customHeight="1" x14ac:dyDescent="0.15">
      <c r="K268" s="1"/>
    </row>
    <row r="269" spans="11:11" ht="21" customHeight="1" x14ac:dyDescent="0.15">
      <c r="K269" s="1"/>
    </row>
    <row r="270" spans="11:11" ht="21" customHeight="1" x14ac:dyDescent="0.15">
      <c r="K270" s="1"/>
    </row>
    <row r="271" spans="11:11" ht="21" customHeight="1" x14ac:dyDescent="0.15">
      <c r="K271" s="1"/>
    </row>
    <row r="272" spans="11:11" ht="21" customHeight="1" x14ac:dyDescent="0.15">
      <c r="K272" s="1"/>
    </row>
    <row r="273" spans="11:11" ht="21" customHeight="1" x14ac:dyDescent="0.15">
      <c r="K273" s="1"/>
    </row>
    <row r="274" spans="11:11" ht="21" customHeight="1" x14ac:dyDescent="0.15">
      <c r="K274" s="1"/>
    </row>
    <row r="275" spans="11:11" ht="21" customHeight="1" x14ac:dyDescent="0.15">
      <c r="K275" s="1"/>
    </row>
    <row r="276" spans="11:11" ht="21" customHeight="1" x14ac:dyDescent="0.15">
      <c r="K276" s="1"/>
    </row>
    <row r="277" spans="11:11" ht="21" customHeight="1" x14ac:dyDescent="0.15">
      <c r="K277" s="1"/>
    </row>
    <row r="278" spans="11:11" ht="21" customHeight="1" x14ac:dyDescent="0.15">
      <c r="K278" s="1"/>
    </row>
    <row r="279" spans="11:11" ht="21" customHeight="1" x14ac:dyDescent="0.15">
      <c r="K279" s="1"/>
    </row>
    <row r="280" spans="11:11" ht="21" customHeight="1" x14ac:dyDescent="0.15">
      <c r="K280" s="1"/>
    </row>
    <row r="281" spans="11:11" ht="21" customHeight="1" x14ac:dyDescent="0.15">
      <c r="K281" s="1"/>
    </row>
  </sheetData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2" t="s">
        <v>24</v>
      </c>
      <c r="B1" s="3" t="s">
        <v>25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5">
        <v>668</v>
      </c>
      <c r="B246" s="7" t="str">
        <f>VLOOKUP(A246,[1]characters!$A:$C,3,FALSE)</f>
        <v>アグニ</v>
      </c>
    </row>
    <row r="247" spans="1:2" x14ac:dyDescent="0.15">
      <c r="A247" s="55">
        <v>669</v>
      </c>
      <c r="B247" s="7" t="str">
        <f>VLOOKUP(A247,[1]characters!$A:$C,3,FALSE)</f>
        <v>天地の仲界 アグニ</v>
      </c>
    </row>
    <row r="248" spans="1:2" x14ac:dyDescent="0.15">
      <c r="A248" s="55">
        <v>670</v>
      </c>
      <c r="B248" s="7" t="str">
        <f>VLOOKUP(A248,[1]characters!$A:$C,3,FALSE)</f>
        <v>陽天の噴煙 アグニ</v>
      </c>
    </row>
    <row r="249" spans="1:2" x14ac:dyDescent="0.15">
      <c r="A249" s="55">
        <v>671</v>
      </c>
      <c r="B249" s="7" t="str">
        <f>VLOOKUP(A249,[1]characters!$A:$C,3,FALSE)</f>
        <v>ハヌマーン</v>
      </c>
    </row>
    <row r="250" spans="1:2" x14ac:dyDescent="0.15">
      <c r="A250" s="55">
        <v>672</v>
      </c>
      <c r="B250" s="7" t="str">
        <f>VLOOKUP(A250,[1]characters!$A:$C,3,FALSE)</f>
        <v>西遊韋駄天 ハヌマーン</v>
      </c>
    </row>
    <row r="251" spans="1:2" x14ac:dyDescent="0.15">
      <c r="A251" s="55">
        <v>673</v>
      </c>
      <c r="B251" s="7" t="str">
        <f>VLOOKUP(A251,[1]characters!$A:$C,3,FALSE)</f>
        <v>変幻自在の猿王 ハヌマーン</v>
      </c>
    </row>
    <row r="252" spans="1:2" x14ac:dyDescent="0.15">
      <c r="A252" s="55">
        <v>674</v>
      </c>
      <c r="B252" s="7" t="str">
        <f>VLOOKUP(A252,[1]characters!$A:$C,3,FALSE)</f>
        <v>サラスヴァティ</v>
      </c>
    </row>
    <row r="253" spans="1:2" x14ac:dyDescent="0.15">
      <c r="A253" s="55">
        <v>675</v>
      </c>
      <c r="B253" s="7" t="str">
        <f>VLOOKUP(A253,[1]characters!$A:$C,3,FALSE)</f>
        <v>芸楽の奔流 サラスヴァティ</v>
      </c>
    </row>
    <row r="254" spans="1:2" x14ac:dyDescent="0.15">
      <c r="A254" s="55">
        <v>676</v>
      </c>
      <c r="B254" s="7" t="str">
        <f>VLOOKUP(A254,[1]characters!$A:$C,3,FALSE)</f>
        <v>ヴィシュヌ</v>
      </c>
    </row>
    <row r="255" spans="1:2" x14ac:dyDescent="0.15">
      <c r="A255" s="55">
        <v>677</v>
      </c>
      <c r="B255" s="7" t="str">
        <f>VLOOKUP(A255,[1]characters!$A:$C,3,FALSE)</f>
        <v>武遊闊歩 ヴィシュヌ</v>
      </c>
    </row>
    <row r="256" spans="1:2" x14ac:dyDescent="0.15">
      <c r="A256" s="55">
        <v>770</v>
      </c>
      <c r="B256" s="7" t="str">
        <f>VLOOKUP(A256,[1]characters!$A:$C,3,FALSE)</f>
        <v>ハヅル</v>
      </c>
    </row>
    <row r="257" spans="1:2" x14ac:dyDescent="0.15">
      <c r="A257" s="55">
        <v>771</v>
      </c>
      <c r="B257" s="7" t="str">
        <f>VLOOKUP(A257,[1]characters!$A:$C,3,FALSE)</f>
        <v>天織羽鶴 ハヅル</v>
      </c>
    </row>
    <row r="258" spans="1:2" x14ac:dyDescent="0.15">
      <c r="A258" s="55">
        <v>772</v>
      </c>
      <c r="B258" s="7" t="str">
        <f>VLOOKUP(A258,[1]characters!$A:$C,3,FALSE)</f>
        <v>イナバ</v>
      </c>
    </row>
    <row r="259" spans="1:2" x14ac:dyDescent="0.15">
      <c r="A259" s="55">
        <v>773</v>
      </c>
      <c r="B259" s="7" t="str">
        <f>VLOOKUP(A259,[1]characters!$A:$C,3,FALSE)</f>
        <v>浮跳天兎 イナバ</v>
      </c>
    </row>
    <row r="260" spans="1:2" x14ac:dyDescent="0.15">
      <c r="A260" s="55">
        <v>774</v>
      </c>
      <c r="B260" s="7" t="str">
        <f>VLOOKUP(A260,[1]characters!$A:$C,3,FALSE)</f>
        <v>ミズチ</v>
      </c>
    </row>
    <row r="261" spans="1:2" x14ac:dyDescent="0.15">
      <c r="A261" s="55">
        <v>775</v>
      </c>
      <c r="B261" s="7" t="str">
        <f>VLOOKUP(A261,[1]characters!$A:$C,3,FALSE)</f>
        <v>水底霊竜 ミズチ</v>
      </c>
    </row>
    <row r="262" spans="1:2" x14ac:dyDescent="0.15">
      <c r="A262" s="55">
        <v>776</v>
      </c>
      <c r="B262" s="7" t="str">
        <f>VLOOKUP(A262,[1]characters!$A:$C,3,FALSE)</f>
        <v>水竜底主 ミズチ</v>
      </c>
    </row>
    <row r="263" spans="1:2" x14ac:dyDescent="0.15">
      <c r="A263" s="55">
        <v>777</v>
      </c>
      <c r="B263" s="7" t="str">
        <f>VLOOKUP(A263,[1]characters!$A:$C,3,FALSE)</f>
        <v>ガメック</v>
      </c>
    </row>
    <row r="264" spans="1:2" x14ac:dyDescent="0.15">
      <c r="A264" s="55">
        <v>778</v>
      </c>
      <c r="B264" s="7" t="str">
        <f>VLOOKUP(A264,[1]characters!$A:$C,3,FALSE)</f>
        <v>一亀懸明 ガメック</v>
      </c>
    </row>
    <row r="265" spans="1:2" x14ac:dyDescent="0.15">
      <c r="A265" s="55">
        <v>779</v>
      </c>
      <c r="B265" s="7" t="str">
        <f>VLOOKUP(A265,[1]characters!$A:$C,3,FALSE)</f>
        <v>頑堅咬亀 ガメック</v>
      </c>
    </row>
    <row r="266" spans="1:2" x14ac:dyDescent="0.15">
      <c r="A266" s="55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5" t="s">
        <v>47</v>
      </c>
      <c r="B1" s="35"/>
    </row>
    <row r="2" spans="1:2" x14ac:dyDescent="0.15">
      <c r="A2" s="29" t="s">
        <v>1</v>
      </c>
      <c r="B2" s="34" t="s">
        <v>51</v>
      </c>
    </row>
    <row r="3" spans="1:2" x14ac:dyDescent="0.15">
      <c r="A3" s="6">
        <v>166</v>
      </c>
      <c r="B3" s="34" t="str">
        <f>VLOOKUP(A3,[1]characters!$A:$C,3,FALSE)</f>
        <v>ベリアル</v>
      </c>
    </row>
    <row r="4" spans="1:2" x14ac:dyDescent="0.15">
      <c r="A4" s="6">
        <v>167</v>
      </c>
      <c r="B4" s="34" t="str">
        <f>VLOOKUP(A4,[1]characters!$A:$C,3,FALSE)</f>
        <v>逆徒 ベリアル</v>
      </c>
    </row>
    <row r="5" spans="1:2" x14ac:dyDescent="0.15">
      <c r="A5" s="6">
        <v>168</v>
      </c>
      <c r="B5" s="34" t="str">
        <f>VLOOKUP(A5,[1]characters!$A:$C,3,FALSE)</f>
        <v>猛進の大逆者 ベリアル</v>
      </c>
    </row>
    <row r="6" spans="1:2" x14ac:dyDescent="0.15">
      <c r="A6" s="29">
        <v>169</v>
      </c>
      <c r="B6" s="34" t="str">
        <f>VLOOKUP(A6,[1]characters!$A:$C,3,FALSE)</f>
        <v>オセ</v>
      </c>
    </row>
    <row r="7" spans="1:2" x14ac:dyDescent="0.15">
      <c r="A7" s="29">
        <v>170</v>
      </c>
      <c r="B7" s="34" t="str">
        <f>VLOOKUP(A7,[1]characters!$A:$C,3,FALSE)</f>
        <v>識徒 オセ</v>
      </c>
    </row>
    <row r="8" spans="1:2" x14ac:dyDescent="0.15">
      <c r="A8" s="29">
        <v>171</v>
      </c>
      <c r="B8" s="34" t="str">
        <f>VLOOKUP(A8,[1]characters!$A:$C,3,FALSE)</f>
        <v>精解の預知者 オセ</v>
      </c>
    </row>
    <row r="9" spans="1:2" x14ac:dyDescent="0.15">
      <c r="A9" s="29">
        <v>172</v>
      </c>
      <c r="B9" s="34" t="str">
        <f>VLOOKUP(A9,[1]characters!$A:$C,3,FALSE)</f>
        <v>フォルネウス</v>
      </c>
    </row>
    <row r="10" spans="1:2" x14ac:dyDescent="0.15">
      <c r="A10" s="29">
        <v>173</v>
      </c>
      <c r="B10" s="34" t="str">
        <f>VLOOKUP(A10,[1]characters!$A:$C,3,FALSE)</f>
        <v>公爵 フォルネウス</v>
      </c>
    </row>
    <row r="11" spans="1:2" x14ac:dyDescent="0.15">
      <c r="A11" s="29">
        <v>174</v>
      </c>
      <c r="B11" s="34" t="str">
        <f>VLOOKUP(A11,[1]characters!$A:$C,3,FALSE)</f>
        <v>偽愛の大公爵 フォルネウス</v>
      </c>
    </row>
    <row r="12" spans="1:2" x14ac:dyDescent="0.15">
      <c r="A12" s="29">
        <v>235</v>
      </c>
      <c r="B12" s="34" t="str">
        <f>VLOOKUP(A12,[1]characters!$A:$C,3,FALSE)</f>
        <v>イザナミ</v>
      </c>
    </row>
    <row r="13" spans="1:2" x14ac:dyDescent="0.15">
      <c r="A13" s="29">
        <v>236</v>
      </c>
      <c r="B13" s="34" t="str">
        <f>VLOOKUP(A13,[1]characters!$A:$C,3,FALSE)</f>
        <v>神産 イザナミ</v>
      </c>
    </row>
    <row r="14" spans="1:2" x14ac:dyDescent="0.15">
      <c r="A14" s="29">
        <v>237</v>
      </c>
      <c r="B14" s="34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確率の考え方</vt:lpstr>
      <vt:lpstr>Sheet1</vt:lpstr>
      <vt:lpstr>output</vt:lpstr>
      <vt:lpstr>input_settle_7112100</vt:lpstr>
      <vt:lpstr>tables_settle_7112100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2016-08-11T04:53:01Z</dcterms:modified>
</cp:coreProperties>
</file>