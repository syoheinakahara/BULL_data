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codeName="ThisWorkbook" autoCompressPictures="0"/>
  <bookViews>
    <workbookView xWindow="0" yWindow="0" windowWidth="28800" windowHeight="1600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enemy_habitat_S!$B$1:$Y$2</definedName>
    <definedName name="_xlnm._FilterDatabase" localSheetId="2" hidden="1">enemy_habitats!$B$1:$AH$2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8" hidden="1">stage_hints_complete!$B$1:$L$2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6" i="9" l="1"/>
  <c r="A22" i="9"/>
  <c r="D22" i="9"/>
  <c r="E22" i="9"/>
  <c r="G22" i="9"/>
  <c r="H22" i="9"/>
  <c r="I22" i="9"/>
  <c r="J22" i="9"/>
  <c r="K22" i="9"/>
  <c r="L22" i="9"/>
  <c r="M22" i="9"/>
  <c r="N22" i="9"/>
  <c r="O22" i="9"/>
  <c r="A11" i="9"/>
  <c r="D11" i="9"/>
  <c r="E11" i="9"/>
  <c r="G11" i="9"/>
  <c r="H11" i="9"/>
  <c r="I11" i="9"/>
  <c r="J11" i="9"/>
  <c r="K11" i="9"/>
  <c r="L11" i="9"/>
  <c r="M11" i="9"/>
  <c r="N11" i="9"/>
  <c r="O11" i="9"/>
  <c r="A12" i="9"/>
  <c r="D12" i="9"/>
  <c r="E12" i="9"/>
  <c r="G12" i="9"/>
  <c r="H12" i="9"/>
  <c r="I12" i="9"/>
  <c r="J12" i="9"/>
  <c r="K12" i="9"/>
  <c r="L12" i="9"/>
  <c r="M12" i="9"/>
  <c r="N12" i="9"/>
  <c r="O12" i="9"/>
  <c r="A13" i="9"/>
  <c r="D13" i="9"/>
  <c r="E13" i="9"/>
  <c r="H13" i="9"/>
  <c r="I13" i="9"/>
  <c r="J13" i="9"/>
  <c r="K13" i="9"/>
  <c r="L13" i="9"/>
  <c r="M13" i="9"/>
  <c r="N13" i="9"/>
  <c r="O13" i="9"/>
  <c r="A14" i="9"/>
  <c r="D14" i="9"/>
  <c r="E14" i="9"/>
  <c r="G14" i="9"/>
  <c r="H14" i="9"/>
  <c r="I14" i="9"/>
  <c r="J14" i="9"/>
  <c r="K14" i="9"/>
  <c r="L14" i="9"/>
  <c r="M14" i="9"/>
  <c r="O14" i="9"/>
  <c r="A15" i="9"/>
  <c r="D15" i="9"/>
  <c r="E15" i="9"/>
  <c r="G15" i="9"/>
  <c r="H15" i="9"/>
  <c r="I15" i="9"/>
  <c r="J15" i="9"/>
  <c r="K15" i="9"/>
  <c r="L15" i="9"/>
  <c r="M15" i="9"/>
  <c r="N15" i="9"/>
  <c r="O15" i="9"/>
  <c r="A16" i="9"/>
  <c r="D16" i="9"/>
  <c r="E16" i="9"/>
  <c r="G16" i="9"/>
  <c r="H16" i="9"/>
  <c r="I16" i="9"/>
  <c r="J16" i="9"/>
  <c r="K16" i="9"/>
  <c r="L16" i="9"/>
  <c r="N16" i="9"/>
  <c r="O16" i="9"/>
  <c r="A17" i="9"/>
  <c r="D17" i="9"/>
  <c r="E17" i="9"/>
  <c r="G17" i="9"/>
  <c r="H17" i="9"/>
  <c r="I17" i="9"/>
  <c r="J17" i="9"/>
  <c r="K17" i="9"/>
  <c r="L17" i="9"/>
  <c r="M17" i="9"/>
  <c r="N17" i="9"/>
  <c r="O17" i="9"/>
  <c r="A18" i="9"/>
  <c r="D18" i="9"/>
  <c r="E18" i="9"/>
  <c r="G18" i="9"/>
  <c r="H18" i="9"/>
  <c r="I18" i="9"/>
  <c r="J18" i="9"/>
  <c r="K18" i="9"/>
  <c r="L18" i="9"/>
  <c r="M18" i="9"/>
  <c r="N18" i="9"/>
  <c r="O18" i="9"/>
  <c r="A19" i="9"/>
  <c r="D19" i="9"/>
  <c r="E19" i="9"/>
  <c r="G19" i="9"/>
  <c r="H19" i="9"/>
  <c r="I19" i="9"/>
  <c r="J19" i="9"/>
  <c r="K19" i="9"/>
  <c r="L19" i="9"/>
  <c r="M19" i="9"/>
  <c r="N19" i="9"/>
  <c r="O19" i="9"/>
  <c r="A20" i="9"/>
  <c r="D20" i="9"/>
  <c r="E20" i="9"/>
  <c r="G20" i="9"/>
  <c r="H20" i="9"/>
  <c r="I20" i="9"/>
  <c r="J20" i="9"/>
  <c r="K20" i="9"/>
  <c r="L20" i="9"/>
  <c r="M20" i="9"/>
  <c r="N20" i="9"/>
  <c r="O20" i="9"/>
  <c r="A21" i="9"/>
  <c r="D21" i="9"/>
  <c r="E21" i="9"/>
  <c r="G21" i="9"/>
  <c r="H21" i="9"/>
  <c r="I21" i="9"/>
  <c r="J21" i="9"/>
  <c r="K21" i="9"/>
  <c r="L21" i="9"/>
  <c r="M21" i="9"/>
  <c r="N21" i="9"/>
  <c r="O21" i="9"/>
  <c r="J11" i="11"/>
  <c r="J12" i="11"/>
  <c r="J13" i="11"/>
  <c r="J14" i="11"/>
  <c r="J15" i="11"/>
  <c r="J16" i="11"/>
  <c r="J17" i="11"/>
  <c r="J18" i="11"/>
  <c r="J19" i="11"/>
  <c r="J20" i="11"/>
  <c r="J21" i="11"/>
  <c r="J22" i="11"/>
  <c r="G17" i="10"/>
  <c r="J17" i="10"/>
  <c r="I17" i="10"/>
  <c r="K17" i="10"/>
  <c r="H17" i="10"/>
  <c r="L17" i="10"/>
  <c r="M10" i="10"/>
  <c r="T10" i="10"/>
  <c r="W10" i="10"/>
  <c r="V10" i="10"/>
  <c r="X10" i="10"/>
  <c r="U10" i="10"/>
  <c r="Y10" i="10"/>
  <c r="M21" i="10"/>
  <c r="N21" i="10"/>
  <c r="Q21" i="10"/>
  <c r="P21" i="10"/>
  <c r="R21" i="10"/>
  <c r="O21" i="10"/>
  <c r="S21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G13" i="10"/>
  <c r="H13" i="10"/>
  <c r="I13" i="10"/>
  <c r="J13" i="10"/>
  <c r="K13" i="10"/>
  <c r="L13" i="10"/>
  <c r="M13" i="10"/>
  <c r="N13" i="10"/>
  <c r="O13" i="10"/>
  <c r="P13" i="10"/>
  <c r="Q13" i="10"/>
  <c r="R13" i="10"/>
  <c r="S13" i="10"/>
  <c r="T13" i="10"/>
  <c r="U13" i="10"/>
  <c r="V13" i="10"/>
  <c r="W13" i="10"/>
  <c r="X13" i="10"/>
  <c r="Y13" i="10"/>
  <c r="G12" i="10"/>
  <c r="H12" i="10"/>
  <c r="I12" i="10"/>
  <c r="J12" i="10"/>
  <c r="K12" i="10"/>
  <c r="L12" i="10"/>
  <c r="M12" i="10"/>
  <c r="M22" i="10"/>
  <c r="N22" i="10"/>
  <c r="Q22" i="10"/>
  <c r="P22" i="10"/>
  <c r="R22" i="10"/>
  <c r="O22" i="10"/>
  <c r="S2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G16" i="10"/>
  <c r="H16" i="10"/>
  <c r="I16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G19" i="10"/>
  <c r="H19" i="10"/>
  <c r="I19" i="10"/>
  <c r="J19" i="10"/>
  <c r="K19" i="10"/>
  <c r="L19" i="10"/>
  <c r="M19" i="10"/>
  <c r="N19" i="10"/>
  <c r="O19" i="10"/>
  <c r="P19" i="10"/>
  <c r="Q19" i="10"/>
  <c r="R19" i="10"/>
  <c r="S19" i="10"/>
  <c r="T19" i="10"/>
  <c r="U19" i="10"/>
  <c r="V19" i="10"/>
  <c r="W19" i="10"/>
  <c r="X19" i="10"/>
  <c r="Y19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G21" i="10"/>
  <c r="H21" i="10"/>
  <c r="I21" i="10"/>
  <c r="J21" i="10"/>
  <c r="K21" i="10"/>
  <c r="L21" i="10"/>
  <c r="T21" i="10"/>
  <c r="U21" i="10"/>
  <c r="V21" i="10"/>
  <c r="W21" i="10"/>
  <c r="X21" i="10"/>
  <c r="Y21" i="10"/>
  <c r="G22" i="10"/>
  <c r="H22" i="10"/>
  <c r="I22" i="10"/>
  <c r="J22" i="10"/>
  <c r="K22" i="10"/>
  <c r="L22" i="10"/>
  <c r="T22" i="10"/>
  <c r="U22" i="10"/>
  <c r="V22" i="10"/>
  <c r="W22" i="10"/>
  <c r="X22" i="10"/>
  <c r="Y22" i="10"/>
  <c r="Y4" i="7"/>
  <c r="W4" i="7"/>
  <c r="R4" i="7"/>
  <c r="Q4" i="7"/>
  <c r="P4" i="7"/>
  <c r="O4" i="7"/>
  <c r="N4" i="7"/>
  <c r="H4" i="7"/>
  <c r="J4" i="7"/>
  <c r="I4" i="7"/>
  <c r="D4" i="7"/>
  <c r="F4" i="7"/>
  <c r="E4" i="7"/>
  <c r="A4" i="7"/>
  <c r="AB9" i="1"/>
  <c r="AD9" i="1"/>
  <c r="AG9" i="1"/>
  <c r="AE9" i="1"/>
  <c r="AC9" i="1"/>
  <c r="AA9" i="1"/>
  <c r="V9" i="1"/>
  <c r="Q9" i="1"/>
  <c r="P9" i="1"/>
  <c r="O9" i="1"/>
  <c r="N9" i="1"/>
  <c r="M9" i="1"/>
  <c r="H9" i="1"/>
  <c r="J9" i="1"/>
  <c r="I9" i="1"/>
  <c r="D9" i="1"/>
  <c r="F9" i="1"/>
  <c r="E9" i="1"/>
  <c r="A9" i="1"/>
  <c r="A7" i="9"/>
  <c r="D7" i="9"/>
  <c r="E7" i="9"/>
  <c r="G7" i="9"/>
  <c r="H7" i="9"/>
  <c r="I7" i="9"/>
  <c r="J7" i="9"/>
  <c r="K7" i="9"/>
  <c r="L7" i="9"/>
  <c r="M7" i="9"/>
  <c r="N7" i="9"/>
  <c r="O7" i="9"/>
  <c r="A8" i="9"/>
  <c r="D8" i="9"/>
  <c r="E8" i="9"/>
  <c r="G8" i="9"/>
  <c r="H8" i="9"/>
  <c r="I8" i="9"/>
  <c r="J8" i="9"/>
  <c r="K8" i="9"/>
  <c r="L8" i="9"/>
  <c r="M8" i="9"/>
  <c r="O8" i="9"/>
  <c r="A9" i="9"/>
  <c r="D9" i="9"/>
  <c r="E9" i="9"/>
  <c r="G9" i="9"/>
  <c r="H9" i="9"/>
  <c r="I9" i="9"/>
  <c r="J9" i="9"/>
  <c r="K9" i="9"/>
  <c r="L9" i="9"/>
  <c r="M9" i="9"/>
  <c r="O9" i="9"/>
  <c r="A10" i="9"/>
  <c r="D10" i="9"/>
  <c r="E10" i="9"/>
  <c r="G10" i="9"/>
  <c r="H10" i="9"/>
  <c r="I10" i="9"/>
  <c r="J10" i="9"/>
  <c r="K10" i="9"/>
  <c r="L10" i="9"/>
  <c r="M10" i="9"/>
  <c r="O10" i="9"/>
  <c r="A3" i="9"/>
  <c r="D3" i="9"/>
  <c r="E3" i="9"/>
  <c r="G3" i="9"/>
  <c r="H3" i="9"/>
  <c r="I3" i="9"/>
  <c r="J3" i="9"/>
  <c r="K3" i="9"/>
  <c r="L3" i="9"/>
  <c r="M3" i="9"/>
  <c r="N3" i="9"/>
  <c r="O3" i="9"/>
  <c r="A4" i="9"/>
  <c r="D4" i="9"/>
  <c r="E4" i="9"/>
  <c r="G4" i="9"/>
  <c r="H4" i="9"/>
  <c r="I4" i="9"/>
  <c r="J4" i="9"/>
  <c r="K4" i="9"/>
  <c r="L4" i="9"/>
  <c r="M4" i="9"/>
  <c r="N4" i="9"/>
  <c r="O4" i="9"/>
  <c r="A5" i="9"/>
  <c r="D5" i="9"/>
  <c r="E5" i="9"/>
  <c r="G5" i="9"/>
  <c r="H5" i="9"/>
  <c r="I5" i="9"/>
  <c r="J5" i="9"/>
  <c r="K5" i="9"/>
  <c r="L5" i="9"/>
  <c r="M5" i="9"/>
  <c r="N5" i="9"/>
  <c r="O5" i="9"/>
  <c r="A6" i="9"/>
  <c r="D6" i="9"/>
  <c r="E6" i="9"/>
  <c r="G6" i="9"/>
  <c r="H6" i="9"/>
  <c r="I6" i="9"/>
  <c r="J6" i="9"/>
  <c r="K6" i="9"/>
  <c r="L6" i="9"/>
  <c r="M6" i="9"/>
  <c r="N6" i="9"/>
  <c r="O6" i="9"/>
  <c r="J3" i="11"/>
  <c r="J4" i="11"/>
  <c r="J5" i="11"/>
  <c r="J6" i="11"/>
  <c r="J7" i="11"/>
  <c r="J8" i="11"/>
  <c r="J9" i="11"/>
  <c r="J10" i="11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G6" i="10"/>
  <c r="H6" i="10"/>
  <c r="I6" i="10"/>
  <c r="J6" i="10"/>
  <c r="K6" i="10"/>
  <c r="L6" i="10"/>
  <c r="M6" i="10"/>
  <c r="N6" i="10"/>
  <c r="O6" i="10"/>
  <c r="P6" i="10"/>
  <c r="Q6" i="10"/>
  <c r="R6" i="10"/>
  <c r="S6" i="10"/>
  <c r="T6" i="10"/>
  <c r="U6" i="10"/>
  <c r="V6" i="10"/>
  <c r="W6" i="10"/>
  <c r="X6" i="10"/>
  <c r="Y6" i="10"/>
  <c r="G3" i="10"/>
  <c r="H3" i="10"/>
  <c r="I3" i="10"/>
  <c r="J3" i="10"/>
  <c r="K3" i="10"/>
  <c r="L3" i="10"/>
  <c r="M3" i="10"/>
  <c r="N3" i="10"/>
  <c r="O3" i="10"/>
  <c r="P3" i="10"/>
  <c r="Q3" i="10"/>
  <c r="R3" i="10"/>
  <c r="S3" i="10"/>
  <c r="T3" i="10"/>
  <c r="U3" i="10"/>
  <c r="V3" i="10"/>
  <c r="W3" i="10"/>
  <c r="X3" i="10"/>
  <c r="Y3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A3" i="7"/>
  <c r="D3" i="7"/>
  <c r="E3" i="7"/>
  <c r="F3" i="7"/>
  <c r="H3" i="7"/>
  <c r="I3" i="7"/>
  <c r="J3" i="7"/>
  <c r="N3" i="7"/>
  <c r="O3" i="7"/>
  <c r="P3" i="7"/>
  <c r="Q3" i="7"/>
  <c r="R3" i="7"/>
  <c r="W3" i="7"/>
  <c r="Y3" i="7"/>
  <c r="AA3" i="1"/>
  <c r="A3" i="1"/>
  <c r="D3" i="1"/>
  <c r="E3" i="1"/>
  <c r="F3" i="1"/>
  <c r="H3" i="1"/>
  <c r="I3" i="1"/>
  <c r="J3" i="1"/>
  <c r="M3" i="1"/>
  <c r="N3" i="1"/>
  <c r="O3" i="1"/>
  <c r="P3" i="1"/>
  <c r="Q3" i="1"/>
  <c r="V3" i="1"/>
  <c r="AB3" i="1"/>
  <c r="AC3" i="1"/>
  <c r="AD3" i="1"/>
  <c r="AE3" i="1"/>
  <c r="AG3" i="1"/>
  <c r="AA4" i="1"/>
  <c r="A4" i="1"/>
  <c r="D4" i="1"/>
  <c r="E4" i="1"/>
  <c r="F4" i="1"/>
  <c r="H4" i="1"/>
  <c r="I4" i="1"/>
  <c r="J4" i="1"/>
  <c r="M4" i="1"/>
  <c r="N4" i="1"/>
  <c r="O4" i="1"/>
  <c r="P4" i="1"/>
  <c r="Q4" i="1"/>
  <c r="V4" i="1"/>
  <c r="AB4" i="1"/>
  <c r="AC4" i="1"/>
  <c r="AD4" i="1"/>
  <c r="AE4" i="1"/>
  <c r="AG4" i="1"/>
  <c r="AA5" i="1"/>
  <c r="A5" i="1"/>
  <c r="D5" i="1"/>
  <c r="E5" i="1"/>
  <c r="F5" i="1"/>
  <c r="H5" i="1"/>
  <c r="I5" i="1"/>
  <c r="J5" i="1"/>
  <c r="M5" i="1"/>
  <c r="N5" i="1"/>
  <c r="O5" i="1"/>
  <c r="P5" i="1"/>
  <c r="Q5" i="1"/>
  <c r="V5" i="1"/>
  <c r="AB5" i="1"/>
  <c r="AC5" i="1"/>
  <c r="AD5" i="1"/>
  <c r="AE5" i="1"/>
  <c r="AG5" i="1"/>
  <c r="AA6" i="1"/>
  <c r="A6" i="1"/>
  <c r="D6" i="1"/>
  <c r="E6" i="1"/>
  <c r="F6" i="1"/>
  <c r="H6" i="1"/>
  <c r="I6" i="1"/>
  <c r="J6" i="1"/>
  <c r="M6" i="1"/>
  <c r="N6" i="1"/>
  <c r="O6" i="1"/>
  <c r="P6" i="1"/>
  <c r="Q6" i="1"/>
  <c r="V6" i="1"/>
  <c r="AB6" i="1"/>
  <c r="AC6" i="1"/>
  <c r="AD6" i="1"/>
  <c r="AE6" i="1"/>
  <c r="AG6" i="1"/>
  <c r="AA7" i="1"/>
  <c r="A7" i="1"/>
  <c r="D7" i="1"/>
  <c r="E7" i="1"/>
  <c r="F7" i="1"/>
  <c r="H7" i="1"/>
  <c r="I7" i="1"/>
  <c r="J7" i="1"/>
  <c r="M7" i="1"/>
  <c r="N7" i="1"/>
  <c r="O7" i="1"/>
  <c r="P7" i="1"/>
  <c r="Q7" i="1"/>
  <c r="V7" i="1"/>
  <c r="AB7" i="1"/>
  <c r="AC7" i="1"/>
  <c r="AD7" i="1"/>
  <c r="AE7" i="1"/>
  <c r="AG7" i="1"/>
  <c r="AA8" i="1"/>
  <c r="A8" i="1"/>
  <c r="D8" i="1"/>
  <c r="E8" i="1"/>
  <c r="F8" i="1"/>
  <c r="H8" i="1"/>
  <c r="I8" i="1"/>
  <c r="J8" i="1"/>
  <c r="M8" i="1"/>
  <c r="N8" i="1"/>
  <c r="O8" i="1"/>
  <c r="P8" i="1"/>
  <c r="Q8" i="1"/>
  <c r="V8" i="1"/>
  <c r="AB8" i="1"/>
  <c r="AC8" i="1"/>
  <c r="AD8" i="1"/>
  <c r="AE8" i="1"/>
  <c r="AG8" i="1"/>
  <c r="G3" i="2"/>
  <c r="A3" i="2"/>
  <c r="H2" i="1"/>
  <c r="B3" i="2"/>
  <c r="D3" i="2"/>
  <c r="E3" i="2"/>
  <c r="H3" i="2"/>
  <c r="G4" i="2"/>
  <c r="A4" i="2"/>
  <c r="B4" i="2"/>
  <c r="D4" i="2"/>
  <c r="E4" i="2"/>
  <c r="H4" i="2"/>
  <c r="G5" i="2"/>
  <c r="A5" i="2"/>
  <c r="B5" i="2"/>
  <c r="D5" i="2"/>
  <c r="E5" i="2"/>
  <c r="H5" i="2"/>
  <c r="G6" i="2"/>
  <c r="A6" i="2"/>
  <c r="B6" i="2"/>
  <c r="D6" i="2"/>
  <c r="E6" i="2"/>
  <c r="H6" i="2"/>
  <c r="B123" i="19"/>
  <c r="C123" i="19"/>
  <c r="D123" i="19"/>
  <c r="F123" i="19"/>
  <c r="G123" i="19"/>
  <c r="B124" i="19"/>
  <c r="C124" i="19"/>
  <c r="D124" i="19"/>
  <c r="F124" i="19"/>
  <c r="G124" i="19"/>
  <c r="B125" i="19"/>
  <c r="C125" i="19"/>
  <c r="D125" i="19"/>
  <c r="F125" i="19"/>
  <c r="G125" i="19"/>
  <c r="B126" i="19"/>
  <c r="C126" i="19"/>
  <c r="D126" i="19"/>
  <c r="F126" i="19"/>
  <c r="G126" i="19"/>
  <c r="B127" i="19"/>
  <c r="C127" i="19"/>
  <c r="D127" i="19"/>
  <c r="F127" i="19"/>
  <c r="G127" i="19"/>
  <c r="B128" i="19"/>
  <c r="C128" i="19"/>
  <c r="D128" i="19"/>
  <c r="F128" i="19"/>
  <c r="G128" i="19"/>
  <c r="B129" i="19"/>
  <c r="C129" i="19"/>
  <c r="D129" i="19"/>
  <c r="F129" i="19"/>
  <c r="G129" i="19"/>
  <c r="B130" i="19"/>
  <c r="C130" i="19"/>
  <c r="D130" i="19"/>
  <c r="F130" i="19"/>
  <c r="G130" i="19"/>
  <c r="B131" i="19"/>
  <c r="C131" i="19"/>
  <c r="D131" i="19"/>
  <c r="F131" i="19"/>
  <c r="G131" i="19"/>
  <c r="B132" i="19"/>
  <c r="C132" i="19"/>
  <c r="D132" i="19"/>
  <c r="F132" i="19"/>
  <c r="G132" i="19"/>
  <c r="B133" i="19"/>
  <c r="C133" i="19"/>
  <c r="D133" i="19"/>
  <c r="F133" i="19"/>
  <c r="G133" i="19"/>
  <c r="B134" i="19"/>
  <c r="C134" i="19"/>
  <c r="D134" i="19"/>
  <c r="F134" i="19"/>
  <c r="G134" i="19"/>
  <c r="K122" i="19"/>
  <c r="L122" i="19"/>
  <c r="K123" i="19"/>
  <c r="L123" i="19"/>
  <c r="K124" i="19"/>
  <c r="L124" i="19"/>
  <c r="K125" i="19"/>
  <c r="L125" i="19"/>
  <c r="K126" i="19"/>
  <c r="L126" i="19"/>
  <c r="K127" i="19"/>
  <c r="L127" i="19"/>
  <c r="K128" i="19"/>
  <c r="L128" i="19"/>
  <c r="K129" i="19"/>
  <c r="L129" i="19"/>
  <c r="K130" i="19"/>
  <c r="L130" i="19"/>
  <c r="K131" i="19"/>
  <c r="L131" i="19"/>
  <c r="K132" i="19"/>
  <c r="L132" i="19"/>
  <c r="K133" i="19"/>
  <c r="L133" i="19"/>
  <c r="K134" i="19"/>
  <c r="L134" i="19"/>
  <c r="B122" i="19"/>
  <c r="C122" i="19"/>
  <c r="D122" i="19"/>
  <c r="F122" i="19"/>
  <c r="G122" i="19"/>
  <c r="B110" i="19"/>
  <c r="C110" i="19"/>
  <c r="D110" i="19"/>
  <c r="F110" i="19"/>
  <c r="G110" i="19"/>
  <c r="B111" i="19"/>
  <c r="C111" i="19"/>
  <c r="D111" i="19"/>
  <c r="F111" i="19"/>
  <c r="G111" i="19"/>
  <c r="B112" i="19"/>
  <c r="C112" i="19"/>
  <c r="D112" i="19"/>
  <c r="F112" i="19"/>
  <c r="G112" i="19"/>
  <c r="B113" i="19"/>
  <c r="C113" i="19"/>
  <c r="D113" i="19"/>
  <c r="F113" i="19"/>
  <c r="G113" i="19"/>
  <c r="B114" i="19"/>
  <c r="C114" i="19"/>
  <c r="D114" i="19"/>
  <c r="F114" i="19"/>
  <c r="G114" i="19"/>
  <c r="B115" i="19"/>
  <c r="C115" i="19"/>
  <c r="D115" i="19"/>
  <c r="F115" i="19"/>
  <c r="G115" i="19"/>
  <c r="B116" i="19"/>
  <c r="C116" i="19"/>
  <c r="D116" i="19"/>
  <c r="F116" i="19"/>
  <c r="G116" i="19"/>
  <c r="B117" i="19"/>
  <c r="C117" i="19"/>
  <c r="D117" i="19"/>
  <c r="F117" i="19"/>
  <c r="G117" i="19"/>
  <c r="B118" i="19"/>
  <c r="C118" i="19"/>
  <c r="D118" i="19"/>
  <c r="F118" i="19"/>
  <c r="G118" i="19"/>
  <c r="B119" i="19"/>
  <c r="C119" i="19"/>
  <c r="D119" i="19"/>
  <c r="F119" i="19"/>
  <c r="G119" i="19"/>
  <c r="B120" i="19"/>
  <c r="C120" i="19"/>
  <c r="D120" i="19"/>
  <c r="F120" i="19"/>
  <c r="G120" i="19"/>
  <c r="B121" i="19"/>
  <c r="C121" i="19"/>
  <c r="D121" i="19"/>
  <c r="F121" i="19"/>
  <c r="G121" i="19"/>
  <c r="K109" i="19"/>
  <c r="L109" i="19"/>
  <c r="K110" i="19"/>
  <c r="L110" i="19"/>
  <c r="K111" i="19"/>
  <c r="L111" i="19"/>
  <c r="K112" i="19"/>
  <c r="L112" i="19"/>
  <c r="K113" i="19"/>
  <c r="L113" i="19"/>
  <c r="K114" i="19"/>
  <c r="L114" i="19"/>
  <c r="K115" i="19"/>
  <c r="L115" i="19"/>
  <c r="K116" i="19"/>
  <c r="L116" i="19"/>
  <c r="K117" i="19"/>
  <c r="L117" i="19"/>
  <c r="K118" i="19"/>
  <c r="L118" i="19"/>
  <c r="K119" i="19"/>
  <c r="L119" i="19"/>
  <c r="K120" i="19"/>
  <c r="L120" i="19"/>
  <c r="K121" i="19"/>
  <c r="L121" i="19"/>
  <c r="B109" i="19"/>
  <c r="C109" i="19"/>
  <c r="D109" i="19"/>
  <c r="F109" i="19"/>
  <c r="G109" i="19"/>
  <c r="B95" i="19"/>
  <c r="C95" i="19"/>
  <c r="D95" i="19"/>
  <c r="F95" i="19"/>
  <c r="G95" i="19"/>
  <c r="B96" i="19"/>
  <c r="C96" i="19"/>
  <c r="D96" i="19"/>
  <c r="F96" i="19"/>
  <c r="G96" i="19"/>
  <c r="B97" i="19"/>
  <c r="C97" i="19"/>
  <c r="D97" i="19"/>
  <c r="F97" i="19"/>
  <c r="G97" i="19"/>
  <c r="B98" i="19"/>
  <c r="C98" i="19"/>
  <c r="D98" i="19"/>
  <c r="F98" i="19"/>
  <c r="G98" i="19"/>
  <c r="B99" i="19"/>
  <c r="C99" i="19"/>
  <c r="D99" i="19"/>
  <c r="F99" i="19"/>
  <c r="G99" i="19"/>
  <c r="B100" i="19"/>
  <c r="C100" i="19"/>
  <c r="D100" i="19"/>
  <c r="F100" i="19"/>
  <c r="G100" i="19"/>
  <c r="B101" i="19"/>
  <c r="C101" i="19"/>
  <c r="D101" i="19"/>
  <c r="F101" i="19"/>
  <c r="G101" i="19"/>
  <c r="B102" i="19"/>
  <c r="C102" i="19"/>
  <c r="D102" i="19"/>
  <c r="F102" i="19"/>
  <c r="G102" i="19"/>
  <c r="B103" i="19"/>
  <c r="C103" i="19"/>
  <c r="D103" i="19"/>
  <c r="F103" i="19"/>
  <c r="G103" i="19"/>
  <c r="B104" i="19"/>
  <c r="C104" i="19"/>
  <c r="D104" i="19"/>
  <c r="F104" i="19"/>
  <c r="G104" i="19"/>
  <c r="B105" i="19"/>
  <c r="C105" i="19"/>
  <c r="D105" i="19"/>
  <c r="F105" i="19"/>
  <c r="G105" i="19"/>
  <c r="B106" i="19"/>
  <c r="C106" i="19"/>
  <c r="D106" i="19"/>
  <c r="F106" i="19"/>
  <c r="G106" i="19"/>
  <c r="B107" i="19"/>
  <c r="C107" i="19"/>
  <c r="D107" i="19"/>
  <c r="F107" i="19"/>
  <c r="G107" i="19"/>
  <c r="B108" i="19"/>
  <c r="C108" i="19"/>
  <c r="D108" i="19"/>
  <c r="F108" i="19"/>
  <c r="G108" i="19"/>
  <c r="B94" i="19"/>
  <c r="C94" i="19"/>
  <c r="D94" i="19"/>
  <c r="F94" i="19"/>
  <c r="G94" i="19"/>
  <c r="K94" i="19"/>
  <c r="L94" i="19"/>
  <c r="K95" i="19"/>
  <c r="L95" i="19"/>
  <c r="K96" i="19"/>
  <c r="L96" i="19"/>
  <c r="K97" i="19"/>
  <c r="L97" i="19"/>
  <c r="K98" i="19"/>
  <c r="L98" i="19"/>
  <c r="K99" i="19"/>
  <c r="L99" i="19"/>
  <c r="K100" i="19"/>
  <c r="L100" i="19"/>
  <c r="K101" i="19"/>
  <c r="L101" i="19"/>
  <c r="K102" i="19"/>
  <c r="L102" i="19"/>
  <c r="K103" i="19"/>
  <c r="L103" i="19"/>
  <c r="K104" i="19"/>
  <c r="L104" i="19"/>
  <c r="K105" i="19"/>
  <c r="L105" i="19"/>
  <c r="K106" i="19"/>
  <c r="L106" i="19"/>
  <c r="K107" i="19"/>
  <c r="L107" i="19"/>
  <c r="K108" i="19"/>
  <c r="L108" i="19"/>
  <c r="B61" i="19"/>
  <c r="C61" i="19"/>
  <c r="D61" i="19"/>
  <c r="F61" i="19"/>
  <c r="G61" i="19"/>
  <c r="B62" i="19"/>
  <c r="C62" i="19"/>
  <c r="D62" i="19"/>
  <c r="F62" i="19"/>
  <c r="G62" i="19"/>
  <c r="B63" i="19"/>
  <c r="C63" i="19"/>
  <c r="D63" i="19"/>
  <c r="F63" i="19"/>
  <c r="G63" i="19"/>
  <c r="B64" i="19"/>
  <c r="C64" i="19"/>
  <c r="D64" i="19"/>
  <c r="F64" i="19"/>
  <c r="G64" i="19"/>
  <c r="B65" i="19"/>
  <c r="C65" i="19"/>
  <c r="D65" i="19"/>
  <c r="F65" i="19"/>
  <c r="G65" i="19"/>
  <c r="B66" i="19"/>
  <c r="C66" i="19"/>
  <c r="D66" i="19"/>
  <c r="F66" i="19"/>
  <c r="G66" i="19"/>
  <c r="B67" i="19"/>
  <c r="C67" i="19"/>
  <c r="D67" i="19"/>
  <c r="F67" i="19"/>
  <c r="G67" i="19"/>
  <c r="B68" i="19"/>
  <c r="C68" i="19"/>
  <c r="D68" i="19"/>
  <c r="F68" i="19"/>
  <c r="G68" i="19"/>
  <c r="B69" i="19"/>
  <c r="C69" i="19"/>
  <c r="D69" i="19"/>
  <c r="F69" i="19"/>
  <c r="G69" i="19"/>
  <c r="B70" i="19"/>
  <c r="C70" i="19"/>
  <c r="D70" i="19"/>
  <c r="F70" i="19"/>
  <c r="G70" i="19"/>
  <c r="B71" i="19"/>
  <c r="C71" i="19"/>
  <c r="D71" i="19"/>
  <c r="F71" i="19"/>
  <c r="G71" i="19"/>
  <c r="B72" i="19"/>
  <c r="C72" i="19"/>
  <c r="D72" i="19"/>
  <c r="F72" i="19"/>
  <c r="G72" i="19"/>
  <c r="B73" i="19"/>
  <c r="C73" i="19"/>
  <c r="D73" i="19"/>
  <c r="F73" i="19"/>
  <c r="G73" i="19"/>
  <c r="B74" i="19"/>
  <c r="C74" i="19"/>
  <c r="D74" i="19"/>
  <c r="F74" i="19"/>
  <c r="G74" i="19"/>
  <c r="B75" i="19"/>
  <c r="C75" i="19"/>
  <c r="D75" i="19"/>
  <c r="F75" i="19"/>
  <c r="G75" i="19"/>
  <c r="B76" i="19"/>
  <c r="C76" i="19"/>
  <c r="D76" i="19"/>
  <c r="F76" i="19"/>
  <c r="G76" i="19"/>
  <c r="B77" i="19"/>
  <c r="C77" i="19"/>
  <c r="D77" i="19"/>
  <c r="F77" i="19"/>
  <c r="G77" i="19"/>
  <c r="B78" i="19"/>
  <c r="C78" i="19"/>
  <c r="D78" i="19"/>
  <c r="F78" i="19"/>
  <c r="G78" i="19"/>
  <c r="B79" i="19"/>
  <c r="C79" i="19"/>
  <c r="D79" i="19"/>
  <c r="F79" i="19"/>
  <c r="G79" i="19"/>
  <c r="B80" i="19"/>
  <c r="C80" i="19"/>
  <c r="D80" i="19"/>
  <c r="F80" i="19"/>
  <c r="G80" i="19"/>
  <c r="B81" i="19"/>
  <c r="C81" i="19"/>
  <c r="D81" i="19"/>
  <c r="F81" i="19"/>
  <c r="G81" i="19"/>
  <c r="B82" i="19"/>
  <c r="C82" i="19"/>
  <c r="D82" i="19"/>
  <c r="F82" i="19"/>
  <c r="G82" i="19"/>
  <c r="B83" i="19"/>
  <c r="C83" i="19"/>
  <c r="D83" i="19"/>
  <c r="F83" i="19"/>
  <c r="G83" i="19"/>
  <c r="B84" i="19"/>
  <c r="C84" i="19"/>
  <c r="D84" i="19"/>
  <c r="F84" i="19"/>
  <c r="G84" i="19"/>
  <c r="B85" i="19"/>
  <c r="C85" i="19"/>
  <c r="D85" i="19"/>
  <c r="F85" i="19"/>
  <c r="G85" i="19"/>
  <c r="B86" i="19"/>
  <c r="C86" i="19"/>
  <c r="D86" i="19"/>
  <c r="F86" i="19"/>
  <c r="G86" i="19"/>
  <c r="B87" i="19"/>
  <c r="C87" i="19"/>
  <c r="D87" i="19"/>
  <c r="F87" i="19"/>
  <c r="G87" i="19"/>
  <c r="B88" i="19"/>
  <c r="C88" i="19"/>
  <c r="D88" i="19"/>
  <c r="F88" i="19"/>
  <c r="G88" i="19"/>
  <c r="B89" i="19"/>
  <c r="C89" i="19"/>
  <c r="D89" i="19"/>
  <c r="F89" i="19"/>
  <c r="G89" i="19"/>
  <c r="B90" i="19"/>
  <c r="C90" i="19"/>
  <c r="D90" i="19"/>
  <c r="F90" i="19"/>
  <c r="G90" i="19"/>
  <c r="B91" i="19"/>
  <c r="C91" i="19"/>
  <c r="D91" i="19"/>
  <c r="F91" i="19"/>
  <c r="G91" i="19"/>
  <c r="B92" i="19"/>
  <c r="C92" i="19"/>
  <c r="D92" i="19"/>
  <c r="F92" i="19"/>
  <c r="G92" i="19"/>
  <c r="B93" i="19"/>
  <c r="C93" i="19"/>
  <c r="D93" i="19"/>
  <c r="F93" i="19"/>
  <c r="G93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K83" i="19"/>
  <c r="L83" i="19"/>
  <c r="K84" i="19"/>
  <c r="L84" i="19"/>
  <c r="K85" i="19"/>
  <c r="L85" i="19"/>
  <c r="K86" i="19"/>
  <c r="L86" i="19"/>
  <c r="K87" i="19"/>
  <c r="L87" i="19"/>
  <c r="K88" i="19"/>
  <c r="L88" i="19"/>
  <c r="K89" i="19"/>
  <c r="L89" i="19"/>
  <c r="K90" i="19"/>
  <c r="L90" i="19"/>
  <c r="K91" i="19"/>
  <c r="L91" i="19"/>
  <c r="K92" i="19"/>
  <c r="L92" i="19"/>
  <c r="K93" i="19"/>
  <c r="L93" i="19"/>
  <c r="B60" i="19"/>
  <c r="C60" i="19"/>
  <c r="D60" i="19"/>
  <c r="F60" i="19"/>
  <c r="G60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B34" i="19"/>
  <c r="C34" i="19"/>
  <c r="D34" i="19"/>
  <c r="F34" i="19"/>
  <c r="G34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B28" i="19"/>
  <c r="C28" i="19"/>
  <c r="D28" i="19"/>
  <c r="F28" i="19"/>
  <c r="G28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K27" i="19"/>
  <c r="L27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" i="19"/>
  <c r="L2" i="19"/>
  <c r="B2" i="21"/>
  <c r="I2" i="21"/>
  <c r="J2" i="21"/>
  <c r="G2" i="21"/>
  <c r="F2" i="21"/>
  <c r="D2" i="21"/>
  <c r="C2" i="21"/>
  <c r="E12" i="16"/>
  <c r="E11" i="16"/>
  <c r="B2" i="19"/>
  <c r="G2" i="19"/>
  <c r="F2" i="19"/>
  <c r="D2" i="19"/>
  <c r="C2" i="19"/>
  <c r="E10" i="16"/>
  <c r="A2" i="18"/>
  <c r="C2" i="18"/>
  <c r="D2" i="18"/>
  <c r="O2" i="9"/>
  <c r="N2" i="9"/>
  <c r="M2" i="9"/>
  <c r="L2" i="9"/>
  <c r="K2" i="9"/>
  <c r="J2" i="9"/>
  <c r="I2" i="9"/>
  <c r="H2" i="9"/>
  <c r="G2" i="9"/>
  <c r="E2" i="9"/>
  <c r="D2" i="9"/>
  <c r="Y2" i="7"/>
  <c r="E9" i="16"/>
  <c r="W2" i="7"/>
  <c r="V2" i="1"/>
  <c r="R2" i="7"/>
  <c r="Q2" i="7"/>
  <c r="P2" i="7"/>
  <c r="O2" i="7"/>
  <c r="N2" i="7"/>
  <c r="AB2" i="1"/>
  <c r="AE2" i="1"/>
  <c r="AD2" i="1"/>
  <c r="AC2" i="1"/>
  <c r="AA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2" i="1"/>
  <c r="H2" i="7"/>
  <c r="G2" i="2"/>
  <c r="A2" i="2"/>
  <c r="J2" i="7"/>
  <c r="E8" i="16"/>
  <c r="E7" i="16"/>
  <c r="E6" i="16"/>
  <c r="E5" i="16"/>
  <c r="E4" i="16"/>
  <c r="E3" i="16"/>
  <c r="E2" i="16"/>
  <c r="A2" i="1"/>
  <c r="J2" i="11"/>
  <c r="A2" i="9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<sst xmlns="http://schemas.openxmlformats.org/spreadsheetml/2006/main" count="1068" uniqueCount="296">
  <si>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</si>
  <si>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</si>
  <si>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</si>
  <si>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</si>
  <si>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</si>
  <si>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</si>
  <si>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</si>
  <si>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</si>
  <si>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</si>
  <si>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</si>
  <si>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</si>
  <si>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</si>
  <si>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</si>
  <si>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</si>
  <si>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</si>
  <si>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</si>
  <si>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</si>
  <si>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</si>
  <si>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</si>
  <si>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</si>
  <si>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</si>
  <si>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</si>
  <si>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</si>
  <si>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</si>
  <si>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</si>
  <si>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</si>
  <si>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</si>
  <si>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</si>
  <si>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</si>
  <si>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</si>
  <si>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</si>
  <si>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</si>
  <si>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</si>
  <si>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</si>
  <si>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</si>
  <si>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</si>
  <si>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</si>
  <si>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</si>
  <si>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</si>
  <si>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</si>
  <si>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</si>
  <si>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</si>
  <si>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</si>
  <si>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</si>
  <si>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</si>
  <si>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</si>
  <si>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</si>
  <si>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</si>
  <si>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</si>
  <si>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</si>
  <si>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</si>
  <si>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</si>
  <si>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</si>
  <si>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</si>
  <si>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</si>
  <si>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</si>
  <si>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</si>
  <si>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</si>
  <si>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</si>
  <si>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</si>
  <si>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</si>
  <si>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</si>
  <si>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</si>
  <si>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</si>
  <si>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</si>
  <si>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</si>
  <si>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</si>
  <si>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</si>
  <si>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</si>
  <si>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</si>
  <si>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</si>
  <si>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</si>
  <si>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</si>
  <si>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</si>
  <si>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</si>
  <si>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</si>
  <si>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</si>
  <si>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</si>
  <si>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</si>
  <si>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</si>
  <si>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</si>
  <si>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</si>
  <si>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</si>
  <si>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</si>
  <si>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</si>
  <si>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</si>
  <si>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</si>
  <si>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</si>
  <si>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</si>
  <si>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</si>
  <si>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</si>
  <si>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</si>
  <si>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</si>
  <si>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</si>
  <si>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</si>
  <si>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</si>
  <si>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</si>
  <si>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</si>
  <si>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</si>
  <si>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</si>
  <si>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</si>
  <si>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</si>
  <si>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</si>
  <si>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</si>
  <si>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</si>
  <si>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</si>
  <si>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</si>
  <si>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</si>
  <si>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</si>
  <si>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</si>
  <si>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</si>
  <si>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</si>
  <si>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</si>
  <si>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</si>
  <si>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</si>
  <si>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</si>
  <si>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</si>
  <si>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</si>
  <si>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</si>
  <si>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</si>
  <si>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</si>
  <si>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</si>
  <si>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</si>
  <si>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</si>
  <si>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</si>
  <si>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</si>
  <si>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</si>
  <si>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</si>
  <si>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</si>
  <si>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</si>
  <si>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</si>
  <si>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</si>
  <si>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</si>
  <si>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</si>
  <si>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</si>
  <si>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</si>
  <si>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</si>
  <si>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</si>
  <si>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</si>
  <si>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</si>
  <si>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</si>
  <si>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</si>
  <si>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</si>
  <si>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</si>
  <si>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</si>
  <si>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</si>
  <si>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</si>
  <si>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</si>
  <si>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</si>
  <si>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</si>
  <si>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</si>
  <si>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</si>
  <si>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</si>
  <si>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</si>
  <si>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</si>
  <si>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</si>
  <si>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</si>
  <si>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</si>
  <si>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</si>
  <si>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</si>
  <si>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</si>
  <si>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</si>
  <si>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</si>
  <si>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</si>
  <si>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</si>
  <si>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</si>
  <si>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</si>
  <si>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</si>
  <si>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</si>
  <si>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</si>
  <si>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</si>
  <si>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</si>
  <si>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</si>
  <si>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</si>
  <si>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</si>
  <si>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</si>
  <si>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</si>
  <si>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</si>
  <si>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</si>
  <si>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</si>
  <si>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</si>
  <si>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</si>
  <si>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</si>
  <si>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</si>
  <si>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</si>
  <si>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</si>
  <si>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</si>
  <si>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</si>
  <si>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</si>
  <si>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</si>
  <si>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</si>
  <si>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</si>
  <si>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</si>
  <si>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</si>
  <si>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</si>
  <si>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</si>
  <si>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</si>
  <si>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</si>
  <si>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</si>
  <si>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</si>
  <si>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</si>
  <si>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</si>
  <si>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</si>
  <si>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</si>
  <si>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敵が強すぎます</t>
    <rPh sb="0" eb="2">
      <t>テk</t>
    </rPh>
    <rPh sb="2" eb="7">
      <t>ツヨs</t>
    </rPh>
    <phoneticPr fontId="5"/>
  </si>
  <si>
    <t>stage_hints_data_c_</t>
    <phoneticPr fontId="5"/>
  </si>
  <si>
    <t>stage_hints_data_f_</t>
    <phoneticPr fontId="5"/>
  </si>
  <si>
    <t>skip</t>
    <phoneticPr fontId="7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</si>
  <si>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</si>
  <si>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</si>
  <si>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</si>
  <si>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</si>
  <si>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</si>
  <si>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</si>
  <si>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</si>
  <si>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</si>
  <si>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</si>
  <si>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</si>
  <si>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初級</t>
    <rPh sb="0" eb="2">
      <t>ショキュウ</t>
    </rPh>
    <phoneticPr fontId="5"/>
  </si>
  <si>
    <t>中級</t>
    <rPh sb="0" eb="2">
      <t>チュウキュウ</t>
    </rPh>
    <phoneticPr fontId="5"/>
  </si>
  <si>
    <t>上級</t>
    <rPh sb="0" eb="2">
      <t>ジョウキュウ</t>
    </rPh>
    <phoneticPr fontId="5"/>
  </si>
  <si>
    <t>超級</t>
    <rPh sb="0" eb="2">
      <t>チョウキュウ</t>
    </rPh>
    <phoneticPr fontId="5"/>
  </si>
  <si>
    <t>超絶級</t>
    <rPh sb="0" eb="2">
      <t>チョウゼツ</t>
    </rPh>
    <rPh sb="2" eb="3">
      <t>キュウ</t>
    </rPh>
    <phoneticPr fontId="5"/>
  </si>
  <si>
    <t>(超)ウィザード級</t>
    <rPh sb="1" eb="2">
      <t>チョウ</t>
    </rPh>
    <rPh sb="8" eb="9">
      <t>キュウ</t>
    </rPh>
    <phoneticPr fontId="5"/>
  </si>
  <si>
    <t>old</t>
    <phoneticPr fontId="5"/>
  </si>
  <si>
    <t>skip</t>
    <phoneticPr fontId="5"/>
  </si>
  <si>
    <t>skip</t>
    <phoneticPr fontId="5"/>
  </si>
  <si>
    <t>[effect:hungup, target:unit_all, turn:-1, rate:1][effect:suicide, val:1, dead_type:escape, target:enemy_all][effect:sleep, target:unit_all, turn:1, rate:1][effect:degrade_crash, target:unit_all, count:50, special:50, turn:-1][effect:degrade_unit, target:unit_all, turn:3, status:attack, val:1.0, calc:mul]</t>
    <phoneticPr fontId="5"/>
  </si>
  <si>
    <t>孤独な恋の物語ピヨ</t>
    <rPh sb="0" eb="3">
      <t>コドk</t>
    </rPh>
    <rPh sb="3" eb="4">
      <t>コ</t>
    </rPh>
    <rPh sb="5" eb="7">
      <t>モノガタr</t>
    </rPh>
    <phoneticPr fontId="5"/>
  </si>
  <si>
    <t>「ホワイトデー独騒曲」</t>
    <rPh sb="7" eb="8">
      <t>ヒt</t>
    </rPh>
    <rPh sb="8" eb="9">
      <t>サワg</t>
    </rPh>
    <rPh sb="9" eb="10">
      <t>キョk</t>
    </rPh>
    <phoneticPr fontId="5"/>
  </si>
  <si>
    <t>ja</t>
    <phoneticPr fontId="5"/>
  </si>
  <si>
    <t>[effect:fix_speed, target:myself, turn:1]</t>
    <phoneticPr fontId="5"/>
  </si>
  <si>
    <t>ja</t>
    <phoneticPr fontId="5"/>
  </si>
  <si>
    <t>クッキーを渡した</t>
    <rPh sb="5" eb="8">
      <t>ワタs</t>
    </rPh>
    <phoneticPr fontId="5"/>
  </si>
  <si>
    <t>[effect:suicide, val:1, dead_type:escape, target:myself, animation:enemy_escape]</t>
    <phoneticPr fontId="5"/>
  </si>
  <si>
    <t>[effect:suicide, val:1, dead_type:escape, target:myself, animation:enemy_escape]</t>
    <phoneticPr fontId="5"/>
  </si>
  <si>
    <t>丁重にお断りした</t>
    <rPh sb="0" eb="2">
      <t>テ</t>
    </rPh>
    <rPh sb="4" eb="6">
      <t>コt</t>
    </rPh>
    <phoneticPr fontId="5"/>
  </si>
  <si>
    <t>かぐやは去っていった</t>
    <rPh sb="4" eb="10">
      <t>サッt</t>
    </rPh>
    <phoneticPr fontId="5"/>
  </si>
  <si>
    <t>[effect:fix_speed, target:myself, turn:2]</t>
    <phoneticPr fontId="5"/>
  </si>
  <si>
    <t>null</t>
    <phoneticPr fontId="5"/>
  </si>
  <si>
    <t>wd2016</t>
    <phoneticPr fontId="5"/>
  </si>
  <si>
    <t>[effect:fix_speed, target:myself, turn:1]</t>
    <phoneticPr fontId="5"/>
  </si>
  <si>
    <t>とても高そうなクッキーだ</t>
    <rPh sb="3" eb="6">
      <t>タカソ</t>
    </rPh>
    <phoneticPr fontId="5"/>
  </si>
  <si>
    <t>かぐや！待ってくれ！！</t>
    <rPh sb="4" eb="9">
      <t>マッt</t>
    </rPh>
    <phoneticPr fontId="5"/>
  </si>
  <si>
    <t>そんなものいらぬぞ…？</t>
    <phoneticPr fontId="5"/>
  </si>
  <si>
    <t>かぐや！どこへ行ったのだ！？</t>
    <rPh sb="7" eb="11">
      <t>イッタン</t>
    </rPh>
    <phoneticPr fontId="5"/>
  </si>
  <si>
    <t>見失ってしまったようだ・・・</t>
    <rPh sb="0" eb="4">
      <t>ミウシナッt</t>
    </rPh>
    <phoneticPr fontId="5"/>
  </si>
  <si>
    <t>ケロ！ケロ！</t>
    <phoneticPr fontId="5"/>
  </si>
  <si>
    <t>何かを必死に伝えようとしている</t>
    <rPh sb="0" eb="3">
      <t>ナン</t>
    </rPh>
    <rPh sb="3" eb="5">
      <t>ヒッs</t>
    </rPh>
    <rPh sb="6" eb="10">
      <t>ツタ</t>
    </rPh>
    <phoneticPr fontId="5"/>
  </si>
  <si>
    <t>ええい！うるさいカエルだ！！</t>
    <phoneticPr fontId="5"/>
  </si>
  <si>
    <t>うぅ…戻れた…のか？</t>
    <rPh sb="3" eb="6">
      <t>モドr</t>
    </rPh>
    <phoneticPr fontId="5"/>
  </si>
  <si>
    <t>なんと！ケロケロはランスロットだった！</t>
    <phoneticPr fontId="5"/>
  </si>
  <si>
    <t>完全に見失ってしまったようだ…</t>
    <rPh sb="0" eb="2">
      <t>カンゼン</t>
    </rPh>
    <rPh sb="3" eb="7">
      <t>ミウシナッt</t>
    </rPh>
    <phoneticPr fontId="5"/>
  </si>
  <si>
    <t>ホワイトデーごと消え去れ！！</t>
    <rPh sb="8" eb="12">
      <t>キ</t>
    </rPh>
    <phoneticPr fontId="5"/>
  </si>
  <si>
    <t>ミカドの八つ当たりだ！</t>
    <rPh sb="4" eb="5">
      <t>ヤ</t>
    </rPh>
    <rPh sb="6" eb="10">
      <t>アタr</t>
    </rPh>
    <phoneticPr fontId="5"/>
  </si>
  <si>
    <t>はーっはっは！これで終わりだ！</t>
    <rPh sb="10" eb="14">
      <t>オワr</t>
    </rPh>
    <phoneticPr fontId="5"/>
  </si>
  <si>
    <t>このままではマズイ！！</t>
    <phoneticPr fontId="5"/>
  </si>
  <si>
    <t>爆発しr…！？</t>
    <rPh sb="0" eb="2">
      <t>バクh</t>
    </rPh>
    <phoneticPr fontId="5"/>
  </si>
  <si>
    <t>何者かがミカドを倒した！</t>
    <rPh sb="0" eb="4">
      <t>ナン</t>
    </rPh>
    <rPh sb="8" eb="11">
      <t>タオs</t>
    </rPh>
    <phoneticPr fontId="5"/>
  </si>
  <si>
    <t>そこのキミ、怪我はない？</t>
    <rPh sb="6" eb="9">
      <t>ケg</t>
    </rPh>
    <phoneticPr fontId="5"/>
  </si>
  <si>
    <t>レイヴンはホッとしている</t>
    <phoneticPr fontId="5"/>
  </si>
  <si>
    <t>また会えたら嬉しいな</t>
    <rPh sb="2" eb="6">
      <t>アエt</t>
    </rPh>
    <rPh sb="6" eb="10">
      <t>ウレs</t>
    </rPh>
    <phoneticPr fontId="5"/>
  </si>
  <si>
    <t>その時はまた僕がキミを守るよ</t>
    <rPh sb="2" eb="4">
      <t>トk</t>
    </rPh>
    <rPh sb="6" eb="8">
      <t>ボk</t>
    </rPh>
    <rPh sb="11" eb="14">
      <t>マモr</t>
    </rPh>
    <phoneticPr fontId="5"/>
  </si>
  <si>
    <t>レイヴンは微笑みながら去っていった</t>
    <rPh sb="5" eb="8">
      <t>ホホエm</t>
    </rPh>
    <rPh sb="11" eb="17">
      <t>サッテ</t>
    </rPh>
    <phoneticPr fontId="5"/>
  </si>
  <si>
    <t>僕はレイヴン
間に合ってよかった</t>
    <rPh sb="0" eb="2">
      <t>ボk</t>
    </rPh>
    <rPh sb="7" eb="8">
      <t>マ</t>
    </rPh>
    <rPh sb="9" eb="11">
      <t>アッt</t>
    </rPh>
    <phoneticPr fontId="5"/>
  </si>
  <si>
    <t>おっと、そろそろ行かなきゃ…</t>
    <rPh sb="8" eb="13">
      <t>イカナky</t>
    </rPh>
    <phoneticPr fontId="5"/>
  </si>
  <si>
    <t>[effect:suicide, val:1, dead_type:escape, target:enemy_green, animation:enemy_suicide],[effect:suicide, val:1, dead_type:escape, target:myself, animation:enemy_escape]</t>
    <phoneticPr fontId="5"/>
  </si>
  <si>
    <t>[effect:suicide, val:1, dead_type:escape, target:myself, animation:enemy_suicide]</t>
    <phoneticPr fontId="5"/>
  </si>
  <si>
    <t>かぐやの居ない世界など…</t>
    <rPh sb="4" eb="7">
      <t>イナ</t>
    </rPh>
    <rPh sb="7" eb="9">
      <t>セカイ</t>
    </rPh>
    <phoneticPr fontId="5"/>
  </si>
  <si>
    <t>null</t>
    <phoneticPr fontId="5"/>
  </si>
  <si>
    <t>…これやるよ
この間のチョコのお返しだ</t>
    <rPh sb="9" eb="11">
      <t>アイダ</t>
    </rPh>
    <rPh sb="16" eb="19">
      <t>カエs</t>
    </rPh>
    <phoneticPr fontId="5"/>
  </si>
  <si>
    <t>嬉しそうにお礼を言った！</t>
    <rPh sb="0" eb="4">
      <t>ウレs</t>
    </rPh>
    <rPh sb="6" eb="8">
      <t>r</t>
    </rPh>
    <rPh sb="8" eb="9">
      <t>イ</t>
    </rPh>
    <phoneticPr fontId="5"/>
  </si>
  <si>
    <t>…！俺、もう行くから！</t>
    <rPh sb="2" eb="3">
      <t>オr</t>
    </rPh>
    <rPh sb="6" eb="8">
      <t>イk</t>
    </rPh>
    <phoneticPr fontId="5"/>
  </si>
  <si>
    <t>カエデは照れながら去っていった</t>
    <rPh sb="4" eb="9">
      <t>テレン</t>
    </rPh>
    <rPh sb="9" eb="12">
      <t>サッt</t>
    </rPh>
    <phoneticPr fontId="5"/>
  </si>
  <si>
    <t>null</t>
    <phoneticPr fontId="5"/>
  </si>
  <si>
    <t>null</t>
    <phoneticPr fontId="5"/>
  </si>
  <si>
    <t>[effect:force_change_block, new_block:block_red, target:block_blue, count:0, val:0,animation:change_block]
,[effect:force_change_block, new_block:block_heart, target:block_green, count:0, val:0,animation:change_block
],
[effect:force_change_block, new_block:block_heart, target:block_yellow, count:0, val:0,animation:change_block],[effect:suicide, val:1, dead_type:escape, target:myself, animation:enemy_escape]</t>
    <phoneticPr fontId="5"/>
  </si>
  <si>
    <t>[effect:force_change_block, new_block:block_heart, target:block_all, count:0, val:0,animation:change_block]</t>
    <phoneticPr fontId="5"/>
  </si>
  <si>
    <t>null</t>
    <phoneticPr fontId="5"/>
  </si>
  <si>
    <t>null</t>
    <phoneticPr fontId="5"/>
  </si>
  <si>
    <t>null</t>
    <phoneticPr fontId="5"/>
  </si>
  <si>
    <t>[effect:force_change_block, new_block:time_bomb, target:block_all, count:0, val:0.02,min_time_count:1,max_time_count:1,animation:change_block],[effect:fix_speed, target:myself, turn:1]</t>
    <phoneticPr fontId="5"/>
  </si>
  <si>
    <t>[effect:force_change_block, new_block:time_bomb, target:block_all, count:0, val:0.02,min_time_count:2,max_time_count:2,animation:change_block]</t>
    <phoneticPr fontId="5"/>
  </si>
  <si>
    <t>null</t>
    <phoneticPr fontId="5"/>
  </si>
  <si>
    <t>覚えてたの！？ありがとう！</t>
    <rPh sb="0" eb="5">
      <t>オボ</t>
    </rPh>
    <phoneticPr fontId="5"/>
  </si>
  <si>
    <t>あ、ちょっと待ちなさい！</t>
    <phoneticPr fontId="5"/>
  </si>
  <si>
    <t>かぐや！チョコの礼だ！</t>
    <rPh sb="8" eb="10">
      <t>レイ</t>
    </rPh>
    <phoneticPr fontId="5"/>
  </si>
  <si>
    <t>かぐやを追っていった</t>
    <rPh sb="4" eb="10">
      <t>オッt</t>
    </rPh>
    <phoneticPr fontId="5"/>
  </si>
  <si>
    <t>ミカドは八つ当たりして去っていった</t>
    <rPh sb="4" eb="9">
      <t>ヤt</t>
    </rPh>
    <rPh sb="11" eb="17">
      <t>サッt</t>
    </rPh>
    <phoneticPr fontId="5"/>
  </si>
  <si>
    <t>[effect:fix_speed, target:enemy_all, turn:1]</t>
    <phoneticPr fontId="5"/>
  </si>
  <si>
    <t>どうやら助けてくれたみたいだ</t>
    <rPh sb="4" eb="7">
      <t>タスk</t>
    </rPh>
    <phoneticPr fontId="5"/>
  </si>
  <si>
    <t>カエデを追いかけていった</t>
    <rPh sb="4" eb="12">
      <t>オ</t>
    </rPh>
    <phoneticPr fontId="5"/>
  </si>
  <si>
    <t>[effect:freq_turn, target:myself, turn:-1, val:1, animation:enemy_freq_turn]</t>
    <phoneticPr fontId="5"/>
  </si>
  <si>
    <t>妾はチョコなぞ渡しておらぬ！</t>
    <rPh sb="0" eb="2">
      <t>ワラw</t>
    </rPh>
    <rPh sb="7" eb="13">
      <t>ワタs</t>
    </rPh>
    <phoneticPr fontId="5"/>
  </si>
  <si>
    <t>[effect:suicide, val:1, dead_type:escape, target:myself, animation:enemy_escape],[effect:dark, turn:-1,target:unit_all,animation:enemy_dark]</t>
    <phoneticPr fontId="5"/>
  </si>
  <si>
    <t>[effect:degrade_unit, target:unit_all, turn:-1, status:action, val:2.0],[effect:cure, bad_status:dark, animation:cure01],[effect:force_change_block, new_block:block_heart, target:block_all, count:0, val:0,animation:change_block],[effect:fix_speed, target:myself, turn:1]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</si>
</sst>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1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</fonts>
  <fills count="3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726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02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38" fontId="16" fillId="0" borderId="7" xfId="628" applyFont="1" applyFill="1" applyBorder="1" applyAlignment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" fillId="6" borderId="0" xfId="615" applyFill="1"/>
    <xf numFmtId="0" fontId="26" fillId="0" borderId="0" xfId="0" applyFont="1"/>
    <xf numFmtId="0" fontId="16" fillId="0" borderId="7" xfId="0" applyFont="1" applyFill="1" applyBorder="1" applyAlignment="1">
      <alignment vertical="center" wrapText="1"/>
    </xf>
    <xf numFmtId="0" fontId="11" fillId="0" borderId="7" xfId="0" applyFont="1" applyFill="1" applyBorder="1" applyAlignment="1">
      <alignment vertical="center"/>
    </xf>
  </cellXfs>
  <cellStyles count="726">
    <cellStyle name="" xfId="629"/>
    <cellStyle name="_" xfId="630"/>
    <cellStyle name="__" xfId="631"/>
    <cellStyle name="__÷" xfId="632"/>
    <cellStyle name="«¢" xfId="633"/>
    <cellStyle name="`FbN Z" xfId="634"/>
    <cellStyle name="^Cg" xfId="635"/>
    <cellStyle name="©oµ 1" xfId="636"/>
    <cellStyle name="©oµ 2" xfId="637"/>
    <cellStyle name="©oµ 3" xfId="638"/>
    <cellStyle name="©oµ 4" xfId="639"/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à¾¶" xfId="658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Ç¢" xfId="665"/>
    <cellStyle name="Ê" xfId="666"/>
    <cellStyle name="Excel Built-in Normal" xfId="428"/>
    <cellStyle name="N Z" xfId="667"/>
    <cellStyle name="o_" xfId="668"/>
    <cellStyle name="oÍ" xfId="669"/>
    <cellStyle name="üÍ" xfId="670"/>
    <cellStyle name="v" xfId="671"/>
    <cellStyle name="vZ" xfId="672"/>
    <cellStyle name="x¶" xfId="673"/>
    <cellStyle name="x÷" xfId="674"/>
    <cellStyle name="ýo_ 1" xfId="67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桁区切り 2" xfId="429"/>
    <cellStyle name="桁区切り 2 2" xfId="628"/>
    <cellStyle name="青字強調" xfId="430"/>
    <cellStyle name="赤字強調" xfId="431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無題1" xfId="43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externalLink" Target="externalLinks/externalLink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11101</v>
          </cell>
        </row>
        <row r="56">
          <cell r="A56">
            <v>11102</v>
          </cell>
        </row>
        <row r="57">
          <cell r="A57">
            <v>11103</v>
          </cell>
        </row>
        <row r="58">
          <cell r="A58">
            <v>11104</v>
          </cell>
        </row>
        <row r="59">
          <cell r="A59">
            <v>11105</v>
          </cell>
        </row>
        <row r="60">
          <cell r="A60">
            <v>11106</v>
          </cell>
        </row>
        <row r="61">
          <cell r="A61">
            <v>11206</v>
          </cell>
        </row>
        <row r="62">
          <cell r="A62">
            <v>11016</v>
          </cell>
        </row>
        <row r="63">
          <cell r="A63">
            <v>11207</v>
          </cell>
        </row>
        <row r="64">
          <cell r="A64">
            <v>11208</v>
          </cell>
        </row>
        <row r="65">
          <cell r="A65">
            <v>11209</v>
          </cell>
        </row>
        <row r="66">
          <cell r="A66">
            <v>11210</v>
          </cell>
        </row>
        <row r="67">
          <cell r="A67">
            <v>11211</v>
          </cell>
        </row>
        <row r="68">
          <cell r="A68">
            <v>11212</v>
          </cell>
        </row>
        <row r="69">
          <cell r="A69">
            <v>11213</v>
          </cell>
        </row>
        <row r="70">
          <cell r="A70">
            <v>11214</v>
          </cell>
        </row>
        <row r="71">
          <cell r="A71">
            <v>11215</v>
          </cell>
        </row>
        <row r="72">
          <cell r="A72">
            <v>11216</v>
          </cell>
        </row>
        <row r="73">
          <cell r="A73">
            <v>11217</v>
          </cell>
        </row>
        <row r="74">
          <cell r="A74">
            <v>11218</v>
          </cell>
        </row>
        <row r="75">
          <cell r="A75">
            <v>11219</v>
          </cell>
        </row>
        <row r="76">
          <cell r="A76">
            <v>11220</v>
          </cell>
        </row>
        <row r="77">
          <cell r="A77">
            <v>12001</v>
          </cell>
        </row>
        <row r="78">
          <cell r="A78">
            <v>12002</v>
          </cell>
        </row>
        <row r="79">
          <cell r="A79">
            <v>12003</v>
          </cell>
        </row>
        <row r="80">
          <cell r="A80">
            <v>12004</v>
          </cell>
        </row>
        <row r="81">
          <cell r="A81">
            <v>13001</v>
          </cell>
        </row>
        <row r="82">
          <cell r="A82">
            <v>14001</v>
          </cell>
        </row>
        <row r="83">
          <cell r="A83">
            <v>14002</v>
          </cell>
        </row>
        <row r="84">
          <cell r="A84">
            <v>14003</v>
          </cell>
        </row>
        <row r="85">
          <cell r="A85">
            <v>14004</v>
          </cell>
        </row>
        <row r="86">
          <cell r="A86">
            <v>14005</v>
          </cell>
        </row>
        <row r="87">
          <cell r="A87">
            <v>14006</v>
          </cell>
        </row>
        <row r="88">
          <cell r="A88">
            <v>15027</v>
          </cell>
        </row>
        <row r="89">
          <cell r="A89">
            <v>15028</v>
          </cell>
        </row>
        <row r="90">
          <cell r="A90">
            <v>15029</v>
          </cell>
        </row>
        <row r="91">
          <cell r="A91">
            <v>15030</v>
          </cell>
        </row>
        <row r="92">
          <cell r="A92">
            <v>15031</v>
          </cell>
        </row>
        <row r="93">
          <cell r="A93">
            <v>20001</v>
          </cell>
        </row>
        <row r="94">
          <cell r="A94">
            <v>20002</v>
          </cell>
        </row>
        <row r="95">
          <cell r="A95">
            <v>20003</v>
          </cell>
        </row>
        <row r="96">
          <cell r="A96">
            <v>20004</v>
          </cell>
        </row>
        <row r="97">
          <cell r="A97">
            <v>20005</v>
          </cell>
        </row>
        <row r="98">
          <cell r="A98">
            <v>20006</v>
          </cell>
        </row>
        <row r="99">
          <cell r="A99">
            <v>20007</v>
          </cell>
        </row>
        <row r="100">
          <cell r="A100">
            <v>20008</v>
          </cell>
        </row>
        <row r="101">
          <cell r="A101">
            <v>20009</v>
          </cell>
        </row>
        <row r="102">
          <cell r="A102">
            <v>20010</v>
          </cell>
        </row>
        <row r="103">
          <cell r="A103">
            <v>20011</v>
          </cell>
        </row>
        <row r="104">
          <cell r="A104">
            <v>20012</v>
          </cell>
        </row>
        <row r="105">
          <cell r="A105">
            <v>30001</v>
          </cell>
        </row>
        <row r="106">
          <cell r="A106">
            <v>30002</v>
          </cell>
        </row>
        <row r="107">
          <cell r="A107">
            <v>30003</v>
          </cell>
        </row>
        <row r="108">
          <cell r="A108">
            <v>30004</v>
          </cell>
        </row>
        <row r="109">
          <cell r="A109">
            <v>30005</v>
          </cell>
        </row>
        <row r="110">
          <cell r="A110">
            <v>30006</v>
          </cell>
        </row>
        <row r="111">
          <cell r="A111">
            <v>30007</v>
          </cell>
        </row>
        <row r="112">
          <cell r="A112">
            <v>30008</v>
          </cell>
        </row>
        <row r="113">
          <cell r="A113">
            <v>30009</v>
          </cell>
        </row>
        <row r="114">
          <cell r="A114">
            <v>30010</v>
          </cell>
        </row>
        <row r="115">
          <cell r="A115">
            <v>30011</v>
          </cell>
        </row>
        <row r="116">
          <cell r="A116">
            <v>30012</v>
          </cell>
        </row>
        <row r="117">
          <cell r="A117">
            <v>30013</v>
          </cell>
        </row>
        <row r="118">
          <cell r="A118">
            <v>30014</v>
          </cell>
        </row>
        <row r="119">
          <cell r="A119">
            <v>30015</v>
          </cell>
        </row>
        <row r="120">
          <cell r="A120">
            <v>30016</v>
          </cell>
        </row>
        <row r="121">
          <cell r="A121">
            <v>30017</v>
          </cell>
        </row>
        <row r="122">
          <cell r="A122">
            <v>30018</v>
          </cell>
        </row>
        <row r="123">
          <cell r="A123">
            <v>30019</v>
          </cell>
        </row>
        <row r="124">
          <cell r="A124">
            <v>30020</v>
          </cell>
        </row>
        <row r="125">
          <cell r="A125">
            <v>30021</v>
          </cell>
        </row>
        <row r="126">
          <cell r="A126">
            <v>30022</v>
          </cell>
        </row>
        <row r="127">
          <cell r="A127">
            <v>30023</v>
          </cell>
        </row>
        <row r="128">
          <cell r="A128">
            <v>30024</v>
          </cell>
        </row>
        <row r="129">
          <cell r="A129">
            <v>30025</v>
          </cell>
        </row>
        <row r="130">
          <cell r="A130">
            <v>30026</v>
          </cell>
        </row>
        <row r="131">
          <cell r="A131">
            <v>30027</v>
          </cell>
        </row>
        <row r="132">
          <cell r="A132">
            <v>30028</v>
          </cell>
        </row>
        <row r="133">
          <cell r="A133">
            <v>30029</v>
          </cell>
        </row>
        <row r="134">
          <cell r="A134">
            <v>39001</v>
          </cell>
        </row>
        <row r="135">
          <cell r="A135">
            <v>40001</v>
          </cell>
        </row>
        <row r="136">
          <cell r="A136">
            <v>40002</v>
          </cell>
        </row>
        <row r="137">
          <cell r="A137">
            <v>40003</v>
          </cell>
        </row>
        <row r="138">
          <cell r="A138">
            <v>40004</v>
          </cell>
        </row>
        <row r="139">
          <cell r="A139">
            <v>40005</v>
          </cell>
        </row>
        <row r="140">
          <cell r="A140">
            <v>40006</v>
          </cell>
        </row>
        <row r="141">
          <cell r="A141">
            <v>40007</v>
          </cell>
        </row>
        <row r="142">
          <cell r="A142">
            <v>40008</v>
          </cell>
        </row>
        <row r="143">
          <cell r="A143">
            <v>40009</v>
          </cell>
        </row>
        <row r="144">
          <cell r="A144">
            <v>40010</v>
          </cell>
        </row>
        <row r="145">
          <cell r="A145">
            <v>40011</v>
          </cell>
        </row>
        <row r="146">
          <cell r="A146">
            <v>40012</v>
          </cell>
        </row>
        <row r="147">
          <cell r="A147">
            <v>49001</v>
          </cell>
        </row>
        <row r="148">
          <cell r="A148">
            <v>50001</v>
          </cell>
        </row>
        <row r="149">
          <cell r="A149">
            <v>50002</v>
          </cell>
        </row>
        <row r="150">
          <cell r="A150">
            <v>60001</v>
          </cell>
        </row>
        <row r="151">
          <cell r="A151">
            <v>65535</v>
          </cell>
        </row>
        <row r="152">
          <cell r="A152">
            <v>60021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11002_1</v>
          </cell>
        </row>
        <row r="200">
          <cell r="A200" t="str">
            <v>11002_2</v>
          </cell>
        </row>
        <row r="201">
          <cell r="A201" t="str">
            <v>11002_3</v>
          </cell>
        </row>
        <row r="202">
          <cell r="A202" t="str">
            <v>11003_1</v>
          </cell>
        </row>
        <row r="203">
          <cell r="A203" t="str">
            <v>11003_2</v>
          </cell>
        </row>
        <row r="204">
          <cell r="A204" t="str">
            <v>11003_3</v>
          </cell>
        </row>
        <row r="205">
          <cell r="A205" t="str">
            <v>11004_1</v>
          </cell>
        </row>
        <row r="206">
          <cell r="A206" t="str">
            <v>11004_2</v>
          </cell>
        </row>
        <row r="207">
          <cell r="A207" t="str">
            <v>11004_3</v>
          </cell>
        </row>
        <row r="208">
          <cell r="A208" t="str">
            <v>11005_1</v>
          </cell>
        </row>
        <row r="209">
          <cell r="A209" t="str">
            <v>11005_2</v>
          </cell>
        </row>
        <row r="210">
          <cell r="A210" t="str">
            <v>11005_3</v>
          </cell>
        </row>
        <row r="211">
          <cell r="A211" t="str">
            <v>11005_4</v>
          </cell>
        </row>
        <row r="212">
          <cell r="A212" t="str">
            <v>11006_1</v>
          </cell>
        </row>
        <row r="213">
          <cell r="A213" t="str">
            <v>11006_2</v>
          </cell>
        </row>
        <row r="214">
          <cell r="A214" t="str">
            <v>11006_3</v>
          </cell>
        </row>
        <row r="215">
          <cell r="A215" t="str">
            <v>11101_1</v>
          </cell>
        </row>
        <row r="216">
          <cell r="A216" t="str">
            <v>11101_2</v>
          </cell>
        </row>
        <row r="217">
          <cell r="A217" t="str">
            <v>11101_3</v>
          </cell>
        </row>
        <row r="218">
          <cell r="A218" t="str">
            <v>11102_1</v>
          </cell>
        </row>
        <row r="219">
          <cell r="A219" t="str">
            <v>11102_2</v>
          </cell>
        </row>
        <row r="220">
          <cell r="A220" t="str">
            <v>11102_3</v>
          </cell>
        </row>
        <row r="221">
          <cell r="A221" t="str">
            <v>11103_1</v>
          </cell>
        </row>
        <row r="222">
          <cell r="A222" t="str">
            <v>11103_2</v>
          </cell>
        </row>
        <row r="223">
          <cell r="A223" t="str">
            <v>11103_3</v>
          </cell>
        </row>
        <row r="224">
          <cell r="A224" t="str">
            <v>11104_1</v>
          </cell>
        </row>
        <row r="225">
          <cell r="A225" t="str">
            <v>11104_2</v>
          </cell>
        </row>
        <row r="226">
          <cell r="A226" t="str">
            <v>11104_3</v>
          </cell>
        </row>
        <row r="227">
          <cell r="A227" t="str">
            <v>11105_1</v>
          </cell>
        </row>
        <row r="228">
          <cell r="A228" t="str">
            <v>11105_2</v>
          </cell>
        </row>
        <row r="229">
          <cell r="A229" t="str">
            <v>11105_3</v>
          </cell>
        </row>
        <row r="230">
          <cell r="A230" t="str">
            <v>11105_4</v>
          </cell>
        </row>
        <row r="231">
          <cell r="A231" t="str">
            <v>11106_1</v>
          </cell>
        </row>
        <row r="232">
          <cell r="A232" t="str">
            <v>11106_2</v>
          </cell>
        </row>
        <row r="233">
          <cell r="A233" t="str">
            <v>11106_3</v>
          </cell>
        </row>
        <row r="234">
          <cell r="A234" t="str">
            <v>11206_1</v>
          </cell>
        </row>
        <row r="235">
          <cell r="A235" t="str">
            <v>11206_2</v>
          </cell>
        </row>
        <row r="236">
          <cell r="A236" t="str">
            <v>11206_3</v>
          </cell>
        </row>
        <row r="237">
          <cell r="A237" t="str">
            <v>11016_1</v>
          </cell>
        </row>
        <row r="238">
          <cell r="A238" t="str">
            <v>11207_1</v>
          </cell>
        </row>
        <row r="239">
          <cell r="A239" t="str">
            <v>11207_2</v>
          </cell>
        </row>
        <row r="240">
          <cell r="A240" t="str">
            <v>11208_1</v>
          </cell>
        </row>
        <row r="241">
          <cell r="A241" t="str">
            <v>11208_2</v>
          </cell>
        </row>
        <row r="242">
          <cell r="A242" t="str">
            <v>11209_1</v>
          </cell>
        </row>
        <row r="243">
          <cell r="A243" t="str">
            <v>11209_2</v>
          </cell>
        </row>
        <row r="244">
          <cell r="A244" t="str">
            <v>11210_1</v>
          </cell>
        </row>
        <row r="245">
          <cell r="A245" t="str">
            <v>11210_2</v>
          </cell>
        </row>
        <row r="246">
          <cell r="A246" t="str">
            <v>11210_3</v>
          </cell>
        </row>
        <row r="247">
          <cell r="A247" t="str">
            <v>11210_4</v>
          </cell>
        </row>
        <row r="248">
          <cell r="A248" t="str">
            <v>11211_1</v>
          </cell>
        </row>
        <row r="249">
          <cell r="A249" t="str">
            <v>11211_2</v>
          </cell>
        </row>
        <row r="250">
          <cell r="A250" t="str">
            <v>11211_3</v>
          </cell>
        </row>
        <row r="251">
          <cell r="A251" t="str">
            <v>11211_4</v>
          </cell>
        </row>
        <row r="252">
          <cell r="A252" t="str">
            <v>11212_1</v>
          </cell>
        </row>
        <row r="253">
          <cell r="A253" t="str">
            <v>11213_1</v>
          </cell>
        </row>
        <row r="254">
          <cell r="A254" t="str">
            <v>11214_1</v>
          </cell>
        </row>
        <row r="255">
          <cell r="A255" t="str">
            <v>11214_2</v>
          </cell>
        </row>
        <row r="256">
          <cell r="A256" t="str">
            <v>11214_3</v>
          </cell>
        </row>
        <row r="257">
          <cell r="A257" t="str">
            <v>11215_1</v>
          </cell>
        </row>
        <row r="258">
          <cell r="A258" t="str">
            <v>11216_1</v>
          </cell>
        </row>
        <row r="259">
          <cell r="A259" t="str">
            <v>11217_1</v>
          </cell>
        </row>
        <row r="260">
          <cell r="A260" t="str">
            <v>11218_1</v>
          </cell>
        </row>
        <row r="261">
          <cell r="A261" t="str">
            <v>11219_1</v>
          </cell>
        </row>
        <row r="262">
          <cell r="A262" t="str">
            <v>11220_1</v>
          </cell>
        </row>
        <row r="263">
          <cell r="A263" t="str">
            <v>12001_1</v>
          </cell>
        </row>
        <row r="264">
          <cell r="A264" t="str">
            <v>12001_2</v>
          </cell>
        </row>
        <row r="265">
          <cell r="A265" t="str">
            <v>12001_3</v>
          </cell>
        </row>
        <row r="266">
          <cell r="A266" t="str">
            <v>12002_3</v>
          </cell>
        </row>
        <row r="267">
          <cell r="A267" t="str">
            <v>12002_2</v>
          </cell>
        </row>
        <row r="268">
          <cell r="A268" t="str">
            <v>12002_1</v>
          </cell>
        </row>
        <row r="269">
          <cell r="A269" t="str">
            <v>12003_1</v>
          </cell>
        </row>
        <row r="270">
          <cell r="A270" t="str">
            <v>12003_2</v>
          </cell>
        </row>
        <row r="271">
          <cell r="A271" t="str">
            <v>12003_3</v>
          </cell>
        </row>
        <row r="272">
          <cell r="A272" t="str">
            <v>12003_4</v>
          </cell>
        </row>
        <row r="273">
          <cell r="A273" t="str">
            <v>12004_1</v>
          </cell>
        </row>
        <row r="274">
          <cell r="A274" t="str">
            <v>13001_1</v>
          </cell>
        </row>
        <row r="275">
          <cell r="A275" t="str">
            <v>13001_2</v>
          </cell>
        </row>
        <row r="276">
          <cell r="A276" t="str">
            <v>13001_3</v>
          </cell>
        </row>
        <row r="277">
          <cell r="A277" t="str">
            <v>13001_4</v>
          </cell>
        </row>
        <row r="278">
          <cell r="A278" t="str">
            <v>13001_5</v>
          </cell>
        </row>
        <row r="279">
          <cell r="A279" t="str">
            <v>13001_6</v>
          </cell>
        </row>
        <row r="280">
          <cell r="A280" t="str">
            <v>13001_7</v>
          </cell>
        </row>
        <row r="281">
          <cell r="A281" t="str">
            <v>13001_8</v>
          </cell>
        </row>
        <row r="282">
          <cell r="A282" t="str">
            <v>13001_9</v>
          </cell>
        </row>
        <row r="283">
          <cell r="A283" t="str">
            <v>13001_10</v>
          </cell>
        </row>
        <row r="284">
          <cell r="A284" t="str">
            <v>13001_11</v>
          </cell>
        </row>
        <row r="285">
          <cell r="A285" t="str">
            <v>13001_12</v>
          </cell>
        </row>
        <row r="286">
          <cell r="A286" t="str">
            <v>13001_13</v>
          </cell>
        </row>
        <row r="287">
          <cell r="A287" t="str">
            <v>13001_14</v>
          </cell>
        </row>
        <row r="288">
          <cell r="A288" t="str">
            <v>13001_15</v>
          </cell>
        </row>
        <row r="289">
          <cell r="A289" t="str">
            <v>13001_16</v>
          </cell>
        </row>
        <row r="290">
          <cell r="A290" t="str">
            <v>13001_17</v>
          </cell>
        </row>
        <row r="291">
          <cell r="A291" t="str">
            <v>13001_18</v>
          </cell>
        </row>
        <row r="292">
          <cell r="A292" t="str">
            <v>13001_19</v>
          </cell>
        </row>
        <row r="293">
          <cell r="A293" t="str">
            <v>13001_20</v>
          </cell>
        </row>
        <row r="294">
          <cell r="A294" t="str">
            <v>13001_21</v>
          </cell>
        </row>
        <row r="295">
          <cell r="A295" t="str">
            <v>13001_22</v>
          </cell>
        </row>
        <row r="296">
          <cell r="A296" t="str">
            <v>13001_23</v>
          </cell>
        </row>
        <row r="297">
          <cell r="A297" t="str">
            <v>13001_24</v>
          </cell>
        </row>
        <row r="298">
          <cell r="A298" t="str">
            <v>13001_25</v>
          </cell>
        </row>
        <row r="299">
          <cell r="A299" t="str">
            <v>14001_1</v>
          </cell>
        </row>
        <row r="300">
          <cell r="A300" t="str">
            <v>14001_2</v>
          </cell>
        </row>
        <row r="301">
          <cell r="A301" t="str">
            <v>14001_3</v>
          </cell>
        </row>
        <row r="302">
          <cell r="A302" t="str">
            <v>14001_4</v>
          </cell>
        </row>
        <row r="303">
          <cell r="A303" t="str">
            <v>14002_1</v>
          </cell>
        </row>
        <row r="304">
          <cell r="A304" t="str">
            <v>14003_1</v>
          </cell>
        </row>
        <row r="305">
          <cell r="A305" t="str">
            <v>14004_1</v>
          </cell>
        </row>
        <row r="306">
          <cell r="A306" t="str">
            <v>14004_2</v>
          </cell>
        </row>
        <row r="307">
          <cell r="A307" t="str">
            <v>14004_3</v>
          </cell>
        </row>
        <row r="308">
          <cell r="A308" t="str">
            <v>14004_4</v>
          </cell>
        </row>
        <row r="309">
          <cell r="A309" t="str">
            <v>14005_1</v>
          </cell>
        </row>
        <row r="310">
          <cell r="A310" t="str">
            <v>14006_1</v>
          </cell>
        </row>
        <row r="311">
          <cell r="A311" t="str">
            <v>15027_1</v>
          </cell>
        </row>
        <row r="312">
          <cell r="A312" t="str">
            <v>15027_2</v>
          </cell>
        </row>
        <row r="313">
          <cell r="A313" t="str">
            <v>15027_3</v>
          </cell>
        </row>
        <row r="314">
          <cell r="A314" t="str">
            <v>15027_4</v>
          </cell>
        </row>
        <row r="315">
          <cell r="A315" t="str">
            <v>15028_1</v>
          </cell>
        </row>
        <row r="316">
          <cell r="A316" t="str">
            <v>15028_2</v>
          </cell>
        </row>
        <row r="317">
          <cell r="A317" t="str">
            <v>15028_3</v>
          </cell>
        </row>
        <row r="318">
          <cell r="A318" t="str">
            <v>15028_4</v>
          </cell>
        </row>
        <row r="319">
          <cell r="A319" t="str">
            <v>15029_1</v>
          </cell>
        </row>
        <row r="320">
          <cell r="A320" t="str">
            <v>15029_2</v>
          </cell>
        </row>
        <row r="321">
          <cell r="A321" t="str">
            <v>15029_3</v>
          </cell>
        </row>
        <row r="322">
          <cell r="A322" t="str">
            <v>15029_4</v>
          </cell>
        </row>
        <row r="323">
          <cell r="A323" t="str">
            <v>15030_1</v>
          </cell>
        </row>
        <row r="324">
          <cell r="A324" t="str">
            <v>15030_2</v>
          </cell>
        </row>
        <row r="325">
          <cell r="A325" t="str">
            <v>15030_3</v>
          </cell>
        </row>
        <row r="326">
          <cell r="A326" t="str">
            <v>15030_4</v>
          </cell>
        </row>
        <row r="327">
          <cell r="A327" t="str">
            <v>15031_1</v>
          </cell>
        </row>
        <row r="328">
          <cell r="A328" t="str">
            <v>15031_2</v>
          </cell>
        </row>
        <row r="329">
          <cell r="A329" t="str">
            <v>15031_3</v>
          </cell>
        </row>
        <row r="330">
          <cell r="A330" t="str">
            <v>15031_4</v>
          </cell>
        </row>
        <row r="331">
          <cell r="A331" t="str">
            <v>20001_1</v>
          </cell>
        </row>
        <row r="332">
          <cell r="A332" t="str">
            <v>20001_2</v>
          </cell>
        </row>
        <row r="333">
          <cell r="A333" t="str">
            <v>20001_3</v>
          </cell>
        </row>
        <row r="334">
          <cell r="A334" t="str">
            <v>20002_1</v>
          </cell>
        </row>
        <row r="335">
          <cell r="A335" t="str">
            <v>20002_2</v>
          </cell>
        </row>
        <row r="336">
          <cell r="A336" t="str">
            <v>20002_3</v>
          </cell>
        </row>
        <row r="337">
          <cell r="A337" t="str">
            <v>20003_1</v>
          </cell>
        </row>
        <row r="338">
          <cell r="A338" t="str">
            <v>20003_2</v>
          </cell>
        </row>
        <row r="339">
          <cell r="A339" t="str">
            <v>20003_3</v>
          </cell>
        </row>
        <row r="340">
          <cell r="A340" t="str">
            <v>20004_1</v>
          </cell>
        </row>
        <row r="341">
          <cell r="A341" t="str">
            <v>20004_2</v>
          </cell>
        </row>
        <row r="342">
          <cell r="A342" t="str">
            <v>20004_3</v>
          </cell>
        </row>
        <row r="343">
          <cell r="A343" t="str">
            <v>20005_1</v>
          </cell>
        </row>
        <row r="344">
          <cell r="A344" t="str">
            <v>20005_2</v>
          </cell>
        </row>
        <row r="345">
          <cell r="A345" t="str">
            <v>20005_3</v>
          </cell>
        </row>
        <row r="346">
          <cell r="A346" t="str">
            <v>20006_1</v>
          </cell>
        </row>
        <row r="347">
          <cell r="A347" t="str">
            <v>20006_2</v>
          </cell>
        </row>
        <row r="348">
          <cell r="A348" t="str">
            <v>20006_3</v>
          </cell>
        </row>
        <row r="349">
          <cell r="A349" t="str">
            <v>20007_1</v>
          </cell>
        </row>
        <row r="350">
          <cell r="A350" t="str">
            <v>20007_2</v>
          </cell>
        </row>
        <row r="351">
          <cell r="A351" t="str">
            <v>20007_3</v>
          </cell>
        </row>
        <row r="352">
          <cell r="A352" t="str">
            <v>20008_1</v>
          </cell>
        </row>
        <row r="353">
          <cell r="A353" t="str">
            <v>20008_2</v>
          </cell>
        </row>
        <row r="354">
          <cell r="A354" t="str">
            <v>20008_3</v>
          </cell>
        </row>
        <row r="355">
          <cell r="A355" t="str">
            <v>20009_1</v>
          </cell>
        </row>
        <row r="356">
          <cell r="A356" t="str">
            <v>20009_2</v>
          </cell>
        </row>
        <row r="357">
          <cell r="A357" t="str">
            <v>20009_3</v>
          </cell>
        </row>
        <row r="358">
          <cell r="A358" t="str">
            <v>20010_1</v>
          </cell>
        </row>
        <row r="359">
          <cell r="A359" t="str">
            <v>20010_2</v>
          </cell>
        </row>
        <row r="360">
          <cell r="A360" t="str">
            <v>20010_3</v>
          </cell>
        </row>
        <row r="361">
          <cell r="A361" t="str">
            <v>20011_1</v>
          </cell>
        </row>
        <row r="362">
          <cell r="A362" t="str">
            <v>20011_2</v>
          </cell>
        </row>
        <row r="363">
          <cell r="A363" t="str">
            <v>20011_3</v>
          </cell>
        </row>
        <row r="364">
          <cell r="A364" t="str">
            <v>20012_1</v>
          </cell>
        </row>
        <row r="365">
          <cell r="A365" t="str">
            <v>20012_2</v>
          </cell>
        </row>
        <row r="366">
          <cell r="A366" t="str">
            <v>20012_3</v>
          </cell>
        </row>
        <row r="367">
          <cell r="A367" t="str">
            <v>30001_1</v>
          </cell>
        </row>
        <row r="368">
          <cell r="A368" t="str">
            <v>30001_2</v>
          </cell>
        </row>
        <row r="369">
          <cell r="A369" t="str">
            <v>30001_3</v>
          </cell>
        </row>
        <row r="370">
          <cell r="A370" t="str">
            <v>30002_1</v>
          </cell>
        </row>
        <row r="371">
          <cell r="A371" t="str">
            <v>30002_2</v>
          </cell>
        </row>
        <row r="372">
          <cell r="A372" t="str">
            <v>30002_3</v>
          </cell>
        </row>
        <row r="373">
          <cell r="A373" t="str">
            <v>30003_1</v>
          </cell>
        </row>
        <row r="374">
          <cell r="A374" t="str">
            <v>30003_2</v>
          </cell>
        </row>
        <row r="375">
          <cell r="A375" t="str">
            <v>30003_3</v>
          </cell>
        </row>
        <row r="376">
          <cell r="A376" t="str">
            <v>30004_1</v>
          </cell>
        </row>
        <row r="377">
          <cell r="A377" t="str">
            <v>30004_2</v>
          </cell>
        </row>
        <row r="378">
          <cell r="A378" t="str">
            <v>30004_3</v>
          </cell>
        </row>
        <row r="379">
          <cell r="A379" t="str">
            <v>30005_1</v>
          </cell>
        </row>
        <row r="380">
          <cell r="A380" t="str">
            <v>30005_2</v>
          </cell>
        </row>
        <row r="381">
          <cell r="A381" t="str">
            <v>30005_3</v>
          </cell>
        </row>
        <row r="382">
          <cell r="A382" t="str">
            <v>30006_1</v>
          </cell>
        </row>
        <row r="383">
          <cell r="A383" t="str">
            <v>30006_2</v>
          </cell>
        </row>
        <row r="384">
          <cell r="A384" t="str">
            <v>30006_3</v>
          </cell>
        </row>
        <row r="385">
          <cell r="A385" t="str">
            <v>30007_1</v>
          </cell>
        </row>
        <row r="386">
          <cell r="A386" t="str">
            <v>30007_2</v>
          </cell>
        </row>
        <row r="387">
          <cell r="A387" t="str">
            <v>30007_3</v>
          </cell>
        </row>
        <row r="388">
          <cell r="A388" t="str">
            <v>30008_1</v>
          </cell>
        </row>
        <row r="389">
          <cell r="A389" t="str">
            <v>30008_2</v>
          </cell>
        </row>
        <row r="390">
          <cell r="A390" t="str">
            <v>30008_3</v>
          </cell>
        </row>
        <row r="391">
          <cell r="A391" t="str">
            <v>30009_3</v>
          </cell>
        </row>
        <row r="392">
          <cell r="A392" t="str">
            <v>30009_1</v>
          </cell>
        </row>
        <row r="393">
          <cell r="A393" t="str">
            <v>30009_2</v>
          </cell>
        </row>
        <row r="394">
          <cell r="A394" t="str">
            <v>30010_1</v>
          </cell>
        </row>
        <row r="395">
          <cell r="A395" t="str">
            <v>30010_2</v>
          </cell>
        </row>
        <row r="396">
          <cell r="A396" t="str">
            <v>30010_3</v>
          </cell>
        </row>
        <row r="397">
          <cell r="A397" t="str">
            <v>30011_1</v>
          </cell>
        </row>
        <row r="398">
          <cell r="A398" t="str">
            <v>30011_2</v>
          </cell>
        </row>
        <row r="399">
          <cell r="A399" t="str">
            <v>30011_3</v>
          </cell>
        </row>
        <row r="400">
          <cell r="A400" t="str">
            <v>30012_1</v>
          </cell>
        </row>
        <row r="401">
          <cell r="A401" t="str">
            <v>30012_2</v>
          </cell>
        </row>
        <row r="402">
          <cell r="A402" t="str">
            <v>30012_3</v>
          </cell>
        </row>
        <row r="403">
          <cell r="A403" t="str">
            <v>30013_1</v>
          </cell>
        </row>
        <row r="404">
          <cell r="A404" t="str">
            <v>30013_2</v>
          </cell>
        </row>
        <row r="405">
          <cell r="A405" t="str">
            <v>30014_1</v>
          </cell>
        </row>
        <row r="406">
          <cell r="A406" t="str">
            <v>30014_2</v>
          </cell>
        </row>
        <row r="407">
          <cell r="A407" t="str">
            <v>30015_1</v>
          </cell>
        </row>
        <row r="408">
          <cell r="A408" t="str">
            <v>30015_2</v>
          </cell>
        </row>
        <row r="409">
          <cell r="A409" t="str">
            <v>30016_1</v>
          </cell>
        </row>
        <row r="410">
          <cell r="A410" t="str">
            <v>30016_2</v>
          </cell>
        </row>
        <row r="411">
          <cell r="A411" t="str">
            <v>30017_1</v>
          </cell>
        </row>
        <row r="412">
          <cell r="A412" t="str">
            <v>30017_2</v>
          </cell>
        </row>
        <row r="413">
          <cell r="A413" t="str">
            <v>30018_1</v>
          </cell>
        </row>
        <row r="414">
          <cell r="A414" t="str">
            <v>30018_2</v>
          </cell>
        </row>
        <row r="415">
          <cell r="A415" t="str">
            <v>30019_1</v>
          </cell>
        </row>
        <row r="416">
          <cell r="A416" t="str">
            <v>30019_2</v>
          </cell>
        </row>
        <row r="417">
          <cell r="A417" t="str">
            <v>30020_1</v>
          </cell>
        </row>
        <row r="418">
          <cell r="A418" t="str">
            <v>30020_2</v>
          </cell>
        </row>
        <row r="419">
          <cell r="A419" t="str">
            <v>30021_1</v>
          </cell>
        </row>
        <row r="420">
          <cell r="A420" t="str">
            <v>30021_2</v>
          </cell>
        </row>
        <row r="421">
          <cell r="A421" t="str">
            <v>30021_3</v>
          </cell>
        </row>
        <row r="422">
          <cell r="A422" t="str">
            <v>30022_1</v>
          </cell>
        </row>
        <row r="423">
          <cell r="A423" t="str">
            <v>30022_2</v>
          </cell>
        </row>
        <row r="424">
          <cell r="A424" t="str">
            <v>30023_1</v>
          </cell>
        </row>
        <row r="425">
          <cell r="A425" t="str">
            <v>30023_2</v>
          </cell>
        </row>
        <row r="426">
          <cell r="A426" t="str">
            <v>30023_3</v>
          </cell>
        </row>
        <row r="427">
          <cell r="A427" t="str">
            <v>30024_1</v>
          </cell>
        </row>
        <row r="428">
          <cell r="A428" t="str">
            <v>30024_2</v>
          </cell>
        </row>
        <row r="429">
          <cell r="A429" t="str">
            <v>30024_3</v>
          </cell>
        </row>
        <row r="430">
          <cell r="A430" t="str">
            <v>30025_1</v>
          </cell>
        </row>
        <row r="431">
          <cell r="A431" t="str">
            <v>30025_2</v>
          </cell>
        </row>
        <row r="432">
          <cell r="A432" t="str">
            <v>30025_3</v>
          </cell>
        </row>
        <row r="433">
          <cell r="A433" t="str">
            <v>30026_1</v>
          </cell>
        </row>
        <row r="434">
          <cell r="A434" t="str">
            <v>30026_2</v>
          </cell>
        </row>
        <row r="435">
          <cell r="A435" t="str">
            <v>30026_3</v>
          </cell>
        </row>
        <row r="436">
          <cell r="A436" t="str">
            <v>30027_1</v>
          </cell>
        </row>
        <row r="437">
          <cell r="A437" t="str">
            <v>30027_2</v>
          </cell>
        </row>
        <row r="438">
          <cell r="A438" t="str">
            <v>30027_3</v>
          </cell>
        </row>
        <row r="439">
          <cell r="A439" t="str">
            <v>30028_1</v>
          </cell>
        </row>
        <row r="440">
          <cell r="A440" t="str">
            <v>30028_2</v>
          </cell>
        </row>
        <row r="441">
          <cell r="A441" t="str">
            <v>30028_3</v>
          </cell>
        </row>
        <row r="442">
          <cell r="A442" t="str">
            <v>30029_1</v>
          </cell>
        </row>
        <row r="443">
          <cell r="A443" t="str">
            <v>30029_2</v>
          </cell>
        </row>
        <row r="444">
          <cell r="A444" t="str">
            <v>30029_3</v>
          </cell>
        </row>
        <row r="445">
          <cell r="A445" t="str">
            <v>39001_1</v>
          </cell>
        </row>
        <row r="446">
          <cell r="A446" t="str">
            <v>39001_2</v>
          </cell>
        </row>
        <row r="447">
          <cell r="A447" t="str">
            <v>39001_3</v>
          </cell>
        </row>
        <row r="448">
          <cell r="A448" t="str">
            <v>39001_4</v>
          </cell>
        </row>
        <row r="449">
          <cell r="A449" t="str">
            <v>39001_5</v>
          </cell>
        </row>
        <row r="450">
          <cell r="A450" t="str">
            <v>40001_1</v>
          </cell>
        </row>
        <row r="451">
          <cell r="A451" t="str">
            <v>40002_1</v>
          </cell>
        </row>
        <row r="452">
          <cell r="A452" t="str">
            <v>40002_2</v>
          </cell>
        </row>
        <row r="453">
          <cell r="A453" t="str">
            <v>40002_3</v>
          </cell>
        </row>
        <row r="454">
          <cell r="A454" t="str">
            <v>40003_1</v>
          </cell>
        </row>
        <row r="455">
          <cell r="A455" t="str">
            <v>40004_1</v>
          </cell>
        </row>
        <row r="456">
          <cell r="A456" t="str">
            <v>40005_1</v>
          </cell>
        </row>
        <row r="457">
          <cell r="A457" t="str">
            <v>40006_1</v>
          </cell>
        </row>
        <row r="458">
          <cell r="A458" t="str">
            <v>40007_1</v>
          </cell>
        </row>
        <row r="459">
          <cell r="A459" t="str">
            <v>40008_1</v>
          </cell>
        </row>
        <row r="460">
          <cell r="A460" t="str">
            <v>40009_1</v>
          </cell>
        </row>
        <row r="461">
          <cell r="A461" t="str">
            <v>40010_1</v>
          </cell>
        </row>
        <row r="462">
          <cell r="A462" t="str">
            <v>40011_1</v>
          </cell>
        </row>
        <row r="463">
          <cell r="A463" t="str">
            <v>40012_1</v>
          </cell>
        </row>
        <row r="464">
          <cell r="A464" t="str">
            <v>49001_1</v>
          </cell>
        </row>
        <row r="465">
          <cell r="A465" t="str">
            <v>50001_1</v>
          </cell>
        </row>
        <row r="466">
          <cell r="A466" t="str">
            <v>50002_1</v>
          </cell>
        </row>
        <row r="467">
          <cell r="A467" t="str">
            <v>60001_1</v>
          </cell>
        </row>
        <row r="468">
          <cell r="A468" t="str">
            <v>65535_1</v>
          </cell>
        </row>
        <row r="469">
          <cell r="A469" t="str">
            <v>65535_2</v>
          </cell>
        </row>
        <row r="470">
          <cell r="A470" t="str">
            <v>65535_3</v>
          </cell>
        </row>
        <row r="471">
          <cell r="A471" t="str">
            <v>60021_3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flavor_text</v>
          </cell>
          <cell r="T1" t="str">
            <v>obtain_message</v>
          </cell>
          <cell r="U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selection activeCell="D18" sqref="D18"/>
    </sheetView>
  </sheetViews>
  <sheetFormatPr baseColWidth="12" defaultRowHeight="18" x14ac:dyDescent="0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>
      <c r="A1" s="60" t="s">
        <v>131</v>
      </c>
      <c r="B1" s="55" t="s">
        <v>101</v>
      </c>
      <c r="C1" s="55" t="s">
        <v>102</v>
      </c>
      <c r="D1" s="55" t="s">
        <v>103</v>
      </c>
      <c r="E1" s="55" t="s">
        <v>104</v>
      </c>
      <c r="F1" s="55" t="s">
        <v>105</v>
      </c>
      <c r="G1" s="55" t="s">
        <v>106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</row>
    <row r="2" spans="1:30">
      <c r="A2" s="61" t="s">
        <v>224</v>
      </c>
      <c r="B2" s="57" t="s">
        <v>107</v>
      </c>
      <c r="C2" s="62" t="s">
        <v>240</v>
      </c>
      <c r="D2" s="57" t="s">
        <v>108</v>
      </c>
      <c r="E2" s="56" t="str">
        <f>B2&amp;C2&amp;D2</f>
        <v>floors_wd2016.tmp</v>
      </c>
      <c r="F2" s="57" t="s">
        <v>109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</row>
    <row r="3" spans="1:30">
      <c r="A3" s="61" t="s">
        <v>224</v>
      </c>
      <c r="B3" s="57" t="s">
        <v>110</v>
      </c>
      <c r="C3" s="62" t="s">
        <v>240</v>
      </c>
      <c r="D3" s="57" t="s">
        <v>108</v>
      </c>
      <c r="E3" s="56" t="str">
        <f>B3&amp;C3&amp;D3</f>
        <v>enemy_habitats_wd2016.tmp</v>
      </c>
      <c r="F3" s="57" t="s">
        <v>111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180</v>
      </c>
    </row>
    <row r="4" spans="1:30">
      <c r="A4" s="61" t="s">
        <v>224</v>
      </c>
      <c r="B4" s="57" t="s">
        <v>112</v>
      </c>
      <c r="C4" s="62" t="s">
        <v>240</v>
      </c>
      <c r="D4" s="57" t="s">
        <v>108</v>
      </c>
      <c r="E4" s="56" t="str">
        <f>B4&amp;C4&amp;D4</f>
        <v>enemy_habitat_S_wd2016.tmp</v>
      </c>
      <c r="F4" s="57" t="s">
        <v>113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</row>
    <row r="5" spans="1:30">
      <c r="A5" s="61" t="s">
        <v>224</v>
      </c>
      <c r="B5" s="57" t="s">
        <v>114</v>
      </c>
      <c r="C5" s="62" t="s">
        <v>240</v>
      </c>
      <c r="D5" s="57" t="s">
        <v>108</v>
      </c>
      <c r="E5" s="56" t="str">
        <f>B5&amp;C5&amp;D5</f>
        <v>enemy_skill_sets_wd2016.tmp</v>
      </c>
      <c r="F5" s="57" t="s">
        <v>115</v>
      </c>
      <c r="G5" s="59" t="s">
        <v>22</v>
      </c>
      <c r="H5" s="59" t="s">
        <v>100</v>
      </c>
      <c r="I5" s="59" t="s">
        <v>95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</row>
    <row r="6" spans="1:30">
      <c r="A6" s="61" t="s">
        <v>224</v>
      </c>
      <c r="B6" s="57" t="s">
        <v>116</v>
      </c>
      <c r="C6" s="62" t="s">
        <v>240</v>
      </c>
      <c r="D6" s="57" t="s">
        <v>117</v>
      </c>
      <c r="E6" s="56" t="str">
        <f t="shared" ref="E6:E10" si="0">B6&amp;C6&amp;D6</f>
        <v>enemy_skills_tmp_wd2016.tmp</v>
      </c>
      <c r="F6" s="57" t="s">
        <v>91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</row>
    <row r="7" spans="1:30">
      <c r="A7" s="61" t="s">
        <v>224</v>
      </c>
      <c r="B7" s="57" t="s">
        <v>118</v>
      </c>
      <c r="C7" s="62" t="s">
        <v>240</v>
      </c>
      <c r="D7" s="57" t="s">
        <v>108</v>
      </c>
      <c r="E7" s="56" t="str">
        <f>B7&amp;C7&amp;D7</f>
        <v>enemy_skills_i18n_wd2016.tmp</v>
      </c>
      <c r="F7" s="57" t="s">
        <v>119</v>
      </c>
      <c r="G7" s="58" t="s">
        <v>79</v>
      </c>
      <c r="H7" s="58" t="s">
        <v>92</v>
      </c>
      <c r="I7" s="58" t="s">
        <v>93</v>
      </c>
      <c r="J7" s="58" t="s">
        <v>94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</row>
    <row r="8" spans="1:30">
      <c r="A8" s="61" t="s">
        <v>224</v>
      </c>
      <c r="B8" s="57" t="s">
        <v>120</v>
      </c>
      <c r="C8" s="62" t="s">
        <v>240</v>
      </c>
      <c r="D8" s="57" t="s">
        <v>121</v>
      </c>
      <c r="E8" s="56" t="str">
        <f t="shared" si="0"/>
        <v>enemy_skill_triggers_wd2016.tmp</v>
      </c>
      <c r="F8" s="57" t="s">
        <v>122</v>
      </c>
      <c r="G8" s="58" t="s">
        <v>95</v>
      </c>
      <c r="H8" s="58" t="s">
        <v>96</v>
      </c>
      <c r="I8" s="58" t="s">
        <v>97</v>
      </c>
      <c r="J8" s="58" t="s">
        <v>98</v>
      </c>
      <c r="K8" s="58" t="s">
        <v>123</v>
      </c>
      <c r="L8" s="58" t="s">
        <v>99</v>
      </c>
      <c r="M8" s="58" t="s">
        <v>124</v>
      </c>
      <c r="N8" s="58" t="s">
        <v>125</v>
      </c>
      <c r="O8" s="58" t="s">
        <v>126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</row>
    <row r="9" spans="1:30">
      <c r="A9" s="61" t="s">
        <v>225</v>
      </c>
      <c r="B9" s="67" t="s">
        <v>179</v>
      </c>
      <c r="C9" s="62" t="s">
        <v>240</v>
      </c>
      <c r="D9" s="67" t="s">
        <v>173</v>
      </c>
      <c r="E9" s="68" t="str">
        <f t="shared" si="0"/>
        <v>stage_bug_bonuses_wd2016.tmp</v>
      </c>
      <c r="F9" s="67" t="s">
        <v>174</v>
      </c>
      <c r="G9" s="64" t="s">
        <v>151</v>
      </c>
      <c r="H9" s="64" t="s">
        <v>175</v>
      </c>
      <c r="I9" s="64" t="s">
        <v>176</v>
      </c>
      <c r="J9" s="66" t="s">
        <v>177</v>
      </c>
      <c r="K9" s="64" t="s">
        <v>178</v>
      </c>
      <c r="L9" s="64" t="s">
        <v>157</v>
      </c>
      <c r="M9" s="64" t="s">
        <v>158</v>
      </c>
      <c r="N9" s="64" t="s">
        <v>159</v>
      </c>
      <c r="O9" s="64" t="s">
        <v>160</v>
      </c>
      <c r="P9" s="64" t="s">
        <v>161</v>
      </c>
      <c r="Q9" s="64" t="s">
        <v>162</v>
      </c>
      <c r="R9" s="64" t="s">
        <v>163</v>
      </c>
      <c r="S9" s="64" t="s">
        <v>164</v>
      </c>
      <c r="T9" s="64" t="s">
        <v>165</v>
      </c>
      <c r="U9" s="64" t="s">
        <v>166</v>
      </c>
      <c r="V9" s="64" t="s">
        <v>167</v>
      </c>
      <c r="W9" s="64" t="s">
        <v>168</v>
      </c>
    </row>
    <row r="10" spans="1:30" s="76" customFormat="1">
      <c r="A10" s="61" t="s">
        <v>226</v>
      </c>
      <c r="B10" s="67" t="s">
        <v>205</v>
      </c>
      <c r="C10" s="62" t="s">
        <v>240</v>
      </c>
      <c r="D10" s="67" t="s">
        <v>182</v>
      </c>
      <c r="E10" s="68" t="str">
        <f t="shared" si="0"/>
        <v>stage_hints_data_c_wd2016.tmp</v>
      </c>
      <c r="F10" s="67" t="s">
        <v>214</v>
      </c>
      <c r="G10" s="73" t="s">
        <v>183</v>
      </c>
      <c r="H10" s="73" t="s">
        <v>175</v>
      </c>
      <c r="I10" s="74" t="s">
        <v>184</v>
      </c>
      <c r="J10" s="66" t="s">
        <v>185</v>
      </c>
      <c r="K10" s="75" t="s">
        <v>186</v>
      </c>
    </row>
    <row r="11" spans="1:30" s="76" customFormat="1">
      <c r="A11" s="61" t="s">
        <v>189</v>
      </c>
      <c r="B11" s="67" t="s">
        <v>206</v>
      </c>
      <c r="C11" s="62" t="s">
        <v>240</v>
      </c>
      <c r="D11" s="67" t="s">
        <v>173</v>
      </c>
      <c r="E11" s="68" t="str">
        <f t="shared" ref="E11:E12" si="1">B11&amp;C11&amp;D11</f>
        <v>stage_hints_data_f_wd2016.tmp</v>
      </c>
      <c r="F11" s="67" t="s">
        <v>216</v>
      </c>
      <c r="G11" s="73" t="s">
        <v>183</v>
      </c>
      <c r="H11" s="73" t="s">
        <v>175</v>
      </c>
      <c r="I11" s="74" t="s">
        <v>184</v>
      </c>
      <c r="J11" s="66" t="s">
        <v>185</v>
      </c>
      <c r="K11" s="75" t="s">
        <v>186</v>
      </c>
    </row>
    <row r="12" spans="1:30" s="76" customFormat="1">
      <c r="A12" s="67" t="s">
        <v>207</v>
      </c>
      <c r="B12" s="67" t="s">
        <v>208</v>
      </c>
      <c r="C12" s="62" t="s">
        <v>240</v>
      </c>
      <c r="D12" s="67" t="s">
        <v>173</v>
      </c>
      <c r="E12" s="68" t="str">
        <f t="shared" si="1"/>
        <v>stage_hints_i18n_wd2016.tmp</v>
      </c>
      <c r="F12" s="67" t="s">
        <v>217</v>
      </c>
      <c r="G12" s="74" t="s">
        <v>209</v>
      </c>
      <c r="H12" s="97" t="s">
        <v>210</v>
      </c>
      <c r="I12" s="73" t="s">
        <v>211</v>
      </c>
      <c r="J12" s="98" t="s">
        <v>212</v>
      </c>
      <c r="K12" s="75" t="s">
        <v>213</v>
      </c>
    </row>
  </sheetData>
  <phoneticPr fontId="5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6"/>
  <sheetViews>
    <sheetView showGridLines="0" workbookViewId="0">
      <pane ySplit="1" topLeftCell="A2" activePane="bottomLeft" state="frozen"/>
      <selection activeCell="V2" sqref="V2:X34"/>
      <selection pane="bottomLeft" activeCell="H14" sqref="H14"/>
    </sheetView>
  </sheetViews>
  <sheetFormatPr baseColWidth="12" defaultColWidth="13" defaultRowHeight="21" customHeight="1" outlineLevelCol="1" x14ac:dyDescent="0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>
      <c r="A2" s="16" t="str">
        <f>G2&amp;"-"&amp;I2</f>
        <v>11220_1-1</v>
      </c>
      <c r="B2" s="16" t="str">
        <f>IF(COUNTIF(enemy_habitats!$H:$H,A2),"OK","NG")</f>
        <v>OK</v>
      </c>
      <c r="C2" s="7">
        <v>11220</v>
      </c>
      <c r="D2" s="11" t="str">
        <f ca="1">VLOOKUP($C2,OFFSET([2]quests!$A$1,0,0,COUNTA([2]quests!$A:$A),MATCH(D$1,[2]quests!$1:$1,0)-MATCH($C$1,[2]quests!$1:$1,0)+1),MATCH(D$1,[2]quests!$1:$1,0)-MATCH($C$1,[2]quests!$1:$1,0)+1,FALSE)</f>
        <v>ホワイトデー★特別クエスト</v>
      </c>
      <c r="E2" s="18" t="str">
        <f ca="1">VLOOKUP($C2,OFFSET([2]quests!$A$1,0,0,COUNTA([2]quests!$A:$A),MATCH(E$1,[2]quests!$1:$1,0)-MATCH($C$1,[2]quests!$1:$1,0)+1),MATCH(E$1,[2]quests!$1:$1,0)-MATCH($C$1,[2]quests!$1:$1,0)+1,FALSE)</f>
        <v>2016年ホワイトデークエスト</v>
      </c>
      <c r="F2" s="21">
        <v>1</v>
      </c>
      <c r="G2" s="23" t="str">
        <f>C2&amp;"_"&amp;F2</f>
        <v>11220_1</v>
      </c>
      <c r="H2" s="15" t="str">
        <f ca="1">VLOOKUP($G2,OFFSET([2]stages!$A$1,0,0,COUNTA([2]stages!$A:$A),MATCH(H$1,[2]stages!$2:$2,0)-MATCH($G$1,[2]stages!$2:$2,0)+1),MATCH(H$1,[2]stages!$2:$2,0)-MATCH($G$1,[2]stages!$2:$2,0)+1,FALSE)</f>
        <v>【ストーリー】ホワイトデー独騒曲</v>
      </c>
      <c r="I2" s="21">
        <v>1</v>
      </c>
      <c r="J2" s="12">
        <v>30</v>
      </c>
      <c r="K2" s="12">
        <v>30</v>
      </c>
    </row>
    <row r="3" spans="1:11" ht="21" customHeight="1">
      <c r="A3" s="16" t="str">
        <f t="shared" ref="A3:A6" si="0">G3&amp;"-"&amp;I3</f>
        <v>11220_1-2</v>
      </c>
      <c r="B3" s="16" t="str">
        <f>IF(COUNTIF(enemy_habitats!$H:$H,A3),"OK","NG")</f>
        <v>OK</v>
      </c>
      <c r="C3" s="7">
        <v>11220</v>
      </c>
      <c r="D3" s="11" t="str">
        <f ca="1">VLOOKUP($C3,OFFSET([2]quests!$A$1,0,0,COUNTA([2]quests!$A:$A),MATCH(D$1,[2]quests!$1:$1,0)-MATCH($C$1,[2]quests!$1:$1,0)+1),MATCH(D$1,[2]quests!$1:$1,0)-MATCH($C$1,[2]quests!$1:$1,0)+1,FALSE)</f>
        <v>ホワイトデー★特別クエスト</v>
      </c>
      <c r="E3" s="18" t="str">
        <f ca="1">VLOOKUP($C3,OFFSET([2]quests!$A$1,0,0,COUNTA([2]quests!$A:$A),MATCH(E$1,[2]quests!$1:$1,0)-MATCH($C$1,[2]quests!$1:$1,0)+1),MATCH(E$1,[2]quests!$1:$1,0)-MATCH($C$1,[2]quests!$1:$1,0)+1,FALSE)</f>
        <v>2016年ホワイトデークエスト</v>
      </c>
      <c r="F3" s="21">
        <v>1</v>
      </c>
      <c r="G3" s="23" t="str">
        <f t="shared" ref="G3:G6" si="1">C3&amp;"_"&amp;F3</f>
        <v>11220_1</v>
      </c>
      <c r="H3" s="15" t="str">
        <f ca="1">VLOOKUP($G3,OFFSET([2]stages!$A$1,0,0,COUNTA([2]stages!$A:$A),MATCH(H$1,[2]stages!$2:$2,0)-MATCH($G$1,[2]stages!$2:$2,0)+1),MATCH(H$1,[2]stages!$2:$2,0)-MATCH($G$1,[2]stages!$2:$2,0)+1,FALSE)</f>
        <v>【ストーリー】ホワイトデー独騒曲</v>
      </c>
      <c r="I3" s="21">
        <v>2</v>
      </c>
      <c r="J3" s="12">
        <v>60</v>
      </c>
      <c r="K3" s="12">
        <v>60</v>
      </c>
    </row>
    <row r="4" spans="1:11" ht="21" customHeight="1">
      <c r="A4" s="16" t="str">
        <f t="shared" si="0"/>
        <v>11220_1-3</v>
      </c>
      <c r="B4" s="16" t="str">
        <f>IF(COUNTIF(enemy_habitats!$H:$H,A4),"OK","NG")</f>
        <v>OK</v>
      </c>
      <c r="C4" s="7">
        <v>11220</v>
      </c>
      <c r="D4" s="11" t="str">
        <f ca="1">VLOOKUP($C4,OFFSET([2]quests!$A$1,0,0,COUNTA([2]quests!$A:$A),MATCH(D$1,[2]quests!$1:$1,0)-MATCH($C$1,[2]quests!$1:$1,0)+1),MATCH(D$1,[2]quests!$1:$1,0)-MATCH($C$1,[2]quests!$1:$1,0)+1,FALSE)</f>
        <v>ホワイトデー★特別クエスト</v>
      </c>
      <c r="E4" s="18" t="str">
        <f ca="1">VLOOKUP($C4,OFFSET([2]quests!$A$1,0,0,COUNTA([2]quests!$A:$A),MATCH(E$1,[2]quests!$1:$1,0)-MATCH($C$1,[2]quests!$1:$1,0)+1),MATCH(E$1,[2]quests!$1:$1,0)-MATCH($C$1,[2]quests!$1:$1,0)+1,FALSE)</f>
        <v>2016年ホワイトデークエスト</v>
      </c>
      <c r="F4" s="21">
        <v>1</v>
      </c>
      <c r="G4" s="23" t="str">
        <f t="shared" si="1"/>
        <v>11220_1</v>
      </c>
      <c r="H4" s="15" t="str">
        <f ca="1">VLOOKUP($G4,OFFSET([2]stages!$A$1,0,0,COUNTA([2]stages!$A:$A),MATCH(H$1,[2]stages!$2:$2,0)-MATCH($G$1,[2]stages!$2:$2,0)+1),MATCH(H$1,[2]stages!$2:$2,0)-MATCH($G$1,[2]stages!$2:$2,0)+1,FALSE)</f>
        <v>【ストーリー】ホワイトデー独騒曲</v>
      </c>
      <c r="I4" s="21">
        <v>3</v>
      </c>
      <c r="J4" s="12">
        <v>60</v>
      </c>
      <c r="K4" s="12">
        <v>60</v>
      </c>
    </row>
    <row r="5" spans="1:11" ht="21" customHeight="1">
      <c r="A5" s="16" t="str">
        <f t="shared" si="0"/>
        <v>11220_1-4</v>
      </c>
      <c r="B5" s="16" t="str">
        <f>IF(COUNTIF(enemy_habitats!$H:$H,A5),"OK","NG")</f>
        <v>OK</v>
      </c>
      <c r="C5" s="7">
        <v>11220</v>
      </c>
      <c r="D5" s="11" t="str">
        <f ca="1">VLOOKUP($C5,OFFSET([2]quests!$A$1,0,0,COUNTA([2]quests!$A:$A),MATCH(D$1,[2]quests!$1:$1,0)-MATCH($C$1,[2]quests!$1:$1,0)+1),MATCH(D$1,[2]quests!$1:$1,0)-MATCH($C$1,[2]quests!$1:$1,0)+1,FALSE)</f>
        <v>ホワイトデー★特別クエスト</v>
      </c>
      <c r="E5" s="18" t="str">
        <f ca="1">VLOOKUP($C5,OFFSET([2]quests!$A$1,0,0,COUNTA([2]quests!$A:$A),MATCH(E$1,[2]quests!$1:$1,0)-MATCH($C$1,[2]quests!$1:$1,0)+1),MATCH(E$1,[2]quests!$1:$1,0)-MATCH($C$1,[2]quests!$1:$1,0)+1,FALSE)</f>
        <v>2016年ホワイトデークエスト</v>
      </c>
      <c r="F5" s="21">
        <v>1</v>
      </c>
      <c r="G5" s="23" t="str">
        <f t="shared" si="1"/>
        <v>11220_1</v>
      </c>
      <c r="H5" s="15" t="str">
        <f ca="1">VLOOKUP($G5,OFFSET([2]stages!$A$1,0,0,COUNTA([2]stages!$A:$A),MATCH(H$1,[2]stages!$2:$2,0)-MATCH($G$1,[2]stages!$2:$2,0)+1),MATCH(H$1,[2]stages!$2:$2,0)-MATCH($G$1,[2]stages!$2:$2,0)+1,FALSE)</f>
        <v>【ストーリー】ホワイトデー独騒曲</v>
      </c>
      <c r="I5" s="21">
        <v>4</v>
      </c>
      <c r="J5" s="12">
        <v>60</v>
      </c>
      <c r="K5" s="12">
        <v>60</v>
      </c>
    </row>
    <row r="6" spans="1:11" ht="21" customHeight="1">
      <c r="A6" s="16" t="str">
        <f t="shared" si="0"/>
        <v>11220_1-5</v>
      </c>
      <c r="B6" s="16" t="str">
        <f>IF(COUNTIF(enemy_habitats!$H:$H,A6),"OK","NG")</f>
        <v>OK</v>
      </c>
      <c r="C6" s="7">
        <v>11220</v>
      </c>
      <c r="D6" s="11" t="str">
        <f ca="1">VLOOKUP($C6,OFFSET([2]quests!$A$1,0,0,COUNTA([2]quests!$A:$A),MATCH(D$1,[2]quests!$1:$1,0)-MATCH($C$1,[2]quests!$1:$1,0)+1),MATCH(D$1,[2]quests!$1:$1,0)-MATCH($C$1,[2]quests!$1:$1,0)+1,FALSE)</f>
        <v>ホワイトデー★特別クエスト</v>
      </c>
      <c r="E6" s="18" t="str">
        <f ca="1">VLOOKUP($C6,OFFSET([2]quests!$A$1,0,0,COUNTA([2]quests!$A:$A),MATCH(E$1,[2]quests!$1:$1,0)-MATCH($C$1,[2]quests!$1:$1,0)+1),MATCH(E$1,[2]quests!$1:$1,0)-MATCH($C$1,[2]quests!$1:$1,0)+1,FALSE)</f>
        <v>2016年ホワイトデークエスト</v>
      </c>
      <c r="F6" s="21">
        <v>1</v>
      </c>
      <c r="G6" s="23" t="str">
        <f t="shared" si="1"/>
        <v>11220_1</v>
      </c>
      <c r="H6" s="15" t="str">
        <f ca="1">VLOOKUP($G6,OFFSET([2]stages!$A$1,0,0,COUNTA([2]stages!$A:$A),MATCH(H$1,[2]stages!$2:$2,0)-MATCH($G$1,[2]stages!$2:$2,0)+1),MATCH(H$1,[2]stages!$2:$2,0)-MATCH($G$1,[2]stages!$2:$2,0)+1,FALSE)</f>
        <v>【ストーリー】ホワイトデー独騒曲</v>
      </c>
      <c r="I6" s="21">
        <v>5</v>
      </c>
      <c r="J6" s="12">
        <v>60</v>
      </c>
      <c r="K6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11"/>
  <sheetViews>
    <sheetView showGridLines="0" zoomScale="75" zoomScaleNormal="75" zoomScalePageLayoutView="75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W6" sqref="W6"/>
    </sheetView>
  </sheetViews>
  <sheetFormatPr baseColWidth="12" defaultColWidth="13" defaultRowHeight="21" customHeight="1" outlineLevelCol="1" x14ac:dyDescent="0"/>
  <cols>
    <col min="1" max="1" width="15.83203125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5" customFormat="1" ht="21" customHeight="1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36" t="s">
        <v>181</v>
      </c>
    </row>
    <row r="2" spans="1:40" ht="21" customHeight="1">
      <c r="A2" s="16" t="str">
        <f ca="1">B2&amp;"_"&amp;C2&amp;"-"&amp;G2&amp;"/"&amp;L2&amp;"&lt;lv"&amp;R2&amp;"&gt;s"&amp;AA2</f>
        <v>11220_1-1/332&lt;lv1&gt;s1</v>
      </c>
      <c r="B2" s="22">
        <v>11220</v>
      </c>
      <c r="C2" s="21">
        <v>1</v>
      </c>
      <c r="D2" s="2" t="str">
        <f>B2&amp;"_"&amp;C2</f>
        <v>11220_1</v>
      </c>
      <c r="E2" s="4" t="str">
        <f ca="1">VLOOKUP($B2,OFFSET([2]quests!$A$1,0,0,COUNTA([2]quests!$A:$A),MATCH(E$1,[2]quests!$1:$1,0)-MATCH($B$1,[2]quests!$1:$1,0)+1),MATCH(E$1,[2]quests!$1:$1,0)-MATCH($B$1,[2]quests!$1:$1,0)+1,FALSE)</f>
        <v>ホワイトデー★特別クエスト</v>
      </c>
      <c r="F2" s="4" t="str">
        <f ca="1">VLOOKUP($D2,OFFSET([2]stages!$A$1,0,0,COUNTA([2]stages!$A:$A),MATCH(F$1,[2]stages!$2:$2,0)-MATCH($D$1,[2]stages!$2:$2,0)+1),MATCH(F$1,[2]stages!$2:$2,0)-MATCH($D$1,[2]stages!$2:$2,0)+1,FALSE)</f>
        <v>【ストーリー】ホワイトデー独騒曲</v>
      </c>
      <c r="G2" s="21">
        <v>1</v>
      </c>
      <c r="H2" s="15" t="str">
        <f>B2&amp;"_"&amp;C2&amp;"-"&amp;G2</f>
        <v>11220_1-1</v>
      </c>
      <c r="I2" s="4">
        <f ca="1">VLOOKUP($H2,OFFSET(floors!$A$1,0,0,COUNTA(floors!$A:$A),MATCH(I$1,floors!$1:$1,0)-MATCH($H$1,floors!$1:$1,0)+1),MATCH(I$1,floors!$1:$1,0)-MATCH($H$1,floors!$1:$1,0)+1,FALSE)</f>
        <v>30</v>
      </c>
      <c r="J2" s="4">
        <f ca="1">VLOOKUP($H2,OFFSET(floors!$A$1,0,0,COUNTA(floors!$A:$A),MATCH(J$1,floors!$1:$1,0)-MATCH($H$1,floors!$1:$1,0)+1),MATCH(J$1,floors!$1:$1,0)-MATCH($H$1,floors!$1:$1,0)+1,FALSE)</f>
        <v>30</v>
      </c>
      <c r="K2" s="38" t="s">
        <v>53</v>
      </c>
      <c r="L2" s="20">
        <v>332</v>
      </c>
      <c r="M2" s="17" t="str">
        <f ca="1">VLOOKUP($L2,OFFSET([3]enemies!$A$1,0,0,COUNTA([3]enemies!$A:$A),MATCH(M$1,[3]enemies!$1:$1,0)-MATCH($L$1,[3]enemies!$1:$1,0)+1),MATCH(M$1,[3]enemies!$1:$1,0)-MATCH($L$1,[3]enemies!$1:$1,0)+1,FALSE)</f>
        <v>炎のメタルピヨピヨ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Material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1</v>
      </c>
      <c r="S2" s="25">
        <v>1</v>
      </c>
      <c r="T2" s="25">
        <v>1</v>
      </c>
      <c r="U2" s="5">
        <v>0</v>
      </c>
      <c r="V2" s="4" t="e">
        <f ca="1">VLOOKUP($W2,OFFSET([5]enemy_skill_sets!$B$1,0,0,COUNTA([5]enemy_skill_sets!$B:$B),MATCH(M$1,[5]enemy_skill_sets!$1:$1,0)-MATCH($W$1,[5]enemy_skill_sets!$1:$1,0)+2),MATCH(M$1,[5]enemy_skill_sets!$1:$1,0)-MATCH($W$1,[5]enemy_skill_sets!$1:$1,0)+2,FALSE)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2" s="4">
        <v>1122001</v>
      </c>
      <c r="X2" s="6">
        <v>1</v>
      </c>
      <c r="Y2" s="6">
        <v>100</v>
      </c>
      <c r="Z2" s="6">
        <v>1</v>
      </c>
      <c r="AA2" s="17">
        <f ca="1">VLOOKUP($L2,OFFSET([3]enemies!$A$1,0,0,COUNTA([3]enemies!$A:$A),MATCH(AA$1,[3]enemies!$1:$1,0)-MATCH($L$1,[3]enemies!$1:$1,0)+1),MATCH(AA$1,[3]enemies!$1:$1,0)-MATCH($L$1,[3]enemies!$1:$1,0)+1,FALSE)</f>
        <v>1</v>
      </c>
      <c r="AB2" s="24">
        <f>L2</f>
        <v>332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炎のメタルピヨピヨ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3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" s="7">
        <v>1</v>
      </c>
      <c r="AG2" s="24">
        <f ca="1">AD2</f>
        <v>3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9">
        <v>1</v>
      </c>
    </row>
    <row r="3" spans="1:40" ht="21" customHeight="1">
      <c r="A3" s="16" t="str">
        <f t="shared" ref="A3:A8" ca="1" si="0">B3&amp;"_"&amp;C3&amp;"-"&amp;G3&amp;"/"&amp;L3&amp;"&lt;lv"&amp;R3&amp;"&gt;s"&amp;AA3</f>
        <v>11220_1-2/420&lt;lv1&gt;s3</v>
      </c>
      <c r="B3" s="22">
        <v>11220</v>
      </c>
      <c r="C3" s="21">
        <v>1</v>
      </c>
      <c r="D3" s="2" t="str">
        <f t="shared" ref="D3:D8" si="1">B3&amp;"_"&amp;C3</f>
        <v>11220_1</v>
      </c>
      <c r="E3" s="4" t="str">
        <f ca="1">VLOOKUP($B3,OFFSET([2]quests!$A$1,0,0,COUNTA([2]quests!$A:$A),MATCH(E$1,[2]quests!$1:$1,0)-MATCH($B$1,[2]quests!$1:$1,0)+1),MATCH(E$1,[2]quests!$1:$1,0)-MATCH($B$1,[2]quests!$1:$1,0)+1,FALSE)</f>
        <v>ホワイトデー★特別クエスト</v>
      </c>
      <c r="F3" s="4" t="str">
        <f ca="1">VLOOKUP($D3,OFFSET([2]stages!$A$1,0,0,COUNTA([2]stages!$A:$A),MATCH(F$1,[2]stages!$2:$2,0)-MATCH($D$1,[2]stages!$2:$2,0)+1),MATCH(F$1,[2]stages!$2:$2,0)-MATCH($D$1,[2]stages!$2:$2,0)+1,FALSE)</f>
        <v>【ストーリー】ホワイトデー独騒曲</v>
      </c>
      <c r="G3" s="21">
        <v>2</v>
      </c>
      <c r="H3" s="15" t="str">
        <f t="shared" ref="H3:H8" si="2">B3&amp;"_"&amp;C3&amp;"-"&amp;G3</f>
        <v>11220_1-2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53</v>
      </c>
      <c r="L3" s="20">
        <v>420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カエデ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Drop2N</v>
      </c>
      <c r="P3" s="17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7">
        <f ca="1">VLOOKUP($L3,OFFSET([3]enemies!$A$1,0,0,COUNTA([3]enemies!$A:$A),MATCH(Q$1,[3]enemies!$1:$1,0)-MATCH($L$1,[3]enemies!$1:$1,0)+1),MATCH(Q$1,[3]enemies!$1:$1,0)-MATCH($L$1,[3]enemies!$1:$1,0)+1,FALSE)</f>
        <v>30</v>
      </c>
      <c r="R3" s="5">
        <v>1</v>
      </c>
      <c r="S3" s="25">
        <v>1</v>
      </c>
      <c r="T3" s="25">
        <v>1</v>
      </c>
      <c r="U3" s="5">
        <v>0</v>
      </c>
      <c r="V3" s="4" t="e">
        <f ca="1">VLOOKUP($W3,OFFSET([5]enemy_skill_sets!$B$1,0,0,COUNTA([5]enemy_skill_sets!$B:$B),MATCH(M$1,[5]enemy_skill_sets!$1:$1,0)-MATCH($W$1,[5]enemy_skill_sets!$1:$1,0)+2),MATCH(M$1,[5]enemy_skill_sets!$1:$1,0)-MATCH($W$1,[5]enemy_skill_sets!$1:$1,0)+2,FALSE)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3" s="4">
        <v>1122002</v>
      </c>
      <c r="X3" s="6">
        <v>1</v>
      </c>
      <c r="Y3" s="6">
        <v>100</v>
      </c>
      <c r="Z3" s="6">
        <v>0</v>
      </c>
      <c r="AA3" s="17">
        <f ca="1">VLOOKUP($L3,OFFSET([3]enemies!$A$1,0,0,COUNTA([3]enemies!$A:$A),MATCH(AA$1,[3]enemies!$1:$1,0)-MATCH($L$1,[3]enemies!$1:$1,0)+1),MATCH(AA$1,[3]enemies!$1:$1,0)-MATCH($L$1,[3]enemies!$1:$1,0)+1,FALSE)</f>
        <v>3</v>
      </c>
      <c r="AB3" s="24">
        <f t="shared" ref="AB3:AB8" si="3">L3</f>
        <v>420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カエデ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4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Drop2N</v>
      </c>
      <c r="AF3" s="7">
        <v>1</v>
      </c>
      <c r="AG3" s="24">
        <f t="shared" ref="AG3:AG8" ca="1" si="4">AD3</f>
        <v>4</v>
      </c>
      <c r="AH3" s="8">
        <v>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9">
        <v>1</v>
      </c>
    </row>
    <row r="4" spans="1:40" ht="21" customHeight="1">
      <c r="A4" s="16" t="str">
        <f t="shared" ca="1" si="0"/>
        <v>11220_1-2/390&lt;lv1&gt;s3</v>
      </c>
      <c r="B4" s="22">
        <v>11220</v>
      </c>
      <c r="C4" s="21">
        <v>1</v>
      </c>
      <c r="D4" s="2" t="str">
        <f t="shared" si="1"/>
        <v>11220_1</v>
      </c>
      <c r="E4" s="4" t="str">
        <f ca="1">VLOOKUP($B4,OFFSET([2]quests!$A$1,0,0,COUNTA([2]quests!$A:$A),MATCH(E$1,[2]quests!$1:$1,0)-MATCH($B$1,[2]quests!$1:$1,0)+1),MATCH(E$1,[2]quests!$1:$1,0)-MATCH($B$1,[2]quests!$1:$1,0)+1,FALSE)</f>
        <v>ホワイトデー★特別クエスト</v>
      </c>
      <c r="F4" s="4" t="str">
        <f ca="1">VLOOKUP($D4,OFFSET([2]stages!$A$1,0,0,COUNTA([2]stages!$A:$A),MATCH(F$1,[2]stages!$2:$2,0)-MATCH($D$1,[2]stages!$2:$2,0)+1),MATCH(F$1,[2]stages!$2:$2,0)-MATCH($D$1,[2]stages!$2:$2,0)+1,FALSE)</f>
        <v>【ストーリー】ホワイトデー独騒曲</v>
      </c>
      <c r="G4" s="21">
        <v>2</v>
      </c>
      <c r="H4" s="15" t="str">
        <f t="shared" si="2"/>
        <v>11220_1-2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53</v>
      </c>
      <c r="L4" s="20">
        <v>390</v>
      </c>
      <c r="M4" s="17" t="str">
        <f ca="1">VLOOKUP($L4,OFFSET([3]enemies!$A$1,0,0,COUNTA([3]enemies!$A:$A),MATCH(M$1,[3]enemies!$1:$1,0)-MATCH($L$1,[3]enemies!$1:$1,0)+1),MATCH(M$1,[3]enemies!$1:$1,0)-MATCH($L$1,[3]enemies!$1:$1,0)+1,FALSE)</f>
        <v>華環の旅客 親指姫</v>
      </c>
      <c r="N4" s="17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PremiumSS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7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1</v>
      </c>
      <c r="S4" s="25">
        <v>1</v>
      </c>
      <c r="T4" s="25">
        <v>1</v>
      </c>
      <c r="U4" s="5">
        <v>0</v>
      </c>
      <c r="V4" s="4" t="e">
        <f ca="1">VLOOKUP($W4,OFFSET([5]enemy_skill_sets!$B$1,0,0,COUNTA([5]enemy_skill_sets!$B:$B),MATCH(M$1,[5]enemy_skill_sets!$1:$1,0)-MATCH($W$1,[5]enemy_skill_sets!$1:$1,0)+2),MATCH(M$1,[5]enemy_skill_sets!$1:$1,0)-MATCH($W$1,[5]enemy_skill_sets!$1:$1,0)+2,FALSE)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4" s="4">
        <v>1122003</v>
      </c>
      <c r="X4" s="6">
        <v>1</v>
      </c>
      <c r="Y4" s="6">
        <v>100</v>
      </c>
      <c r="Z4" s="6">
        <v>0</v>
      </c>
      <c r="AA4" s="17">
        <f ca="1">VLOOKUP($L4,OFFSET([3]enemies!$A$1,0,0,COUNTA([3]enemies!$A:$A),MATCH(AA$1,[3]enemies!$1:$1,0)-MATCH($L$1,[3]enemies!$1:$1,0)+1),MATCH(AA$1,[3]enemies!$1:$1,0)-MATCH($L$1,[3]enemies!$1:$1,0)+1,FALSE)</f>
        <v>3</v>
      </c>
      <c r="AB4" s="24">
        <f t="shared" si="3"/>
        <v>390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華環の旅客 親指姫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4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4" s="7">
        <v>1</v>
      </c>
      <c r="AG4" s="24">
        <f t="shared" ca="1" si="4"/>
        <v>4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9">
        <v>1</v>
      </c>
    </row>
    <row r="5" spans="1:40" ht="21" customHeight="1">
      <c r="A5" s="16" t="str">
        <f t="shared" ca="1" si="0"/>
        <v>11220_1-3/288&lt;lv1&gt;s2</v>
      </c>
      <c r="B5" s="22">
        <v>11220</v>
      </c>
      <c r="C5" s="21">
        <v>1</v>
      </c>
      <c r="D5" s="2" t="str">
        <f t="shared" si="1"/>
        <v>11220_1</v>
      </c>
      <c r="E5" s="4" t="str">
        <f ca="1">VLOOKUP($B5,OFFSET([2]quests!$A$1,0,0,COUNTA([2]quests!$A:$A),MATCH(E$1,[2]quests!$1:$1,0)-MATCH($B$1,[2]quests!$1:$1,0)+1),MATCH(E$1,[2]quests!$1:$1,0)-MATCH($B$1,[2]quests!$1:$1,0)+1,FALSE)</f>
        <v>ホワイトデー★特別クエスト</v>
      </c>
      <c r="F5" s="4" t="str">
        <f ca="1">VLOOKUP($D5,OFFSET([2]stages!$A$1,0,0,COUNTA([2]stages!$A:$A),MATCH(F$1,[2]stages!$2:$2,0)-MATCH($D$1,[2]stages!$2:$2,0)+1),MATCH(F$1,[2]stages!$2:$2,0)-MATCH($D$1,[2]stages!$2:$2,0)+1,FALSE)</f>
        <v>【ストーリー】ホワイトデー独騒曲</v>
      </c>
      <c r="G5" s="21">
        <v>3</v>
      </c>
      <c r="H5" s="15" t="str">
        <f t="shared" si="2"/>
        <v>11220_1-3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53</v>
      </c>
      <c r="L5" s="20">
        <v>288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ミカド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Drop2N</v>
      </c>
      <c r="P5" s="17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7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1</v>
      </c>
      <c r="S5" s="25">
        <v>1</v>
      </c>
      <c r="T5" s="25">
        <v>1</v>
      </c>
      <c r="U5" s="5">
        <v>0</v>
      </c>
      <c r="V5" s="4" t="e">
        <f ca="1">VLOOKUP($W5,OFFSET([5]enemy_skill_sets!$B$1,0,0,COUNTA([5]enemy_skill_sets!$B:$B),MATCH(M$1,[5]enemy_skill_sets!$1:$1,0)-MATCH($W$1,[5]enemy_skill_sets!$1:$1,0)+2),MATCH(M$1,[5]enemy_skill_sets!$1:$1,0)-MATCH($W$1,[5]enemy_skill_sets!$1:$1,0)+2,FALSE)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5" s="4">
        <v>1122004</v>
      </c>
      <c r="X5" s="6">
        <v>1</v>
      </c>
      <c r="Y5" s="6">
        <v>100</v>
      </c>
      <c r="Z5" s="6">
        <v>0</v>
      </c>
      <c r="AA5" s="17">
        <f ca="1">VLOOKUP($L5,OFFSET([3]enemies!$A$1,0,0,COUNTA([3]enemies!$A:$A),MATCH(AA$1,[3]enemies!$1:$1,0)-MATCH($L$1,[3]enemies!$1:$1,0)+1),MATCH(AA$1,[3]enemies!$1:$1,0)-MATCH($L$1,[3]enemies!$1:$1,0)+1,FALSE)</f>
        <v>2</v>
      </c>
      <c r="AB5" s="24">
        <f t="shared" si="3"/>
        <v>288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ミカド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4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Drop2N</v>
      </c>
      <c r="AF5" s="7">
        <v>1</v>
      </c>
      <c r="AG5" s="24">
        <f t="shared" ca="1" si="4"/>
        <v>4</v>
      </c>
      <c r="AH5" s="8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9">
        <v>1</v>
      </c>
    </row>
    <row r="6" spans="1:40" ht="21" customHeight="1">
      <c r="A6" s="16" t="str">
        <f t="shared" ca="1" si="0"/>
        <v>11220_1-3/145&lt;lv1&gt;s2</v>
      </c>
      <c r="B6" s="22">
        <v>11220</v>
      </c>
      <c r="C6" s="21">
        <v>1</v>
      </c>
      <c r="D6" s="2" t="str">
        <f t="shared" si="1"/>
        <v>11220_1</v>
      </c>
      <c r="E6" s="4" t="str">
        <f ca="1">VLOOKUP($B6,OFFSET([2]quests!$A$1,0,0,COUNTA([2]quests!$A:$A),MATCH(E$1,[2]quests!$1:$1,0)-MATCH($B$1,[2]quests!$1:$1,0)+1),MATCH(E$1,[2]quests!$1:$1,0)-MATCH($B$1,[2]quests!$1:$1,0)+1,FALSE)</f>
        <v>ホワイトデー★特別クエスト</v>
      </c>
      <c r="F6" s="4" t="str">
        <f ca="1">VLOOKUP($D6,OFFSET([2]stages!$A$1,0,0,COUNTA([2]stages!$A:$A),MATCH(F$1,[2]stages!$2:$2,0)-MATCH($D$1,[2]stages!$2:$2,0)+1),MATCH(F$1,[2]stages!$2:$2,0)-MATCH($D$1,[2]stages!$2:$2,0)+1,FALSE)</f>
        <v>【ストーリー】ホワイトデー独騒曲</v>
      </c>
      <c r="G6" s="21">
        <v>3</v>
      </c>
      <c r="H6" s="15" t="str">
        <f t="shared" si="2"/>
        <v>11220_1-3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53</v>
      </c>
      <c r="L6" s="20">
        <v>145</v>
      </c>
      <c r="M6" s="17" t="str">
        <f ca="1">VLOOKUP($L6,OFFSET([3]enemies!$A$1,0,0,COUNTA([3]enemies!$A:$A),MATCH(M$1,[3]enemies!$1:$1,0)-MATCH($L$1,[3]enemies!$1:$1,0)+1),MATCH(M$1,[3]enemies!$1:$1,0)-MATCH($L$1,[3]enemies!$1:$1,0)+1,FALSE)</f>
        <v>魔性妖艶 かぐや</v>
      </c>
      <c r="N6" s="17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PremiumW</v>
      </c>
      <c r="P6" s="17" t="str">
        <f ca="1">VLOOKUP($L6,OFFSET([3]enemies!$A$1,0,0,COUNTA([3]enemies!$A:$A),MATCH(P$1,[3]enemies!$1:$1,0)-MATCH($L$1,[3]enemies!$1:$1,0)+1),MATCH(P$1,[3]enemies!$1:$1,0)-MATCH($L$1,[3]enemies!$1:$1,0)+1,FALSE)</f>
        <v>human</v>
      </c>
      <c r="Q6" s="17">
        <f ca="1">VLOOKUP($L6,OFFSET([3]enemies!$A$1,0,0,COUNTA([3]enemies!$A:$A),MATCH(Q$1,[3]enemies!$1:$1,0)-MATCH($L$1,[3]enemies!$1:$1,0)+1),MATCH(Q$1,[3]enemies!$1:$1,0)-MATCH($L$1,[3]enemies!$1:$1,0)+1,FALSE)</f>
        <v>30</v>
      </c>
      <c r="R6" s="5">
        <v>1</v>
      </c>
      <c r="S6" s="25">
        <v>1</v>
      </c>
      <c r="T6" s="25">
        <v>1</v>
      </c>
      <c r="U6" s="5">
        <v>0</v>
      </c>
      <c r="V6" s="4" t="e">
        <f ca="1">VLOOKUP($W6,OFFSET([5]enemy_skill_sets!$B$1,0,0,COUNTA([5]enemy_skill_sets!$B:$B),MATCH(M$1,[5]enemy_skill_sets!$1:$1,0)-MATCH($W$1,[5]enemy_skill_sets!$1:$1,0)+2),MATCH(M$1,[5]enemy_skill_sets!$1:$1,0)-MATCH($W$1,[5]enemy_skill_sets!$1:$1,0)+2,FALSE)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6" s="4">
        <v>1122005</v>
      </c>
      <c r="X6" s="6">
        <v>1</v>
      </c>
      <c r="Y6" s="6">
        <v>100</v>
      </c>
      <c r="Z6" s="6">
        <v>0</v>
      </c>
      <c r="AA6" s="17">
        <f ca="1">VLOOKUP($L6,OFFSET([3]enemies!$A$1,0,0,COUNTA([3]enemies!$A:$A),MATCH(AA$1,[3]enemies!$1:$1,0)-MATCH($L$1,[3]enemies!$1:$1,0)+1),MATCH(AA$1,[3]enemies!$1:$1,0)-MATCH($L$1,[3]enemies!$1:$1,0)+1,FALSE)</f>
        <v>2</v>
      </c>
      <c r="AB6" s="24">
        <f t="shared" si="3"/>
        <v>145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魔性妖艶 かぐや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4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6" s="7">
        <v>1</v>
      </c>
      <c r="AG6" s="24">
        <f t="shared" ca="1" si="4"/>
        <v>4</v>
      </c>
      <c r="AH6" s="8">
        <v>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9">
        <v>1</v>
      </c>
    </row>
    <row r="7" spans="1:40" ht="21" customHeight="1">
      <c r="A7" s="16" t="str">
        <f t="shared" ca="1" si="0"/>
        <v>11220_1-4/288&lt;lv1&gt;s2</v>
      </c>
      <c r="B7" s="22">
        <v>11220</v>
      </c>
      <c r="C7" s="21">
        <v>1</v>
      </c>
      <c r="D7" s="2" t="str">
        <f t="shared" si="1"/>
        <v>11220_1</v>
      </c>
      <c r="E7" s="4" t="str">
        <f ca="1">VLOOKUP($B7,OFFSET([2]quests!$A$1,0,0,COUNTA([2]quests!$A:$A),MATCH(E$1,[2]quests!$1:$1,0)-MATCH($B$1,[2]quests!$1:$1,0)+1),MATCH(E$1,[2]quests!$1:$1,0)-MATCH($B$1,[2]quests!$1:$1,0)+1,FALSE)</f>
        <v>ホワイトデー★特別クエスト</v>
      </c>
      <c r="F7" s="4" t="str">
        <f ca="1">VLOOKUP($D7,OFFSET([2]stages!$A$1,0,0,COUNTA([2]stages!$A:$A),MATCH(F$1,[2]stages!$2:$2,0)-MATCH($D$1,[2]stages!$2:$2,0)+1),MATCH(F$1,[2]stages!$2:$2,0)-MATCH($D$1,[2]stages!$2:$2,0)+1,FALSE)</f>
        <v>【ストーリー】ホワイトデー独騒曲</v>
      </c>
      <c r="G7" s="21">
        <v>4</v>
      </c>
      <c r="H7" s="15" t="str">
        <f t="shared" si="2"/>
        <v>11220_1-4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 t="s">
        <v>269</v>
      </c>
      <c r="L7" s="20">
        <v>288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ミカド</v>
      </c>
      <c r="N7" s="17" t="str">
        <f ca="1">VLOOKUP($L7,OFFSET([3]enemies!$A$1,0,0,COUNTA([3]enemies!$A:$A),MATCH(N$1,[3]enemies!$1:$1,0)-MATCH($L$1,[3]enemies!$1:$1,0)+1),MATCH(N$1,[3]enemies!$1:$1,0)-MATCH($L$1,[3]enemies!$1:$1,0)+1,FALSE)</f>
        <v>yellow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Drop2N</v>
      </c>
      <c r="P7" s="17" t="str">
        <f ca="1">VLOOKUP($L7,OFFSET([3]enemies!$A$1,0,0,COUNTA([3]enemies!$A:$A),MATCH(P$1,[3]enemies!$1:$1,0)-MATCH($L$1,[3]enemies!$1:$1,0)+1),MATCH(P$1,[3]enemies!$1:$1,0)-MATCH($L$1,[3]enemies!$1:$1,0)+1,FALSE)</f>
        <v>human</v>
      </c>
      <c r="Q7" s="17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1</v>
      </c>
      <c r="S7" s="25">
        <v>1</v>
      </c>
      <c r="T7" s="25">
        <v>1</v>
      </c>
      <c r="U7" s="5">
        <v>0</v>
      </c>
      <c r="V7" s="4" t="e">
        <f ca="1">VLOOKUP($W7,OFFSET([5]enemy_skill_sets!$B$1,0,0,COUNTA([5]enemy_skill_sets!$B:$B),MATCH(M$1,[5]enemy_skill_sets!$1:$1,0)-MATCH($W$1,[5]enemy_skill_sets!$1:$1,0)+2),MATCH(M$1,[5]enemy_skill_sets!$1:$1,0)-MATCH($W$1,[5]enemy_skill_sets!$1:$1,0)+2,FALSE)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7" s="4">
        <v>1122006</v>
      </c>
      <c r="X7" s="6">
        <v>0</v>
      </c>
      <c r="Y7" s="6">
        <v>100</v>
      </c>
      <c r="Z7" s="6">
        <v>1</v>
      </c>
      <c r="AA7" s="17">
        <f ca="1">VLOOKUP($L7,OFFSET([3]enemies!$A$1,0,0,COUNTA([3]enemies!$A:$A),MATCH(AA$1,[3]enemies!$1:$1,0)-MATCH($L$1,[3]enemies!$1:$1,0)+1),MATCH(AA$1,[3]enemies!$1:$1,0)-MATCH($L$1,[3]enemies!$1:$1,0)+1,FALSE)</f>
        <v>2</v>
      </c>
      <c r="AB7" s="24">
        <f t="shared" si="3"/>
        <v>288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ミカド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4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Drop2N</v>
      </c>
      <c r="AF7" s="7">
        <v>1</v>
      </c>
      <c r="AG7" s="24">
        <f t="shared" ca="1" si="4"/>
        <v>4</v>
      </c>
      <c r="AH7" s="8">
        <v>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69">
        <v>1</v>
      </c>
    </row>
    <row r="8" spans="1:40" ht="21" customHeight="1">
      <c r="A8" s="16" t="str">
        <f t="shared" ca="1" si="0"/>
        <v>11220_1-4/350&lt;lv1&gt;s3</v>
      </c>
      <c r="B8" s="22">
        <v>11220</v>
      </c>
      <c r="C8" s="21">
        <v>1</v>
      </c>
      <c r="D8" s="2" t="str">
        <f t="shared" si="1"/>
        <v>11220_1</v>
      </c>
      <c r="E8" s="4" t="str">
        <f ca="1">VLOOKUP($B8,OFFSET([2]quests!$A$1,0,0,COUNTA([2]quests!$A:$A),MATCH(E$1,[2]quests!$1:$1,0)-MATCH($B$1,[2]quests!$1:$1,0)+1),MATCH(E$1,[2]quests!$1:$1,0)-MATCH($B$1,[2]quests!$1:$1,0)+1,FALSE)</f>
        <v>ホワイトデー★特別クエスト</v>
      </c>
      <c r="F8" s="4" t="str">
        <f ca="1">VLOOKUP($D8,OFFSET([2]stages!$A$1,0,0,COUNTA([2]stages!$A:$A),MATCH(F$1,[2]stages!$2:$2,0)-MATCH($D$1,[2]stages!$2:$2,0)+1),MATCH(F$1,[2]stages!$2:$2,0)-MATCH($D$1,[2]stages!$2:$2,0)+1,FALSE)</f>
        <v>【ストーリー】ホワイトデー独騒曲</v>
      </c>
      <c r="G8" s="21">
        <v>4</v>
      </c>
      <c r="H8" s="15" t="str">
        <f t="shared" si="2"/>
        <v>11220_1-4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>
        <v>1</v>
      </c>
      <c r="L8" s="20">
        <v>350</v>
      </c>
      <c r="M8" s="17" t="str">
        <f ca="1">VLOOKUP($L8,OFFSET([3]enemies!$A$1,0,0,COUNTA([3]enemies!$A:$A),MATCH(M$1,[3]enemies!$1:$1,0)-MATCH($L$1,[3]enemies!$1:$1,0)+1),MATCH(M$1,[3]enemies!$1:$1,0)-MATCH($L$1,[3]enemies!$1:$1,0)+1,FALSE)</f>
        <v>森のケロケロ</v>
      </c>
      <c r="N8" s="17" t="str">
        <f ca="1">VLOOKUP($L8,OFFSET([3]enemies!$A$1,0,0,COUNTA([3]enemies!$A:$A),MATCH(N$1,[3]enemies!$1:$1,0)-MATCH($L$1,[3]enemies!$1:$1,0)+1),MATCH(N$1,[3]enemies!$1:$1,0)-MATCH($L$1,[3]enemies!$1:$1,0)+1,FALSE)</f>
        <v>green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Material</v>
      </c>
      <c r="P8" s="17" t="str">
        <f ca="1">VLOOKUP($L8,OFFSET([3]enemies!$A$1,0,0,COUNTA([3]enemies!$A:$A),MATCH(P$1,[3]enemies!$1:$1,0)-MATCH($L$1,[3]enemies!$1:$1,0)+1),MATCH(P$1,[3]enemies!$1:$1,0)-MATCH($L$1,[3]enemies!$1:$1,0)+1,FALSE)</f>
        <v>unknown</v>
      </c>
      <c r="Q8" s="17">
        <f ca="1">VLOOKUP($L8,OFFSET([3]enemies!$A$1,0,0,COUNTA([3]enemies!$A:$A),MATCH(Q$1,[3]enemies!$1:$1,0)-MATCH($L$1,[3]enemies!$1:$1,0)+1),MATCH(Q$1,[3]enemies!$1:$1,0)-MATCH($L$1,[3]enemies!$1:$1,0)+1,FALSE)</f>
        <v>15</v>
      </c>
      <c r="R8" s="5">
        <v>1</v>
      </c>
      <c r="S8" s="25">
        <v>1</v>
      </c>
      <c r="T8" s="25">
        <v>1</v>
      </c>
      <c r="U8" s="5">
        <v>0</v>
      </c>
      <c r="V8" s="4" t="e">
        <f ca="1">VLOOKUP($W8,OFFSET([5]enemy_skill_sets!$B$1,0,0,COUNTA([5]enemy_skill_sets!$B:$B),MATCH(M$1,[5]enemy_skill_sets!$1:$1,0)-MATCH($W$1,[5]enemy_skill_sets!$1:$1,0)+2),MATCH(M$1,[5]enemy_skill_sets!$1:$1,0)-MATCH($W$1,[5]enemy_skill_sets!$1:$1,0)+2,FALSE)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8" s="4">
        <v>1122007</v>
      </c>
      <c r="X8" s="6">
        <v>1</v>
      </c>
      <c r="Y8" s="6">
        <v>100</v>
      </c>
      <c r="Z8" s="6">
        <v>0</v>
      </c>
      <c r="AA8" s="17">
        <f ca="1">VLOOKUP($L8,OFFSET([3]enemies!$A$1,0,0,COUNTA([3]enemies!$A:$A),MATCH(AA$1,[3]enemies!$1:$1,0)-MATCH($L$1,[3]enemies!$1:$1,0)+1),MATCH(AA$1,[3]enemies!$1:$1,0)-MATCH($L$1,[3]enemies!$1:$1,0)+1,FALSE)</f>
        <v>3</v>
      </c>
      <c r="AB8" s="24">
        <f t="shared" si="3"/>
        <v>350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森のケロケロ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2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8" s="7">
        <v>1</v>
      </c>
      <c r="AG8" s="24">
        <f t="shared" ca="1" si="4"/>
        <v>2</v>
      </c>
      <c r="AH8" s="8">
        <v>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69">
        <v>1</v>
      </c>
    </row>
    <row r="9" spans="1:40" ht="21" customHeight="1">
      <c r="A9" s="16" t="str">
        <f t="shared" ref="A9" ca="1" si="5">B9&amp;"_"&amp;C9&amp;"-"&amp;G9&amp;"/"&amp;L9&amp;"&lt;lv"&amp;R9&amp;"&gt;s"&amp;AA9</f>
        <v>11220_1-5/288&lt;lv1&gt;s2</v>
      </c>
      <c r="B9" s="22">
        <v>11220</v>
      </c>
      <c r="C9" s="21">
        <v>1</v>
      </c>
      <c r="D9" s="2" t="str">
        <f t="shared" ref="D9" si="6">B9&amp;"_"&amp;C9</f>
        <v>11220_1</v>
      </c>
      <c r="E9" s="4" t="str">
        <f ca="1">VLOOKUP($B9,OFFSET([2]quests!$A$1,0,0,COUNTA([2]quests!$A:$A),MATCH(E$1,[2]quests!$1:$1,0)-MATCH($B$1,[2]quests!$1:$1,0)+1),MATCH(E$1,[2]quests!$1:$1,0)-MATCH($B$1,[2]quests!$1:$1,0)+1,FALSE)</f>
        <v>ホワイトデー★特別クエスト</v>
      </c>
      <c r="F9" s="4" t="str">
        <f ca="1">VLOOKUP($D9,OFFSET([2]stages!$A$1,0,0,COUNTA([2]stages!$A:$A),MATCH(F$1,[2]stages!$2:$2,0)-MATCH($D$1,[2]stages!$2:$2,0)+1),MATCH(F$1,[2]stages!$2:$2,0)-MATCH($D$1,[2]stages!$2:$2,0)+1,FALSE)</f>
        <v>【ストーリー】ホワイトデー独騒曲</v>
      </c>
      <c r="G9" s="21">
        <v>5</v>
      </c>
      <c r="H9" s="15" t="str">
        <f t="shared" ref="H9" si="7">B9&amp;"_"&amp;C9&amp;"-"&amp;G9</f>
        <v>11220_1-5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>
        <v>1</v>
      </c>
      <c r="L9" s="20">
        <v>288</v>
      </c>
      <c r="M9" s="17" t="str">
        <f ca="1">VLOOKUP($L9,OFFSET([3]enemies!$A$1,0,0,COUNTA([3]enemies!$A:$A),MATCH(M$1,[3]enemies!$1:$1,0)-MATCH($L$1,[3]enemies!$1:$1,0)+1),MATCH(M$1,[3]enemies!$1:$1,0)-MATCH($L$1,[3]enemies!$1:$1,0)+1,FALSE)</f>
        <v>ミカド</v>
      </c>
      <c r="N9" s="17" t="str">
        <f ca="1">VLOOKUP($L9,OFFSET([3]enemies!$A$1,0,0,COUNTA([3]enemies!$A:$A),MATCH(N$1,[3]enemies!$1:$1,0)-MATCH($L$1,[3]enemies!$1:$1,0)+1),MATCH(N$1,[3]enemies!$1:$1,0)-MATCH($L$1,[3]enemies!$1:$1,0)+1,FALSE)</f>
        <v>yellow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Drop2N</v>
      </c>
      <c r="P9" s="17" t="str">
        <f ca="1">VLOOKUP($L9,OFFSET([3]enemies!$A$1,0,0,COUNTA([3]enemies!$A:$A),MATCH(P$1,[3]enemies!$1:$1,0)-MATCH($L$1,[3]enemies!$1:$1,0)+1),MATCH(P$1,[3]enemies!$1:$1,0)-MATCH($L$1,[3]enemies!$1:$1,0)+1,FALSE)</f>
        <v>human</v>
      </c>
      <c r="Q9" s="17">
        <f ca="1">VLOOKUP($L9,OFFSET([3]enemies!$A$1,0,0,COUNTA([3]enemies!$A:$A),MATCH(Q$1,[3]enemies!$1:$1,0)-MATCH($L$1,[3]enemies!$1:$1,0)+1),MATCH(Q$1,[3]enemies!$1:$1,0)-MATCH($L$1,[3]enemies!$1:$1,0)+1,FALSE)</f>
        <v>30</v>
      </c>
      <c r="R9" s="5">
        <v>1</v>
      </c>
      <c r="S9" s="25">
        <v>1</v>
      </c>
      <c r="T9" s="25">
        <v>1</v>
      </c>
      <c r="U9" s="5">
        <v>0</v>
      </c>
      <c r="V9" s="4" t="e">
        <f ca="1">VLOOKUP($W9,OFFSET([5]enemy_skill_sets!$B$1,0,0,COUNTA([5]enemy_skill_sets!$B:$B),MATCH(M$1,[5]enemy_skill_sets!$1:$1,0)-MATCH($W$1,[5]enemy_skill_sets!$1:$1,0)+2),MATCH(M$1,[5]enemy_skill_sets!$1:$1,0)-MATCH($W$1,[5]enemy_skill_sets!$1:$1,0)+2,FALSE)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9" s="4">
        <v>1122009</v>
      </c>
      <c r="X9" s="6">
        <v>0</v>
      </c>
      <c r="Y9" s="6">
        <v>100</v>
      </c>
      <c r="Z9" s="6">
        <v>1</v>
      </c>
      <c r="AA9" s="17">
        <f ca="1">VLOOKUP($L9,OFFSET([3]enemies!$A$1,0,0,COUNTA([3]enemies!$A:$A),MATCH(AA$1,[3]enemies!$1:$1,0)-MATCH($L$1,[3]enemies!$1:$1,0)+1),MATCH(AA$1,[3]enemies!$1:$1,0)-MATCH($L$1,[3]enemies!$1:$1,0)+1,FALSE)</f>
        <v>2</v>
      </c>
      <c r="AB9" s="24">
        <f t="shared" ref="AB9" si="8">L9</f>
        <v>288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ミカド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4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Drop2N</v>
      </c>
      <c r="AF9" s="7">
        <v>1</v>
      </c>
      <c r="AG9" s="24">
        <f t="shared" ref="AG9" ca="1" si="9">AD9</f>
        <v>4</v>
      </c>
      <c r="AH9" s="8">
        <v>0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  <c r="AN9" s="69">
        <v>1</v>
      </c>
    </row>
    <row r="10" spans="1:40" ht="21" customHeight="1">
      <c r="A10" s="16"/>
      <c r="B10" s="22"/>
      <c r="C10" s="21"/>
      <c r="D10" s="2"/>
      <c r="E10" s="4"/>
      <c r="F10" s="4"/>
      <c r="G10" s="21"/>
      <c r="H10" s="15"/>
      <c r="I10" s="4"/>
      <c r="J10" s="4"/>
      <c r="K10" s="38"/>
      <c r="L10" s="20"/>
      <c r="M10" s="17"/>
      <c r="N10" s="17"/>
      <c r="O10" s="17"/>
      <c r="P10" s="17"/>
      <c r="Q10" s="17"/>
      <c r="R10" s="5"/>
      <c r="S10" s="25"/>
      <c r="T10" s="25"/>
      <c r="U10" s="5"/>
      <c r="V10" s="4"/>
      <c r="W10" s="4"/>
      <c r="X10" s="6"/>
      <c r="Y10" s="6"/>
      <c r="Z10" s="6"/>
      <c r="AA10" s="17"/>
      <c r="AB10" s="24"/>
      <c r="AC10" s="4"/>
      <c r="AD10" s="4"/>
      <c r="AE10" s="4"/>
      <c r="AF10" s="7"/>
      <c r="AG10" s="24"/>
      <c r="AH10" s="8"/>
      <c r="AI10" s="7"/>
      <c r="AJ10" s="7"/>
      <c r="AK10" s="7"/>
      <c r="AL10" s="7"/>
      <c r="AM10" s="7"/>
      <c r="AN10" s="69"/>
    </row>
    <row r="11" spans="1:40" ht="21" customHeight="1">
      <c r="W11" s="3">
        <v>0</v>
      </c>
    </row>
  </sheetData>
  <sheetProtection selectLockedCells="1" selectUnlockedCells="1"/>
  <autoFilter ref="B1:AH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4"/>
  <sheetViews>
    <sheetView showGridLines="0" zoomScale="75" zoomScaleNormal="75" zoomScalePageLayoutView="75" workbookViewId="0">
      <pane xSplit="18" ySplit="1" topLeftCell="U2" activePane="bottomRight" state="frozen"/>
      <selection activeCell="E25" sqref="E25"/>
      <selection pane="topRight" activeCell="E25" sqref="E25"/>
      <selection pane="bottomLeft" activeCell="E25" sqref="E25"/>
      <selection pane="bottomRight" activeCell="Q6" sqref="Q6"/>
    </sheetView>
  </sheetViews>
  <sheetFormatPr baseColWidth="12" defaultColWidth="13" defaultRowHeight="21" customHeight="1" outlineLevelCol="1" x14ac:dyDescent="0"/>
  <cols>
    <col min="1" max="1" width="17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130</v>
      </c>
      <c r="X1" s="29" t="s">
        <v>129</v>
      </c>
      <c r="Y1" s="28" t="s">
        <v>8</v>
      </c>
    </row>
    <row r="2" spans="1:25" ht="21" customHeight="1">
      <c r="A2" s="16" t="str">
        <f>B2&amp;"_"&amp;C2&amp;"-"&amp;G2&amp;"/"&amp;M2&amp;"&lt;lv"&amp;S2&amp;"&gt;sq"&amp;K2&amp;"st"&amp;L2</f>
        <v>11220_1-4/465&lt;lv1&gt;sq1st2</v>
      </c>
      <c r="B2" s="22">
        <v>11220</v>
      </c>
      <c r="C2" s="21">
        <v>1</v>
      </c>
      <c r="D2" s="2" t="str">
        <f>B2&amp;"_"&amp;C2</f>
        <v>11220_1</v>
      </c>
      <c r="E2" s="4" t="str">
        <f ca="1">VLOOKUP($B2,OFFSET([2]quests!$A$1,0,0,COUNTA([2]quests!$A:$A),MATCH(E$1,[2]quests!$1:$1,0)-MATCH($B$1,[2]quests!$1:$1,0)+1),MATCH(E$1,[2]quests!$1:$1,0)-MATCH($B$1,[2]quests!$1:$1,0)+1,FALSE)</f>
        <v>ホワイトデー★特別クエスト</v>
      </c>
      <c r="F2" s="4" t="str">
        <f ca="1">VLOOKUP($D2,OFFSET([2]stages!$A$1,0,0,COUNTA([2]stages!$A:$A),MATCH(F$1,[2]stages!$2:$2,0)-MATCH($D$1,[2]stages!$2:$2,0)+1),MATCH(F$1,[2]stages!$2:$2,0)-MATCH($D$1,[2]stages!$2:$2,0)+1,FALSE)</f>
        <v>【ストーリー】ホワイトデー独騒曲</v>
      </c>
      <c r="G2" s="21">
        <v>4</v>
      </c>
      <c r="H2" s="15" t="str">
        <f>B2&amp;"_"&amp;C2&amp;"-"&amp;G2</f>
        <v>11220_1-4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465</v>
      </c>
      <c r="N2" s="17" t="str">
        <f ca="1">VLOOKUP($M2,OFFSET([3]enemies!$A$1,0,0,COUNTA([3]enemies!$A:$A),MATCH(N$1,[3]enemies!$1:$1,0)-MATCH($M$1,[3]enemies!$1:$1,0)+1),MATCH(N$1,[3]enemies!$1:$1,0)-MATCH($M$1,[3]enemies!$1:$1,0)+1,FALSE)</f>
        <v>真撃 ランスロット</v>
      </c>
      <c r="O2" s="17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PremiumSS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7">
        <f ca="1">VLOOKUP($M2,OFFSET([3]enemies!$A$1,0,0,COUNTA([3]enemies!$A:$A),MATCH(R$1,[3]enemies!$1:$1,0)-MATCH($M$1,[3]enemies!$1:$1,0)+1),MATCH(R$1,[3]enemies!$1:$1,0)-MATCH($M$1,[3]enemies!$1:$1,0)+1,FALSE)</f>
        <v>30</v>
      </c>
      <c r="S2" s="5">
        <v>1</v>
      </c>
      <c r="T2" s="25">
        <v>1</v>
      </c>
      <c r="U2" s="25">
        <v>1</v>
      </c>
      <c r="V2" s="5">
        <v>0</v>
      </c>
      <c r="W2" s="4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2" s="4">
        <v>1122008</v>
      </c>
      <c r="Y2" s="70">
        <f ca="1">VLOOKUP($M2,OFFSET([3]enemies!$A$1,0,0,COUNTA([3]enemies!$A:$A),MATCH(Y$1,[3]enemies!$1:$1,0)-MATCH($M$1,[3]enemies!$1:$1,0)+1),MATCH(Y$1,[3]enemies!$1:$1,0)-MATCH($M$1,[3]enemies!$1:$1,0)+1,FALSE)</f>
        <v>3</v>
      </c>
    </row>
    <row r="3" spans="1:25" ht="21" customHeight="1">
      <c r="A3" s="16" t="str">
        <f t="shared" ref="A3" si="0">B3&amp;"_"&amp;C3&amp;"-"&amp;G3&amp;"/"&amp;M3&amp;"&lt;lv"&amp;S3&amp;"&gt;sq"&amp;K3&amp;"st"&amp;L3</f>
        <v>11220_1-5/289&lt;lv1&gt;sq1st2</v>
      </c>
      <c r="B3" s="22">
        <v>11220</v>
      </c>
      <c r="C3" s="21">
        <v>1</v>
      </c>
      <c r="D3" s="2" t="str">
        <f t="shared" ref="D3" si="1">B3&amp;"_"&amp;C3</f>
        <v>11220_1</v>
      </c>
      <c r="E3" s="4" t="str">
        <f ca="1">VLOOKUP($B3,OFFSET([2]quests!$A$1,0,0,COUNTA([2]quests!$A:$A),MATCH(E$1,[2]quests!$1:$1,0)-MATCH($B$1,[2]quests!$1:$1,0)+1),MATCH(E$1,[2]quests!$1:$1,0)-MATCH($B$1,[2]quests!$1:$1,0)+1,FALSE)</f>
        <v>ホワイトデー★特別クエスト</v>
      </c>
      <c r="F3" s="4" t="str">
        <f ca="1">VLOOKUP($D3,OFFSET([2]stages!$A$1,0,0,COUNTA([2]stages!$A:$A),MATCH(F$1,[2]stages!$2:$2,0)-MATCH($D$1,[2]stages!$2:$2,0)+1),MATCH(F$1,[2]stages!$2:$2,0)-MATCH($D$1,[2]stages!$2:$2,0)+1,FALSE)</f>
        <v>【ストーリー】ホワイトデー独騒曲</v>
      </c>
      <c r="G3" s="21">
        <v>5</v>
      </c>
      <c r="H3" s="15" t="str">
        <f t="shared" ref="H3" si="2">B3&amp;"_"&amp;C3&amp;"-"&amp;G3</f>
        <v>11220_1-5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1</v>
      </c>
      <c r="L3" s="38">
        <v>2</v>
      </c>
      <c r="M3" s="20">
        <v>289</v>
      </c>
      <c r="N3" s="17" t="str">
        <f ca="1">VLOOKUP($M3,OFFSET([3]enemies!$A$1,0,0,COUNTA([3]enemies!$A:$A),MATCH(N$1,[3]enemies!$1:$1,0)-MATCH($M$1,[3]enemies!$1:$1,0)+1),MATCH(N$1,[3]enemies!$1:$1,0)-MATCH($M$1,[3]enemies!$1:$1,0)+1,FALSE)</f>
        <v>高圧なるミカド</v>
      </c>
      <c r="O3" s="17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Drop2N</v>
      </c>
      <c r="Q3" s="17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1</v>
      </c>
      <c r="T3" s="25">
        <v>1</v>
      </c>
      <c r="U3" s="25">
        <v>1</v>
      </c>
      <c r="V3" s="5">
        <v>0</v>
      </c>
      <c r="W3" s="4" t="e">
        <f ca="1">VLOOKUP($X3,OFFSET([5]enemy_skill_sets!$B$1,0,0,COUNTA([5]enemy_skill_sets!$B:$B),MATCH(N$1,[5]enemy_skill_sets!$1:$1,0)-MATCH($X$1,[5]enemy_skill_sets!$1:$1,0)+2),MATCH(N$1,[5]enemy_skill_sets!$1:$1,0)-MATCH($X$1,[5]enemy_skill_sets!$1:$1,0)+2,FALSE)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3" s="4">
        <v>1122010</v>
      </c>
      <c r="Y3" s="70">
        <f ca="1">VLOOKUP($M3,OFFSET([3]enemies!$A$1,0,0,COUNTA([3]enemies!$A:$A),MATCH(Y$1,[3]enemies!$1:$1,0)-MATCH($M$1,[3]enemies!$1:$1,0)+1),MATCH(Y$1,[3]enemies!$1:$1,0)-MATCH($M$1,[3]enemies!$1:$1,0)+1,FALSE)</f>
        <v>2</v>
      </c>
    </row>
    <row r="4" spans="1:25" ht="21" customHeight="1">
      <c r="A4" s="16" t="str">
        <f t="shared" ref="A4" si="3">B4&amp;"_"&amp;C4&amp;"-"&amp;G4&amp;"/"&amp;M4&amp;"&lt;lv"&amp;S4&amp;"&gt;sq"&amp;K4&amp;"st"&amp;L4</f>
        <v>11220_1-5/679&lt;lv1&gt;sq1st3</v>
      </c>
      <c r="B4" s="22">
        <v>11220</v>
      </c>
      <c r="C4" s="21">
        <v>1</v>
      </c>
      <c r="D4" s="2" t="str">
        <f t="shared" ref="D4" si="4">B4&amp;"_"&amp;C4</f>
        <v>11220_1</v>
      </c>
      <c r="E4" s="4" t="str">
        <f ca="1">VLOOKUP($B4,OFFSET([2]quests!$A$1,0,0,COUNTA([2]quests!$A:$A),MATCH(E$1,[2]quests!$1:$1,0)-MATCH($B$1,[2]quests!$1:$1,0)+1),MATCH(E$1,[2]quests!$1:$1,0)-MATCH($B$1,[2]quests!$1:$1,0)+1,FALSE)</f>
        <v>ホワイトデー★特別クエスト</v>
      </c>
      <c r="F4" s="4" t="str">
        <f ca="1">VLOOKUP($D4,OFFSET([2]stages!$A$1,0,0,COUNTA([2]stages!$A:$A),MATCH(F$1,[2]stages!$2:$2,0)-MATCH($D$1,[2]stages!$2:$2,0)+1),MATCH(F$1,[2]stages!$2:$2,0)-MATCH($D$1,[2]stages!$2:$2,0)+1,FALSE)</f>
        <v>【ストーリー】ホワイトデー独騒曲</v>
      </c>
      <c r="G4" s="21">
        <v>5</v>
      </c>
      <c r="H4" s="15" t="str">
        <f t="shared" ref="H4" si="5">B4&amp;"_"&amp;C4&amp;"-"&amp;G4</f>
        <v>11220_1-5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1</v>
      </c>
      <c r="L4" s="38">
        <v>3</v>
      </c>
      <c r="M4" s="20">
        <v>679</v>
      </c>
      <c r="N4" s="17" t="str">
        <f ca="1">VLOOKUP($M4,OFFSET([3]enemies!$A$1,0,0,COUNTA([3]enemies!$A:$A),MATCH(N$1,[3]enemies!$1:$1,0)-MATCH($M$1,[3]enemies!$1:$1,0)+1),MATCH(N$1,[3]enemies!$1:$1,0)-MATCH($M$1,[3]enemies!$1:$1,0)+1,FALSE)</f>
        <v>レイブン</v>
      </c>
      <c r="O4" s="17" t="str">
        <f ca="1">VLOOKUP($M4,OFFSET([3]enemies!$A$1,0,0,COUNTA([3]enemies!$A:$A),MATCH(O$1,[3]enemies!$1:$1,0)-MATCH($M$1,[3]enemies!$1:$1,0)+1),MATCH(O$1,[3]enemies!$1:$1,0)-MATCH($M$1,[3]enemies!$1:$1,0)+1,FALSE)</f>
        <v>green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PremiumSS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1</v>
      </c>
      <c r="T4" s="25">
        <v>1</v>
      </c>
      <c r="U4" s="25">
        <v>1</v>
      </c>
      <c r="V4" s="5">
        <v>0</v>
      </c>
      <c r="W4" s="4" t="e">
        <f ca="1">VLOOKUP($X4,OFFSET([5]enemy_skill_sets!$B$1,0,0,COUNTA([5]enemy_skill_sets!$B:$B),MATCH(N$1,[5]enemy_skill_sets!$1:$1,0)-MATCH($X$1,[5]enemy_skill_sets!$1:$1,0)+2),MATCH(N$1,[5]enemy_skill_sets!$1:$1,0)-MATCH($X$1,[5]enemy_skill_sets!$1:$1,0)+2,FALSE)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4" s="4">
        <v>1122011</v>
      </c>
      <c r="Y4" s="70">
        <f ca="1">VLOOKUP($M4,OFFSET([3]enemies!$A$1,0,0,COUNTA([3]enemies!$A:$A),MATCH(Y$1,[3]enemies!$1:$1,0)-MATCH($M$1,[3]enemies!$1:$1,0)+1),MATCH(Y$1,[3]enemies!$1:$1,0)-MATCH($M$1,[3]enemies!$1:$1,0)+1,FALSE)</f>
        <v>3</v>
      </c>
    </row>
  </sheetData>
  <sheetProtection selectLockedCells="1" selectUnlockedCells="1"/>
  <autoFilter ref="B1:Y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2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E24" sqref="E24"/>
    </sheetView>
  </sheetViews>
  <sheetFormatPr baseColWidth="12" defaultColWidth="12.83203125" defaultRowHeight="21" customHeight="1" outlineLevelCol="1" x14ac:dyDescent="0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>
      <c r="A2" s="39" t="str">
        <f t="shared" ref="A2" si="0">B2&amp;"_"&amp;C2</f>
        <v>1122001_1122001</v>
      </c>
      <c r="B2" s="47">
        <v>1122001</v>
      </c>
      <c r="C2" s="47">
        <v>1122001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孤独な恋の物語ピヨ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「ホワイトデー独騒曲」</v>
      </c>
      <c r="F2" s="47">
        <v>1122001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>
      <c r="A3" s="39" t="str">
        <f t="shared" ref="A3:A6" si="1">B3&amp;"_"&amp;C3</f>
        <v>1122002_1122002</v>
      </c>
      <c r="B3" s="47">
        <v>1122002</v>
      </c>
      <c r="C3" s="47">
        <v>1122002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…これやるよ_x000D_この間のチョコのお返しだ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クッキーを渡した</v>
      </c>
      <c r="F3" s="47">
        <v>1122002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" s="48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4" spans="1:18" ht="21" customHeight="1">
      <c r="A4" s="39" t="str">
        <f t="shared" si="1"/>
        <v>1122002_1122004</v>
      </c>
      <c r="B4" s="47">
        <v>1122002</v>
      </c>
      <c r="C4" s="47">
        <v>1122004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…！俺、もう行くから！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カエデは照れながら去っていった</v>
      </c>
      <c r="F4" s="47">
        <v>1122004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5" spans="1:18" ht="21" customHeight="1">
      <c r="A5" s="39" t="str">
        <f t="shared" si="1"/>
        <v>1122003_1122003</v>
      </c>
      <c r="B5" s="47">
        <v>1122003</v>
      </c>
      <c r="C5" s="47">
        <v>1122003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覚えてたの！？ありがとう！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嬉しそうにお礼を言った！</v>
      </c>
      <c r="F5" s="47">
        <v>1122003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48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6" spans="1:18" ht="21" customHeight="1">
      <c r="A6" s="39" t="str">
        <f t="shared" si="1"/>
        <v>1122003_1122005</v>
      </c>
      <c r="B6" s="47">
        <v>1122003</v>
      </c>
      <c r="C6" s="47">
        <v>1122005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あ、ちょっと待ちなさい！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カエデを追いかけていった</v>
      </c>
      <c r="F6" s="47">
        <v>1122005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7" spans="1:18" ht="21" customHeight="1">
      <c r="A7" s="39" t="str">
        <f t="shared" ref="A7:A10" si="2">B7&amp;"_"&amp;C7</f>
        <v>1122004_1122006</v>
      </c>
      <c r="B7" s="47">
        <v>1122004</v>
      </c>
      <c r="C7" s="47">
        <v>1122006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かぐや！チョコの礼だ！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とても高そうなクッキーだ</v>
      </c>
      <c r="F7" s="47">
        <v>1122006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48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8" spans="1:18" ht="21" customHeight="1">
      <c r="A8" s="39" t="str">
        <f t="shared" si="2"/>
        <v>1122004_1122008</v>
      </c>
      <c r="B8" s="47">
        <v>1122004</v>
      </c>
      <c r="C8" s="47">
        <v>1122008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かぐや！待ってくれ！！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かぐやを追っていった</v>
      </c>
      <c r="F8" s="47">
        <v>1122008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>
        <v>145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9" spans="1:18" ht="21" customHeight="1">
      <c r="A9" s="39" t="str">
        <f t="shared" si="2"/>
        <v>1122005_1122007</v>
      </c>
      <c r="B9" s="47">
        <v>1122005</v>
      </c>
      <c r="C9" s="47">
        <v>1122007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そんなものいらぬぞ…？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丁重にお断りした</v>
      </c>
      <c r="F9" s="47">
        <v>1122007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48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">
        <v>274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10" spans="1:18" ht="21" customHeight="1">
      <c r="A10" s="39" t="str">
        <f t="shared" si="2"/>
        <v>1122005_1122009</v>
      </c>
      <c r="B10" s="47">
        <v>1122005</v>
      </c>
      <c r="C10" s="47">
        <v>1122009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妾はチョコなぞ渡しておらぬ！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かぐやは去っていった</v>
      </c>
      <c r="F10" s="47">
        <v>1122009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">
        <v>275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11" spans="1:18" ht="21" customHeight="1">
      <c r="A11" s="39" t="str">
        <f t="shared" ref="A11:A21" si="3">B11&amp;"_"&amp;C11</f>
        <v>1122006_1122010</v>
      </c>
      <c r="B11" s="47">
        <v>1122006</v>
      </c>
      <c r="C11" s="47">
        <v>1122010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かぐや！どこへ行ったのだ！？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見失ってしまったようだ・・・</v>
      </c>
      <c r="F11" s="47">
        <v>1122010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8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12" spans="1:18" ht="21" customHeight="1">
      <c r="A12" s="39" t="str">
        <f t="shared" si="3"/>
        <v>1122006_1122011</v>
      </c>
      <c r="B12" s="47">
        <v>1122006</v>
      </c>
      <c r="C12" s="47">
        <v>1122011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ええい！うるさいカエルだ！！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ミカドは八つ当たりして去っていった</v>
      </c>
      <c r="F12" s="47">
        <v>1122011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13" spans="1:18" ht="21" customHeight="1">
      <c r="A13" s="39" t="str">
        <f t="shared" si="3"/>
        <v>1122007_1122012</v>
      </c>
      <c r="B13" s="47">
        <v>1122007</v>
      </c>
      <c r="C13" s="47">
        <v>1122012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ケロ！ケロ！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何かを必死に伝えようとしている</v>
      </c>
      <c r="F13" s="47">
        <v>1122012</v>
      </c>
      <c r="G13" s="48">
        <v>0</v>
      </c>
      <c r="H13" s="48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14" spans="1:18" ht="21" customHeight="1">
      <c r="A14" s="39" t="str">
        <f t="shared" si="3"/>
        <v>1122008_1122013</v>
      </c>
      <c r="B14" s="47">
        <v>1122008</v>
      </c>
      <c r="C14" s="47">
        <v>1122013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うぅ…戻れた…のか？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なんと！ケロケロはランスロットだった！</v>
      </c>
      <c r="F14" s="47">
        <v>1122013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8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">
        <v>280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15" spans="1:18" ht="21" customHeight="1">
      <c r="A15" s="39" t="str">
        <f t="shared" si="3"/>
        <v>1122009_1122014</v>
      </c>
      <c r="B15" s="47">
        <v>1122009</v>
      </c>
      <c r="C15" s="47">
        <v>1122014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かぐやの居ない世界など…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完全に見失ってしまったようだ…</v>
      </c>
      <c r="F15" s="47">
        <v>1122014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48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16" spans="1:18" ht="21" customHeight="1">
      <c r="A16" s="39" t="str">
        <f t="shared" si="3"/>
        <v>1122010_1122015</v>
      </c>
      <c r="B16" s="47">
        <v>1122010</v>
      </c>
      <c r="C16" s="47">
        <v>1122015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ホワイトデーごと消え去れ！！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ミカドの八つ当たりだ！</v>
      </c>
      <c r="F16" s="47">
        <v>1122015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8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17" spans="1:15" ht="21" customHeight="1">
      <c r="A17" s="39" t="str">
        <f t="shared" si="3"/>
        <v>1122010_1122016</v>
      </c>
      <c r="B17" s="47">
        <v>1122010</v>
      </c>
      <c r="C17" s="47">
        <v>1122016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はーっはっは！これで終わりだ！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このままではマズイ！！</v>
      </c>
      <c r="F17" s="47">
        <v>1122016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18" spans="1:15" ht="21" customHeight="1">
      <c r="A18" s="39" t="str">
        <f t="shared" si="3"/>
        <v>1122010_1122017</v>
      </c>
      <c r="B18" s="47">
        <v>1122010</v>
      </c>
      <c r="C18" s="47">
        <v>1122017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爆発しr…！？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何者かがミカドを倒した！</v>
      </c>
      <c r="F18" s="47">
        <v>1122017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19" spans="1:15" ht="21" customHeight="1">
      <c r="A19" s="39" t="str">
        <f t="shared" si="3"/>
        <v>1122011_1122018</v>
      </c>
      <c r="B19" s="47">
        <v>1122011</v>
      </c>
      <c r="C19" s="47">
        <v>1122018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そこのキミ、怪我はない？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どうやら助けてくれたみたいだ</v>
      </c>
      <c r="F19" s="47">
        <v>1122018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48" t="str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20" spans="1:15" ht="21" customHeight="1">
      <c r="A20" s="39" t="str">
        <f t="shared" si="3"/>
        <v>1122011_1122019</v>
      </c>
      <c r="B20" s="47">
        <v>1122011</v>
      </c>
      <c r="C20" s="47">
        <v>1122019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僕はレイヴン_x000D_間に合ってよかった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レイヴンはホッとしている</v>
      </c>
      <c r="F20" s="47">
        <v>1122019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21" spans="1:15" ht="21" customHeight="1">
      <c r="A21" s="39" t="str">
        <f t="shared" si="3"/>
        <v>1122011_1122020</v>
      </c>
      <c r="B21" s="47">
        <v>1122011</v>
      </c>
      <c r="C21" s="47">
        <v>1122020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おっと、そろそろ行かなきゃ…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また会えたら嬉しいな</v>
      </c>
      <c r="F21" s="47">
        <v>1122020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22" spans="1:15" ht="21" customHeight="1">
      <c r="A22" s="39" t="str">
        <f t="shared" ref="A22" si="4">B22&amp;"_"&amp;C22</f>
        <v>1122011_1122021</v>
      </c>
      <c r="B22" s="47">
        <v>1122011</v>
      </c>
      <c r="C22" s="47">
        <v>1122021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その時はまた僕がキミを守るよ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レイヴンは微笑みながら去っていった</v>
      </c>
      <c r="F22" s="47">
        <v>1122021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24"/>
  <sheetViews>
    <sheetView showGridLines="0" tabSelected="1" zoomScale="75" zoomScaleNormal="75" zoomScalePageLayoutView="75" workbookViewId="0">
      <pane ySplit="1" topLeftCell="A2" activePane="bottomLeft" state="frozenSplit"/>
      <selection pane="bottomLeft" activeCell="C31" sqref="C31"/>
    </sheetView>
  </sheetViews>
  <sheetFormatPr baseColWidth="12" defaultColWidth="12.83203125" defaultRowHeight="21" customHeight="1" outlineLevelCol="1" x14ac:dyDescent="0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0" width="18.6640625" style="49" hidden="1" customWidth="1" outlineLevel="1"/>
    <col min="11" max="11" width="0.5" style="49" customWidth="1" outlineLevel="1"/>
    <col min="12" max="12" width="23.6640625" style="49" customWidth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</row>
    <row r="2" spans="1:28" ht="21" customHeight="1">
      <c r="A2" s="47">
        <v>1122001</v>
      </c>
      <c r="B2" s="47" t="s">
        <v>227</v>
      </c>
      <c r="C2" s="50">
        <v>3</v>
      </c>
      <c r="D2" s="50" t="s">
        <v>128</v>
      </c>
      <c r="E2" s="51" t="s">
        <v>228</v>
      </c>
      <c r="F2" s="51" t="s">
        <v>229</v>
      </c>
      <c r="G2" s="63" t="str">
        <f>IFERROR(LEFT(B2,FIND("],",B2)),B2)</f>
        <v>[effect:hungup, target:unit_all, turn:-1, rate:1][effect:suicide, val:1, dead_type:escape, target:enemy_all][effect:sleep, target:unit_all, turn:1, rate:1][effect:degrade_crash, target:unit_all, count:50, special:50, turn:-1][effect:degrade_unit, target:unit_all, turn:3, status:attack, val:1.0, calc:mul]</v>
      </c>
      <c r="H2" s="63">
        <f>FIND("effect:",G2)+7</f>
        <v>9</v>
      </c>
      <c r="I2" s="63">
        <f>IFERROR(FIND(",",G2),LEN(G2))</f>
        <v>15</v>
      </c>
      <c r="J2" s="63">
        <f>FIND("target:",G2)+7</f>
        <v>24</v>
      </c>
      <c r="K2" s="63">
        <f>FIND(",",G2,I2+1)</f>
        <v>32</v>
      </c>
      <c r="L2" s="63" t="str">
        <f>IFERROR(VLOOKUP(MID(G2,J2,K2-J2),[6]skilldef!$C:$D,2,FALSE),"-") &amp; " / " &amp; IFERROR(VLOOKUP(MID(G2,H2,I2-H2),[6]skilldef!$A:$B,2,FALSE),"-")</f>
        <v>味方全体に / ハングアップ</v>
      </c>
      <c r="M2" s="63" t="str">
        <f>IFERROR(RIGHT(B2,LEN(B2)-FIND("],",B2)-1),"none")</f>
        <v>none</v>
      </c>
      <c r="N2" s="48" t="str">
        <f>IFERROR(LEFT(M2,FIND("],",M2)+S13),M2)</f>
        <v>none</v>
      </c>
      <c r="O2" s="63" t="e">
        <f>FIND("effect:",N2)+7</f>
        <v>#VALUE!</v>
      </c>
      <c r="P2" s="63">
        <f>IFERROR(FIND(",",N2),LEN(N2))</f>
        <v>4</v>
      </c>
      <c r="Q2" s="63" t="e">
        <f>FIND("target:",N2)+7</f>
        <v>#VALUE!</v>
      </c>
      <c r="R2" s="63" t="e">
        <f>FIND(",",N2,P2+1)</f>
        <v>#VALUE!</v>
      </c>
      <c r="S2" s="63" t="str">
        <f>IFERROR(VLOOKUP(MID(N2,Q2,R2-Q2),[6]skilldef!$C:$D,2,FALSE),"-") &amp; " / " &amp; IFERROR(VLOOKUP(MID(N2,O2,P2-O2),[6]skilldef!$A:$B,2,FALSE),"-")</f>
        <v>- / -</v>
      </c>
      <c r="T2" s="48" t="str">
        <f>IFERROR(RIGHT(M2,LEN(M2)-FIND("],",M2)-1),"none")</f>
        <v>none</v>
      </c>
      <c r="U2" s="63" t="e">
        <f>FIND("effect:",T2)+7</f>
        <v>#VALUE!</v>
      </c>
      <c r="V2" s="63">
        <f>IFERROR(FIND(",",T2),LEN(T2))</f>
        <v>4</v>
      </c>
      <c r="W2" s="63" t="e">
        <f>FIND("target:",T2)+7</f>
        <v>#VALUE!</v>
      </c>
      <c r="X2" s="63" t="e">
        <f>FIND(",",T2,V2+1)</f>
        <v>#VALUE!</v>
      </c>
      <c r="Y2" s="63" t="str">
        <f>IFERROR(VLOOKUP(MID(T2,W2,X2-W2),[6]skilldef!$C:$D,2,FALSE),"-") &amp; " / " &amp; IFERROR(VLOOKUP(MID(T2,U2,V2-U2),[6]skilldef!$A:$B,2,FALSE),"-")</f>
        <v>- / -</v>
      </c>
      <c r="Z2" s="50"/>
      <c r="AA2" s="52"/>
      <c r="AB2" s="50"/>
    </row>
    <row r="3" spans="1:28" ht="21" customHeight="1">
      <c r="A3" s="47">
        <v>1122002</v>
      </c>
      <c r="B3" s="47" t="s">
        <v>231</v>
      </c>
      <c r="C3" s="50">
        <v>3</v>
      </c>
      <c r="D3" s="50" t="s">
        <v>230</v>
      </c>
      <c r="E3" s="51" t="s">
        <v>270</v>
      </c>
      <c r="F3" s="51" t="s">
        <v>233</v>
      </c>
      <c r="G3" s="63" t="str">
        <f t="shared" ref="G3:G4" si="0">IFERROR(LEFT(B3,FIND("],",B3)),B3)</f>
        <v>[effect:fix_speed, target:myself, turn:1]</v>
      </c>
      <c r="H3" s="63">
        <f t="shared" ref="H3:H11" si="1">FIND("effect:",G3)+7</f>
        <v>9</v>
      </c>
      <c r="I3" s="63">
        <f t="shared" ref="I3:I4" si="2">IFERROR(FIND(",",G3),LEN(G3))</f>
        <v>18</v>
      </c>
      <c r="J3" s="63">
        <f t="shared" ref="J3:J4" si="3">FIND("target:",G3)+7</f>
        <v>27</v>
      </c>
      <c r="K3" s="63">
        <f t="shared" ref="K3:K4" si="4">FIND(",",G3,I3+1)</f>
        <v>33</v>
      </c>
      <c r="L3" s="63" t="str">
        <f>IFERROR(VLOOKUP(MID(G3,J3,K3-J3),[6]skilldef!$C:$D,2,FALSE),"-") &amp; " / " &amp; IFERROR(VLOOKUP(MID(G3,H3,I3-H3),[6]skilldef!$A:$B,2,FALSE),"-")</f>
        <v>自分自身に / 行動値設定</v>
      </c>
      <c r="M3" s="63" t="str">
        <f t="shared" ref="M3:M4" si="5">IFERROR(RIGHT(B3,LEN(B3)-FIND("],",B3)-1),"none")</f>
        <v>none</v>
      </c>
      <c r="N3" s="48" t="str">
        <f>IFERROR(LEFT(M3,FIND("],",M3)+S14),M3)</f>
        <v>none</v>
      </c>
      <c r="O3" s="63" t="e">
        <f t="shared" ref="O3:O11" si="6">FIND("effect:",N3)+7</f>
        <v>#VALUE!</v>
      </c>
      <c r="P3" s="63">
        <f t="shared" ref="P3:P4" si="7">IFERROR(FIND(",",N3),LEN(N3))</f>
        <v>4</v>
      </c>
      <c r="Q3" s="63" t="e">
        <f t="shared" ref="Q3:Q4" si="8">FIND("target:",N3)+7</f>
        <v>#VALUE!</v>
      </c>
      <c r="R3" s="63" t="e">
        <f t="shared" ref="R3:R4" si="9">FIND(",",N3,P3+1)</f>
        <v>#VALUE!</v>
      </c>
      <c r="S3" s="63" t="str">
        <f>IFERROR(VLOOKUP(MID(N3,Q3,R3-Q3),[6]skilldef!$C:$D,2,FALSE),"-") &amp; " / " &amp; IFERROR(VLOOKUP(MID(N3,O3,P3-O3),[6]skilldef!$A:$B,2,FALSE),"-")</f>
        <v>- / -</v>
      </c>
      <c r="T3" s="48" t="str">
        <f t="shared" ref="T3:T4" si="10">IFERROR(RIGHT(M3,LEN(M3)-FIND("],",M3)-1),"none")</f>
        <v>none</v>
      </c>
      <c r="U3" s="63" t="e">
        <f t="shared" ref="U3:U11" si="11">FIND("effect:",T3)+7</f>
        <v>#VALUE!</v>
      </c>
      <c r="V3" s="63">
        <f t="shared" ref="V3:V4" si="12">IFERROR(FIND(",",T3),LEN(T3))</f>
        <v>4</v>
      </c>
      <c r="W3" s="63" t="e">
        <f t="shared" ref="W3:W4" si="13">FIND("target:",T3)+7</f>
        <v>#VALUE!</v>
      </c>
      <c r="X3" s="63" t="e">
        <f t="shared" ref="X3:X4" si="14">FIND(",",T3,V3+1)</f>
        <v>#VALUE!</v>
      </c>
      <c r="Y3" s="63" t="str">
        <f>IFERROR(VLOOKUP(MID(T3,W3,X3-W3),[6]skilldef!$C:$D,2,FALSE),"-") &amp; " / " &amp; IFERROR(VLOOKUP(MID(T3,U3,V3-U3),[6]skilldef!$A:$B,2,FALSE),"-")</f>
        <v>- / -</v>
      </c>
      <c r="Z3" s="50"/>
      <c r="AA3" s="52"/>
      <c r="AB3" s="50"/>
    </row>
    <row r="4" spans="1:28" ht="21" customHeight="1">
      <c r="A4" s="47">
        <v>1122003</v>
      </c>
      <c r="B4" s="47" t="s">
        <v>231</v>
      </c>
      <c r="C4" s="50">
        <v>3</v>
      </c>
      <c r="D4" s="50" t="s">
        <v>232</v>
      </c>
      <c r="E4" s="51" t="s">
        <v>284</v>
      </c>
      <c r="F4" s="51" t="s">
        <v>271</v>
      </c>
      <c r="G4" s="63" t="str">
        <f t="shared" si="0"/>
        <v>[effect:fix_speed, target:myself, turn:1]</v>
      </c>
      <c r="H4" s="63">
        <f t="shared" si="1"/>
        <v>9</v>
      </c>
      <c r="I4" s="63">
        <f t="shared" si="2"/>
        <v>18</v>
      </c>
      <c r="J4" s="63">
        <f t="shared" si="3"/>
        <v>27</v>
      </c>
      <c r="K4" s="63">
        <f t="shared" si="4"/>
        <v>33</v>
      </c>
      <c r="L4" s="63" t="str">
        <f>IFERROR(VLOOKUP(MID(G4,J4,K4-J4),[6]skilldef!$C:$D,2,FALSE),"-") &amp; " / " &amp; IFERROR(VLOOKUP(MID(G4,H4,I4-H4),[6]skilldef!$A:$B,2,FALSE),"-")</f>
        <v>自分自身に / 行動値設定</v>
      </c>
      <c r="M4" s="63" t="str">
        <f t="shared" si="5"/>
        <v>none</v>
      </c>
      <c r="N4" s="48" t="str">
        <f>IFERROR(LEFT(M4,FIND("],",M4)+S15),M4)</f>
        <v>none</v>
      </c>
      <c r="O4" s="63" t="e">
        <f t="shared" si="6"/>
        <v>#VALUE!</v>
      </c>
      <c r="P4" s="63">
        <f t="shared" si="7"/>
        <v>4</v>
      </c>
      <c r="Q4" s="63" t="e">
        <f t="shared" si="8"/>
        <v>#VALUE!</v>
      </c>
      <c r="R4" s="63" t="e">
        <f t="shared" si="9"/>
        <v>#VALUE!</v>
      </c>
      <c r="S4" s="63" t="str">
        <f>IFERROR(VLOOKUP(MID(N4,Q4,R4-Q4),[6]skilldef!$C:$D,2,FALSE),"-") &amp; " / " &amp; IFERROR(VLOOKUP(MID(N4,O4,P4-O4),[6]skilldef!$A:$B,2,FALSE),"-")</f>
        <v>- / -</v>
      </c>
      <c r="T4" s="48" t="str">
        <f t="shared" si="10"/>
        <v>none</v>
      </c>
      <c r="U4" s="63" t="e">
        <f t="shared" si="11"/>
        <v>#VALUE!</v>
      </c>
      <c r="V4" s="63">
        <f t="shared" si="12"/>
        <v>4</v>
      </c>
      <c r="W4" s="63" t="e">
        <f t="shared" si="13"/>
        <v>#VALUE!</v>
      </c>
      <c r="X4" s="63" t="e">
        <f t="shared" si="14"/>
        <v>#VALUE!</v>
      </c>
      <c r="Y4" s="63" t="str">
        <f>IFERROR(VLOOKUP(MID(T4,W4,X4-W4),[6]skilldef!$C:$D,2,FALSE),"-") &amp; " / " &amp; IFERROR(VLOOKUP(MID(T4,U4,V4-U4),[6]skilldef!$A:$B,2,FALSE),"-")</f>
        <v>- / -</v>
      </c>
      <c r="Z4" s="50"/>
      <c r="AA4" s="52"/>
      <c r="AB4" s="50"/>
    </row>
    <row r="5" spans="1:28" ht="21" customHeight="1">
      <c r="A5" s="47">
        <v>1122004</v>
      </c>
      <c r="B5" s="100" t="s">
        <v>276</v>
      </c>
      <c r="C5" s="50">
        <v>3</v>
      </c>
      <c r="D5" s="50" t="s">
        <v>232</v>
      </c>
      <c r="E5" s="51" t="s">
        <v>272</v>
      </c>
      <c r="F5" s="51" t="s">
        <v>273</v>
      </c>
      <c r="G5" s="63" t="str">
        <f t="shared" ref="G5:G8" si="15">IFERROR(LEFT(B5,FIND("],",B5)),B5)</f>
        <v>[effect:force_change_block, new_block:block_red, target:block_blue, count:0, val:0,animation:change_block]_x000D_,[effect:force_change_block, new_block:block_heart, target:block_green, count:0, val:0,animation:change_block_x000D_]</v>
      </c>
      <c r="H5" s="63">
        <f t="shared" si="1"/>
        <v>9</v>
      </c>
      <c r="I5" s="63">
        <f t="shared" ref="I5:I8" si="16">IFERROR(FIND(",",G5),LEN(G5))</f>
        <v>27</v>
      </c>
      <c r="J5" s="63">
        <f t="shared" ref="J5:J8" si="17">FIND("target:",G5)+7</f>
        <v>57</v>
      </c>
      <c r="K5" s="63">
        <f t="shared" ref="K5:K8" si="18">FIND(",",G5,I5+1)</f>
        <v>48</v>
      </c>
      <c r="L5" s="63" t="str">
        <f>IFERROR(VLOOKUP(MID(G5,J5,K5-J5),[6]skilldef!$C:$D,2,FALSE),"-") &amp; " / " &amp; IFERROR(VLOOKUP(MID(G5,H5,I5-H5),[6]skilldef!$A:$B,2,FALSE),"-")</f>
        <v>- / -</v>
      </c>
      <c r="M5" s="63" t="str">
        <f t="shared" ref="M5:M8" si="19">IFERROR(RIGHT(B5,LEN(B5)-FIND("],",B5)-1),"none")</f>
        <v>_x000D_[effect:force_change_block, new_block:block_heart, target:block_yellow, count:0, val:0,animation:change_block],[effect:suicide, val:1, dead_type:escape, target:myself, animation:enemy_escape]</v>
      </c>
      <c r="N5" s="48" t="str">
        <f>IFERROR(LEFT(M5,FIND("],",M5)+S16),M5)</f>
        <v>_x000D_[effect:force_change_block, new_block:block_heart, target:block_yellow, count:0, val:0,animation:change_block],[effect:suicide, val:1, dead_type:escape, target:myself, animation:enemy_escape]</v>
      </c>
      <c r="O5" s="63">
        <f t="shared" si="6"/>
        <v>10</v>
      </c>
      <c r="P5" s="63">
        <f t="shared" ref="P5:P8" si="20">IFERROR(FIND(",",N5),LEN(N5))</f>
        <v>28</v>
      </c>
      <c r="Q5" s="63">
        <f t="shared" ref="Q5:Q8" si="21">FIND("target:",N5)+7</f>
        <v>60</v>
      </c>
      <c r="R5" s="63">
        <f t="shared" ref="R5:R8" si="22">FIND(",",N5,P5+1)</f>
        <v>51</v>
      </c>
      <c r="S5" s="63" t="str">
        <f>IFERROR(VLOOKUP(MID(N5,Q5,R5-Q5),[6]skilldef!$C:$D,2,FALSE),"-") &amp; " / " &amp; IFERROR(VLOOKUP(MID(N5,O5,P5-O5),[6]skilldef!$A:$B,2,FALSE),"-")</f>
        <v>- / -</v>
      </c>
      <c r="T5" s="48" t="str">
        <f t="shared" ref="T5:T8" si="23">IFERROR(RIGHT(M5,LEN(M5)-FIND("],",M5)-1),"none")</f>
        <v>[effect:suicide, val:1, dead_type:escape, target:myself, animation:enemy_escape]</v>
      </c>
      <c r="U5" s="63">
        <f t="shared" si="11"/>
        <v>9</v>
      </c>
      <c r="V5" s="63">
        <f t="shared" ref="V5:V8" si="24">IFERROR(FIND(",",T5),LEN(T5))</f>
        <v>16</v>
      </c>
      <c r="W5" s="63">
        <f t="shared" ref="W5:W8" si="25">FIND("target:",T5)+7</f>
        <v>50</v>
      </c>
      <c r="X5" s="63">
        <f t="shared" ref="X5:X8" si="26">FIND(",",T5,V5+1)</f>
        <v>23</v>
      </c>
      <c r="Y5" s="63" t="str">
        <f>IFERROR(VLOOKUP(MID(T5,W5,X5-W5),[6]skilldef!$C:$D,2,FALSE),"-") &amp; " / " &amp; IFERROR(VLOOKUP(MID(T5,U5,V5-U5),[6]skilldef!$A:$B,2,FALSE),"-")</f>
        <v>- / -</v>
      </c>
      <c r="Z5" s="50"/>
      <c r="AA5" s="52"/>
      <c r="AB5" s="50"/>
    </row>
    <row r="6" spans="1:28" ht="21" customHeight="1">
      <c r="A6" s="47">
        <v>1122005</v>
      </c>
      <c r="B6" s="47" t="s">
        <v>235</v>
      </c>
      <c r="C6" s="50">
        <v>3</v>
      </c>
      <c r="D6" s="50" t="s">
        <v>232</v>
      </c>
      <c r="E6" s="51" t="s">
        <v>285</v>
      </c>
      <c r="F6" s="51" t="s">
        <v>291</v>
      </c>
      <c r="G6" s="63" t="str">
        <f t="shared" si="15"/>
        <v>[effect:suicide, val:1, dead_type:escape, target:myself, animation:enemy_escape]</v>
      </c>
      <c r="H6" s="63">
        <f t="shared" si="1"/>
        <v>9</v>
      </c>
      <c r="I6" s="63">
        <f t="shared" si="16"/>
        <v>16</v>
      </c>
      <c r="J6" s="63">
        <f t="shared" si="17"/>
        <v>50</v>
      </c>
      <c r="K6" s="63">
        <f t="shared" si="18"/>
        <v>23</v>
      </c>
      <c r="L6" s="63" t="str">
        <f>IFERROR(VLOOKUP(MID(G6,J6,K6-J6),[6]skilldef!$C:$D,2,FALSE),"-") &amp; " / " &amp; IFERROR(VLOOKUP(MID(G6,H6,I6-H6),[6]skilldef!$A:$B,2,FALSE),"-")</f>
        <v>- / -</v>
      </c>
      <c r="M6" s="63" t="str">
        <f t="shared" si="19"/>
        <v>none</v>
      </c>
      <c r="N6" s="48" t="str">
        <f>IFERROR(LEFT(M6,FIND("],",M6)+S17),M6)</f>
        <v>none</v>
      </c>
      <c r="O6" s="63" t="e">
        <f t="shared" si="6"/>
        <v>#VALUE!</v>
      </c>
      <c r="P6" s="63">
        <f t="shared" si="20"/>
        <v>4</v>
      </c>
      <c r="Q6" s="63" t="e">
        <f t="shared" si="21"/>
        <v>#VALUE!</v>
      </c>
      <c r="R6" s="63" t="e">
        <f t="shared" si="22"/>
        <v>#VALUE!</v>
      </c>
      <c r="S6" s="63" t="str">
        <f>IFERROR(VLOOKUP(MID(N6,Q6,R6-Q6),[6]skilldef!$C:$D,2,FALSE),"-") &amp; " / " &amp; IFERROR(VLOOKUP(MID(N6,O6,P6-O6),[6]skilldef!$A:$B,2,FALSE),"-")</f>
        <v>- / -</v>
      </c>
      <c r="T6" s="48" t="str">
        <f t="shared" si="23"/>
        <v>none</v>
      </c>
      <c r="U6" s="63" t="e">
        <f t="shared" si="11"/>
        <v>#VALUE!</v>
      </c>
      <c r="V6" s="63">
        <f t="shared" si="24"/>
        <v>4</v>
      </c>
      <c r="W6" s="63" t="e">
        <f t="shared" si="25"/>
        <v>#VALUE!</v>
      </c>
      <c r="X6" s="63" t="e">
        <f t="shared" si="26"/>
        <v>#VALUE!</v>
      </c>
      <c r="Y6" s="63" t="str">
        <f>IFERROR(VLOOKUP(MID(T6,W6,X6-W6),[6]skilldef!$C:$D,2,FALSE),"-") &amp; " / " &amp; IFERROR(VLOOKUP(MID(T6,U6,V6-U6),[6]skilldef!$A:$B,2,FALSE),"-")</f>
        <v>- / -</v>
      </c>
      <c r="Z6" s="50"/>
      <c r="AA6" s="52"/>
      <c r="AB6" s="50"/>
    </row>
    <row r="7" spans="1:28" ht="21" customHeight="1">
      <c r="A7" s="47">
        <v>1122006</v>
      </c>
      <c r="B7" s="47" t="s">
        <v>238</v>
      </c>
      <c r="C7" s="50">
        <v>3</v>
      </c>
      <c r="D7" s="50" t="s">
        <v>230</v>
      </c>
      <c r="E7" s="51" t="s">
        <v>286</v>
      </c>
      <c r="F7" s="51" t="s">
        <v>242</v>
      </c>
      <c r="G7" s="63" t="str">
        <f t="shared" si="15"/>
        <v>[effect:fix_speed, target:myself, turn:2]</v>
      </c>
      <c r="H7" s="63">
        <f t="shared" si="1"/>
        <v>9</v>
      </c>
      <c r="I7" s="63">
        <f t="shared" si="16"/>
        <v>18</v>
      </c>
      <c r="J7" s="63">
        <f t="shared" si="17"/>
        <v>27</v>
      </c>
      <c r="K7" s="63">
        <f t="shared" si="18"/>
        <v>33</v>
      </c>
      <c r="L7" s="63" t="str">
        <f>IFERROR(VLOOKUP(MID(G7,J7,K7-J7),[6]skilldef!$C:$D,2,FALSE),"-") &amp; " / " &amp; IFERROR(VLOOKUP(MID(G7,H7,I7-H7),[6]skilldef!$A:$B,2,FALSE),"-")</f>
        <v>自分自身に / 行動値設定</v>
      </c>
      <c r="M7" s="63" t="str">
        <f t="shared" si="19"/>
        <v>none</v>
      </c>
      <c r="N7" s="48" t="str">
        <f>IFERROR(LEFT(M7,FIND("],",M7)+S18),M7)</f>
        <v>none</v>
      </c>
      <c r="O7" s="63" t="e">
        <f t="shared" si="6"/>
        <v>#VALUE!</v>
      </c>
      <c r="P7" s="63">
        <f t="shared" si="20"/>
        <v>4</v>
      </c>
      <c r="Q7" s="63" t="e">
        <f t="shared" si="21"/>
        <v>#VALUE!</v>
      </c>
      <c r="R7" s="63" t="e">
        <f t="shared" si="22"/>
        <v>#VALUE!</v>
      </c>
      <c r="S7" s="63" t="str">
        <f>IFERROR(VLOOKUP(MID(N7,Q7,R7-Q7),[6]skilldef!$C:$D,2,FALSE),"-") &amp; " / " &amp; IFERROR(VLOOKUP(MID(N7,O7,P7-O7),[6]skilldef!$A:$B,2,FALSE),"-")</f>
        <v>- / -</v>
      </c>
      <c r="T7" s="48" t="str">
        <f t="shared" si="23"/>
        <v>none</v>
      </c>
      <c r="U7" s="63" t="e">
        <f t="shared" si="11"/>
        <v>#VALUE!</v>
      </c>
      <c r="V7" s="63">
        <f t="shared" si="24"/>
        <v>4</v>
      </c>
      <c r="W7" s="63" t="e">
        <f t="shared" si="25"/>
        <v>#VALUE!</v>
      </c>
      <c r="X7" s="63" t="e">
        <f t="shared" si="26"/>
        <v>#VALUE!</v>
      </c>
      <c r="Y7" s="63" t="str">
        <f>IFERROR(VLOOKUP(MID(T7,W7,X7-W7),[6]skilldef!$C:$D,2,FALSE),"-") &amp; " / " &amp; IFERROR(VLOOKUP(MID(T7,U7,V7-U7),[6]skilldef!$A:$B,2,FALSE),"-")</f>
        <v>- / -</v>
      </c>
      <c r="Z7" s="50"/>
      <c r="AA7" s="52"/>
      <c r="AB7" s="50"/>
    </row>
    <row r="8" spans="1:28" ht="21" customHeight="1">
      <c r="A8" s="47">
        <v>1122007</v>
      </c>
      <c r="B8" s="47" t="s">
        <v>241</v>
      </c>
      <c r="C8" s="50">
        <v>3</v>
      </c>
      <c r="D8" s="50" t="s">
        <v>232</v>
      </c>
      <c r="E8" s="51" t="s">
        <v>244</v>
      </c>
      <c r="F8" s="51" t="s">
        <v>236</v>
      </c>
      <c r="G8" s="63" t="str">
        <f t="shared" si="15"/>
        <v>[effect:fix_speed, target:myself, turn:1]</v>
      </c>
      <c r="H8" s="63">
        <f t="shared" si="1"/>
        <v>9</v>
      </c>
      <c r="I8" s="63">
        <f t="shared" si="16"/>
        <v>18</v>
      </c>
      <c r="J8" s="63">
        <f t="shared" si="17"/>
        <v>27</v>
      </c>
      <c r="K8" s="63">
        <f t="shared" si="18"/>
        <v>33</v>
      </c>
      <c r="L8" s="63" t="str">
        <f>IFERROR(VLOOKUP(MID(G8,J8,K8-J8),[6]skilldef!$C:$D,2,FALSE),"-") &amp; " / " &amp; IFERROR(VLOOKUP(MID(G8,H8,I8-H8),[6]skilldef!$A:$B,2,FALSE),"-")</f>
        <v>自分自身に / 行動値設定</v>
      </c>
      <c r="M8" s="63" t="str">
        <f t="shared" si="19"/>
        <v>none</v>
      </c>
      <c r="N8" s="48" t="str">
        <f>IFERROR(LEFT(M8,FIND("],",M8)+S19),M8)</f>
        <v>none</v>
      </c>
      <c r="O8" s="63" t="e">
        <f t="shared" si="6"/>
        <v>#VALUE!</v>
      </c>
      <c r="P8" s="63">
        <f t="shared" si="20"/>
        <v>4</v>
      </c>
      <c r="Q8" s="63" t="e">
        <f t="shared" si="21"/>
        <v>#VALUE!</v>
      </c>
      <c r="R8" s="63" t="e">
        <f t="shared" si="22"/>
        <v>#VALUE!</v>
      </c>
      <c r="S8" s="63" t="str">
        <f>IFERROR(VLOOKUP(MID(N8,Q8,R8-Q8),[6]skilldef!$C:$D,2,FALSE),"-") &amp; " / " &amp; IFERROR(VLOOKUP(MID(N8,O8,P8-O8),[6]skilldef!$A:$B,2,FALSE),"-")</f>
        <v>- / -</v>
      </c>
      <c r="T8" s="48" t="str">
        <f t="shared" si="23"/>
        <v>none</v>
      </c>
      <c r="U8" s="63" t="e">
        <f t="shared" si="11"/>
        <v>#VALUE!</v>
      </c>
      <c r="V8" s="63">
        <f t="shared" si="24"/>
        <v>4</v>
      </c>
      <c r="W8" s="63" t="e">
        <f t="shared" si="25"/>
        <v>#VALUE!</v>
      </c>
      <c r="X8" s="63" t="e">
        <f t="shared" si="26"/>
        <v>#VALUE!</v>
      </c>
      <c r="Y8" s="63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/>
    </row>
    <row r="9" spans="1:28" ht="21" customHeight="1">
      <c r="A9" s="47">
        <v>1122008</v>
      </c>
      <c r="B9" s="47" t="s">
        <v>234</v>
      </c>
      <c r="C9" s="50">
        <v>3</v>
      </c>
      <c r="D9" s="50" t="s">
        <v>232</v>
      </c>
      <c r="E9" s="51" t="s">
        <v>243</v>
      </c>
      <c r="F9" s="51" t="s">
        <v>287</v>
      </c>
      <c r="G9" s="63" t="str">
        <f t="shared" ref="G9:G11" si="27">IFERROR(LEFT(B9,FIND("],",B9)),B9)</f>
        <v>[effect:suicide, val:1, dead_type:escape, target:myself, animation:enemy_escape]</v>
      </c>
      <c r="H9" s="63">
        <f t="shared" si="1"/>
        <v>9</v>
      </c>
      <c r="I9" s="63">
        <f t="shared" ref="I9:I11" si="28">IFERROR(FIND(",",G9),LEN(G9))</f>
        <v>16</v>
      </c>
      <c r="J9" s="63">
        <f t="shared" ref="J9:J11" si="29">FIND("target:",G9)+7</f>
        <v>50</v>
      </c>
      <c r="K9" s="63">
        <f t="shared" ref="K9:K11" si="30">FIND(",",G9,I9+1)</f>
        <v>23</v>
      </c>
      <c r="L9" s="63" t="str">
        <f>IFERROR(VLOOKUP(MID(G9,J9,K9-J9),[6]skilldef!$C:$D,2,FALSE),"-") &amp; " / " &amp; IFERROR(VLOOKUP(MID(G9,H9,I9-H9),[6]skilldef!$A:$B,2,FALSE),"-")</f>
        <v>- / -</v>
      </c>
      <c r="M9" s="63" t="str">
        <f t="shared" ref="M9:M11" si="31">IFERROR(RIGHT(B9,LEN(B9)-FIND("],",B9)-1),"none")</f>
        <v>none</v>
      </c>
      <c r="N9" s="48" t="str">
        <f>IFERROR(LEFT(M9,FIND("],",M9)+S20),M9)</f>
        <v>none</v>
      </c>
      <c r="O9" s="63" t="e">
        <f t="shared" si="6"/>
        <v>#VALUE!</v>
      </c>
      <c r="P9" s="63">
        <f t="shared" ref="P9:P11" si="32">IFERROR(FIND(",",N9),LEN(N9))</f>
        <v>4</v>
      </c>
      <c r="Q9" s="63" t="e">
        <f t="shared" ref="Q9:Q11" si="33">FIND("target:",N9)+7</f>
        <v>#VALUE!</v>
      </c>
      <c r="R9" s="63" t="e">
        <f t="shared" ref="R9:R11" si="34">FIND(",",N9,P9+1)</f>
        <v>#VALUE!</v>
      </c>
      <c r="S9" s="63" t="str">
        <f>IFERROR(VLOOKUP(MID(N9,Q9,R9-Q9),[6]skilldef!$C:$D,2,FALSE),"-") &amp; " / " &amp; IFERROR(VLOOKUP(MID(N9,O9,P9-O9),[6]skilldef!$A:$B,2,FALSE),"-")</f>
        <v>- / -</v>
      </c>
      <c r="T9" s="48" t="str">
        <f t="shared" ref="T9:T11" si="35">IFERROR(RIGHT(M9,LEN(M9)-FIND("],",M9)-1),"none")</f>
        <v>none</v>
      </c>
      <c r="U9" s="63" t="e">
        <f t="shared" si="11"/>
        <v>#VALUE!</v>
      </c>
      <c r="V9" s="63">
        <f t="shared" ref="V9:V11" si="36">IFERROR(FIND(",",T9),LEN(T9))</f>
        <v>4</v>
      </c>
      <c r="W9" s="63" t="e">
        <f t="shared" ref="W9:W11" si="37">FIND("target:",T9)+7</f>
        <v>#VALUE!</v>
      </c>
      <c r="X9" s="63" t="e">
        <f t="shared" ref="X9:X11" si="38">FIND(",",T9,V9+1)</f>
        <v>#VALUE!</v>
      </c>
      <c r="Y9" s="63" t="str">
        <f>IFERROR(VLOOKUP(MID(T9,W9,X9-W9),[6]skilldef!$C:$D,2,FALSE),"-") &amp; " / " &amp; IFERROR(VLOOKUP(MID(T9,U9,V9-U9),[6]skilldef!$A:$B,2,FALSE),"-")</f>
        <v>- / -</v>
      </c>
      <c r="Z9" s="50"/>
      <c r="AA9" s="52"/>
      <c r="AB9" s="50"/>
    </row>
    <row r="10" spans="1:28" ht="21" customHeight="1">
      <c r="A10" s="47">
        <v>1122009</v>
      </c>
      <c r="B10" s="47" t="s">
        <v>234</v>
      </c>
      <c r="C10" s="50">
        <v>3</v>
      </c>
      <c r="D10" s="50" t="s">
        <v>200</v>
      </c>
      <c r="E10" s="51" t="s">
        <v>293</v>
      </c>
      <c r="F10" s="51" t="s">
        <v>237</v>
      </c>
      <c r="G10" s="63" t="str">
        <f t="shared" ref="G10" si="39">IFERROR(LEFT(B10,FIND("],",B10)),B10)</f>
        <v>[effect:suicide, val:1, dead_type:escape, target:myself, animation:enemy_escape]</v>
      </c>
      <c r="H10" s="63">
        <f t="shared" ref="H10" si="40">FIND("effect:",G10)+7</f>
        <v>9</v>
      </c>
      <c r="I10" s="63">
        <f t="shared" ref="I10" si="41">IFERROR(FIND(",",G10),LEN(G10))</f>
        <v>16</v>
      </c>
      <c r="J10" s="63">
        <f t="shared" ref="J10" si="42">FIND("target:",G10)+7</f>
        <v>50</v>
      </c>
      <c r="K10" s="63">
        <f t="shared" ref="K10" si="43">FIND(",",G10,I10+1)</f>
        <v>23</v>
      </c>
      <c r="L10" s="63" t="str">
        <f>IFERROR(VLOOKUP(MID(G10,J10,K10-J10),[6]skilldef!$C:$D,2,FALSE),"-") &amp; " / " &amp; IFERROR(VLOOKUP(MID(G10,H10,I10-H10),[6]skilldef!$A:$B,2,FALSE),"-")</f>
        <v>- / -</v>
      </c>
      <c r="M10" s="63" t="str">
        <f t="shared" ref="M10" si="44">IFERROR(RIGHT(B10,LEN(B10)-FIND("],",B10)-1),"none")</f>
        <v>none</v>
      </c>
      <c r="N10" s="48" t="str">
        <f>IFERROR(LEFT(M10,FIND("],",M10)+S21),M10)</f>
        <v>none</v>
      </c>
      <c r="O10" s="63" t="e">
        <f t="shared" ref="O10" si="45">FIND("effect:",N10)+7</f>
        <v>#VALUE!</v>
      </c>
      <c r="P10" s="63">
        <f t="shared" ref="P10" si="46">IFERROR(FIND(",",N10),LEN(N10))</f>
        <v>4</v>
      </c>
      <c r="Q10" s="63" t="e">
        <f t="shared" ref="Q10" si="47">FIND("target:",N10)+7</f>
        <v>#VALUE!</v>
      </c>
      <c r="R10" s="63" t="e">
        <f t="shared" ref="R10" si="48">FIND(",",N10,P10+1)</f>
        <v>#VALUE!</v>
      </c>
      <c r="S10" s="63" t="str">
        <f>IFERROR(VLOOKUP(MID(N10,Q10,R10-Q10),[6]skilldef!$C:$D,2,FALSE),"-") &amp; " / " &amp; IFERROR(VLOOKUP(MID(N10,O10,P10-O10),[6]skilldef!$A:$B,2,FALSE),"-")</f>
        <v>- / -</v>
      </c>
      <c r="T10" s="48" t="str">
        <f t="shared" ref="T10" si="49">IFERROR(RIGHT(M10,LEN(M10)-FIND("],",M10)-1),"none")</f>
        <v>none</v>
      </c>
      <c r="U10" s="63" t="e">
        <f t="shared" ref="U10" si="50">FIND("effect:",T10)+7</f>
        <v>#VALUE!</v>
      </c>
      <c r="V10" s="63">
        <f t="shared" ref="V10" si="51">IFERROR(FIND(",",T10),LEN(T10))</f>
        <v>4</v>
      </c>
      <c r="W10" s="63" t="e">
        <f t="shared" ref="W10" si="52">FIND("target:",T10)+7</f>
        <v>#VALUE!</v>
      </c>
      <c r="X10" s="63" t="e">
        <f t="shared" ref="X10" si="53">FIND(",",T10,V10+1)</f>
        <v>#VALUE!</v>
      </c>
      <c r="Y10" s="63" t="str">
        <f>IFERROR(VLOOKUP(MID(T10,W10,X10-W10),[6]skilldef!$C:$D,2,FALSE),"-") &amp; " / " &amp; IFERROR(VLOOKUP(MID(T10,U10,V10-U10),[6]skilldef!$A:$B,2,FALSE),"-")</f>
        <v>- / -</v>
      </c>
      <c r="Z10" s="50"/>
      <c r="AA10" s="52"/>
      <c r="AB10" s="50"/>
    </row>
    <row r="11" spans="1:28" ht="21" customHeight="1">
      <c r="A11" s="47">
        <v>1122010</v>
      </c>
      <c r="B11" s="47" t="s">
        <v>289</v>
      </c>
      <c r="C11" s="50">
        <v>3</v>
      </c>
      <c r="D11" s="50" t="s">
        <v>232</v>
      </c>
      <c r="E11" s="51" t="s">
        <v>245</v>
      </c>
      <c r="F11" s="51" t="s">
        <v>246</v>
      </c>
      <c r="G11" s="63" t="str">
        <f t="shared" si="27"/>
        <v>[effect:fix_speed, target:enemy_all, turn:1]</v>
      </c>
      <c r="H11" s="63">
        <f t="shared" si="1"/>
        <v>9</v>
      </c>
      <c r="I11" s="63">
        <f t="shared" si="28"/>
        <v>18</v>
      </c>
      <c r="J11" s="63">
        <f t="shared" si="29"/>
        <v>27</v>
      </c>
      <c r="K11" s="63">
        <f t="shared" si="30"/>
        <v>36</v>
      </c>
      <c r="L11" s="63" t="str">
        <f>IFERROR(VLOOKUP(MID(G11,J11,K11-J11),[6]skilldef!$C:$D,2,FALSE),"-") &amp; " / " &amp; IFERROR(VLOOKUP(MID(G11,H11,I11-H11),[6]skilldef!$A:$B,2,FALSE),"-")</f>
        <v>敵全体に / 行動値設定</v>
      </c>
      <c r="M11" s="63" t="str">
        <f t="shared" si="31"/>
        <v>none</v>
      </c>
      <c r="N11" s="48" t="str">
        <f t="shared" ref="N11" si="54">IFERROR(LEFT(M11,FIND("],",M11)+S21),M11)</f>
        <v>none</v>
      </c>
      <c r="O11" s="63" t="e">
        <f t="shared" si="6"/>
        <v>#VALUE!</v>
      </c>
      <c r="P11" s="63">
        <f t="shared" si="32"/>
        <v>4</v>
      </c>
      <c r="Q11" s="63" t="e">
        <f t="shared" si="33"/>
        <v>#VALUE!</v>
      </c>
      <c r="R11" s="63" t="e">
        <f t="shared" si="34"/>
        <v>#VALUE!</v>
      </c>
      <c r="S11" s="63" t="str">
        <f>IFERROR(VLOOKUP(MID(N11,Q11,R11-Q11),[6]skilldef!$C:$D,2,FALSE),"-") &amp; " / " &amp; IFERROR(VLOOKUP(MID(N11,O11,P11-O11),[6]skilldef!$A:$B,2,FALSE),"-")</f>
        <v>- / -</v>
      </c>
      <c r="T11" s="48" t="str">
        <f t="shared" si="35"/>
        <v>none</v>
      </c>
      <c r="U11" s="63" t="e">
        <f t="shared" si="11"/>
        <v>#VALUE!</v>
      </c>
      <c r="V11" s="63">
        <f t="shared" si="36"/>
        <v>4</v>
      </c>
      <c r="W11" s="63" t="e">
        <f t="shared" si="37"/>
        <v>#VALUE!</v>
      </c>
      <c r="X11" s="63" t="e">
        <f t="shared" si="38"/>
        <v>#VALUE!</v>
      </c>
      <c r="Y11" s="63" t="str">
        <f>IFERROR(VLOOKUP(MID(T11,W11,X11-W11),[6]skilldef!$C:$D,2,FALSE),"-") &amp; " / " &amp; IFERROR(VLOOKUP(MID(T11,U11,V11-U11),[6]skilldef!$A:$B,2,FALSE),"-")</f>
        <v>- / -</v>
      </c>
      <c r="Z11" s="50"/>
      <c r="AA11" s="52"/>
      <c r="AB11" s="50"/>
    </row>
    <row r="12" spans="1:28" ht="21" customHeight="1">
      <c r="A12" s="47">
        <v>1122011</v>
      </c>
      <c r="B12" s="47" t="s">
        <v>266</v>
      </c>
      <c r="C12" s="50">
        <v>3</v>
      </c>
      <c r="D12" s="50" t="s">
        <v>200</v>
      </c>
      <c r="E12" s="51" t="s">
        <v>249</v>
      </c>
      <c r="F12" s="51" t="s">
        <v>288</v>
      </c>
      <c r="G12" s="63" t="str">
        <f t="shared" ref="G12:G22" si="55">IFERROR(LEFT(B12,FIND("],",B12)),B12)</f>
        <v>[effect:suicide, val:1, dead_type:escape, target:enemy_green, animation:enemy_suicide]</v>
      </c>
      <c r="H12" s="63">
        <f t="shared" ref="H12:H22" si="56">FIND("effect:",G12)+7</f>
        <v>9</v>
      </c>
      <c r="I12" s="63">
        <f t="shared" ref="I12:I22" si="57">IFERROR(FIND(",",G12),LEN(G12))</f>
        <v>16</v>
      </c>
      <c r="J12" s="63">
        <f t="shared" ref="J12:J22" si="58">FIND("target:",G12)+7</f>
        <v>50</v>
      </c>
      <c r="K12" s="63">
        <f t="shared" ref="K12:K22" si="59">FIND(",",G12,I12+1)</f>
        <v>23</v>
      </c>
      <c r="L12" s="63" t="str">
        <f>IFERROR(VLOOKUP(MID(G12,J12,K12-J12),[6]skilldef!$C:$D,2,FALSE),"-") &amp; " / " &amp; IFERROR(VLOOKUP(MID(G12,H12,I12-H12),[6]skilldef!$A:$B,2,FALSE),"-")</f>
        <v>- / -</v>
      </c>
      <c r="M12" s="63" t="str">
        <f t="shared" ref="M12:M22" si="60">IFERROR(RIGHT(B12,LEN(B12)-FIND("],",B12)-1),"none")</f>
        <v>[effect:suicide, val:1, dead_type:escape, target:myself, animation:enemy_escape]</v>
      </c>
      <c r="N12" s="48" t="str">
        <f t="shared" ref="N12:N22" si="61">IFERROR(LEFT(M12,FIND("],",M12)+S22),M12)</f>
        <v>[effect:suicide, val:1, dead_type:escape, target:myself, animation:enemy_escape]</v>
      </c>
      <c r="O12" s="63">
        <f t="shared" ref="O12:O22" si="62">FIND("effect:",N12)+7</f>
        <v>9</v>
      </c>
      <c r="P12" s="63">
        <f t="shared" ref="P12:P22" si="63">IFERROR(FIND(",",N12),LEN(N12))</f>
        <v>16</v>
      </c>
      <c r="Q12" s="63">
        <f t="shared" ref="Q12:Q22" si="64">FIND("target:",N12)+7</f>
        <v>50</v>
      </c>
      <c r="R12" s="63">
        <f t="shared" ref="R12:R22" si="65">FIND(",",N12,P12+1)</f>
        <v>23</v>
      </c>
      <c r="S12" s="63" t="str">
        <f>IFERROR(VLOOKUP(MID(N12,Q12,R12-Q12),[6]skilldef!$C:$D,2,FALSE),"-") &amp; " / " &amp; IFERROR(VLOOKUP(MID(N12,O12,P12-O12),[6]skilldef!$A:$B,2,FALSE),"-")</f>
        <v>- / -</v>
      </c>
      <c r="T12" s="48" t="str">
        <f t="shared" ref="T12:T22" si="66">IFERROR(RIGHT(M12,LEN(M12)-FIND("],",M12)-1),"none")</f>
        <v>none</v>
      </c>
      <c r="U12" s="63" t="e">
        <f t="shared" ref="U12:U22" si="67">FIND("effect:",T12)+7</f>
        <v>#VALUE!</v>
      </c>
      <c r="V12" s="63">
        <f t="shared" ref="V12:V22" si="68">IFERROR(FIND(",",T12),LEN(T12))</f>
        <v>4</v>
      </c>
      <c r="W12" s="63" t="e">
        <f t="shared" ref="W12:W22" si="69">FIND("target:",T12)+7</f>
        <v>#VALUE!</v>
      </c>
      <c r="X12" s="63" t="e">
        <f t="shared" ref="X12:X22" si="70">FIND(",",T12,V12+1)</f>
        <v>#VALUE!</v>
      </c>
      <c r="Y12" s="63" t="str">
        <f>IFERROR(VLOOKUP(MID(T12,W12,X12-W12),[6]skilldef!$C:$D,2,FALSE),"-") &amp; " / " &amp; IFERROR(VLOOKUP(MID(T12,U12,V12-U12),[6]skilldef!$A:$B,2,FALSE),"-")</f>
        <v>- / -</v>
      </c>
      <c r="Z12" s="50"/>
      <c r="AA12" s="52"/>
      <c r="AB12" s="50"/>
    </row>
    <row r="13" spans="1:28" ht="21" customHeight="1">
      <c r="A13" s="47">
        <v>1122012</v>
      </c>
      <c r="B13" s="47" t="s">
        <v>241</v>
      </c>
      <c r="C13" s="50">
        <v>3</v>
      </c>
      <c r="D13" s="50" t="s">
        <v>200</v>
      </c>
      <c r="E13" s="51" t="s">
        <v>247</v>
      </c>
      <c r="F13" s="51" t="s">
        <v>248</v>
      </c>
      <c r="G13" s="63" t="str">
        <f t="shared" ref="G13" si="71">IFERROR(LEFT(B13,FIND("],",B13)),B13)</f>
        <v>[effect:fix_speed, target:myself, turn:1]</v>
      </c>
      <c r="H13" s="63">
        <f t="shared" ref="H13" si="72">FIND("effect:",G13)+7</f>
        <v>9</v>
      </c>
      <c r="I13" s="63">
        <f t="shared" ref="I13" si="73">IFERROR(FIND(",",G13),LEN(G13))</f>
        <v>18</v>
      </c>
      <c r="J13" s="63">
        <f t="shared" ref="J13" si="74">FIND("target:",G13)+7</f>
        <v>27</v>
      </c>
      <c r="K13" s="63">
        <f t="shared" ref="K13" si="75">FIND(",",G13,I13+1)</f>
        <v>33</v>
      </c>
      <c r="L13" s="63" t="str">
        <f>IFERROR(VLOOKUP(MID(G13,J13,K13-J13),[6]skilldef!$C:$D,2,FALSE),"-") &amp; " / " &amp; IFERROR(VLOOKUP(MID(G13,H13,I13-H13),[6]skilldef!$A:$B,2,FALSE),"-")</f>
        <v>自分自身に / 行動値設定</v>
      </c>
      <c r="M13" s="63" t="str">
        <f t="shared" ref="M13" si="76">IFERROR(RIGHT(B13,LEN(B13)-FIND("],",B13)-1),"none")</f>
        <v>none</v>
      </c>
      <c r="N13" s="48" t="str">
        <f t="shared" ref="N13" si="77">IFERROR(LEFT(M13,FIND("],",M13)+S23),M13)</f>
        <v>none</v>
      </c>
      <c r="O13" s="63" t="e">
        <f t="shared" ref="O13" si="78">FIND("effect:",N13)+7</f>
        <v>#VALUE!</v>
      </c>
      <c r="P13" s="63">
        <f t="shared" ref="P13" si="79">IFERROR(FIND(",",N13),LEN(N13))</f>
        <v>4</v>
      </c>
      <c r="Q13" s="63" t="e">
        <f t="shared" ref="Q13" si="80">FIND("target:",N13)+7</f>
        <v>#VALUE!</v>
      </c>
      <c r="R13" s="63" t="e">
        <f t="shared" ref="R13" si="81">FIND(",",N13,P13+1)</f>
        <v>#VALUE!</v>
      </c>
      <c r="S13" s="63" t="str">
        <f>IFERROR(VLOOKUP(MID(N13,Q13,R13-Q13),[6]skilldef!$C:$D,2,FALSE),"-") &amp; " / " &amp; IFERROR(VLOOKUP(MID(N13,O13,P13-O13),[6]skilldef!$A:$B,2,FALSE),"-")</f>
        <v>- / -</v>
      </c>
      <c r="T13" s="48" t="str">
        <f t="shared" ref="T13" si="82">IFERROR(RIGHT(M13,LEN(M13)-FIND("],",M13)-1),"none")</f>
        <v>none</v>
      </c>
      <c r="U13" s="63" t="e">
        <f t="shared" ref="U13" si="83">FIND("effect:",T13)+7</f>
        <v>#VALUE!</v>
      </c>
      <c r="V13" s="63">
        <f t="shared" ref="V13" si="84">IFERROR(FIND(",",T13),LEN(T13))</f>
        <v>4</v>
      </c>
      <c r="W13" s="63" t="e">
        <f t="shared" ref="W13" si="85">FIND("target:",T13)+7</f>
        <v>#VALUE!</v>
      </c>
      <c r="X13" s="63" t="e">
        <f t="shared" ref="X13" si="86">FIND(",",T13,V13+1)</f>
        <v>#VALUE!</v>
      </c>
      <c r="Y13" s="63" t="str">
        <f>IFERROR(VLOOKUP(MID(T13,W13,X13-W13),[6]skilldef!$C:$D,2,FALSE),"-") &amp; " / " &amp; IFERROR(VLOOKUP(MID(T13,U13,V13-U13),[6]skilldef!$A:$B,2,FALSE),"-")</f>
        <v>- / -</v>
      </c>
      <c r="Z13" s="50"/>
      <c r="AA13" s="52"/>
      <c r="AB13" s="50"/>
    </row>
    <row r="14" spans="1:28" ht="21" customHeight="1">
      <c r="A14" s="47">
        <v>1122013</v>
      </c>
      <c r="B14" s="47" t="s">
        <v>235</v>
      </c>
      <c r="C14" s="50">
        <v>3</v>
      </c>
      <c r="D14" s="50" t="s">
        <v>200</v>
      </c>
      <c r="E14" s="51" t="s">
        <v>250</v>
      </c>
      <c r="F14" s="51" t="s">
        <v>251</v>
      </c>
      <c r="G14" s="63" t="str">
        <f t="shared" si="55"/>
        <v>[effect:suicide, val:1, dead_type:escape, target:myself, animation:enemy_escape]</v>
      </c>
      <c r="H14" s="63">
        <f t="shared" si="56"/>
        <v>9</v>
      </c>
      <c r="I14" s="63">
        <f t="shared" si="57"/>
        <v>16</v>
      </c>
      <c r="J14" s="63">
        <f t="shared" si="58"/>
        <v>50</v>
      </c>
      <c r="K14" s="63">
        <f t="shared" si="59"/>
        <v>23</v>
      </c>
      <c r="L14" s="63" t="str">
        <f>IFERROR(VLOOKUP(MID(G14,J14,K14-J14),[6]skilldef!$C:$D,2,FALSE),"-") &amp; " / " &amp; IFERROR(VLOOKUP(MID(G14,H14,I14-H14),[6]skilldef!$A:$B,2,FALSE),"-")</f>
        <v>- / -</v>
      </c>
      <c r="M14" s="63" t="str">
        <f t="shared" si="60"/>
        <v>none</v>
      </c>
      <c r="N14" s="48" t="str">
        <f t="shared" si="61"/>
        <v>none</v>
      </c>
      <c r="O14" s="63" t="e">
        <f t="shared" si="62"/>
        <v>#VALUE!</v>
      </c>
      <c r="P14" s="63">
        <f t="shared" si="63"/>
        <v>4</v>
      </c>
      <c r="Q14" s="63" t="e">
        <f t="shared" si="64"/>
        <v>#VALUE!</v>
      </c>
      <c r="R14" s="63" t="e">
        <f t="shared" si="65"/>
        <v>#VALUE!</v>
      </c>
      <c r="S14" s="63" t="str">
        <f>IFERROR(VLOOKUP(MID(N14,Q14,R14-Q14),[6]skilldef!$C:$D,2,FALSE),"-") &amp; " / " &amp; IFERROR(VLOOKUP(MID(N14,O14,P14-O14),[6]skilldef!$A:$B,2,FALSE),"-")</f>
        <v>- / -</v>
      </c>
      <c r="T14" s="48" t="str">
        <f t="shared" si="66"/>
        <v>none</v>
      </c>
      <c r="U14" s="63" t="e">
        <f t="shared" si="67"/>
        <v>#VALUE!</v>
      </c>
      <c r="V14" s="63">
        <f t="shared" si="68"/>
        <v>4</v>
      </c>
      <c r="W14" s="63" t="e">
        <f t="shared" si="69"/>
        <v>#VALUE!</v>
      </c>
      <c r="X14" s="63" t="e">
        <f t="shared" si="70"/>
        <v>#VALUE!</v>
      </c>
      <c r="Y14" s="63" t="str">
        <f>IFERROR(VLOOKUP(MID(T14,W14,X14-W14),[6]skilldef!$C:$D,2,FALSE),"-") &amp; " / " &amp; IFERROR(VLOOKUP(MID(T14,U14,V14-U14),[6]skilldef!$A:$B,2,FALSE),"-")</f>
        <v>- / -</v>
      </c>
      <c r="Z14" s="50"/>
      <c r="AA14" s="52"/>
      <c r="AB14" s="50"/>
    </row>
    <row r="15" spans="1:28" ht="21" customHeight="1">
      <c r="A15" s="47">
        <v>1122014</v>
      </c>
      <c r="B15" s="47" t="s">
        <v>294</v>
      </c>
      <c r="C15" s="50">
        <v>3</v>
      </c>
      <c r="D15" s="50" t="s">
        <v>200</v>
      </c>
      <c r="E15" s="51" t="s">
        <v>268</v>
      </c>
      <c r="F15" s="51" t="s">
        <v>252</v>
      </c>
      <c r="G15" s="63" t="str">
        <f t="shared" si="55"/>
        <v>[effect:suicide, val:1, dead_type:escape, target:myself, animation:enemy_escape]</v>
      </c>
      <c r="H15" s="63">
        <f t="shared" si="56"/>
        <v>9</v>
      </c>
      <c r="I15" s="63">
        <f t="shared" si="57"/>
        <v>16</v>
      </c>
      <c r="J15" s="63">
        <f t="shared" si="58"/>
        <v>50</v>
      </c>
      <c r="K15" s="63">
        <f t="shared" si="59"/>
        <v>23</v>
      </c>
      <c r="L15" s="63" t="str">
        <f>IFERROR(VLOOKUP(MID(G15,J15,K15-J15),[6]skilldef!$C:$D,2,FALSE),"-") &amp; " / " &amp; IFERROR(VLOOKUP(MID(G15,H15,I15-H15),[6]skilldef!$A:$B,2,FALSE),"-")</f>
        <v>- / -</v>
      </c>
      <c r="M15" s="63" t="str">
        <f t="shared" si="60"/>
        <v>[effect:dark, turn:-1,target:unit_all,animation:enemy_dark]</v>
      </c>
      <c r="N15" s="48" t="str">
        <f t="shared" si="61"/>
        <v>[effect:dark, turn:-1,target:unit_all,animation:enemy_dark]</v>
      </c>
      <c r="O15" s="63">
        <f t="shared" si="62"/>
        <v>9</v>
      </c>
      <c r="P15" s="63">
        <f t="shared" si="63"/>
        <v>13</v>
      </c>
      <c r="Q15" s="63">
        <f t="shared" si="64"/>
        <v>30</v>
      </c>
      <c r="R15" s="63">
        <f t="shared" si="65"/>
        <v>22</v>
      </c>
      <c r="S15" s="63" t="str">
        <f>IFERROR(VLOOKUP(MID(N15,Q15,R15-Q15),[6]skilldef!$C:$D,2,FALSE),"-") &amp; " / " &amp; IFERROR(VLOOKUP(MID(N15,O15,P15-O15),[6]skilldef!$A:$B,2,FALSE),"-")</f>
        <v>- / 暗黒</v>
      </c>
      <c r="T15" s="48" t="str">
        <f t="shared" si="66"/>
        <v>none</v>
      </c>
      <c r="U15" s="63" t="e">
        <f t="shared" si="67"/>
        <v>#VALUE!</v>
      </c>
      <c r="V15" s="63">
        <f t="shared" si="68"/>
        <v>4</v>
      </c>
      <c r="W15" s="63" t="e">
        <f t="shared" si="69"/>
        <v>#VALUE!</v>
      </c>
      <c r="X15" s="63" t="e">
        <f t="shared" si="70"/>
        <v>#VALUE!</v>
      </c>
      <c r="Y15" s="63" t="str">
        <f>IFERROR(VLOOKUP(MID(T15,W15,X15-W15),[6]skilldef!$C:$D,2,FALSE),"-") &amp; " / " &amp; IFERROR(VLOOKUP(MID(T15,U15,V15-U15),[6]skilldef!$A:$B,2,FALSE),"-")</f>
        <v>- / -</v>
      </c>
      <c r="Z15" s="50"/>
      <c r="AA15" s="52"/>
      <c r="AB15" s="50"/>
    </row>
    <row r="16" spans="1:28" ht="21" customHeight="1">
      <c r="A16" s="47">
        <v>1122015</v>
      </c>
      <c r="B16" s="47" t="s">
        <v>281</v>
      </c>
      <c r="C16" s="50">
        <v>3</v>
      </c>
      <c r="D16" s="50" t="s">
        <v>200</v>
      </c>
      <c r="E16" s="51" t="s">
        <v>253</v>
      </c>
      <c r="F16" s="51" t="s">
        <v>254</v>
      </c>
      <c r="G16" s="63" t="str">
        <f t="shared" si="55"/>
        <v>[effect:force_change_block, new_block:time_bomb, target:block_all, count:0, val:0.02,min_time_count:1,max_time_count:1,animation:change_block]</v>
      </c>
      <c r="H16" s="63">
        <f t="shared" si="56"/>
        <v>9</v>
      </c>
      <c r="I16" s="63">
        <f t="shared" si="57"/>
        <v>27</v>
      </c>
      <c r="J16" s="63">
        <f t="shared" si="58"/>
        <v>57</v>
      </c>
      <c r="K16" s="63">
        <f t="shared" si="59"/>
        <v>48</v>
      </c>
      <c r="L16" s="63" t="str">
        <f>IFERROR(VLOOKUP(MID(G16,J16,K16-J16),[6]skilldef!$C:$D,2,FALSE),"-") &amp; " / " &amp; IFERROR(VLOOKUP(MID(G16,H16,I16-H16),[6]skilldef!$A:$B,2,FALSE),"-")</f>
        <v>- / -</v>
      </c>
      <c r="M16" s="63" t="str">
        <f t="shared" si="60"/>
        <v>[effect:fix_speed, target:myself, turn:1]</v>
      </c>
      <c r="N16" s="48" t="str">
        <f t="shared" si="61"/>
        <v>[effect:fix_speed, target:myself, turn:1]</v>
      </c>
      <c r="O16" s="63">
        <f t="shared" si="62"/>
        <v>9</v>
      </c>
      <c r="P16" s="63">
        <f t="shared" si="63"/>
        <v>18</v>
      </c>
      <c r="Q16" s="63">
        <f t="shared" si="64"/>
        <v>27</v>
      </c>
      <c r="R16" s="63">
        <f t="shared" si="65"/>
        <v>33</v>
      </c>
      <c r="S16" s="63" t="str">
        <f>IFERROR(VLOOKUP(MID(N16,Q16,R16-Q16),[6]skilldef!$C:$D,2,FALSE),"-") &amp; " / " &amp; IFERROR(VLOOKUP(MID(N16,O16,P16-O16),[6]skilldef!$A:$B,2,FALSE),"-")</f>
        <v>自分自身に / 行動値設定</v>
      </c>
      <c r="T16" s="48" t="str">
        <f t="shared" si="66"/>
        <v>none</v>
      </c>
      <c r="U16" s="63" t="e">
        <f t="shared" si="67"/>
        <v>#VALUE!</v>
      </c>
      <c r="V16" s="63">
        <f t="shared" si="68"/>
        <v>4</v>
      </c>
      <c r="W16" s="63" t="e">
        <f t="shared" si="69"/>
        <v>#VALUE!</v>
      </c>
      <c r="X16" s="63" t="e">
        <f t="shared" si="70"/>
        <v>#VALUE!</v>
      </c>
      <c r="Y16" s="63" t="str">
        <f>IFERROR(VLOOKUP(MID(T16,W16,X16-W16),[6]skilldef!$C:$D,2,FALSE),"-") &amp; " / " &amp; IFERROR(VLOOKUP(MID(T16,U16,V16-U16),[6]skilldef!$A:$B,2,FALSE),"-")</f>
        <v>- / -</v>
      </c>
      <c r="Z16" s="50"/>
      <c r="AA16" s="52"/>
      <c r="AB16" s="50"/>
    </row>
    <row r="17" spans="1:28" ht="21" customHeight="1">
      <c r="A17" s="47">
        <v>1122016</v>
      </c>
      <c r="B17" s="47" t="s">
        <v>282</v>
      </c>
      <c r="C17" s="50">
        <v>3</v>
      </c>
      <c r="D17" s="50" t="s">
        <v>200</v>
      </c>
      <c r="E17" s="51" t="s">
        <v>255</v>
      </c>
      <c r="F17" s="51" t="s">
        <v>256</v>
      </c>
      <c r="G17" s="63" t="str">
        <f t="shared" si="55"/>
        <v>[effect:force_change_block, new_block:time_bomb, target:block_all, count:0, val:0.02,min_time_count:2,max_time_count:2,animation:change_block]</v>
      </c>
      <c r="H17" s="63">
        <f t="shared" si="56"/>
        <v>9</v>
      </c>
      <c r="I17" s="63">
        <f t="shared" si="57"/>
        <v>27</v>
      </c>
      <c r="J17" s="63">
        <f t="shared" si="58"/>
        <v>57</v>
      </c>
      <c r="K17" s="63">
        <f t="shared" si="59"/>
        <v>48</v>
      </c>
      <c r="L17" s="63" t="str">
        <f>IFERROR(VLOOKUP(MID(G17,J17,K17-J17),[6]skilldef!$C:$D,2,FALSE),"-") &amp; " / " &amp; IFERROR(VLOOKUP(MID(G17,H17,I17-H17),[6]skilldef!$A:$B,2,FALSE),"-")</f>
        <v>- / -</v>
      </c>
      <c r="M17" s="63" t="str">
        <f t="shared" si="60"/>
        <v>none</v>
      </c>
      <c r="N17" s="48" t="str">
        <f t="shared" si="61"/>
        <v>none</v>
      </c>
      <c r="O17" s="63" t="e">
        <f t="shared" si="62"/>
        <v>#VALUE!</v>
      </c>
      <c r="P17" s="63">
        <f t="shared" si="63"/>
        <v>4</v>
      </c>
      <c r="Q17" s="63" t="e">
        <f t="shared" si="64"/>
        <v>#VALUE!</v>
      </c>
      <c r="R17" s="63" t="e">
        <f t="shared" si="65"/>
        <v>#VALUE!</v>
      </c>
      <c r="S17" s="63" t="str">
        <f>IFERROR(VLOOKUP(MID(N17,Q17,R17-Q17),[6]skilldef!$C:$D,2,FALSE),"-") &amp; " / " &amp; IFERROR(VLOOKUP(MID(N17,O17,P17-O17),[6]skilldef!$A:$B,2,FALSE),"-")</f>
        <v>- / -</v>
      </c>
      <c r="T17" s="48" t="str">
        <f t="shared" si="66"/>
        <v>none</v>
      </c>
      <c r="U17" s="63" t="e">
        <f t="shared" si="67"/>
        <v>#VALUE!</v>
      </c>
      <c r="V17" s="63">
        <f t="shared" si="68"/>
        <v>4</v>
      </c>
      <c r="W17" s="63" t="e">
        <f t="shared" si="69"/>
        <v>#VALUE!</v>
      </c>
      <c r="X17" s="63" t="e">
        <f t="shared" si="70"/>
        <v>#VALUE!</v>
      </c>
      <c r="Y17" s="63" t="str">
        <f>IFERROR(VLOOKUP(MID(T17,W17,X17-W17),[6]skilldef!$C:$D,2,FALSE),"-") &amp; " / " &amp; IFERROR(VLOOKUP(MID(T17,U17,V17-U17),[6]skilldef!$A:$B,2,FALSE),"-")</f>
        <v>- / -</v>
      </c>
      <c r="Z17" s="50"/>
      <c r="AA17" s="52"/>
      <c r="AB17" s="50"/>
    </row>
    <row r="18" spans="1:28" ht="21" customHeight="1">
      <c r="A18" s="47">
        <v>1122017</v>
      </c>
      <c r="B18" s="47" t="s">
        <v>267</v>
      </c>
      <c r="C18" s="50">
        <v>3</v>
      </c>
      <c r="D18" s="50" t="s">
        <v>200</v>
      </c>
      <c r="E18" s="51" t="s">
        <v>257</v>
      </c>
      <c r="F18" s="51" t="s">
        <v>258</v>
      </c>
      <c r="G18" s="63" t="str">
        <f t="shared" si="55"/>
        <v>[effect:suicide, val:1, dead_type:escape, target:myself, animation:enemy_suicide]</v>
      </c>
      <c r="H18" s="63">
        <f t="shared" si="56"/>
        <v>9</v>
      </c>
      <c r="I18" s="63">
        <f t="shared" si="57"/>
        <v>16</v>
      </c>
      <c r="J18" s="63">
        <f t="shared" si="58"/>
        <v>50</v>
      </c>
      <c r="K18" s="63">
        <f t="shared" si="59"/>
        <v>23</v>
      </c>
      <c r="L18" s="63" t="str">
        <f>IFERROR(VLOOKUP(MID(G18,J18,K18-J18),[6]skilldef!$C:$D,2,FALSE),"-") &amp; " / " &amp; IFERROR(VLOOKUP(MID(G18,H18,I18-H18),[6]skilldef!$A:$B,2,FALSE),"-")</f>
        <v>- / -</v>
      </c>
      <c r="M18" s="63" t="str">
        <f t="shared" si="60"/>
        <v>none</v>
      </c>
      <c r="N18" s="48" t="str">
        <f t="shared" si="61"/>
        <v>none</v>
      </c>
      <c r="O18" s="63" t="e">
        <f t="shared" si="62"/>
        <v>#VALUE!</v>
      </c>
      <c r="P18" s="63">
        <f t="shared" si="63"/>
        <v>4</v>
      </c>
      <c r="Q18" s="63" t="e">
        <f t="shared" si="64"/>
        <v>#VALUE!</v>
      </c>
      <c r="R18" s="63" t="e">
        <f t="shared" si="65"/>
        <v>#VALUE!</v>
      </c>
      <c r="S18" s="63" t="str">
        <f>IFERROR(VLOOKUP(MID(N18,Q18,R18-Q18),[6]skilldef!$C:$D,2,FALSE),"-") &amp; " / " &amp; IFERROR(VLOOKUP(MID(N18,O18,P18-O18),[6]skilldef!$A:$B,2,FALSE),"-")</f>
        <v>- / -</v>
      </c>
      <c r="T18" s="48" t="str">
        <f t="shared" si="66"/>
        <v>none</v>
      </c>
      <c r="U18" s="63" t="e">
        <f t="shared" si="67"/>
        <v>#VALUE!</v>
      </c>
      <c r="V18" s="63">
        <f t="shared" si="68"/>
        <v>4</v>
      </c>
      <c r="W18" s="63" t="e">
        <f t="shared" si="69"/>
        <v>#VALUE!</v>
      </c>
      <c r="X18" s="63" t="e">
        <f t="shared" si="70"/>
        <v>#VALUE!</v>
      </c>
      <c r="Y18" s="63" t="str">
        <f>IFERROR(VLOOKUP(MID(T18,W18,X18-W18),[6]skilldef!$C:$D,2,FALSE),"-") &amp; " / " &amp; IFERROR(VLOOKUP(MID(T18,U18,V18-U18),[6]skilldef!$A:$B,2,FALSE),"-")</f>
        <v>- / -</v>
      </c>
      <c r="Z18" s="50"/>
      <c r="AA18" s="52"/>
      <c r="AB18" s="50"/>
    </row>
    <row r="19" spans="1:28" ht="21" customHeight="1">
      <c r="A19" s="47">
        <v>1122018</v>
      </c>
      <c r="B19" s="47" t="s">
        <v>295</v>
      </c>
      <c r="C19" s="50">
        <v>3</v>
      </c>
      <c r="D19" s="50" t="s">
        <v>200</v>
      </c>
      <c r="E19" s="51" t="s">
        <v>259</v>
      </c>
      <c r="F19" s="51" t="s">
        <v>290</v>
      </c>
      <c r="G19" s="63" t="str">
        <f t="shared" si="55"/>
        <v>[effect:degrade_unit, target:unit_all, turn:-1, status:action, val:2.0]</v>
      </c>
      <c r="H19" s="63">
        <f t="shared" si="56"/>
        <v>9</v>
      </c>
      <c r="I19" s="63">
        <f t="shared" si="57"/>
        <v>21</v>
      </c>
      <c r="J19" s="63">
        <f t="shared" si="58"/>
        <v>30</v>
      </c>
      <c r="K19" s="63">
        <f t="shared" si="59"/>
        <v>38</v>
      </c>
      <c r="L19" s="63" t="str">
        <f>IFERROR(VLOOKUP(MID(G19,J19,K19-J19),[6]skilldef!$C:$D,2,FALSE),"-") &amp; " / " &amp; IFERROR(VLOOKUP(MID(G19,H19,I19-H19),[6]skilldef!$A:$B,2,FALSE),"-")</f>
        <v>味方全体に / ステータスDOWN</v>
      </c>
      <c r="M19" s="63" t="str">
        <f t="shared" si="60"/>
        <v>[effect:cure, bad_status:dark, animation:cure01],[effect:force_change_block, new_block:block_heart, target:block_all, count:0, val:0,animation:change_block],[effect:fix_speed, target:myself, turn:1]</v>
      </c>
      <c r="N19" s="48" t="str">
        <f t="shared" si="61"/>
        <v>[effect:cure, bad_status:dark, animation:cure01]</v>
      </c>
      <c r="O19" s="63">
        <f t="shared" si="62"/>
        <v>9</v>
      </c>
      <c r="P19" s="63">
        <f t="shared" si="63"/>
        <v>13</v>
      </c>
      <c r="Q19" s="63" t="e">
        <f t="shared" si="64"/>
        <v>#VALUE!</v>
      </c>
      <c r="R19" s="63">
        <f t="shared" si="65"/>
        <v>30</v>
      </c>
      <c r="S19" s="63" t="str">
        <f>IFERROR(VLOOKUP(MID(N19,Q19,R19-Q19),[6]skilldef!$C:$D,2,FALSE),"-") &amp; " / " &amp; IFERROR(VLOOKUP(MID(N19,O19,P19-O19),[6]skilldef!$A:$B,2,FALSE),"-")</f>
        <v>- / -</v>
      </c>
      <c r="T19" s="48" t="str">
        <f t="shared" si="66"/>
        <v>[effect:force_change_block, new_block:block_heart, target:block_all, count:0, val:0,animation:change_block],[effect:fix_speed, target:myself, turn:1]</v>
      </c>
      <c r="U19" s="63">
        <f t="shared" si="67"/>
        <v>9</v>
      </c>
      <c r="V19" s="63">
        <f t="shared" si="68"/>
        <v>27</v>
      </c>
      <c r="W19" s="63">
        <f t="shared" si="69"/>
        <v>59</v>
      </c>
      <c r="X19" s="63">
        <f t="shared" si="70"/>
        <v>50</v>
      </c>
      <c r="Y19" s="63" t="str">
        <f>IFERROR(VLOOKUP(MID(T19,W19,X19-W19),[6]skilldef!$C:$D,2,FALSE),"-") &amp; " / " &amp; IFERROR(VLOOKUP(MID(T19,U19,V19-U19),[6]skilldef!$A:$B,2,FALSE),"-")</f>
        <v>- / -</v>
      </c>
      <c r="Z19" s="50"/>
      <c r="AA19" s="52"/>
      <c r="AB19" s="50"/>
    </row>
    <row r="20" spans="1:28" ht="21" customHeight="1">
      <c r="A20" s="47">
        <v>1122019</v>
      </c>
      <c r="B20" s="47" t="s">
        <v>277</v>
      </c>
      <c r="C20" s="50">
        <v>3</v>
      </c>
      <c r="D20" s="50" t="s">
        <v>200</v>
      </c>
      <c r="E20" s="51" t="s">
        <v>264</v>
      </c>
      <c r="F20" s="51" t="s">
        <v>260</v>
      </c>
      <c r="G20" s="63" t="str">
        <f t="shared" si="55"/>
        <v>[effect:force_change_block, new_block:block_heart, target:block_all, count:0, val:0,animation:change_block]</v>
      </c>
      <c r="H20" s="63">
        <f t="shared" si="56"/>
        <v>9</v>
      </c>
      <c r="I20" s="63">
        <f t="shared" si="57"/>
        <v>27</v>
      </c>
      <c r="J20" s="63">
        <f t="shared" si="58"/>
        <v>59</v>
      </c>
      <c r="K20" s="63">
        <f t="shared" si="59"/>
        <v>50</v>
      </c>
      <c r="L20" s="63" t="str">
        <f>IFERROR(VLOOKUP(MID(G20,J20,K20-J20),[6]skilldef!$C:$D,2,FALSE),"-") &amp; " / " &amp; IFERROR(VLOOKUP(MID(G20,H20,I20-H20),[6]skilldef!$A:$B,2,FALSE),"-")</f>
        <v>- / -</v>
      </c>
      <c r="M20" s="63" t="str">
        <f t="shared" si="60"/>
        <v>none</v>
      </c>
      <c r="N20" s="48" t="str">
        <f t="shared" si="61"/>
        <v>none</v>
      </c>
      <c r="O20" s="63" t="e">
        <f t="shared" si="62"/>
        <v>#VALUE!</v>
      </c>
      <c r="P20" s="63">
        <f t="shared" si="63"/>
        <v>4</v>
      </c>
      <c r="Q20" s="63" t="e">
        <f t="shared" si="64"/>
        <v>#VALUE!</v>
      </c>
      <c r="R20" s="63" t="e">
        <f t="shared" si="65"/>
        <v>#VALUE!</v>
      </c>
      <c r="S20" s="63" t="str">
        <f>IFERROR(VLOOKUP(MID(N20,Q20,R20-Q20),[6]skilldef!$C:$D,2,FALSE),"-") &amp; " / " &amp; IFERROR(VLOOKUP(MID(N20,O20,P20-O20),[6]skilldef!$A:$B,2,FALSE),"-")</f>
        <v>- / -</v>
      </c>
      <c r="T20" s="48" t="str">
        <f t="shared" si="66"/>
        <v>none</v>
      </c>
      <c r="U20" s="63" t="e">
        <f t="shared" si="67"/>
        <v>#VALUE!</v>
      </c>
      <c r="V20" s="63">
        <f t="shared" si="68"/>
        <v>4</v>
      </c>
      <c r="W20" s="63" t="e">
        <f t="shared" si="69"/>
        <v>#VALUE!</v>
      </c>
      <c r="X20" s="63" t="e">
        <f t="shared" si="70"/>
        <v>#VALUE!</v>
      </c>
      <c r="Y20" s="63" t="str">
        <f>IFERROR(VLOOKUP(MID(T20,W20,X20-W20),[6]skilldef!$C:$D,2,FALSE),"-") &amp; " / " &amp; IFERROR(VLOOKUP(MID(T20,U20,V20-U20),[6]skilldef!$A:$B,2,FALSE),"-")</f>
        <v>- / -</v>
      </c>
      <c r="Z20" s="50"/>
      <c r="AA20" s="52"/>
      <c r="AB20" s="50"/>
    </row>
    <row r="21" spans="1:28" ht="21" customHeight="1">
      <c r="A21" s="47">
        <v>1122020</v>
      </c>
      <c r="B21" s="101" t="s">
        <v>292</v>
      </c>
      <c r="C21" s="50">
        <v>3</v>
      </c>
      <c r="D21" s="50" t="s">
        <v>200</v>
      </c>
      <c r="E21" s="51" t="s">
        <v>265</v>
      </c>
      <c r="F21" s="51" t="s">
        <v>261</v>
      </c>
      <c r="G21" s="63" t="str">
        <f t="shared" si="55"/>
        <v>[effect:freq_turn, target:myself, turn:-1, val:1, animation:enemy_freq_turn]</v>
      </c>
      <c r="H21" s="63">
        <f t="shared" si="56"/>
        <v>9</v>
      </c>
      <c r="I21" s="63">
        <f t="shared" si="57"/>
        <v>18</v>
      </c>
      <c r="J21" s="63">
        <f t="shared" si="58"/>
        <v>27</v>
      </c>
      <c r="K21" s="63">
        <f t="shared" si="59"/>
        <v>33</v>
      </c>
      <c r="L21" s="63" t="str">
        <f>IFERROR(VLOOKUP(MID(G21,J21,K21-J21),[6]skilldef!$C:$D,2,FALSE),"-") &amp; " / " &amp; IFERROR(VLOOKUP(MID(G21,H21,I21-H21),[6]skilldef!$A:$B,2,FALSE),"-")</f>
        <v>自分自身に / 攻撃頻度がUP</v>
      </c>
      <c r="M21" s="63" t="str">
        <f t="shared" si="60"/>
        <v>none</v>
      </c>
      <c r="N21" s="48" t="str">
        <f t="shared" si="61"/>
        <v>none</v>
      </c>
      <c r="O21" s="63" t="e">
        <f t="shared" si="62"/>
        <v>#VALUE!</v>
      </c>
      <c r="P21" s="63">
        <f t="shared" si="63"/>
        <v>4</v>
      </c>
      <c r="Q21" s="63" t="e">
        <f t="shared" si="64"/>
        <v>#VALUE!</v>
      </c>
      <c r="R21" s="63" t="e">
        <f t="shared" si="65"/>
        <v>#VALUE!</v>
      </c>
      <c r="S21" s="63" t="str">
        <f>IFERROR(VLOOKUP(MID(N21,Q21,R21-Q21),[6]skilldef!$C:$D,2,FALSE),"-") &amp; " / " &amp; IFERROR(VLOOKUP(MID(N21,O21,P21-O21),[6]skilldef!$A:$B,2,FALSE),"-")</f>
        <v>- / -</v>
      </c>
      <c r="T21" s="48" t="str">
        <f t="shared" si="66"/>
        <v>none</v>
      </c>
      <c r="U21" s="63" t="e">
        <f t="shared" si="67"/>
        <v>#VALUE!</v>
      </c>
      <c r="V21" s="63">
        <f t="shared" si="68"/>
        <v>4</v>
      </c>
      <c r="W21" s="63" t="e">
        <f t="shared" si="69"/>
        <v>#VALUE!</v>
      </c>
      <c r="X21" s="63" t="e">
        <f t="shared" si="70"/>
        <v>#VALUE!</v>
      </c>
      <c r="Y21" s="63" t="str">
        <f>IFERROR(VLOOKUP(MID(T21,W21,X21-W21),[6]skilldef!$C:$D,2,FALSE),"-") &amp; " / " &amp; IFERROR(VLOOKUP(MID(T21,U21,V21-U21),[6]skilldef!$A:$B,2,FALSE),"-")</f>
        <v>- / -</v>
      </c>
      <c r="Z21" s="50"/>
      <c r="AA21" s="52"/>
      <c r="AB21" s="50"/>
    </row>
    <row r="22" spans="1:28" ht="21" customHeight="1">
      <c r="A22" s="47">
        <v>1122021</v>
      </c>
      <c r="B22" s="47" t="s">
        <v>235</v>
      </c>
      <c r="C22" s="50">
        <v>3</v>
      </c>
      <c r="D22" s="50" t="s">
        <v>200</v>
      </c>
      <c r="E22" s="51" t="s">
        <v>262</v>
      </c>
      <c r="F22" s="51" t="s">
        <v>263</v>
      </c>
      <c r="G22" s="63" t="str">
        <f t="shared" si="55"/>
        <v>[effect:suicide, val:1, dead_type:escape, target:myself, animation:enemy_escape]</v>
      </c>
      <c r="H22" s="63">
        <f t="shared" si="56"/>
        <v>9</v>
      </c>
      <c r="I22" s="63">
        <f t="shared" si="57"/>
        <v>16</v>
      </c>
      <c r="J22" s="63">
        <f t="shared" si="58"/>
        <v>50</v>
      </c>
      <c r="K22" s="63">
        <f t="shared" si="59"/>
        <v>23</v>
      </c>
      <c r="L22" s="63" t="str">
        <f>IFERROR(VLOOKUP(MID(G22,J22,K22-J22),[6]skilldef!$C:$D,2,FALSE),"-") &amp; " / " &amp; IFERROR(VLOOKUP(MID(G22,H22,I22-H22),[6]skilldef!$A:$B,2,FALSE),"-")</f>
        <v>- / -</v>
      </c>
      <c r="M22" s="63" t="str">
        <f t="shared" si="60"/>
        <v>none</v>
      </c>
      <c r="N22" s="48" t="str">
        <f t="shared" si="61"/>
        <v>none</v>
      </c>
      <c r="O22" s="63" t="e">
        <f t="shared" si="62"/>
        <v>#VALUE!</v>
      </c>
      <c r="P22" s="63">
        <f t="shared" si="63"/>
        <v>4</v>
      </c>
      <c r="Q22" s="63" t="e">
        <f t="shared" si="64"/>
        <v>#VALUE!</v>
      </c>
      <c r="R22" s="63" t="e">
        <f t="shared" si="65"/>
        <v>#VALUE!</v>
      </c>
      <c r="S22" s="63" t="str">
        <f>IFERROR(VLOOKUP(MID(N22,Q22,R22-Q22),[6]skilldef!$C:$D,2,FALSE),"-") &amp; " / " &amp; IFERROR(VLOOKUP(MID(N22,O22,P22-O22),[6]skilldef!$A:$B,2,FALSE),"-")</f>
        <v>- / -</v>
      </c>
      <c r="T22" s="48" t="str">
        <f t="shared" si="66"/>
        <v>none</v>
      </c>
      <c r="U22" s="63" t="e">
        <f t="shared" si="67"/>
        <v>#VALUE!</v>
      </c>
      <c r="V22" s="63">
        <f t="shared" si="68"/>
        <v>4</v>
      </c>
      <c r="W22" s="63" t="e">
        <f t="shared" si="69"/>
        <v>#VALUE!</v>
      </c>
      <c r="X22" s="63" t="e">
        <f t="shared" si="70"/>
        <v>#VALUE!</v>
      </c>
      <c r="Y22" s="63" t="str">
        <f>IFERROR(VLOOKUP(MID(T22,W22,X22-W22),[6]skilldef!$C:$D,2,FALSE),"-") &amp; " / " &amp; IFERROR(VLOOKUP(MID(T22,U22,V22-U22),[6]skilldef!$A:$B,2,FALSE),"-")</f>
        <v>- / -</v>
      </c>
      <c r="Z22" s="50"/>
      <c r="AA22" s="52"/>
      <c r="AB22" s="50"/>
    </row>
    <row r="23" spans="1:28" ht="21" customHeight="1">
      <c r="A23" s="47"/>
      <c r="B23" s="47"/>
      <c r="C23" s="50"/>
      <c r="D23" s="50"/>
      <c r="E23" s="51"/>
      <c r="F23" s="51"/>
      <c r="G23" s="63"/>
      <c r="H23" s="63"/>
      <c r="I23" s="63"/>
      <c r="J23" s="63"/>
      <c r="K23" s="63"/>
      <c r="L23" s="63"/>
      <c r="M23" s="63"/>
      <c r="N23" s="48"/>
      <c r="O23" s="63"/>
      <c r="P23" s="63"/>
      <c r="Q23" s="63"/>
      <c r="R23" s="63"/>
      <c r="S23" s="63"/>
      <c r="T23" s="48"/>
      <c r="U23" s="63"/>
      <c r="V23" s="63"/>
      <c r="W23" s="63"/>
      <c r="X23" s="63"/>
      <c r="Y23" s="63"/>
      <c r="Z23" s="50"/>
      <c r="AA23" s="52"/>
      <c r="AB23" s="50"/>
    </row>
    <row r="24" spans="1:28" ht="21" customHeight="1">
      <c r="A24" s="47"/>
      <c r="B24" s="47"/>
      <c r="C24" s="50"/>
      <c r="D24" s="50"/>
      <c r="E24" s="51"/>
      <c r="F24" s="51"/>
      <c r="G24" s="63"/>
      <c r="H24" s="63"/>
      <c r="I24" s="63"/>
      <c r="J24" s="63"/>
      <c r="K24" s="63"/>
      <c r="L24" s="63"/>
      <c r="M24" s="63"/>
      <c r="N24" s="48"/>
      <c r="O24" s="63"/>
      <c r="P24" s="63"/>
      <c r="Q24" s="63"/>
      <c r="R24" s="63"/>
      <c r="S24" s="63"/>
      <c r="T24" s="48"/>
      <c r="U24" s="63"/>
      <c r="V24" s="63"/>
      <c r="W24" s="63"/>
      <c r="X24" s="63"/>
      <c r="Y24" s="63"/>
    </row>
  </sheetData>
  <autoFilter ref="A1:AB1"/>
  <phoneticPr fontId="5"/>
  <pageMargins left="0.75" right="0.75" top="1" bottom="1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22"/>
  <sheetViews>
    <sheetView showGridLines="0" zoomScale="75" zoomScaleNormal="75" zoomScalePageLayoutView="75" workbookViewId="0">
      <pane ySplit="1" topLeftCell="A2" activePane="bottomLeft" state="frozenSplit"/>
      <selection pane="bottomLeft" activeCell="D27" sqref="D27"/>
    </sheetView>
  </sheetViews>
  <sheetFormatPr baseColWidth="12" defaultColWidth="12.83203125" defaultRowHeight="21" customHeight="1" x14ac:dyDescent="0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>
      <c r="A2" s="47">
        <v>1122001</v>
      </c>
      <c r="B2" s="47">
        <v>1</v>
      </c>
      <c r="C2" s="47" t="s">
        <v>89</v>
      </c>
      <c r="D2" s="47">
        <v>100</v>
      </c>
      <c r="E2" s="47" t="s">
        <v>239</v>
      </c>
      <c r="F2" s="47" t="s">
        <v>90</v>
      </c>
      <c r="G2" s="47">
        <v>1</v>
      </c>
      <c r="H2" s="47" t="s">
        <v>90</v>
      </c>
      <c r="I2" s="47" t="s">
        <v>90</v>
      </c>
      <c r="J2" s="48">
        <f t="shared" ref="J2" si="0">D2</f>
        <v>100</v>
      </c>
    </row>
    <row r="3" spans="1:11" ht="21" customHeight="1">
      <c r="A3" s="47">
        <v>1122002</v>
      </c>
      <c r="B3" s="47">
        <v>1</v>
      </c>
      <c r="C3" s="47" t="s">
        <v>89</v>
      </c>
      <c r="D3" s="47">
        <v>100</v>
      </c>
      <c r="E3" s="47" t="s">
        <v>239</v>
      </c>
      <c r="F3" s="47" t="s">
        <v>53</v>
      </c>
      <c r="G3" s="47">
        <v>1</v>
      </c>
      <c r="H3" s="47" t="s">
        <v>53</v>
      </c>
      <c r="I3" s="47" t="s">
        <v>53</v>
      </c>
      <c r="J3" s="48">
        <f t="shared" ref="J3:J10" si="1">D3</f>
        <v>100</v>
      </c>
    </row>
    <row r="4" spans="1:11" ht="21" customHeight="1">
      <c r="A4" s="47">
        <v>1122003</v>
      </c>
      <c r="B4" s="47">
        <v>1</v>
      </c>
      <c r="C4" s="47" t="s">
        <v>89</v>
      </c>
      <c r="D4" s="47">
        <v>100</v>
      </c>
      <c r="E4" s="47" t="s">
        <v>239</v>
      </c>
      <c r="F4" s="47" t="s">
        <v>53</v>
      </c>
      <c r="G4" s="47">
        <v>1</v>
      </c>
      <c r="H4" s="47" t="s">
        <v>53</v>
      </c>
      <c r="I4" s="47" t="s">
        <v>53</v>
      </c>
      <c r="J4" s="48">
        <f t="shared" si="1"/>
        <v>100</v>
      </c>
    </row>
    <row r="5" spans="1:11" ht="21" customHeight="1">
      <c r="A5" s="47">
        <v>1122004</v>
      </c>
      <c r="B5" s="47">
        <v>0</v>
      </c>
      <c r="C5" s="47" t="s">
        <v>89</v>
      </c>
      <c r="D5" s="47">
        <v>100</v>
      </c>
      <c r="E5" s="47" t="s">
        <v>239</v>
      </c>
      <c r="F5" s="47" t="s">
        <v>53</v>
      </c>
      <c r="G5" s="47">
        <v>1</v>
      </c>
      <c r="H5" s="47" t="s">
        <v>53</v>
      </c>
      <c r="I5" s="47" t="s">
        <v>53</v>
      </c>
      <c r="J5" s="48">
        <f t="shared" si="1"/>
        <v>100</v>
      </c>
    </row>
    <row r="6" spans="1:11" ht="21" customHeight="1">
      <c r="A6" s="47">
        <v>1122005</v>
      </c>
      <c r="B6" s="47">
        <v>0</v>
      </c>
      <c r="C6" s="47" t="s">
        <v>89</v>
      </c>
      <c r="D6" s="47">
        <v>100</v>
      </c>
      <c r="E6" s="47" t="s">
        <v>239</v>
      </c>
      <c r="F6" s="47" t="s">
        <v>53</v>
      </c>
      <c r="G6" s="47">
        <v>1</v>
      </c>
      <c r="H6" s="47" t="s">
        <v>53</v>
      </c>
      <c r="I6" s="47" t="s">
        <v>53</v>
      </c>
      <c r="J6" s="48">
        <f t="shared" si="1"/>
        <v>100</v>
      </c>
    </row>
    <row r="7" spans="1:11" ht="21" customHeight="1">
      <c r="A7" s="47">
        <v>1122006</v>
      </c>
      <c r="B7" s="47">
        <v>1</v>
      </c>
      <c r="C7" s="47" t="s">
        <v>89</v>
      </c>
      <c r="D7" s="47">
        <v>100</v>
      </c>
      <c r="E7" s="47" t="s">
        <v>239</v>
      </c>
      <c r="F7" s="47" t="s">
        <v>53</v>
      </c>
      <c r="G7" s="47">
        <v>1</v>
      </c>
      <c r="H7" s="47" t="s">
        <v>53</v>
      </c>
      <c r="I7" s="47" t="s">
        <v>279</v>
      </c>
      <c r="J7" s="48">
        <f t="shared" si="1"/>
        <v>100</v>
      </c>
    </row>
    <row r="8" spans="1:11" ht="21" customHeight="1">
      <c r="A8" s="47">
        <v>1122007</v>
      </c>
      <c r="B8" s="47">
        <v>1</v>
      </c>
      <c r="C8" s="47" t="s">
        <v>89</v>
      </c>
      <c r="D8" s="47">
        <v>100</v>
      </c>
      <c r="E8" s="47" t="s">
        <v>239</v>
      </c>
      <c r="F8" s="47" t="s">
        <v>53</v>
      </c>
      <c r="G8" s="47">
        <v>1</v>
      </c>
      <c r="H8" s="47" t="s">
        <v>53</v>
      </c>
      <c r="I8" s="47" t="s">
        <v>278</v>
      </c>
      <c r="J8" s="48">
        <f t="shared" si="1"/>
        <v>100</v>
      </c>
    </row>
    <row r="9" spans="1:11" ht="21" customHeight="1">
      <c r="A9" s="47">
        <v>1122008</v>
      </c>
      <c r="B9" s="47">
        <v>0</v>
      </c>
      <c r="C9" s="47" t="s">
        <v>89</v>
      </c>
      <c r="D9" s="47">
        <v>100</v>
      </c>
      <c r="E9" s="47" t="s">
        <v>239</v>
      </c>
      <c r="F9" s="47" t="s">
        <v>53</v>
      </c>
      <c r="G9" s="47">
        <v>1</v>
      </c>
      <c r="H9" s="47" t="s">
        <v>53</v>
      </c>
      <c r="I9" s="47">
        <v>145</v>
      </c>
      <c r="J9" s="48">
        <f t="shared" si="1"/>
        <v>100</v>
      </c>
    </row>
    <row r="10" spans="1:11" ht="21" customHeight="1">
      <c r="A10" s="47">
        <v>1122009</v>
      </c>
      <c r="B10" s="47">
        <v>0</v>
      </c>
      <c r="C10" s="47" t="s">
        <v>89</v>
      </c>
      <c r="D10" s="47">
        <v>100</v>
      </c>
      <c r="E10" s="47" t="s">
        <v>239</v>
      </c>
      <c r="F10" s="47" t="s">
        <v>53</v>
      </c>
      <c r="G10" s="47">
        <v>1</v>
      </c>
      <c r="H10" s="47" t="s">
        <v>53</v>
      </c>
      <c r="I10" s="47" t="s">
        <v>53</v>
      </c>
      <c r="J10" s="48">
        <f t="shared" si="1"/>
        <v>100</v>
      </c>
    </row>
    <row r="11" spans="1:11" ht="21" customHeight="1">
      <c r="A11" s="47">
        <v>1122010</v>
      </c>
      <c r="B11" s="47">
        <v>1</v>
      </c>
      <c r="C11" s="47" t="s">
        <v>89</v>
      </c>
      <c r="D11" s="47">
        <v>100</v>
      </c>
      <c r="E11" s="47" t="s">
        <v>239</v>
      </c>
      <c r="F11" s="47" t="s">
        <v>53</v>
      </c>
      <c r="G11" s="47">
        <v>1</v>
      </c>
      <c r="H11" s="47" t="s">
        <v>53</v>
      </c>
      <c r="I11" s="47" t="s">
        <v>53</v>
      </c>
      <c r="J11" s="48">
        <f t="shared" ref="J11:J22" si="2">D11</f>
        <v>100</v>
      </c>
    </row>
    <row r="12" spans="1:11" ht="21" customHeight="1">
      <c r="A12" s="47">
        <v>1122011</v>
      </c>
      <c r="B12" s="47">
        <v>0</v>
      </c>
      <c r="C12" s="47" t="s">
        <v>89</v>
      </c>
      <c r="D12" s="47">
        <v>100</v>
      </c>
      <c r="E12" s="47" t="s">
        <v>239</v>
      </c>
      <c r="F12" s="47" t="s">
        <v>53</v>
      </c>
      <c r="G12" s="47">
        <v>1</v>
      </c>
      <c r="H12" s="47" t="s">
        <v>53</v>
      </c>
      <c r="I12" s="47" t="s">
        <v>53</v>
      </c>
      <c r="J12" s="48">
        <f t="shared" si="2"/>
        <v>100</v>
      </c>
    </row>
    <row r="13" spans="1:11" ht="21" customHeight="1">
      <c r="A13" s="47">
        <v>1122012</v>
      </c>
      <c r="B13" s="47">
        <v>0</v>
      </c>
      <c r="C13" s="47" t="s">
        <v>89</v>
      </c>
      <c r="D13" s="47">
        <v>100</v>
      </c>
      <c r="E13" s="47" t="s">
        <v>239</v>
      </c>
      <c r="F13" s="47" t="s">
        <v>53</v>
      </c>
      <c r="G13" s="47">
        <v>1</v>
      </c>
      <c r="H13" s="47" t="s">
        <v>53</v>
      </c>
      <c r="I13" s="47" t="s">
        <v>53</v>
      </c>
      <c r="J13" s="48">
        <f t="shared" si="2"/>
        <v>100</v>
      </c>
    </row>
    <row r="14" spans="1:11" ht="21" customHeight="1">
      <c r="A14" s="47">
        <v>1122013</v>
      </c>
      <c r="B14" s="47">
        <v>1</v>
      </c>
      <c r="C14" s="47" t="s">
        <v>89</v>
      </c>
      <c r="D14" s="47">
        <v>100</v>
      </c>
      <c r="E14" s="47" t="s">
        <v>239</v>
      </c>
      <c r="F14" s="47" t="s">
        <v>53</v>
      </c>
      <c r="G14" s="47">
        <v>1</v>
      </c>
      <c r="H14" s="47" t="s">
        <v>53</v>
      </c>
      <c r="I14" s="47" t="s">
        <v>283</v>
      </c>
      <c r="J14" s="48">
        <f t="shared" si="2"/>
        <v>100</v>
      </c>
    </row>
    <row r="15" spans="1:11" ht="21" customHeight="1">
      <c r="A15" s="47">
        <v>1122014</v>
      </c>
      <c r="B15" s="47">
        <v>1</v>
      </c>
      <c r="C15" s="47" t="s">
        <v>89</v>
      </c>
      <c r="D15" s="47">
        <v>100</v>
      </c>
      <c r="E15" s="47" t="s">
        <v>239</v>
      </c>
      <c r="F15" s="47" t="s">
        <v>53</v>
      </c>
      <c r="G15" s="47">
        <v>1</v>
      </c>
      <c r="H15" s="47" t="s">
        <v>53</v>
      </c>
      <c r="I15" s="47" t="s">
        <v>53</v>
      </c>
      <c r="J15" s="48">
        <f t="shared" si="2"/>
        <v>100</v>
      </c>
    </row>
    <row r="16" spans="1:11" ht="21" customHeight="1">
      <c r="A16" s="47">
        <v>1122015</v>
      </c>
      <c r="B16" s="47">
        <v>1</v>
      </c>
      <c r="C16" s="47" t="s">
        <v>89</v>
      </c>
      <c r="D16" s="47">
        <v>100</v>
      </c>
      <c r="E16" s="47" t="s">
        <v>239</v>
      </c>
      <c r="F16" s="47" t="s">
        <v>53</v>
      </c>
      <c r="G16" s="47">
        <v>1</v>
      </c>
      <c r="H16" s="47" t="s">
        <v>53</v>
      </c>
      <c r="I16" s="47" t="s">
        <v>53</v>
      </c>
      <c r="J16" s="48">
        <f t="shared" si="2"/>
        <v>100</v>
      </c>
    </row>
    <row r="17" spans="1:10" ht="21" customHeight="1">
      <c r="A17" s="47">
        <v>1122016</v>
      </c>
      <c r="B17" s="47">
        <v>0</v>
      </c>
      <c r="C17" s="47" t="s">
        <v>89</v>
      </c>
      <c r="D17" s="47">
        <v>100</v>
      </c>
      <c r="E17" s="47" t="s">
        <v>239</v>
      </c>
      <c r="F17" s="47" t="s">
        <v>53</v>
      </c>
      <c r="G17" s="47">
        <v>1</v>
      </c>
      <c r="H17" s="47" t="s">
        <v>53</v>
      </c>
      <c r="I17" s="47" t="s">
        <v>53</v>
      </c>
      <c r="J17" s="48">
        <f t="shared" si="2"/>
        <v>100</v>
      </c>
    </row>
    <row r="18" spans="1:10" ht="21" customHeight="1">
      <c r="A18" s="47">
        <v>1122017</v>
      </c>
      <c r="B18" s="47">
        <v>0</v>
      </c>
      <c r="C18" s="47" t="s">
        <v>89</v>
      </c>
      <c r="D18" s="47">
        <v>100</v>
      </c>
      <c r="E18" s="47" t="s">
        <v>239</v>
      </c>
      <c r="F18" s="47" t="s">
        <v>53</v>
      </c>
      <c r="G18" s="47">
        <v>1</v>
      </c>
      <c r="H18" s="47" t="s">
        <v>53</v>
      </c>
      <c r="I18" s="47" t="s">
        <v>53</v>
      </c>
      <c r="J18" s="48">
        <f t="shared" si="2"/>
        <v>100</v>
      </c>
    </row>
    <row r="19" spans="1:10" ht="21" customHeight="1">
      <c r="A19" s="47">
        <v>1122018</v>
      </c>
      <c r="B19" s="47">
        <v>1</v>
      </c>
      <c r="C19" s="47" t="s">
        <v>89</v>
      </c>
      <c r="D19" s="47">
        <v>100</v>
      </c>
      <c r="E19" s="47" t="s">
        <v>239</v>
      </c>
      <c r="F19" s="47" t="s">
        <v>53</v>
      </c>
      <c r="G19" s="47">
        <v>1</v>
      </c>
      <c r="H19" s="47" t="s">
        <v>53</v>
      </c>
      <c r="I19" s="47" t="s">
        <v>53</v>
      </c>
      <c r="J19" s="48">
        <f t="shared" si="2"/>
        <v>100</v>
      </c>
    </row>
    <row r="20" spans="1:10" ht="21" customHeight="1">
      <c r="A20" s="47">
        <v>1122019</v>
      </c>
      <c r="B20" s="47">
        <v>0</v>
      </c>
      <c r="C20" s="47">
        <v>3</v>
      </c>
      <c r="D20" s="47">
        <v>100</v>
      </c>
      <c r="E20" s="47" t="s">
        <v>239</v>
      </c>
      <c r="F20" s="47" t="s">
        <v>53</v>
      </c>
      <c r="G20" s="47">
        <v>1</v>
      </c>
      <c r="H20" s="47" t="s">
        <v>53</v>
      </c>
      <c r="I20" s="47" t="s">
        <v>53</v>
      </c>
      <c r="J20" s="48">
        <f t="shared" si="2"/>
        <v>100</v>
      </c>
    </row>
    <row r="21" spans="1:10" ht="21" customHeight="1">
      <c r="A21" s="47">
        <v>1122020</v>
      </c>
      <c r="B21" s="47">
        <v>0</v>
      </c>
      <c r="C21" s="47">
        <v>2</v>
      </c>
      <c r="D21" s="47">
        <v>100</v>
      </c>
      <c r="E21" s="47" t="s">
        <v>239</v>
      </c>
      <c r="F21" s="47" t="s">
        <v>53</v>
      </c>
      <c r="G21" s="47">
        <v>1</v>
      </c>
      <c r="H21" s="47" t="s">
        <v>53</v>
      </c>
      <c r="I21" s="47" t="s">
        <v>53</v>
      </c>
      <c r="J21" s="48">
        <f t="shared" si="2"/>
        <v>100</v>
      </c>
    </row>
    <row r="22" spans="1:10" ht="21" customHeight="1">
      <c r="A22" s="47">
        <v>1122021</v>
      </c>
      <c r="B22" s="47">
        <v>0</v>
      </c>
      <c r="C22" s="47">
        <v>1</v>
      </c>
      <c r="D22" s="47">
        <v>100</v>
      </c>
      <c r="E22" s="47" t="s">
        <v>239</v>
      </c>
      <c r="F22" s="47" t="s">
        <v>53</v>
      </c>
      <c r="G22" s="47">
        <v>1</v>
      </c>
      <c r="H22" s="47" t="s">
        <v>53</v>
      </c>
      <c r="I22" s="47" t="s">
        <v>53</v>
      </c>
      <c r="J22" s="48">
        <f t="shared" si="2"/>
        <v>100</v>
      </c>
    </row>
  </sheetData>
  <autoFilter ref="A1:G1"/>
  <phoneticPr fontId="5"/>
  <conditionalFormatting sqref="K1:K10485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5"/>
  <sheetViews>
    <sheetView workbookViewId="0">
      <selection activeCell="A3" sqref="A3"/>
    </sheetView>
  </sheetViews>
  <sheetFormatPr baseColWidth="12" defaultRowHeight="18" x14ac:dyDescent="0"/>
  <cols>
    <col min="17" max="18" width="19" bestFit="1" customWidth="1"/>
  </cols>
  <sheetData>
    <row r="1" spans="1:18">
      <c r="A1" s="64" t="s">
        <v>151</v>
      </c>
      <c r="B1" s="64" t="s">
        <v>152</v>
      </c>
      <c r="C1" s="65" t="s">
        <v>153</v>
      </c>
      <c r="D1" s="72" t="s">
        <v>154</v>
      </c>
      <c r="E1" s="66" t="s">
        <v>155</v>
      </c>
      <c r="F1" s="64" t="s">
        <v>156</v>
      </c>
      <c r="G1" s="64" t="s">
        <v>157</v>
      </c>
      <c r="H1" s="64" t="s">
        <v>158</v>
      </c>
      <c r="I1" s="64" t="s">
        <v>159</v>
      </c>
      <c r="J1" s="64" t="s">
        <v>160</v>
      </c>
      <c r="K1" s="64" t="s">
        <v>161</v>
      </c>
      <c r="L1" s="64" t="s">
        <v>162</v>
      </c>
      <c r="M1" s="64" t="s">
        <v>163</v>
      </c>
      <c r="N1" s="64" t="s">
        <v>164</v>
      </c>
      <c r="O1" s="64" t="s">
        <v>165</v>
      </c>
      <c r="P1" s="64" t="s">
        <v>166</v>
      </c>
      <c r="Q1" s="64" t="s">
        <v>167</v>
      </c>
      <c r="R1" s="64" t="s">
        <v>168</v>
      </c>
    </row>
    <row r="2" spans="1:18">
      <c r="A2" s="57">
        <f>floors!C2</f>
        <v>11220</v>
      </c>
      <c r="B2" s="57">
        <v>1</v>
      </c>
      <c r="C2" s="71" t="str">
        <f>A2&amp; "_"&amp;B2</f>
        <v>11220_1</v>
      </c>
      <c r="D2" s="11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57">
        <v>1</v>
      </c>
      <c r="F2" s="57" t="s">
        <v>169</v>
      </c>
      <c r="G2" s="57">
        <v>1000</v>
      </c>
      <c r="H2" s="57" t="s">
        <v>170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100</v>
      </c>
      <c r="Q2" s="57" t="s">
        <v>171</v>
      </c>
      <c r="R2" s="57" t="s">
        <v>172</v>
      </c>
    </row>
    <row r="3" spans="1:18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</row>
    <row r="4" spans="1:18">
      <c r="A4" s="57"/>
      <c r="B4" s="57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</row>
    <row r="5" spans="1:18">
      <c r="A5" s="57"/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</row>
  </sheetData>
  <phoneticPr fontId="5"/>
  <dataValidations disablePrompts="1" count="1">
    <dataValidation type="list" allowBlank="1" showInputMessage="1" showErrorMessage="1" sqref="F2">
      <formula1>"bit,link,polygon,unit"</formula1>
    </dataValidation>
  </dataValidations>
  <pageMargins left="0.7" right="0.7" top="0.75" bottom="0.75" header="0.3" footer="0.3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34"/>
  <sheetViews>
    <sheetView showGridLines="0" workbookViewId="0">
      <pane ySplit="1" topLeftCell="A2" activePane="bottomLeft" state="frozen"/>
      <selection pane="bottomLeft" activeCell="H102" sqref="H102"/>
    </sheetView>
  </sheetViews>
  <sheetFormatPr baseColWidth="12" defaultColWidth="13" defaultRowHeight="18" outlineLevelCol="1" x14ac:dyDescent="0"/>
  <cols>
    <col min="1" max="1" width="13" style="90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>
      <c r="A1" s="77" t="s">
        <v>190</v>
      </c>
      <c r="B1" s="73" t="s">
        <v>191</v>
      </c>
      <c r="C1" s="78" t="s">
        <v>192</v>
      </c>
      <c r="D1" s="78" t="s">
        <v>33</v>
      </c>
      <c r="E1" s="73" t="s">
        <v>193</v>
      </c>
      <c r="F1" s="78" t="s">
        <v>194</v>
      </c>
      <c r="G1" s="78" t="s">
        <v>33</v>
      </c>
      <c r="H1" s="73" t="s">
        <v>195</v>
      </c>
      <c r="I1" s="93" t="s">
        <v>197</v>
      </c>
      <c r="J1" s="80" t="s">
        <v>127</v>
      </c>
      <c r="K1" s="79" t="s">
        <v>188</v>
      </c>
      <c r="L1" s="94" t="s">
        <v>187</v>
      </c>
      <c r="M1" s="81" t="s">
        <v>198</v>
      </c>
    </row>
    <row r="2" spans="1:13">
      <c r="A2" s="82" t="s">
        <v>203</v>
      </c>
      <c r="B2" s="83">
        <f>floors!$C$2</f>
        <v>11220</v>
      </c>
      <c r="C2" s="84" t="str">
        <f ca="1">VLOOKUP($B2,OFFSET([2]quests!$A$1,0,0,COUNTA([2]quests!$A:$A),MATCH(C$1,[2]quests!$1:$1,0)-MATCH($B$1,[2]quests!$1:$1,0)+1),MATCH(C$1,[2]quests!$1:$1,0)-MATCH($B$1,[2]quests!$1:$1,0)+1,FALSE)</f>
        <v>ホワイトデー★特別クエスト</v>
      </c>
      <c r="D2" s="84" t="str">
        <f ca="1">VLOOKUP($B2,OFFSET([2]quests!$A$1,0,0,COUNTA([2]quests!$A:$A),MATCH(D$1,[2]quests!$1:$1,0)-MATCH($B$1,[2]quests!$1:$1,0)+1),MATCH(D$1,[2]quests!$1:$1,0)-MATCH($B$1,[2]quests!$1:$1,0)+1,FALSE)</f>
        <v>2016年ホワイトデークエスト</v>
      </c>
      <c r="E2" s="88" t="s">
        <v>218</v>
      </c>
      <c r="F2" s="84" t="e">
        <f ca="1">VLOOKUP($B2&amp;"_"&amp;$E2,OFFSET([2]stages!$A$1,0,0,COUNTA([2]stages!$A:$A),MATCH(F$1,[2]stages!$2:$2,0)-MATCH("temp_stage",[2]stages!$2:$2,0)+1),MATCH(F$1,[2]stages!$2:$2,0)-MATCH("temp_stage",[2]stages!$2:$2,0)+1,FALSE)</f>
        <v>#N/A</v>
      </c>
      <c r="G2" s="84" t="e">
        <f ca="1">VLOOKUP($B2&amp;"_"&amp;$E2,OFFSET([2]stages!$A$1,0,0,COUNTA([2]stages!$A:$A),MATCH(G$1,[2]stages!$2:$2,0)-MATCH("temp_stage",[2]stages!$2:$2,0)+1),MATCH(G$1,[2]stages!$2:$2,0)-MATCH("temp_stage",[2]stages!$2:$2,0)+1,FALSE)</f>
        <v>#N/A</v>
      </c>
      <c r="H2" s="86">
        <v>0</v>
      </c>
      <c r="I2">
        <v>1</v>
      </c>
      <c r="J2" s="85" t="s">
        <v>200</v>
      </c>
      <c r="K2" s="95" t="str">
        <f>VLOOKUP(I2,[7]stage_hints!$A:$C,3,FALSE)</f>
        <v>長くつなげて大ダメージ</v>
      </c>
      <c r="L2" s="96" t="str">
        <f>VLOOKUP(I2,[7]stage_hints!$A:$D,4,FALSE)</f>
        <v>パネルを長くつなげるほど_x000D_大ダメージを与えることができます</v>
      </c>
      <c r="M2" s="57" t="s">
        <v>215</v>
      </c>
    </row>
    <row r="3" spans="1:13">
      <c r="A3" s="82" t="s">
        <v>203</v>
      </c>
      <c r="B3" s="83">
        <f>floors!$C$2</f>
        <v>11220</v>
      </c>
      <c r="C3" s="84" t="str">
        <f ca="1">VLOOKUP($B3,OFFSET([2]quests!$A$1,0,0,COUNTA([2]quests!$A:$A),MATCH(C$1,[2]quests!$1:$1,0)-MATCH($B$1,[2]quests!$1:$1,0)+1),MATCH(C$1,[2]quests!$1:$1,0)-MATCH($B$1,[2]quests!$1:$1,0)+1,FALSE)</f>
        <v>ホワイトデー★特別クエスト</v>
      </c>
      <c r="D3" s="84" t="str">
        <f ca="1">VLOOKUP($B3,OFFSET([2]quests!$A$1,0,0,COUNTA([2]quests!$A:$A),MATCH(D$1,[2]quests!$1:$1,0)-MATCH($B$1,[2]quests!$1:$1,0)+1),MATCH(D$1,[2]quests!$1:$1,0)-MATCH($B$1,[2]quests!$1:$1,0)+1,FALSE)</f>
        <v>2016年ホワイトデークエスト</v>
      </c>
      <c r="E3" s="88" t="s">
        <v>218</v>
      </c>
      <c r="F3" s="84" t="e">
        <f ca="1">VLOOKUP($B3&amp;"_"&amp;$E3,OFFSET([2]stages!$A$1,0,0,COUNTA([2]stages!$A:$A),MATCH(F$1,[2]stages!$2:$2,0)-MATCH("temp_stage",[2]stages!$2:$2,0)+1),MATCH(F$1,[2]stages!$2:$2,0)-MATCH("temp_stage",[2]stages!$2:$2,0)+1,FALSE)</f>
        <v>#N/A</v>
      </c>
      <c r="G3" s="84" t="e">
        <f ca="1">VLOOKUP($B3&amp;"_"&amp;$E3,OFFSET([2]stages!$A$1,0,0,COUNTA([2]stages!$A:$A),MATCH(G$1,[2]stages!$2:$2,0)-MATCH("temp_stage",[2]stages!$2:$2,0)+1),MATCH(G$1,[2]stages!$2:$2,0)-MATCH("temp_stage",[2]stages!$2:$2,0)+1,FALSE)</f>
        <v>#N/A</v>
      </c>
      <c r="H3" s="86">
        <v>0</v>
      </c>
      <c r="I3">
        <v>2</v>
      </c>
      <c r="J3" s="85" t="s">
        <v>200</v>
      </c>
      <c r="K3" s="95" t="str">
        <f>VLOOKUP(I3,[7]stage_hints!$A:$C,3,FALSE)</f>
        <v>属性の相性</v>
      </c>
      <c r="L3" s="96" t="str">
        <f>VLOOKUP(I3,[7]stage_hints!$A:$D,4,FALSE)</f>
        <v>赤＞青　青＞黄　黄＞緑　緑＞赤_x000D_敵属性に最適なパーティがオススメです</v>
      </c>
      <c r="M3" s="57" t="s">
        <v>215</v>
      </c>
    </row>
    <row r="4" spans="1:13">
      <c r="A4" s="82" t="s">
        <v>203</v>
      </c>
      <c r="B4" s="83">
        <f>floors!$C$2</f>
        <v>11220</v>
      </c>
      <c r="C4" s="84" t="str">
        <f ca="1">VLOOKUP($B4,OFFSET([2]quests!$A$1,0,0,COUNTA([2]quests!$A:$A),MATCH(C$1,[2]quests!$1:$1,0)-MATCH($B$1,[2]quests!$1:$1,0)+1),MATCH(C$1,[2]quests!$1:$1,0)-MATCH($B$1,[2]quests!$1:$1,0)+1,FALSE)</f>
        <v>ホワイトデー★特別クエスト</v>
      </c>
      <c r="D4" s="84" t="str">
        <f ca="1">VLOOKUP($B4,OFFSET([2]quests!$A$1,0,0,COUNTA([2]quests!$A:$A),MATCH(D$1,[2]quests!$1:$1,0)-MATCH($B$1,[2]quests!$1:$1,0)+1),MATCH(D$1,[2]quests!$1:$1,0)-MATCH($B$1,[2]quests!$1:$1,0)+1,FALSE)</f>
        <v>2016年ホワイトデークエスト</v>
      </c>
      <c r="E4" s="88" t="s">
        <v>218</v>
      </c>
      <c r="F4" s="84" t="e">
        <f ca="1">VLOOKUP($B4&amp;"_"&amp;$E4,OFFSET([2]stages!$A$1,0,0,COUNTA([2]stages!$A:$A),MATCH(F$1,[2]stages!$2:$2,0)-MATCH("temp_stage",[2]stages!$2:$2,0)+1),MATCH(F$1,[2]stages!$2:$2,0)-MATCH("temp_stage",[2]stages!$2:$2,0)+1,FALSE)</f>
        <v>#N/A</v>
      </c>
      <c r="G4" s="84" t="e">
        <f ca="1">VLOOKUP($B4&amp;"_"&amp;$E4,OFFSET([2]stages!$A$1,0,0,COUNTA([2]stages!$A:$A),MATCH(G$1,[2]stages!$2:$2,0)-MATCH("temp_stage",[2]stages!$2:$2,0)+1),MATCH(G$1,[2]stages!$2:$2,0)-MATCH("temp_stage",[2]stages!$2:$2,0)+1,FALSE)</f>
        <v>#N/A</v>
      </c>
      <c r="H4" s="86">
        <v>0</v>
      </c>
      <c r="I4">
        <v>3</v>
      </c>
      <c r="J4" s="85" t="s">
        <v>200</v>
      </c>
      <c r="K4" s="95" t="str">
        <f>VLOOKUP(I4,[7]stage_hints!$A:$C,3,FALSE)</f>
        <v>ターゲット</v>
      </c>
      <c r="L4" s="96" t="str">
        <f>VLOOKUP(I4,[7]stage_hints!$A:$D,4,FALSE)</f>
        <v>敵ユニットをタップすると_x000D_その敵を狙い撃ちできます</v>
      </c>
      <c r="M4" s="57" t="s">
        <v>215</v>
      </c>
    </row>
    <row r="5" spans="1:13">
      <c r="A5" s="82" t="s">
        <v>203</v>
      </c>
      <c r="B5" s="83">
        <f>floors!$C$2</f>
        <v>11220</v>
      </c>
      <c r="C5" s="84" t="str">
        <f ca="1">VLOOKUP($B5,OFFSET([2]quests!$A$1,0,0,COUNTA([2]quests!$A:$A),MATCH(C$1,[2]quests!$1:$1,0)-MATCH($B$1,[2]quests!$1:$1,0)+1),MATCH(C$1,[2]quests!$1:$1,0)-MATCH($B$1,[2]quests!$1:$1,0)+1,FALSE)</f>
        <v>ホワイトデー★特別クエスト</v>
      </c>
      <c r="D5" s="84" t="str">
        <f ca="1">VLOOKUP($B5,OFFSET([2]quests!$A$1,0,0,COUNTA([2]quests!$A:$A),MATCH(D$1,[2]quests!$1:$1,0)-MATCH($B$1,[2]quests!$1:$1,0)+1),MATCH(D$1,[2]quests!$1:$1,0)-MATCH($B$1,[2]quests!$1:$1,0)+1,FALSE)</f>
        <v>2016年ホワイトデークエスト</v>
      </c>
      <c r="E5" s="88" t="s">
        <v>218</v>
      </c>
      <c r="F5" s="84" t="e">
        <f ca="1">VLOOKUP($B5&amp;"_"&amp;$E5,OFFSET([2]stages!$A$1,0,0,COUNTA([2]stages!$A:$A),MATCH(F$1,[2]stages!$2:$2,0)-MATCH("temp_stage",[2]stages!$2:$2,0)+1),MATCH(F$1,[2]stages!$2:$2,0)-MATCH("temp_stage",[2]stages!$2:$2,0)+1,FALSE)</f>
        <v>#N/A</v>
      </c>
      <c r="G5" s="84" t="e">
        <f ca="1">VLOOKUP($B5&amp;"_"&amp;$E5,OFFSET([2]stages!$A$1,0,0,COUNTA([2]stages!$A:$A),MATCH(G$1,[2]stages!$2:$2,0)-MATCH("temp_stage",[2]stages!$2:$2,0)+1),MATCH(G$1,[2]stages!$2:$2,0)-MATCH("temp_stage",[2]stages!$2:$2,0)+1,FALSE)</f>
        <v>#N/A</v>
      </c>
      <c r="H5" s="86">
        <v>0</v>
      </c>
      <c r="I5">
        <v>5</v>
      </c>
      <c r="J5" s="85" t="s">
        <v>200</v>
      </c>
      <c r="K5" s="95" t="str">
        <f>VLOOKUP(I5,[7]stage_hints!$A:$C,3,FALSE)</f>
        <v>ユニット強化でレベルアップ</v>
      </c>
      <c r="L5" s="96" t="str">
        <f>VLOOKUP(I5,[7]stage_hints!$A:$D,4,FALSE)</f>
        <v>「ユニット強化」でレベルアップすると_x000D_勝てない敵にも勝てるようになります</v>
      </c>
      <c r="M5" s="57" t="s">
        <v>215</v>
      </c>
    </row>
    <row r="6" spans="1:13">
      <c r="A6" s="82" t="s">
        <v>203</v>
      </c>
      <c r="B6" s="83">
        <f>floors!$C$2</f>
        <v>11220</v>
      </c>
      <c r="C6" s="84" t="str">
        <f ca="1">VLOOKUP($B6,OFFSET([2]quests!$A$1,0,0,COUNTA([2]quests!$A:$A),MATCH(C$1,[2]quests!$1:$1,0)-MATCH($B$1,[2]quests!$1:$1,0)+1),MATCH(C$1,[2]quests!$1:$1,0)-MATCH($B$1,[2]quests!$1:$1,0)+1,FALSE)</f>
        <v>ホワイトデー★特別クエスト</v>
      </c>
      <c r="D6" s="84" t="str">
        <f ca="1">VLOOKUP($B6,OFFSET([2]quests!$A$1,0,0,COUNTA([2]quests!$A:$A),MATCH(D$1,[2]quests!$1:$1,0)-MATCH($B$1,[2]quests!$1:$1,0)+1),MATCH(D$1,[2]quests!$1:$1,0)-MATCH($B$1,[2]quests!$1:$1,0)+1,FALSE)</f>
        <v>2016年ホワイトデークエスト</v>
      </c>
      <c r="E6" s="88" t="s">
        <v>218</v>
      </c>
      <c r="F6" s="84" t="e">
        <f ca="1">VLOOKUP($B6&amp;"_"&amp;$E6,OFFSET([2]stages!$A$1,0,0,COUNTA([2]stages!$A:$A),MATCH(F$1,[2]stages!$2:$2,0)-MATCH("temp_stage",[2]stages!$2:$2,0)+1),MATCH(F$1,[2]stages!$2:$2,0)-MATCH("temp_stage",[2]stages!$2:$2,0)+1,FALSE)</f>
        <v>#N/A</v>
      </c>
      <c r="G6" s="84" t="e">
        <f ca="1">VLOOKUP($B6&amp;"_"&amp;$E6,OFFSET([2]stages!$A$1,0,0,COUNTA([2]stages!$A:$A),MATCH(G$1,[2]stages!$2:$2,0)-MATCH("temp_stage",[2]stages!$2:$2,0)+1),MATCH(G$1,[2]stages!$2:$2,0)-MATCH("temp_stage",[2]stages!$2:$2,0)+1,FALSE)</f>
        <v>#N/A</v>
      </c>
      <c r="H6" s="86">
        <v>0</v>
      </c>
      <c r="I6">
        <v>6</v>
      </c>
      <c r="J6" s="85" t="s">
        <v>200</v>
      </c>
      <c r="K6" s="95" t="str">
        <f>VLOOKUP(I6,[7]stage_hints!$A:$C,3,FALSE)</f>
        <v>ユニット強化の属性ボーナス</v>
      </c>
      <c r="L6" s="96" t="str">
        <f>VLOOKUP(I6,[7]stage_hints!$A:$D,4,FALSE)</f>
        <v>同属性ユニットを強化素材にすると_x000D_経験値が多くもらえます</v>
      </c>
      <c r="M6" s="57" t="s">
        <v>215</v>
      </c>
    </row>
    <row r="7" spans="1:13">
      <c r="A7" s="82" t="s">
        <v>203</v>
      </c>
      <c r="B7" s="83">
        <f>floors!$C$2</f>
        <v>11220</v>
      </c>
      <c r="C7" s="84" t="str">
        <f ca="1">VLOOKUP($B7,OFFSET([2]quests!$A$1,0,0,COUNTA([2]quests!$A:$A),MATCH(C$1,[2]quests!$1:$1,0)-MATCH($B$1,[2]quests!$1:$1,0)+1),MATCH(C$1,[2]quests!$1:$1,0)-MATCH($B$1,[2]quests!$1:$1,0)+1,FALSE)</f>
        <v>ホワイトデー★特別クエスト</v>
      </c>
      <c r="D7" s="84" t="str">
        <f ca="1">VLOOKUP($B7,OFFSET([2]quests!$A$1,0,0,COUNTA([2]quests!$A:$A),MATCH(D$1,[2]quests!$1:$1,0)-MATCH($B$1,[2]quests!$1:$1,0)+1),MATCH(D$1,[2]quests!$1:$1,0)-MATCH($B$1,[2]quests!$1:$1,0)+1,FALSE)</f>
        <v>2016年ホワイトデークエスト</v>
      </c>
      <c r="E7" s="88" t="s">
        <v>218</v>
      </c>
      <c r="F7" s="84" t="e">
        <f ca="1">VLOOKUP($B7&amp;"_"&amp;$E7,OFFSET([2]stages!$A$1,0,0,COUNTA([2]stages!$A:$A),MATCH(F$1,[2]stages!$2:$2,0)-MATCH("temp_stage",[2]stages!$2:$2,0)+1),MATCH(F$1,[2]stages!$2:$2,0)-MATCH("temp_stage",[2]stages!$2:$2,0)+1,FALSE)</f>
        <v>#N/A</v>
      </c>
      <c r="G7" s="84" t="e">
        <f ca="1">VLOOKUP($B7&amp;"_"&amp;$E7,OFFSET([2]stages!$A$1,0,0,COUNTA([2]stages!$A:$A),MATCH(G$1,[2]stages!$2:$2,0)-MATCH("temp_stage",[2]stages!$2:$2,0)+1),MATCH(G$1,[2]stages!$2:$2,0)-MATCH("temp_stage",[2]stages!$2:$2,0)+1,FALSE)</f>
        <v>#N/A</v>
      </c>
      <c r="H7" s="86">
        <v>0</v>
      </c>
      <c r="I7">
        <v>7</v>
      </c>
      <c r="J7" s="85" t="s">
        <v>200</v>
      </c>
      <c r="K7" s="95" t="str">
        <f>VLOOKUP(I7,[7]stage_hints!$A:$C,3,FALSE)</f>
        <v>メタルダックで経験値を獲得</v>
      </c>
      <c r="L7" s="96" t="str">
        <f>VLOOKUP(I7,[7]stage_hints!$A:$D,4,FALSE)</f>
        <v>「メタルなアヒル」を強化素材にすると_x000D_大量の経験値がもらえます</v>
      </c>
      <c r="M7" s="57" t="s">
        <v>215</v>
      </c>
    </row>
    <row r="8" spans="1:13">
      <c r="A8" s="82" t="s">
        <v>203</v>
      </c>
      <c r="B8" s="83">
        <f>floors!$C$2</f>
        <v>11220</v>
      </c>
      <c r="C8" s="84" t="str">
        <f ca="1">VLOOKUP($B8,OFFSET([2]quests!$A$1,0,0,COUNTA([2]quests!$A:$A),MATCH(C$1,[2]quests!$1:$1,0)-MATCH($B$1,[2]quests!$1:$1,0)+1),MATCH(C$1,[2]quests!$1:$1,0)-MATCH($B$1,[2]quests!$1:$1,0)+1,FALSE)</f>
        <v>ホワイトデー★特別クエスト</v>
      </c>
      <c r="D8" s="84" t="str">
        <f ca="1">VLOOKUP($B8,OFFSET([2]quests!$A$1,0,0,COUNTA([2]quests!$A:$A),MATCH(D$1,[2]quests!$1:$1,0)-MATCH($B$1,[2]quests!$1:$1,0)+1),MATCH(D$1,[2]quests!$1:$1,0)-MATCH($B$1,[2]quests!$1:$1,0)+1,FALSE)</f>
        <v>2016年ホワイトデークエスト</v>
      </c>
      <c r="E8" s="88" t="s">
        <v>218</v>
      </c>
      <c r="F8" s="84" t="e">
        <f ca="1">VLOOKUP($B8&amp;"_"&amp;$E8,OFFSET([2]stages!$A$1,0,0,COUNTA([2]stages!$A:$A),MATCH(F$1,[2]stages!$2:$2,0)-MATCH("temp_stage",[2]stages!$2:$2,0)+1),MATCH(F$1,[2]stages!$2:$2,0)-MATCH("temp_stage",[2]stages!$2:$2,0)+1,FALSE)</f>
        <v>#N/A</v>
      </c>
      <c r="G8" s="84" t="e">
        <f ca="1">VLOOKUP($B8&amp;"_"&amp;$E8,OFFSET([2]stages!$A$1,0,0,COUNTA([2]stages!$A:$A),MATCH(G$1,[2]stages!$2:$2,0)-MATCH("temp_stage",[2]stages!$2:$2,0)+1),MATCH(G$1,[2]stages!$2:$2,0)-MATCH("temp_stage",[2]stages!$2:$2,0)+1,FALSE)</f>
        <v>#N/A</v>
      </c>
      <c r="H8" s="86">
        <v>0</v>
      </c>
      <c r="I8">
        <v>8</v>
      </c>
      <c r="J8" s="85" t="s">
        <v>200</v>
      </c>
      <c r="K8" s="95" t="str">
        <f>VLOOKUP(I8,[7]stage_hints!$A:$C,3,FALSE)</f>
        <v>ゲリラクエストは要チェック</v>
      </c>
      <c r="L8" s="96" t="str">
        <f>VLOOKUP(I8,[7]stage_hints!$A:$D,4,FALSE)</f>
        <v>時間限定の「アヒル捕獲作戦」では_x000D_経験値素材ユニットが多く手に入ります</v>
      </c>
      <c r="M8" s="57" t="s">
        <v>215</v>
      </c>
    </row>
    <row r="9" spans="1:13">
      <c r="A9" s="82" t="s">
        <v>203</v>
      </c>
      <c r="B9" s="83">
        <f>floors!$C$2</f>
        <v>11220</v>
      </c>
      <c r="C9" s="84" t="str">
        <f ca="1">VLOOKUP($B9,OFFSET([2]quests!$A$1,0,0,COUNTA([2]quests!$A:$A),MATCH(C$1,[2]quests!$1:$1,0)-MATCH($B$1,[2]quests!$1:$1,0)+1),MATCH(C$1,[2]quests!$1:$1,0)-MATCH($B$1,[2]quests!$1:$1,0)+1,FALSE)</f>
        <v>ホワイトデー★特別クエスト</v>
      </c>
      <c r="D9" s="84" t="str">
        <f ca="1">VLOOKUP($B9,OFFSET([2]quests!$A$1,0,0,COUNTA([2]quests!$A:$A),MATCH(D$1,[2]quests!$1:$1,0)-MATCH($B$1,[2]quests!$1:$1,0)+1),MATCH(D$1,[2]quests!$1:$1,0)-MATCH($B$1,[2]quests!$1:$1,0)+1,FALSE)</f>
        <v>2016年ホワイトデークエスト</v>
      </c>
      <c r="E9" s="88" t="s">
        <v>218</v>
      </c>
      <c r="F9" s="84" t="e">
        <f ca="1">VLOOKUP($B9&amp;"_"&amp;$E9,OFFSET([2]stages!$A$1,0,0,COUNTA([2]stages!$A:$A),MATCH(F$1,[2]stages!$2:$2,0)-MATCH("temp_stage",[2]stages!$2:$2,0)+1),MATCH(F$1,[2]stages!$2:$2,0)-MATCH("temp_stage",[2]stages!$2:$2,0)+1,FALSE)</f>
        <v>#N/A</v>
      </c>
      <c r="G9" s="84" t="e">
        <f ca="1">VLOOKUP($B9&amp;"_"&amp;$E9,OFFSET([2]stages!$A$1,0,0,COUNTA([2]stages!$A:$A),MATCH(G$1,[2]stages!$2:$2,0)-MATCH("temp_stage",[2]stages!$2:$2,0)+1),MATCH(G$1,[2]stages!$2:$2,0)-MATCH("temp_stage",[2]stages!$2:$2,0)+1,FALSE)</f>
        <v>#N/A</v>
      </c>
      <c r="H9" s="86">
        <v>0</v>
      </c>
      <c r="I9">
        <v>9</v>
      </c>
      <c r="J9" s="85" t="s">
        <v>200</v>
      </c>
      <c r="K9" s="95" t="str">
        <f>VLOOKUP(I9,[7]stage_hints!$A:$C,3,FALSE)</f>
        <v>ゴールドダックでビットを獲得</v>
      </c>
      <c r="L9" s="96" t="str">
        <f>VLOOKUP(I9,[7]stage_hints!$A:$D,4,FALSE)</f>
        <v>「ゴールドなアヒル」を売却すると_x000D_大量のビットがもらえます</v>
      </c>
      <c r="M9" s="57" t="s">
        <v>215</v>
      </c>
    </row>
    <row r="10" spans="1:13">
      <c r="A10" s="82" t="s">
        <v>203</v>
      </c>
      <c r="B10" s="83">
        <f>floors!$C$2</f>
        <v>11220</v>
      </c>
      <c r="C10" s="84" t="str">
        <f ca="1">VLOOKUP($B10,OFFSET([2]quests!$A$1,0,0,COUNTA([2]quests!$A:$A),MATCH(C$1,[2]quests!$1:$1,0)-MATCH($B$1,[2]quests!$1:$1,0)+1),MATCH(C$1,[2]quests!$1:$1,0)-MATCH($B$1,[2]quests!$1:$1,0)+1,FALSE)</f>
        <v>ホワイトデー★特別クエスト</v>
      </c>
      <c r="D10" s="84" t="str">
        <f ca="1">VLOOKUP($B10,OFFSET([2]quests!$A$1,0,0,COUNTA([2]quests!$A:$A),MATCH(D$1,[2]quests!$1:$1,0)-MATCH($B$1,[2]quests!$1:$1,0)+1),MATCH(D$1,[2]quests!$1:$1,0)-MATCH($B$1,[2]quests!$1:$1,0)+1,FALSE)</f>
        <v>2016年ホワイトデークエスト</v>
      </c>
      <c r="E10" s="88" t="s">
        <v>218</v>
      </c>
      <c r="F10" s="84" t="e">
        <f ca="1">VLOOKUP($B10&amp;"_"&amp;$E10,OFFSET([2]stages!$A$1,0,0,COUNTA([2]stages!$A:$A),MATCH(F$1,[2]stages!$2:$2,0)-MATCH("temp_stage",[2]stages!$2:$2,0)+1),MATCH(F$1,[2]stages!$2:$2,0)-MATCH("temp_stage",[2]stages!$2:$2,0)+1,FALSE)</f>
        <v>#N/A</v>
      </c>
      <c r="G10" s="84" t="e">
        <f ca="1">VLOOKUP($B10&amp;"_"&amp;$E10,OFFSET([2]stages!$A$1,0,0,COUNTA([2]stages!$A:$A),MATCH(G$1,[2]stages!$2:$2,0)-MATCH("temp_stage",[2]stages!$2:$2,0)+1),MATCH(G$1,[2]stages!$2:$2,0)-MATCH("temp_stage",[2]stages!$2:$2,0)+1,FALSE)</f>
        <v>#N/A</v>
      </c>
      <c r="H10" s="86">
        <v>0</v>
      </c>
      <c r="I10">
        <v>10</v>
      </c>
      <c r="J10" s="85" t="s">
        <v>200</v>
      </c>
      <c r="K10" s="95" t="str">
        <f>VLOOKUP(I10,[7]stage_hints!$A:$C,3,FALSE)</f>
        <v>土日に大量のビットを獲得</v>
      </c>
      <c r="L10" s="96" t="str">
        <f>VLOOKUP(I10,[7]stage_hints!$A:$D,4,FALSE)</f>
        <v>土日限定の「ゴールドカジノ」では_x000D_売却素材ユニットが多く手に入ります</v>
      </c>
      <c r="M10" s="57" t="s">
        <v>215</v>
      </c>
    </row>
    <row r="11" spans="1:13">
      <c r="A11" s="82" t="s">
        <v>203</v>
      </c>
      <c r="B11" s="83">
        <f>floors!$C$2</f>
        <v>11220</v>
      </c>
      <c r="C11" s="84" t="str">
        <f ca="1">VLOOKUP($B11,OFFSET([2]quests!$A$1,0,0,COUNTA([2]quests!$A:$A),MATCH(C$1,[2]quests!$1:$1,0)-MATCH($B$1,[2]quests!$1:$1,0)+1),MATCH(C$1,[2]quests!$1:$1,0)-MATCH($B$1,[2]quests!$1:$1,0)+1,FALSE)</f>
        <v>ホワイトデー★特別クエスト</v>
      </c>
      <c r="D11" s="84" t="str">
        <f ca="1">VLOOKUP($B11,OFFSET([2]quests!$A$1,0,0,COUNTA([2]quests!$A:$A),MATCH(D$1,[2]quests!$1:$1,0)-MATCH($B$1,[2]quests!$1:$1,0)+1),MATCH(D$1,[2]quests!$1:$1,0)-MATCH($B$1,[2]quests!$1:$1,0)+1,FALSE)</f>
        <v>2016年ホワイトデークエスト</v>
      </c>
      <c r="E11" s="88" t="s">
        <v>218</v>
      </c>
      <c r="F11" s="84" t="e">
        <f ca="1">VLOOKUP($B11&amp;"_"&amp;$E11,OFFSET([2]stages!$A$1,0,0,COUNTA([2]stages!$A:$A),MATCH(F$1,[2]stages!$2:$2,0)-MATCH("temp_stage",[2]stages!$2:$2,0)+1),MATCH(F$1,[2]stages!$2:$2,0)-MATCH("temp_stage",[2]stages!$2:$2,0)+1,FALSE)</f>
        <v>#N/A</v>
      </c>
      <c r="G11" s="84" t="e">
        <f ca="1">VLOOKUP($B11&amp;"_"&amp;$E11,OFFSET([2]stages!$A$1,0,0,COUNTA([2]stages!$A:$A),MATCH(G$1,[2]stages!$2:$2,0)-MATCH("temp_stage",[2]stages!$2:$2,0)+1),MATCH(G$1,[2]stages!$2:$2,0)-MATCH("temp_stage",[2]stages!$2:$2,0)+1,FALSE)</f>
        <v>#N/A</v>
      </c>
      <c r="H11" s="86">
        <v>0</v>
      </c>
      <c r="I11">
        <v>11</v>
      </c>
      <c r="J11" s="85" t="s">
        <v>200</v>
      </c>
      <c r="K11" s="95" t="str">
        <f>VLOOKUP(I11,[7]stage_hints!$A:$C,3,FALSE)</f>
        <v>ランク解放クエスト</v>
      </c>
      <c r="L11" s="96" t="str">
        <f>VLOOKUP(I11,[7]stage_hints!$A:$D,4,FALSE)</f>
        <v>一定ランクに到達すると_x000D_報酬付きのランク開放クエストが現れます</v>
      </c>
      <c r="M11" s="57" t="s">
        <v>215</v>
      </c>
    </row>
    <row r="12" spans="1:13">
      <c r="A12" s="82" t="s">
        <v>203</v>
      </c>
      <c r="B12" s="83">
        <f>floors!$C$2</f>
        <v>11220</v>
      </c>
      <c r="C12" s="84" t="str">
        <f ca="1">VLOOKUP($B12,OFFSET([2]quests!$A$1,0,0,COUNTA([2]quests!$A:$A),MATCH(C$1,[2]quests!$1:$1,0)-MATCH($B$1,[2]quests!$1:$1,0)+1),MATCH(C$1,[2]quests!$1:$1,0)-MATCH($B$1,[2]quests!$1:$1,0)+1,FALSE)</f>
        <v>ホワイトデー★特別クエスト</v>
      </c>
      <c r="D12" s="84" t="str">
        <f ca="1">VLOOKUP($B12,OFFSET([2]quests!$A$1,0,0,COUNTA([2]quests!$A:$A),MATCH(D$1,[2]quests!$1:$1,0)-MATCH($B$1,[2]quests!$1:$1,0)+1),MATCH(D$1,[2]quests!$1:$1,0)-MATCH($B$1,[2]quests!$1:$1,0)+1,FALSE)</f>
        <v>2016年ホワイトデークエスト</v>
      </c>
      <c r="E12" s="88" t="s">
        <v>218</v>
      </c>
      <c r="F12" s="84" t="e">
        <f ca="1">VLOOKUP($B12&amp;"_"&amp;$E12,OFFSET([2]stages!$A$1,0,0,COUNTA([2]stages!$A:$A),MATCH(F$1,[2]stages!$2:$2,0)-MATCH("temp_stage",[2]stages!$2:$2,0)+1),MATCH(F$1,[2]stages!$2:$2,0)-MATCH("temp_stage",[2]stages!$2:$2,0)+1,FALSE)</f>
        <v>#N/A</v>
      </c>
      <c r="G12" s="84" t="e">
        <f ca="1">VLOOKUP($B12&amp;"_"&amp;$E12,OFFSET([2]stages!$A$1,0,0,COUNTA([2]stages!$A:$A),MATCH(G$1,[2]stages!$2:$2,0)-MATCH("temp_stage",[2]stages!$2:$2,0)+1),MATCH(G$1,[2]stages!$2:$2,0)-MATCH("temp_stage",[2]stages!$2:$2,0)+1,FALSE)</f>
        <v>#N/A</v>
      </c>
      <c r="H12" s="86">
        <v>0</v>
      </c>
      <c r="I12">
        <v>12</v>
      </c>
      <c r="J12" s="85" t="s">
        <v>200</v>
      </c>
      <c r="K12" s="95" t="str">
        <f>VLOOKUP(I12,[7]stage_hints!$A:$C,3,FALSE)</f>
        <v>ユニットのお気に入り登録</v>
      </c>
      <c r="L12" s="96" t="str">
        <f>VLOOKUP(I12,[7]stage_hints!$A:$D,4,FALSE)</f>
        <v>大事なユニットを誤って消さないように_x000D_フォルダから「お気に入り登録」しましょう</v>
      </c>
      <c r="M12" s="57" t="s">
        <v>215</v>
      </c>
    </row>
    <row r="13" spans="1:13">
      <c r="A13" s="82" t="s">
        <v>203</v>
      </c>
      <c r="B13" s="83">
        <f>floors!$C$2</f>
        <v>11220</v>
      </c>
      <c r="C13" s="84" t="str">
        <f ca="1">VLOOKUP($B13,OFFSET([2]quests!$A$1,0,0,COUNTA([2]quests!$A:$A),MATCH(C$1,[2]quests!$1:$1,0)-MATCH($B$1,[2]quests!$1:$1,0)+1),MATCH(C$1,[2]quests!$1:$1,0)-MATCH($B$1,[2]quests!$1:$1,0)+1,FALSE)</f>
        <v>ホワイトデー★特別クエスト</v>
      </c>
      <c r="D13" s="84" t="str">
        <f ca="1">VLOOKUP($B13,OFFSET([2]quests!$A$1,0,0,COUNTA([2]quests!$A:$A),MATCH(D$1,[2]quests!$1:$1,0)-MATCH($B$1,[2]quests!$1:$1,0)+1),MATCH(D$1,[2]quests!$1:$1,0)-MATCH($B$1,[2]quests!$1:$1,0)+1,FALSE)</f>
        <v>2016年ホワイトデークエスト</v>
      </c>
      <c r="E13" s="88" t="s">
        <v>218</v>
      </c>
      <c r="F13" s="84" t="e">
        <f ca="1">VLOOKUP($B13&amp;"_"&amp;$E13,OFFSET([2]stages!$A$1,0,0,COUNTA([2]stages!$A:$A),MATCH(F$1,[2]stages!$2:$2,0)-MATCH("temp_stage",[2]stages!$2:$2,0)+1),MATCH(F$1,[2]stages!$2:$2,0)-MATCH("temp_stage",[2]stages!$2:$2,0)+1,FALSE)</f>
        <v>#N/A</v>
      </c>
      <c r="G13" s="84" t="e">
        <f ca="1">VLOOKUP($B13&amp;"_"&amp;$E13,OFFSET([2]stages!$A$1,0,0,COUNTA([2]stages!$A:$A),MATCH(G$1,[2]stages!$2:$2,0)-MATCH("temp_stage",[2]stages!$2:$2,0)+1),MATCH(G$1,[2]stages!$2:$2,0)-MATCH("temp_stage",[2]stages!$2:$2,0)+1,FALSE)</f>
        <v>#N/A</v>
      </c>
      <c r="H13" s="86">
        <v>0</v>
      </c>
      <c r="I13">
        <v>13</v>
      </c>
      <c r="J13" s="85" t="s">
        <v>200</v>
      </c>
      <c r="K13" s="95" t="str">
        <f>VLOOKUP(I13,[7]stage_hints!$A:$C,3,FALSE)</f>
        <v>ユニットの覚醒</v>
      </c>
      <c r="L13" s="96" t="str">
        <f>VLOOKUP(I13,[7]stage_hints!$A:$D,4,FALSE)</f>
        <v>ユニットを覚醒させると_x000D_比べものにならない強さが手に入ります</v>
      </c>
      <c r="M13" s="57" t="s">
        <v>215</v>
      </c>
    </row>
    <row r="14" spans="1:13">
      <c r="A14" s="82" t="s">
        <v>203</v>
      </c>
      <c r="B14" s="83">
        <f>floors!$C$2</f>
        <v>11220</v>
      </c>
      <c r="C14" s="84" t="str">
        <f ca="1">VLOOKUP($B14,OFFSET([2]quests!$A$1,0,0,COUNTA([2]quests!$A:$A),MATCH(C$1,[2]quests!$1:$1,0)-MATCH($B$1,[2]quests!$1:$1,0)+1),MATCH(C$1,[2]quests!$1:$1,0)-MATCH($B$1,[2]quests!$1:$1,0)+1,FALSE)</f>
        <v>ホワイトデー★特別クエスト</v>
      </c>
      <c r="D14" s="84" t="str">
        <f ca="1">VLOOKUP($B14,OFFSET([2]quests!$A$1,0,0,COUNTA([2]quests!$A:$A),MATCH(D$1,[2]quests!$1:$1,0)-MATCH($B$1,[2]quests!$1:$1,0)+1),MATCH(D$1,[2]quests!$1:$1,0)-MATCH($B$1,[2]quests!$1:$1,0)+1,FALSE)</f>
        <v>2016年ホワイトデークエスト</v>
      </c>
      <c r="E14" s="88" t="s">
        <v>218</v>
      </c>
      <c r="F14" s="84" t="e">
        <f ca="1">VLOOKUP($B14&amp;"_"&amp;$E14,OFFSET([2]stages!$A$1,0,0,COUNTA([2]stages!$A:$A),MATCH(F$1,[2]stages!$2:$2,0)-MATCH("temp_stage",[2]stages!$2:$2,0)+1),MATCH(F$1,[2]stages!$2:$2,0)-MATCH("temp_stage",[2]stages!$2:$2,0)+1,FALSE)</f>
        <v>#N/A</v>
      </c>
      <c r="G14" s="84" t="e">
        <f ca="1">VLOOKUP($B14&amp;"_"&amp;$E14,OFFSET([2]stages!$A$1,0,0,COUNTA([2]stages!$A:$A),MATCH(G$1,[2]stages!$2:$2,0)-MATCH("temp_stage",[2]stages!$2:$2,0)+1),MATCH(G$1,[2]stages!$2:$2,0)-MATCH("temp_stage",[2]stages!$2:$2,0)+1,FALSE)</f>
        <v>#N/A</v>
      </c>
      <c r="H14" s="86">
        <v>0</v>
      </c>
      <c r="I14">
        <v>14</v>
      </c>
      <c r="J14" s="85" t="s">
        <v>200</v>
      </c>
      <c r="K14" s="95" t="str">
        <f>VLOOKUP(I14,[7]stage_hints!$A:$C,3,FALSE)</f>
        <v>覚醒するにはレベルを最大に</v>
      </c>
      <c r="L14" s="96" t="str">
        <f>VLOOKUP(I14,[7]stage_hints!$A:$D,4,FALSE)</f>
        <v>覚醒するにはユニットのレベルを_x000D_最大まで上げる必要があります</v>
      </c>
      <c r="M14" s="57" t="s">
        <v>215</v>
      </c>
    </row>
    <row r="15" spans="1:13">
      <c r="A15" s="82" t="s">
        <v>203</v>
      </c>
      <c r="B15" s="83">
        <f>floors!$C$2</f>
        <v>11220</v>
      </c>
      <c r="C15" s="84" t="str">
        <f ca="1">VLOOKUP($B15,OFFSET([2]quests!$A$1,0,0,COUNTA([2]quests!$A:$A),MATCH(C$1,[2]quests!$1:$1,0)-MATCH($B$1,[2]quests!$1:$1,0)+1),MATCH(C$1,[2]quests!$1:$1,0)-MATCH($B$1,[2]quests!$1:$1,0)+1,FALSE)</f>
        <v>ホワイトデー★特別クエスト</v>
      </c>
      <c r="D15" s="84" t="str">
        <f ca="1">VLOOKUP($B15,OFFSET([2]quests!$A$1,0,0,COUNTA([2]quests!$A:$A),MATCH(D$1,[2]quests!$1:$1,0)-MATCH($B$1,[2]quests!$1:$1,0)+1),MATCH(D$1,[2]quests!$1:$1,0)-MATCH($B$1,[2]quests!$1:$1,0)+1,FALSE)</f>
        <v>2016年ホワイトデークエスト</v>
      </c>
      <c r="E15" s="88" t="s">
        <v>218</v>
      </c>
      <c r="F15" s="84" t="e">
        <f ca="1">VLOOKUP($B15&amp;"_"&amp;$E15,OFFSET([2]stages!$A$1,0,0,COUNTA([2]stages!$A:$A),MATCH(F$1,[2]stages!$2:$2,0)-MATCH("temp_stage",[2]stages!$2:$2,0)+1),MATCH(F$1,[2]stages!$2:$2,0)-MATCH("temp_stage",[2]stages!$2:$2,0)+1,FALSE)</f>
        <v>#N/A</v>
      </c>
      <c r="G15" s="84" t="e">
        <f ca="1">VLOOKUP($B15&amp;"_"&amp;$E15,OFFSET([2]stages!$A$1,0,0,COUNTA([2]stages!$A:$A),MATCH(G$1,[2]stages!$2:$2,0)-MATCH("temp_stage",[2]stages!$2:$2,0)+1),MATCH(G$1,[2]stages!$2:$2,0)-MATCH("temp_stage",[2]stages!$2:$2,0)+1,FALSE)</f>
        <v>#N/A</v>
      </c>
      <c r="H15" s="86">
        <v>0</v>
      </c>
      <c r="I15">
        <v>15</v>
      </c>
      <c r="J15" s="85" t="s">
        <v>200</v>
      </c>
      <c r="K15" s="95" t="str">
        <f>VLOOKUP(I15,[7]stage_hints!$A:$C,3,FALSE)</f>
        <v>覚醒素材を獲得</v>
      </c>
      <c r="L15" s="96" t="str">
        <f>VLOOKUP(I15,[7]stage_hints!$A:$D,4,FALSE)</f>
        <v>「曜日クエスト」では_x000D_ユニットの覚醒に必要な素材が手に入ります</v>
      </c>
      <c r="M15" s="57" t="s">
        <v>215</v>
      </c>
    </row>
    <row r="16" spans="1:13">
      <c r="A16" s="82" t="s">
        <v>203</v>
      </c>
      <c r="B16" s="83">
        <f>floors!$C$2</f>
        <v>11220</v>
      </c>
      <c r="C16" s="84" t="str">
        <f ca="1">VLOOKUP($B16,OFFSET([2]quests!$A$1,0,0,COUNTA([2]quests!$A:$A),MATCH(C$1,[2]quests!$1:$1,0)-MATCH($B$1,[2]quests!$1:$1,0)+1),MATCH(C$1,[2]quests!$1:$1,0)-MATCH($B$1,[2]quests!$1:$1,0)+1,FALSE)</f>
        <v>ホワイトデー★特別クエスト</v>
      </c>
      <c r="D16" s="84" t="str">
        <f ca="1">VLOOKUP($B16,OFFSET([2]quests!$A$1,0,0,COUNTA([2]quests!$A:$A),MATCH(D$1,[2]quests!$1:$1,0)-MATCH($B$1,[2]quests!$1:$1,0)+1),MATCH(D$1,[2]quests!$1:$1,0)-MATCH($B$1,[2]quests!$1:$1,0)+1,FALSE)</f>
        <v>2016年ホワイトデークエスト</v>
      </c>
      <c r="E16" s="88" t="s">
        <v>218</v>
      </c>
      <c r="F16" s="84" t="e">
        <f ca="1">VLOOKUP($B16&amp;"_"&amp;$E16,OFFSET([2]stages!$A$1,0,0,COUNTA([2]stages!$A:$A),MATCH(F$1,[2]stages!$2:$2,0)-MATCH("temp_stage",[2]stages!$2:$2,0)+1),MATCH(F$1,[2]stages!$2:$2,0)-MATCH("temp_stage",[2]stages!$2:$2,0)+1,FALSE)</f>
        <v>#N/A</v>
      </c>
      <c r="G16" s="84" t="e">
        <f ca="1">VLOOKUP($B16&amp;"_"&amp;$E16,OFFSET([2]stages!$A$1,0,0,COUNTA([2]stages!$A:$A),MATCH(G$1,[2]stages!$2:$2,0)-MATCH("temp_stage",[2]stages!$2:$2,0)+1),MATCH(G$1,[2]stages!$2:$2,0)-MATCH("temp_stage",[2]stages!$2:$2,0)+1,FALSE)</f>
        <v>#N/A</v>
      </c>
      <c r="H16" s="86">
        <v>0</v>
      </c>
      <c r="I16">
        <v>16</v>
      </c>
      <c r="J16" s="85" t="s">
        <v>200</v>
      </c>
      <c r="K16" s="95" t="str">
        <f>VLOOKUP(I16,[7]stage_hints!$A:$C,3,FALSE)</f>
        <v>マルチプレイのメリット（その1）</v>
      </c>
      <c r="L16" s="96" t="str">
        <f>VLOOKUP(I16,[7]stage_hints!$A:$D,4,FALSE)</f>
        <v>他のプレイヤーとマルチプレイで遊ぶと_x000D_ポリゴンがもらえます（100人まで）</v>
      </c>
      <c r="M16" s="57" t="s">
        <v>215</v>
      </c>
    </row>
    <row r="17" spans="1:13">
      <c r="A17" s="82" t="s">
        <v>203</v>
      </c>
      <c r="B17" s="83">
        <f>floors!$C$2</f>
        <v>11220</v>
      </c>
      <c r="C17" s="84" t="str">
        <f ca="1">VLOOKUP($B17,OFFSET([2]quests!$A$1,0,0,COUNTA([2]quests!$A:$A),MATCH(C$1,[2]quests!$1:$1,0)-MATCH($B$1,[2]quests!$1:$1,0)+1),MATCH(C$1,[2]quests!$1:$1,0)-MATCH($B$1,[2]quests!$1:$1,0)+1,FALSE)</f>
        <v>ホワイトデー★特別クエスト</v>
      </c>
      <c r="D17" s="84" t="str">
        <f ca="1">VLOOKUP($B17,OFFSET([2]quests!$A$1,0,0,COUNTA([2]quests!$A:$A),MATCH(D$1,[2]quests!$1:$1,0)-MATCH($B$1,[2]quests!$1:$1,0)+1),MATCH(D$1,[2]quests!$1:$1,0)-MATCH($B$1,[2]quests!$1:$1,0)+1,FALSE)</f>
        <v>2016年ホワイトデークエスト</v>
      </c>
      <c r="E17" s="88" t="s">
        <v>218</v>
      </c>
      <c r="F17" s="84" t="e">
        <f ca="1">VLOOKUP($B17&amp;"_"&amp;$E17,OFFSET([2]stages!$A$1,0,0,COUNTA([2]stages!$A:$A),MATCH(F$1,[2]stages!$2:$2,0)-MATCH("temp_stage",[2]stages!$2:$2,0)+1),MATCH(F$1,[2]stages!$2:$2,0)-MATCH("temp_stage",[2]stages!$2:$2,0)+1,FALSE)</f>
        <v>#N/A</v>
      </c>
      <c r="G17" s="84" t="e">
        <f ca="1">VLOOKUP($B17&amp;"_"&amp;$E17,OFFSET([2]stages!$A$1,0,0,COUNTA([2]stages!$A:$A),MATCH(G$1,[2]stages!$2:$2,0)-MATCH("temp_stage",[2]stages!$2:$2,0)+1),MATCH(G$1,[2]stages!$2:$2,0)-MATCH("temp_stage",[2]stages!$2:$2,0)+1,FALSE)</f>
        <v>#N/A</v>
      </c>
      <c r="H17" s="86">
        <v>0</v>
      </c>
      <c r="I17">
        <v>17</v>
      </c>
      <c r="J17" s="85" t="s">
        <v>200</v>
      </c>
      <c r="K17" s="95" t="str">
        <f>VLOOKUP(I17,[7]stage_hints!$A:$C,3,FALSE)</f>
        <v>リンクガチャ</v>
      </c>
      <c r="L17" s="96" t="str">
        <f>VLOOKUP(I17,[7]stage_hints!$A:$D,4,FALSE)</f>
        <v>無料のリンクガチャを回して_x000D_経験値素材や売却素材を獲得しましょう</v>
      </c>
      <c r="M17" s="57" t="s">
        <v>215</v>
      </c>
    </row>
    <row r="18" spans="1:13">
      <c r="A18" s="82" t="s">
        <v>203</v>
      </c>
      <c r="B18" s="83">
        <f>floors!$C$2</f>
        <v>11220</v>
      </c>
      <c r="C18" s="84" t="str">
        <f ca="1">VLOOKUP($B18,OFFSET([2]quests!$A$1,0,0,COUNTA([2]quests!$A:$A),MATCH(C$1,[2]quests!$1:$1,0)-MATCH($B$1,[2]quests!$1:$1,0)+1),MATCH(C$1,[2]quests!$1:$1,0)-MATCH($B$1,[2]quests!$1:$1,0)+1,FALSE)</f>
        <v>ホワイトデー★特別クエスト</v>
      </c>
      <c r="D18" s="84" t="str">
        <f ca="1">VLOOKUP($B18,OFFSET([2]quests!$A$1,0,0,COUNTA([2]quests!$A:$A),MATCH(D$1,[2]quests!$1:$1,0)-MATCH($B$1,[2]quests!$1:$1,0)+1),MATCH(D$1,[2]quests!$1:$1,0)-MATCH($B$1,[2]quests!$1:$1,0)+1,FALSE)</f>
        <v>2016年ホワイトデークエスト</v>
      </c>
      <c r="E18" s="88" t="s">
        <v>218</v>
      </c>
      <c r="F18" s="84" t="e">
        <f ca="1">VLOOKUP($B18&amp;"_"&amp;$E18,OFFSET([2]stages!$A$1,0,0,COUNTA([2]stages!$A:$A),MATCH(F$1,[2]stages!$2:$2,0)-MATCH("temp_stage",[2]stages!$2:$2,0)+1),MATCH(F$1,[2]stages!$2:$2,0)-MATCH("temp_stage",[2]stages!$2:$2,0)+1,FALSE)</f>
        <v>#N/A</v>
      </c>
      <c r="G18" s="84" t="e">
        <f ca="1">VLOOKUP($B18&amp;"_"&amp;$E18,OFFSET([2]stages!$A$1,0,0,COUNTA([2]stages!$A:$A),MATCH(G$1,[2]stages!$2:$2,0)-MATCH("temp_stage",[2]stages!$2:$2,0)+1),MATCH(G$1,[2]stages!$2:$2,0)-MATCH("temp_stage",[2]stages!$2:$2,0)+1,FALSE)</f>
        <v>#N/A</v>
      </c>
      <c r="H18" s="86">
        <v>0</v>
      </c>
      <c r="I18">
        <v>18</v>
      </c>
      <c r="J18" s="85" t="s">
        <v>200</v>
      </c>
      <c r="K18" s="95" t="str">
        <f>VLOOKUP(I18,[7]stage_hints!$A:$C,3,FALSE)</f>
        <v>マルチプレイのメリット（その2）</v>
      </c>
      <c r="L18" s="96" t="str">
        <f>VLOOKUP(I18,[7]stage_hints!$A:$D,4,FALSE)</f>
        <v>マルチプレイならリンクが2倍もらえます_x000D_リンクガチャをたくさん回しましょう</v>
      </c>
      <c r="M18" s="57" t="s">
        <v>215</v>
      </c>
    </row>
    <row r="19" spans="1:13">
      <c r="A19" s="82" t="s">
        <v>203</v>
      </c>
      <c r="B19" s="83">
        <f>floors!$C$2</f>
        <v>11220</v>
      </c>
      <c r="C19" s="84" t="str">
        <f ca="1">VLOOKUP($B19,OFFSET([2]quests!$A$1,0,0,COUNTA([2]quests!$A:$A),MATCH(C$1,[2]quests!$1:$1,0)-MATCH($B$1,[2]quests!$1:$1,0)+1),MATCH(C$1,[2]quests!$1:$1,0)-MATCH($B$1,[2]quests!$1:$1,0)+1,FALSE)</f>
        <v>ホワイトデー★特別クエスト</v>
      </c>
      <c r="D19" s="84" t="str">
        <f ca="1">VLOOKUP($B19,OFFSET([2]quests!$A$1,0,0,COUNTA([2]quests!$A:$A),MATCH(D$1,[2]quests!$1:$1,0)-MATCH($B$1,[2]quests!$1:$1,0)+1),MATCH(D$1,[2]quests!$1:$1,0)-MATCH($B$1,[2]quests!$1:$1,0)+1,FALSE)</f>
        <v>2016年ホワイトデークエスト</v>
      </c>
      <c r="E19" s="88" t="s">
        <v>218</v>
      </c>
      <c r="F19" s="84" t="e">
        <f ca="1">VLOOKUP($B19&amp;"_"&amp;$E19,OFFSET([2]stages!$A$1,0,0,COUNTA([2]stages!$A:$A),MATCH(F$1,[2]stages!$2:$2,0)-MATCH("temp_stage",[2]stages!$2:$2,0)+1),MATCH(F$1,[2]stages!$2:$2,0)-MATCH("temp_stage",[2]stages!$2:$2,0)+1,FALSE)</f>
        <v>#N/A</v>
      </c>
      <c r="G19" s="84" t="e">
        <f ca="1">VLOOKUP($B19&amp;"_"&amp;$E19,OFFSET([2]stages!$A$1,0,0,COUNTA([2]stages!$A:$A),MATCH(G$1,[2]stages!$2:$2,0)-MATCH("temp_stage",[2]stages!$2:$2,0)+1),MATCH(G$1,[2]stages!$2:$2,0)-MATCH("temp_stage",[2]stages!$2:$2,0)+1,FALSE)</f>
        <v>#N/A</v>
      </c>
      <c r="H19" s="86">
        <v>0</v>
      </c>
      <c r="I19">
        <v>19</v>
      </c>
      <c r="J19" s="85" t="s">
        <v>200</v>
      </c>
      <c r="K19" s="95" t="str">
        <f>VLOOKUP(I19,[7]stage_hints!$A:$C,3,FALSE)</f>
        <v>ソロ専用チャレンジタワー</v>
      </c>
      <c r="L19" s="96" t="str">
        <f>VLOOKUP(I19,[7]stage_hints!$A:$D,4,FALSE)</f>
        <v>ソロ専用の「チャレンジタワー」では_x000D_各フロアごとにクリア報酬がもらえます</v>
      </c>
      <c r="M19" s="57" t="s">
        <v>215</v>
      </c>
    </row>
    <row r="20" spans="1:13">
      <c r="A20" s="82" t="s">
        <v>203</v>
      </c>
      <c r="B20" s="83">
        <f>floors!$C$2</f>
        <v>11220</v>
      </c>
      <c r="C20" s="84" t="str">
        <f ca="1">VLOOKUP($B20,OFFSET([2]quests!$A$1,0,0,COUNTA([2]quests!$A:$A),MATCH(C$1,[2]quests!$1:$1,0)-MATCH($B$1,[2]quests!$1:$1,0)+1),MATCH(C$1,[2]quests!$1:$1,0)-MATCH($B$1,[2]quests!$1:$1,0)+1,FALSE)</f>
        <v>ホワイトデー★特別クエスト</v>
      </c>
      <c r="D20" s="84" t="str">
        <f ca="1">VLOOKUP($B20,OFFSET([2]quests!$A$1,0,0,COUNTA([2]quests!$A:$A),MATCH(D$1,[2]quests!$1:$1,0)-MATCH($B$1,[2]quests!$1:$1,0)+1),MATCH(D$1,[2]quests!$1:$1,0)-MATCH($B$1,[2]quests!$1:$1,0)+1,FALSE)</f>
        <v>2016年ホワイトデークエスト</v>
      </c>
      <c r="E20" s="88" t="s">
        <v>218</v>
      </c>
      <c r="F20" s="84" t="e">
        <f ca="1">VLOOKUP($B20&amp;"_"&amp;$E20,OFFSET([2]stages!$A$1,0,0,COUNTA([2]stages!$A:$A),MATCH(F$1,[2]stages!$2:$2,0)-MATCH("temp_stage",[2]stages!$2:$2,0)+1),MATCH(F$1,[2]stages!$2:$2,0)-MATCH("temp_stage",[2]stages!$2:$2,0)+1,FALSE)</f>
        <v>#N/A</v>
      </c>
      <c r="G20" s="84" t="e">
        <f ca="1">VLOOKUP($B20&amp;"_"&amp;$E20,OFFSET([2]stages!$A$1,0,0,COUNTA([2]stages!$A:$A),MATCH(G$1,[2]stages!$2:$2,0)-MATCH("temp_stage",[2]stages!$2:$2,0)+1),MATCH(G$1,[2]stages!$2:$2,0)-MATCH("temp_stage",[2]stages!$2:$2,0)+1,FALSE)</f>
        <v>#N/A</v>
      </c>
      <c r="H20" s="86">
        <v>0</v>
      </c>
      <c r="I20">
        <v>20</v>
      </c>
      <c r="J20" s="85" t="s">
        <v>200</v>
      </c>
      <c r="K20" s="95" t="str">
        <f>VLOOKUP(I20,[7]stage_hints!$A:$C,3,FALSE)</f>
        <v>マルチプレイのメリット（その3）</v>
      </c>
      <c r="L20" s="96" t="str">
        <f>VLOOKUP(I20,[7]stage_hints!$A:$D,4,FALSE)</f>
        <v>マルチプレイへの参加はエナジー消費ゼロ_x000D_いつでも好きなだけ遊ぶことができます</v>
      </c>
      <c r="M20" s="57" t="s">
        <v>215</v>
      </c>
    </row>
    <row r="21" spans="1:13">
      <c r="A21" s="82" t="s">
        <v>203</v>
      </c>
      <c r="B21" s="83">
        <f>floors!$C$2</f>
        <v>11220</v>
      </c>
      <c r="C21" s="84" t="str">
        <f ca="1">VLOOKUP($B21,OFFSET([2]quests!$A$1,0,0,COUNTA([2]quests!$A:$A),MATCH(C$1,[2]quests!$1:$1,0)-MATCH($B$1,[2]quests!$1:$1,0)+1),MATCH(C$1,[2]quests!$1:$1,0)-MATCH($B$1,[2]quests!$1:$1,0)+1,FALSE)</f>
        <v>ホワイトデー★特別クエスト</v>
      </c>
      <c r="D21" s="84" t="str">
        <f ca="1">VLOOKUP($B21,OFFSET([2]quests!$A$1,0,0,COUNTA([2]quests!$A:$A),MATCH(D$1,[2]quests!$1:$1,0)-MATCH($B$1,[2]quests!$1:$1,0)+1),MATCH(D$1,[2]quests!$1:$1,0)-MATCH($B$1,[2]quests!$1:$1,0)+1,FALSE)</f>
        <v>2016年ホワイトデークエスト</v>
      </c>
      <c r="E21" s="88" t="s">
        <v>218</v>
      </c>
      <c r="F21" s="84" t="e">
        <f ca="1">VLOOKUP($B21&amp;"_"&amp;$E21,OFFSET([2]stages!$A$1,0,0,COUNTA([2]stages!$A:$A),MATCH(F$1,[2]stages!$2:$2,0)-MATCH("temp_stage",[2]stages!$2:$2,0)+1),MATCH(F$1,[2]stages!$2:$2,0)-MATCH("temp_stage",[2]stages!$2:$2,0)+1,FALSE)</f>
        <v>#N/A</v>
      </c>
      <c r="G21" s="84" t="e">
        <f ca="1">VLOOKUP($B21&amp;"_"&amp;$E21,OFFSET([2]stages!$A$1,0,0,COUNTA([2]stages!$A:$A),MATCH(G$1,[2]stages!$2:$2,0)-MATCH("temp_stage",[2]stages!$2:$2,0)+1),MATCH(G$1,[2]stages!$2:$2,0)-MATCH("temp_stage",[2]stages!$2:$2,0)+1,FALSE)</f>
        <v>#N/A</v>
      </c>
      <c r="H21" s="86">
        <v>0</v>
      </c>
      <c r="I21">
        <v>21</v>
      </c>
      <c r="J21" s="85" t="s">
        <v>200</v>
      </c>
      <c r="K21" s="95" t="str">
        <f>VLOOKUP(I21,[7]stage_hints!$A:$C,3,FALSE)</f>
        <v>スキルを有効に</v>
      </c>
      <c r="L21" s="96" t="str">
        <f>VLOOKUP(I21,[7]stage_hints!$A:$D,4,FALSE)</f>
        <v>ターン経過でユニットのスキルが使えます_x000D_強力スキルでバトルを有利に進めましょう</v>
      </c>
      <c r="M21" s="57" t="s">
        <v>215</v>
      </c>
    </row>
    <row r="22" spans="1:13">
      <c r="A22" s="82" t="s">
        <v>203</v>
      </c>
      <c r="B22" s="83">
        <f>floors!$C$2</f>
        <v>11220</v>
      </c>
      <c r="C22" s="84" t="str">
        <f ca="1">VLOOKUP($B22,OFFSET([2]quests!$A$1,0,0,COUNTA([2]quests!$A:$A),MATCH(C$1,[2]quests!$1:$1,0)-MATCH($B$1,[2]quests!$1:$1,0)+1),MATCH(C$1,[2]quests!$1:$1,0)-MATCH($B$1,[2]quests!$1:$1,0)+1,FALSE)</f>
        <v>ホワイトデー★特別クエスト</v>
      </c>
      <c r="D22" s="84" t="str">
        <f ca="1">VLOOKUP($B22,OFFSET([2]quests!$A$1,0,0,COUNTA([2]quests!$A:$A),MATCH(D$1,[2]quests!$1:$1,0)-MATCH($B$1,[2]quests!$1:$1,0)+1),MATCH(D$1,[2]quests!$1:$1,0)-MATCH($B$1,[2]quests!$1:$1,0)+1,FALSE)</f>
        <v>2016年ホワイトデークエスト</v>
      </c>
      <c r="E22" s="88" t="s">
        <v>218</v>
      </c>
      <c r="F22" s="84" t="e">
        <f ca="1">VLOOKUP($B22&amp;"_"&amp;$E22,OFFSET([2]stages!$A$1,0,0,COUNTA([2]stages!$A:$A),MATCH(F$1,[2]stages!$2:$2,0)-MATCH("temp_stage",[2]stages!$2:$2,0)+1),MATCH(F$1,[2]stages!$2:$2,0)-MATCH("temp_stage",[2]stages!$2:$2,0)+1,FALSE)</f>
        <v>#N/A</v>
      </c>
      <c r="G22" s="84" t="e">
        <f ca="1">VLOOKUP($B22&amp;"_"&amp;$E22,OFFSET([2]stages!$A$1,0,0,COUNTA([2]stages!$A:$A),MATCH(G$1,[2]stages!$2:$2,0)-MATCH("temp_stage",[2]stages!$2:$2,0)+1),MATCH(G$1,[2]stages!$2:$2,0)-MATCH("temp_stage",[2]stages!$2:$2,0)+1,FALSE)</f>
        <v>#N/A</v>
      </c>
      <c r="H22" s="86">
        <v>0</v>
      </c>
      <c r="I22">
        <v>22</v>
      </c>
      <c r="J22" s="85" t="s">
        <v>200</v>
      </c>
      <c r="K22" s="95" t="str">
        <f>VLOOKUP(I22,[7]stage_hints!$A:$C,3,FALSE)</f>
        <v>フィーバーで一発逆転（その1）</v>
      </c>
      <c r="L22" s="96" t="str">
        <f>VLOOKUP(I22,[7]stage_hints!$A:$D,4,FALSE)</f>
        <v>フィーバーは攻撃と回復を兼ね備えます_x000D_ピンチからの一発逆転を狙いましょう</v>
      </c>
      <c r="M22" s="57" t="s">
        <v>215</v>
      </c>
    </row>
    <row r="23" spans="1:13">
      <c r="A23" s="82" t="s">
        <v>203</v>
      </c>
      <c r="B23" s="83">
        <f>floors!$C$2</f>
        <v>11220</v>
      </c>
      <c r="C23" s="84" t="str">
        <f ca="1">VLOOKUP($B23,OFFSET([2]quests!$A$1,0,0,COUNTA([2]quests!$A:$A),MATCH(C$1,[2]quests!$1:$1,0)-MATCH($B$1,[2]quests!$1:$1,0)+1),MATCH(C$1,[2]quests!$1:$1,0)-MATCH($B$1,[2]quests!$1:$1,0)+1,FALSE)</f>
        <v>ホワイトデー★特別クエスト</v>
      </c>
      <c r="D23" s="84" t="str">
        <f ca="1">VLOOKUP($B23,OFFSET([2]quests!$A$1,0,0,COUNTA([2]quests!$A:$A),MATCH(D$1,[2]quests!$1:$1,0)-MATCH($B$1,[2]quests!$1:$1,0)+1),MATCH(D$1,[2]quests!$1:$1,0)-MATCH($B$1,[2]quests!$1:$1,0)+1,FALSE)</f>
        <v>2016年ホワイトデークエスト</v>
      </c>
      <c r="E23" s="88" t="s">
        <v>218</v>
      </c>
      <c r="F23" s="84" t="e">
        <f ca="1">VLOOKUP($B23&amp;"_"&amp;$E23,OFFSET([2]stages!$A$1,0,0,COUNTA([2]stages!$A:$A),MATCH(F$1,[2]stages!$2:$2,0)-MATCH("temp_stage",[2]stages!$2:$2,0)+1),MATCH(F$1,[2]stages!$2:$2,0)-MATCH("temp_stage",[2]stages!$2:$2,0)+1,FALSE)</f>
        <v>#N/A</v>
      </c>
      <c r="G23" s="84" t="e">
        <f ca="1">VLOOKUP($B23&amp;"_"&amp;$E23,OFFSET([2]stages!$A$1,0,0,COUNTA([2]stages!$A:$A),MATCH(G$1,[2]stages!$2:$2,0)-MATCH("temp_stage",[2]stages!$2:$2,0)+1),MATCH(G$1,[2]stages!$2:$2,0)-MATCH("temp_stage",[2]stages!$2:$2,0)+1,FALSE)</f>
        <v>#N/A</v>
      </c>
      <c r="H23" s="86">
        <v>0</v>
      </c>
      <c r="I23">
        <v>23</v>
      </c>
      <c r="J23" s="85" t="s">
        <v>200</v>
      </c>
      <c r="K23" s="95" t="str">
        <f>VLOOKUP(I23,[7]stage_hints!$A:$C,3,FALSE)</f>
        <v>フィーバーで一発逆転（その2）</v>
      </c>
      <c r="L23" s="96" t="str">
        <f>VLOOKUP(I23,[7]stage_hints!$A:$D,4,FALSE)</f>
        <v>フィーバー中は虹色のボムパネルを狙って_x000D_画面上のパネルを一気に破壊しましょう</v>
      </c>
      <c r="M23" s="57" t="s">
        <v>215</v>
      </c>
    </row>
    <row r="24" spans="1:13">
      <c r="A24" s="82" t="s">
        <v>203</v>
      </c>
      <c r="B24" s="83">
        <f>floors!$C$2</f>
        <v>11220</v>
      </c>
      <c r="C24" s="84" t="str">
        <f ca="1">VLOOKUP($B24,OFFSET([2]quests!$A$1,0,0,COUNTA([2]quests!$A:$A),MATCH(C$1,[2]quests!$1:$1,0)-MATCH($B$1,[2]quests!$1:$1,0)+1),MATCH(C$1,[2]quests!$1:$1,0)-MATCH($B$1,[2]quests!$1:$1,0)+1,FALSE)</f>
        <v>ホワイトデー★特別クエスト</v>
      </c>
      <c r="D24" s="84" t="str">
        <f ca="1">VLOOKUP($B24,OFFSET([2]quests!$A$1,0,0,COUNTA([2]quests!$A:$A),MATCH(D$1,[2]quests!$1:$1,0)-MATCH($B$1,[2]quests!$1:$1,0)+1),MATCH(D$1,[2]quests!$1:$1,0)-MATCH($B$1,[2]quests!$1:$1,0)+1,FALSE)</f>
        <v>2016年ホワイトデークエスト</v>
      </c>
      <c r="E24" s="88" t="s">
        <v>218</v>
      </c>
      <c r="F24" s="84" t="e">
        <f ca="1">VLOOKUP($B24&amp;"_"&amp;$E24,OFFSET([2]stages!$A$1,0,0,COUNTA([2]stages!$A:$A),MATCH(F$1,[2]stages!$2:$2,0)-MATCH("temp_stage",[2]stages!$2:$2,0)+1),MATCH(F$1,[2]stages!$2:$2,0)-MATCH("temp_stage",[2]stages!$2:$2,0)+1,FALSE)</f>
        <v>#N/A</v>
      </c>
      <c r="G24" s="84" t="e">
        <f ca="1">VLOOKUP($B24&amp;"_"&amp;$E24,OFFSET([2]stages!$A$1,0,0,COUNTA([2]stages!$A:$A),MATCH(G$1,[2]stages!$2:$2,0)-MATCH("temp_stage",[2]stages!$2:$2,0)+1),MATCH(G$1,[2]stages!$2:$2,0)-MATCH("temp_stage",[2]stages!$2:$2,0)+1,FALSE)</f>
        <v>#N/A</v>
      </c>
      <c r="H24" s="86">
        <v>0</v>
      </c>
      <c r="I24">
        <v>24</v>
      </c>
      <c r="J24" s="85" t="s">
        <v>200</v>
      </c>
      <c r="K24" s="95" t="str">
        <f>VLOOKUP(I24,[7]stage_hints!$A:$C,3,FALSE)</f>
        <v>りんごを使って限界突破</v>
      </c>
      <c r="L24" s="96" t="str">
        <f>VLOOKUP(I24,[7]stage_hints!$A:$D,4,FALSE)</f>
        <v>赤りんご(攻撃力) 青りんご(回復力)_x000D_緑りんご(体力)をユニット強化に使うと_x000D_ステータスが限界突破します（計99個迄）</v>
      </c>
      <c r="M24" s="57" t="s">
        <v>215</v>
      </c>
    </row>
    <row r="25" spans="1:13">
      <c r="A25" s="82" t="s">
        <v>203</v>
      </c>
      <c r="B25" s="83">
        <f>floors!$C$2</f>
        <v>11220</v>
      </c>
      <c r="C25" s="84" t="str">
        <f ca="1">VLOOKUP($B25,OFFSET([2]quests!$A$1,0,0,COUNTA([2]quests!$A:$A),MATCH(C$1,[2]quests!$1:$1,0)-MATCH($B$1,[2]quests!$1:$1,0)+1),MATCH(C$1,[2]quests!$1:$1,0)-MATCH($B$1,[2]quests!$1:$1,0)+1,FALSE)</f>
        <v>ホワイトデー★特別クエスト</v>
      </c>
      <c r="D25" s="84" t="str">
        <f ca="1">VLOOKUP($B25,OFFSET([2]quests!$A$1,0,0,COUNTA([2]quests!$A:$A),MATCH(D$1,[2]quests!$1:$1,0)-MATCH($B$1,[2]quests!$1:$1,0)+1),MATCH(D$1,[2]quests!$1:$1,0)-MATCH($B$1,[2]quests!$1:$1,0)+1,FALSE)</f>
        <v>2016年ホワイトデークエスト</v>
      </c>
      <c r="E25" s="88" t="s">
        <v>218</v>
      </c>
      <c r="F25" s="84" t="e">
        <f ca="1">VLOOKUP($B25&amp;"_"&amp;$E25,OFFSET([2]stages!$A$1,0,0,COUNTA([2]stages!$A:$A),MATCH(F$1,[2]stages!$2:$2,0)-MATCH("temp_stage",[2]stages!$2:$2,0)+1),MATCH(F$1,[2]stages!$2:$2,0)-MATCH("temp_stage",[2]stages!$2:$2,0)+1,FALSE)</f>
        <v>#N/A</v>
      </c>
      <c r="G25" s="84" t="e">
        <f ca="1">VLOOKUP($B25&amp;"_"&amp;$E25,OFFSET([2]stages!$A$1,0,0,COUNTA([2]stages!$A:$A),MATCH(G$1,[2]stages!$2:$2,0)-MATCH("temp_stage",[2]stages!$2:$2,0)+1),MATCH(G$1,[2]stages!$2:$2,0)-MATCH("temp_stage",[2]stages!$2:$2,0)+1,FALSE)</f>
        <v>#N/A</v>
      </c>
      <c r="H25" s="86">
        <v>0</v>
      </c>
      <c r="I25">
        <v>25</v>
      </c>
      <c r="J25" s="85" t="s">
        <v>200</v>
      </c>
      <c r="K25" s="95" t="str">
        <f>VLOOKUP(I25,[7]stage_hints!$A:$C,3,FALSE)</f>
        <v>スキルレベルアップ</v>
      </c>
      <c r="L25" s="96" t="str">
        <f>VLOOKUP(I25,[7]stage_hints!$A:$D,4,FALSE)</f>
        <v>「クリスタルのりんご」を強化に使うと_x000D_スキルレベルを上げることができます</v>
      </c>
      <c r="M25" s="57" t="s">
        <v>215</v>
      </c>
    </row>
    <row r="26" spans="1:13">
      <c r="A26" s="82" t="s">
        <v>203</v>
      </c>
      <c r="B26" s="83">
        <f>floors!$C$2</f>
        <v>11220</v>
      </c>
      <c r="C26" s="84" t="str">
        <f ca="1">VLOOKUP($B26,OFFSET([2]quests!$A$1,0,0,COUNTA([2]quests!$A:$A),MATCH(C$1,[2]quests!$1:$1,0)-MATCH($B$1,[2]quests!$1:$1,0)+1),MATCH(C$1,[2]quests!$1:$1,0)-MATCH($B$1,[2]quests!$1:$1,0)+1,FALSE)</f>
        <v>ホワイトデー★特別クエスト</v>
      </c>
      <c r="D26" s="84" t="str">
        <f ca="1">VLOOKUP($B26,OFFSET([2]quests!$A$1,0,0,COUNTA([2]quests!$A:$A),MATCH(D$1,[2]quests!$1:$1,0)-MATCH($B$1,[2]quests!$1:$1,0)+1),MATCH(D$1,[2]quests!$1:$1,0)-MATCH($B$1,[2]quests!$1:$1,0)+1,FALSE)</f>
        <v>2016年ホワイトデークエスト</v>
      </c>
      <c r="E26" s="88" t="s">
        <v>218</v>
      </c>
      <c r="F26" s="84" t="e">
        <f ca="1">VLOOKUP($B26&amp;"_"&amp;$E26,OFFSET([2]stages!$A$1,0,0,COUNTA([2]stages!$A:$A),MATCH(F$1,[2]stages!$2:$2,0)-MATCH("temp_stage",[2]stages!$2:$2,0)+1),MATCH(F$1,[2]stages!$2:$2,0)-MATCH("temp_stage",[2]stages!$2:$2,0)+1,FALSE)</f>
        <v>#N/A</v>
      </c>
      <c r="G26" s="84" t="e">
        <f ca="1">VLOOKUP($B26&amp;"_"&amp;$E26,OFFSET([2]stages!$A$1,0,0,COUNTA([2]stages!$A:$A),MATCH(G$1,[2]stages!$2:$2,0)-MATCH("temp_stage",[2]stages!$2:$2,0)+1),MATCH(G$1,[2]stages!$2:$2,0)-MATCH("temp_stage",[2]stages!$2:$2,0)+1,FALSE)</f>
        <v>#N/A</v>
      </c>
      <c r="H26" s="86">
        <v>0</v>
      </c>
      <c r="I26">
        <v>26</v>
      </c>
      <c r="J26" s="85" t="s">
        <v>200</v>
      </c>
      <c r="K26" s="95" t="str">
        <f>VLOOKUP(I26,[7]stage_hints!$A:$C,3,FALSE)</f>
        <v>スキルレベルの効果</v>
      </c>
      <c r="L26" s="96" t="str">
        <f>VLOOKUP(I26,[7]stage_hints!$A:$D,4,FALSE)</f>
        <v>スキルレベルが上がると_x000D_短いターンでスキルを使うことができます</v>
      </c>
      <c r="M26" s="57" t="s">
        <v>215</v>
      </c>
    </row>
    <row r="27" spans="1:13">
      <c r="A27" s="82" t="s">
        <v>203</v>
      </c>
      <c r="B27" s="83">
        <f>floors!$C$2</f>
        <v>11220</v>
      </c>
      <c r="C27" s="84" t="str">
        <f ca="1">VLOOKUP($B27,OFFSET([2]quests!$A$1,0,0,COUNTA([2]quests!$A:$A),MATCH(C$1,[2]quests!$1:$1,0)-MATCH($B$1,[2]quests!$1:$1,0)+1),MATCH(C$1,[2]quests!$1:$1,0)-MATCH($B$1,[2]quests!$1:$1,0)+1,FALSE)</f>
        <v>ホワイトデー★特別クエスト</v>
      </c>
      <c r="D27" s="84" t="str">
        <f ca="1">VLOOKUP($B27,OFFSET([2]quests!$A$1,0,0,COUNTA([2]quests!$A:$A),MATCH(D$1,[2]quests!$1:$1,0)-MATCH($B$1,[2]quests!$1:$1,0)+1),MATCH(D$1,[2]quests!$1:$1,0)-MATCH($B$1,[2]quests!$1:$1,0)+1,FALSE)</f>
        <v>2016年ホワイトデークエスト</v>
      </c>
      <c r="E27" s="88" t="s">
        <v>218</v>
      </c>
      <c r="F27" s="84" t="e">
        <f ca="1">VLOOKUP($B27&amp;"_"&amp;$E27,OFFSET([2]stages!$A$1,0,0,COUNTA([2]stages!$A:$A),MATCH(F$1,[2]stages!$2:$2,0)-MATCH("temp_stage",[2]stages!$2:$2,0)+1),MATCH(F$1,[2]stages!$2:$2,0)-MATCH("temp_stage",[2]stages!$2:$2,0)+1,FALSE)</f>
        <v>#N/A</v>
      </c>
      <c r="G27" s="84" t="e">
        <f ca="1">VLOOKUP($B27&amp;"_"&amp;$E27,OFFSET([2]stages!$A$1,0,0,COUNTA([2]stages!$A:$A),MATCH(G$1,[2]stages!$2:$2,0)-MATCH("temp_stage",[2]stages!$2:$2,0)+1),MATCH(G$1,[2]stages!$2:$2,0)-MATCH("temp_stage",[2]stages!$2:$2,0)+1,FALSE)</f>
        <v>#N/A</v>
      </c>
      <c r="H27" s="86">
        <v>0</v>
      </c>
      <c r="I27">
        <v>39</v>
      </c>
      <c r="J27" s="85" t="s">
        <v>200</v>
      </c>
      <c r="K27" s="95" t="str">
        <f>VLOOKUP(I27,[7]stage_hints!$A:$C,3,FALSE)</f>
        <v>システム適合者を確認</v>
      </c>
      <c r="L27" s="96" t="str">
        <f>VLOOKUP(I27,[7]stage_hints!$A:$D,4,FALSE)</f>
        <v>ALICEが「アナタ」を呼んでいます</v>
      </c>
      <c r="M27" s="57" t="s">
        <v>215</v>
      </c>
    </row>
    <row r="28" spans="1:13">
      <c r="A28" s="82" t="s">
        <v>203</v>
      </c>
      <c r="B28" s="83">
        <f>floors!$C$2</f>
        <v>11220</v>
      </c>
      <c r="C28" s="84" t="str">
        <f ca="1">VLOOKUP($B28,OFFSET([2]quests!$A$1,0,0,COUNTA([2]quests!$A:$A),MATCH(C$1,[2]quests!$1:$1,0)-MATCH($B$1,[2]quests!$1:$1,0)+1),MATCH(C$1,[2]quests!$1:$1,0)-MATCH($B$1,[2]quests!$1:$1,0)+1,FALSE)</f>
        <v>ホワイトデー★特別クエスト</v>
      </c>
      <c r="D28" s="84" t="str">
        <f ca="1">VLOOKUP($B28,OFFSET([2]quests!$A$1,0,0,COUNTA([2]quests!$A:$A),MATCH(D$1,[2]quests!$1:$1,0)-MATCH($B$1,[2]quests!$1:$1,0)+1),MATCH(D$1,[2]quests!$1:$1,0)-MATCH($B$1,[2]quests!$1:$1,0)+1,FALSE)</f>
        <v>2016年ホワイトデークエスト</v>
      </c>
      <c r="E28" s="88" t="s">
        <v>219</v>
      </c>
      <c r="F28" s="84" t="e">
        <f ca="1">VLOOKUP($B28&amp;"_"&amp;$E28,OFFSET([2]stages!$A$1,0,0,COUNTA([2]stages!$A:$A),MATCH(F$1,[2]stages!$2:$2,0)-MATCH("temp_stage",[2]stages!$2:$2,0)+1),MATCH(F$1,[2]stages!$2:$2,0)-MATCH("temp_stage",[2]stages!$2:$2,0)+1,FALSE)</f>
        <v>#N/A</v>
      </c>
      <c r="G28" s="84" t="e">
        <f ca="1">VLOOKUP($B28&amp;"_"&amp;$E28,OFFSET([2]stages!$A$1,0,0,COUNTA([2]stages!$A:$A),MATCH(G$1,[2]stages!$2:$2,0)-MATCH("temp_stage",[2]stages!$2:$2,0)+1),MATCH(G$1,[2]stages!$2:$2,0)-MATCH("temp_stage",[2]stages!$2:$2,0)+1,FALSE)</f>
        <v>#N/A</v>
      </c>
      <c r="H28" s="86">
        <v>0</v>
      </c>
      <c r="I28">
        <v>3</v>
      </c>
      <c r="J28" s="85" t="s">
        <v>200</v>
      </c>
      <c r="K28" s="95" t="str">
        <f>VLOOKUP(I28,[7]stage_hints!$A:$C,3,FALSE)</f>
        <v>ターゲット</v>
      </c>
      <c r="L28" s="96" t="str">
        <f>VLOOKUP(I28,[7]stage_hints!$A:$D,4,FALSE)</f>
        <v>敵ユニットをタップすると_x000D_その敵を狙い撃ちできます</v>
      </c>
      <c r="M28" s="57" t="s">
        <v>215</v>
      </c>
    </row>
    <row r="29" spans="1:13">
      <c r="A29" s="82" t="s">
        <v>203</v>
      </c>
      <c r="B29" s="83">
        <f>floors!$C$2</f>
        <v>11220</v>
      </c>
      <c r="C29" s="84" t="str">
        <f ca="1">VLOOKUP($B29,OFFSET([2]quests!$A$1,0,0,COUNTA([2]quests!$A:$A),MATCH(C$1,[2]quests!$1:$1,0)-MATCH($B$1,[2]quests!$1:$1,0)+1),MATCH(C$1,[2]quests!$1:$1,0)-MATCH($B$1,[2]quests!$1:$1,0)+1,FALSE)</f>
        <v>ホワイトデー★特別クエスト</v>
      </c>
      <c r="D29" s="84" t="str">
        <f ca="1">VLOOKUP($B29,OFFSET([2]quests!$A$1,0,0,COUNTA([2]quests!$A:$A),MATCH(D$1,[2]quests!$1:$1,0)-MATCH($B$1,[2]quests!$1:$1,0)+1),MATCH(D$1,[2]quests!$1:$1,0)-MATCH($B$1,[2]quests!$1:$1,0)+1,FALSE)</f>
        <v>2016年ホワイトデークエスト</v>
      </c>
      <c r="E29" s="88" t="s">
        <v>219</v>
      </c>
      <c r="F29" s="84" t="e">
        <f ca="1">VLOOKUP($B29&amp;"_"&amp;$E29,OFFSET([2]stages!$A$1,0,0,COUNTA([2]stages!$A:$A),MATCH(F$1,[2]stages!$2:$2,0)-MATCH("temp_stage",[2]stages!$2:$2,0)+1),MATCH(F$1,[2]stages!$2:$2,0)-MATCH("temp_stage",[2]stages!$2:$2,0)+1,FALSE)</f>
        <v>#N/A</v>
      </c>
      <c r="G29" s="84" t="e">
        <f ca="1">VLOOKUP($B29&amp;"_"&amp;$E29,OFFSET([2]stages!$A$1,0,0,COUNTA([2]stages!$A:$A),MATCH(G$1,[2]stages!$2:$2,0)-MATCH("temp_stage",[2]stages!$2:$2,0)+1),MATCH(G$1,[2]stages!$2:$2,0)-MATCH("temp_stage",[2]stages!$2:$2,0)+1,FALSE)</f>
        <v>#N/A</v>
      </c>
      <c r="H29" s="86">
        <v>0</v>
      </c>
      <c r="I29">
        <v>6</v>
      </c>
      <c r="J29" s="85" t="s">
        <v>200</v>
      </c>
      <c r="K29" s="95" t="str">
        <f>VLOOKUP(I29,[7]stage_hints!$A:$C,3,FALSE)</f>
        <v>ユニット強化の属性ボーナス</v>
      </c>
      <c r="L29" s="96" t="str">
        <f>VLOOKUP(I29,[7]stage_hints!$A:$D,4,FALSE)</f>
        <v>同属性ユニットを強化素材にすると_x000D_経験値が多くもらえます</v>
      </c>
      <c r="M29" s="57" t="s">
        <v>215</v>
      </c>
    </row>
    <row r="30" spans="1:13">
      <c r="A30" s="82" t="s">
        <v>203</v>
      </c>
      <c r="B30" s="83">
        <f>floors!$C$2</f>
        <v>11220</v>
      </c>
      <c r="C30" s="84" t="str">
        <f ca="1">VLOOKUP($B30,OFFSET([2]quests!$A$1,0,0,COUNTA([2]quests!$A:$A),MATCH(C$1,[2]quests!$1:$1,0)-MATCH($B$1,[2]quests!$1:$1,0)+1),MATCH(C$1,[2]quests!$1:$1,0)-MATCH($B$1,[2]quests!$1:$1,0)+1,FALSE)</f>
        <v>ホワイトデー★特別クエスト</v>
      </c>
      <c r="D30" s="84" t="str">
        <f ca="1">VLOOKUP($B30,OFFSET([2]quests!$A$1,0,0,COUNTA([2]quests!$A:$A),MATCH(D$1,[2]quests!$1:$1,0)-MATCH($B$1,[2]quests!$1:$1,0)+1),MATCH(D$1,[2]quests!$1:$1,0)-MATCH($B$1,[2]quests!$1:$1,0)+1,FALSE)</f>
        <v>2016年ホワイトデークエスト</v>
      </c>
      <c r="E30" s="88" t="s">
        <v>219</v>
      </c>
      <c r="F30" s="84" t="e">
        <f ca="1">VLOOKUP($B30&amp;"_"&amp;$E30,OFFSET([2]stages!$A$1,0,0,COUNTA([2]stages!$A:$A),MATCH(F$1,[2]stages!$2:$2,0)-MATCH("temp_stage",[2]stages!$2:$2,0)+1),MATCH(F$1,[2]stages!$2:$2,0)-MATCH("temp_stage",[2]stages!$2:$2,0)+1,FALSE)</f>
        <v>#N/A</v>
      </c>
      <c r="G30" s="84" t="e">
        <f ca="1">VLOOKUP($B30&amp;"_"&amp;$E30,OFFSET([2]stages!$A$1,0,0,COUNTA([2]stages!$A:$A),MATCH(G$1,[2]stages!$2:$2,0)-MATCH("temp_stage",[2]stages!$2:$2,0)+1),MATCH(G$1,[2]stages!$2:$2,0)-MATCH("temp_stage",[2]stages!$2:$2,0)+1,FALSE)</f>
        <v>#N/A</v>
      </c>
      <c r="H30" s="86">
        <v>0</v>
      </c>
      <c r="I30">
        <v>7</v>
      </c>
      <c r="J30" s="85" t="s">
        <v>200</v>
      </c>
      <c r="K30" s="95" t="str">
        <f>VLOOKUP(I30,[7]stage_hints!$A:$C,3,FALSE)</f>
        <v>メタルダックで経験値を獲得</v>
      </c>
      <c r="L30" s="96" t="str">
        <f>VLOOKUP(I30,[7]stage_hints!$A:$D,4,FALSE)</f>
        <v>「メタルなアヒル」を強化素材にすると_x000D_大量の経験値がもらえます</v>
      </c>
      <c r="M30" s="57" t="s">
        <v>215</v>
      </c>
    </row>
    <row r="31" spans="1:13">
      <c r="A31" s="82" t="s">
        <v>203</v>
      </c>
      <c r="B31" s="83">
        <f>floors!$C$2</f>
        <v>11220</v>
      </c>
      <c r="C31" s="84" t="str">
        <f ca="1">VLOOKUP($B31,OFFSET([2]quests!$A$1,0,0,COUNTA([2]quests!$A:$A),MATCH(C$1,[2]quests!$1:$1,0)-MATCH($B$1,[2]quests!$1:$1,0)+1),MATCH(C$1,[2]quests!$1:$1,0)-MATCH($B$1,[2]quests!$1:$1,0)+1,FALSE)</f>
        <v>ホワイトデー★特別クエスト</v>
      </c>
      <c r="D31" s="84" t="str">
        <f ca="1">VLOOKUP($B31,OFFSET([2]quests!$A$1,0,0,COUNTA([2]quests!$A:$A),MATCH(D$1,[2]quests!$1:$1,0)-MATCH($B$1,[2]quests!$1:$1,0)+1),MATCH(D$1,[2]quests!$1:$1,0)-MATCH($B$1,[2]quests!$1:$1,0)+1,FALSE)</f>
        <v>2016年ホワイトデークエスト</v>
      </c>
      <c r="E31" s="88" t="s">
        <v>219</v>
      </c>
      <c r="F31" s="84" t="e">
        <f ca="1">VLOOKUP($B31&amp;"_"&amp;$E31,OFFSET([2]stages!$A$1,0,0,COUNTA([2]stages!$A:$A),MATCH(F$1,[2]stages!$2:$2,0)-MATCH("temp_stage",[2]stages!$2:$2,0)+1),MATCH(F$1,[2]stages!$2:$2,0)-MATCH("temp_stage",[2]stages!$2:$2,0)+1,FALSE)</f>
        <v>#N/A</v>
      </c>
      <c r="G31" s="84" t="e">
        <f ca="1">VLOOKUP($B31&amp;"_"&amp;$E31,OFFSET([2]stages!$A$1,0,0,COUNTA([2]stages!$A:$A),MATCH(G$1,[2]stages!$2:$2,0)-MATCH("temp_stage",[2]stages!$2:$2,0)+1),MATCH(G$1,[2]stages!$2:$2,0)-MATCH("temp_stage",[2]stages!$2:$2,0)+1,FALSE)</f>
        <v>#N/A</v>
      </c>
      <c r="H31" s="86">
        <v>0</v>
      </c>
      <c r="I31">
        <v>8</v>
      </c>
      <c r="J31" s="85" t="s">
        <v>200</v>
      </c>
      <c r="K31" s="95" t="str">
        <f>VLOOKUP(I31,[7]stage_hints!$A:$C,3,FALSE)</f>
        <v>ゲリラクエストは要チェック</v>
      </c>
      <c r="L31" s="96" t="str">
        <f>VLOOKUP(I31,[7]stage_hints!$A:$D,4,FALSE)</f>
        <v>時間限定の「アヒル捕獲作戦」では_x000D_経験値素材ユニットが多く手に入ります</v>
      </c>
      <c r="M31" s="57" t="s">
        <v>215</v>
      </c>
    </row>
    <row r="32" spans="1:13">
      <c r="A32" s="82" t="s">
        <v>203</v>
      </c>
      <c r="B32" s="83">
        <f>floors!$C$2</f>
        <v>11220</v>
      </c>
      <c r="C32" s="84" t="str">
        <f ca="1">VLOOKUP($B32,OFFSET([2]quests!$A$1,0,0,COUNTA([2]quests!$A:$A),MATCH(C$1,[2]quests!$1:$1,0)-MATCH($B$1,[2]quests!$1:$1,0)+1),MATCH(C$1,[2]quests!$1:$1,0)-MATCH($B$1,[2]quests!$1:$1,0)+1,FALSE)</f>
        <v>ホワイトデー★特別クエスト</v>
      </c>
      <c r="D32" s="84" t="str">
        <f ca="1">VLOOKUP($B32,OFFSET([2]quests!$A$1,0,0,COUNTA([2]quests!$A:$A),MATCH(D$1,[2]quests!$1:$1,0)-MATCH($B$1,[2]quests!$1:$1,0)+1),MATCH(D$1,[2]quests!$1:$1,0)-MATCH($B$1,[2]quests!$1:$1,0)+1,FALSE)</f>
        <v>2016年ホワイトデークエスト</v>
      </c>
      <c r="E32" s="88" t="s">
        <v>219</v>
      </c>
      <c r="F32" s="84" t="e">
        <f ca="1">VLOOKUP($B32&amp;"_"&amp;$E32,OFFSET([2]stages!$A$1,0,0,COUNTA([2]stages!$A:$A),MATCH(F$1,[2]stages!$2:$2,0)-MATCH("temp_stage",[2]stages!$2:$2,0)+1),MATCH(F$1,[2]stages!$2:$2,0)-MATCH("temp_stage",[2]stages!$2:$2,0)+1,FALSE)</f>
        <v>#N/A</v>
      </c>
      <c r="G32" s="84" t="e">
        <f ca="1">VLOOKUP($B32&amp;"_"&amp;$E32,OFFSET([2]stages!$A$1,0,0,COUNTA([2]stages!$A:$A),MATCH(G$1,[2]stages!$2:$2,0)-MATCH("temp_stage",[2]stages!$2:$2,0)+1),MATCH(G$1,[2]stages!$2:$2,0)-MATCH("temp_stage",[2]stages!$2:$2,0)+1,FALSE)</f>
        <v>#N/A</v>
      </c>
      <c r="H32" s="86">
        <v>0</v>
      </c>
      <c r="I32">
        <v>9</v>
      </c>
      <c r="J32" s="85" t="s">
        <v>200</v>
      </c>
      <c r="K32" s="95" t="str">
        <f>VLOOKUP(I32,[7]stage_hints!$A:$C,3,FALSE)</f>
        <v>ゴールドダックでビットを獲得</v>
      </c>
      <c r="L32" s="96" t="str">
        <f>VLOOKUP(I32,[7]stage_hints!$A:$D,4,FALSE)</f>
        <v>「ゴールドなアヒル」を売却すると_x000D_大量のビットがもらえます</v>
      </c>
      <c r="M32" s="57" t="s">
        <v>215</v>
      </c>
    </row>
    <row r="33" spans="1:13">
      <c r="A33" s="82" t="s">
        <v>203</v>
      </c>
      <c r="B33" s="83">
        <f>floors!$C$2</f>
        <v>11220</v>
      </c>
      <c r="C33" s="84" t="str">
        <f ca="1">VLOOKUP($B33,OFFSET([2]quests!$A$1,0,0,COUNTA([2]quests!$A:$A),MATCH(C$1,[2]quests!$1:$1,0)-MATCH($B$1,[2]quests!$1:$1,0)+1),MATCH(C$1,[2]quests!$1:$1,0)-MATCH($B$1,[2]quests!$1:$1,0)+1,FALSE)</f>
        <v>ホワイトデー★特別クエスト</v>
      </c>
      <c r="D33" s="84" t="str">
        <f ca="1">VLOOKUP($B33,OFFSET([2]quests!$A$1,0,0,COUNTA([2]quests!$A:$A),MATCH(D$1,[2]quests!$1:$1,0)-MATCH($B$1,[2]quests!$1:$1,0)+1),MATCH(D$1,[2]quests!$1:$1,0)-MATCH($B$1,[2]quests!$1:$1,0)+1,FALSE)</f>
        <v>2016年ホワイトデークエスト</v>
      </c>
      <c r="E33" s="88" t="s">
        <v>219</v>
      </c>
      <c r="F33" s="84" t="e">
        <f ca="1">VLOOKUP($B33&amp;"_"&amp;$E33,OFFSET([2]stages!$A$1,0,0,COUNTA([2]stages!$A:$A),MATCH(F$1,[2]stages!$2:$2,0)-MATCH("temp_stage",[2]stages!$2:$2,0)+1),MATCH(F$1,[2]stages!$2:$2,0)-MATCH("temp_stage",[2]stages!$2:$2,0)+1,FALSE)</f>
        <v>#N/A</v>
      </c>
      <c r="G33" s="84" t="e">
        <f ca="1">VLOOKUP($B33&amp;"_"&amp;$E33,OFFSET([2]stages!$A$1,0,0,COUNTA([2]stages!$A:$A),MATCH(G$1,[2]stages!$2:$2,0)-MATCH("temp_stage",[2]stages!$2:$2,0)+1),MATCH(G$1,[2]stages!$2:$2,0)-MATCH("temp_stage",[2]stages!$2:$2,0)+1,FALSE)</f>
        <v>#N/A</v>
      </c>
      <c r="H33" s="86">
        <v>0</v>
      </c>
      <c r="I33">
        <v>10</v>
      </c>
      <c r="J33" s="85" t="s">
        <v>200</v>
      </c>
      <c r="K33" s="95" t="str">
        <f>VLOOKUP(I33,[7]stage_hints!$A:$C,3,FALSE)</f>
        <v>土日に大量のビットを獲得</v>
      </c>
      <c r="L33" s="96" t="str">
        <f>VLOOKUP(I33,[7]stage_hints!$A:$D,4,FALSE)</f>
        <v>土日限定の「ゴールドカジノ」では_x000D_売却素材ユニットが多く手に入ります</v>
      </c>
      <c r="M33" s="57" t="s">
        <v>215</v>
      </c>
    </row>
    <row r="34" spans="1:13">
      <c r="A34" s="82" t="s">
        <v>203</v>
      </c>
      <c r="B34" s="83">
        <f>floors!$C$2</f>
        <v>11220</v>
      </c>
      <c r="C34" s="84" t="str">
        <f ca="1">VLOOKUP($B34,OFFSET([2]quests!$A$1,0,0,COUNTA([2]quests!$A:$A),MATCH(C$1,[2]quests!$1:$1,0)-MATCH($B$1,[2]quests!$1:$1,0)+1),MATCH(C$1,[2]quests!$1:$1,0)-MATCH($B$1,[2]quests!$1:$1,0)+1,FALSE)</f>
        <v>ホワイトデー★特別クエスト</v>
      </c>
      <c r="D34" s="84" t="str">
        <f ca="1">VLOOKUP($B34,OFFSET([2]quests!$A$1,0,0,COUNTA([2]quests!$A:$A),MATCH(D$1,[2]quests!$1:$1,0)-MATCH($B$1,[2]quests!$1:$1,0)+1),MATCH(D$1,[2]quests!$1:$1,0)-MATCH($B$1,[2]quests!$1:$1,0)+1,FALSE)</f>
        <v>2016年ホワイトデークエスト</v>
      </c>
      <c r="E34" s="88" t="s">
        <v>219</v>
      </c>
      <c r="F34" s="84" t="e">
        <f ca="1">VLOOKUP($B34&amp;"_"&amp;$E34,OFFSET([2]stages!$A$1,0,0,COUNTA([2]stages!$A:$A),MATCH(F$1,[2]stages!$2:$2,0)-MATCH("temp_stage",[2]stages!$2:$2,0)+1),MATCH(F$1,[2]stages!$2:$2,0)-MATCH("temp_stage",[2]stages!$2:$2,0)+1,FALSE)</f>
        <v>#N/A</v>
      </c>
      <c r="G34" s="84" t="e">
        <f ca="1">VLOOKUP($B34&amp;"_"&amp;$E34,OFFSET([2]stages!$A$1,0,0,COUNTA([2]stages!$A:$A),MATCH(G$1,[2]stages!$2:$2,0)-MATCH("temp_stage",[2]stages!$2:$2,0)+1),MATCH(G$1,[2]stages!$2:$2,0)-MATCH("temp_stage",[2]stages!$2:$2,0)+1,FALSE)</f>
        <v>#N/A</v>
      </c>
      <c r="H34" s="86">
        <v>0</v>
      </c>
      <c r="I34">
        <v>11</v>
      </c>
      <c r="J34" s="85" t="s">
        <v>200</v>
      </c>
      <c r="K34" s="95" t="str">
        <f>VLOOKUP(I34,[7]stage_hints!$A:$C,3,FALSE)</f>
        <v>ランク解放クエスト</v>
      </c>
      <c r="L34" s="96" t="str">
        <f>VLOOKUP(I34,[7]stage_hints!$A:$D,4,FALSE)</f>
        <v>一定ランクに到達すると_x000D_報酬付きのランク開放クエストが現れます</v>
      </c>
      <c r="M34" s="57" t="s">
        <v>215</v>
      </c>
    </row>
    <row r="35" spans="1:13">
      <c r="A35" s="82" t="s">
        <v>203</v>
      </c>
      <c r="B35" s="83">
        <f>floors!$C$2</f>
        <v>11220</v>
      </c>
      <c r="C35" s="84" t="str">
        <f ca="1">VLOOKUP($B35,OFFSET([2]quests!$A$1,0,0,COUNTA([2]quests!$A:$A),MATCH(C$1,[2]quests!$1:$1,0)-MATCH($B$1,[2]quests!$1:$1,0)+1),MATCH(C$1,[2]quests!$1:$1,0)-MATCH($B$1,[2]quests!$1:$1,0)+1,FALSE)</f>
        <v>ホワイトデー★特別クエスト</v>
      </c>
      <c r="D35" s="84" t="str">
        <f ca="1">VLOOKUP($B35,OFFSET([2]quests!$A$1,0,0,COUNTA([2]quests!$A:$A),MATCH(D$1,[2]quests!$1:$1,0)-MATCH($B$1,[2]quests!$1:$1,0)+1),MATCH(D$1,[2]quests!$1:$1,0)-MATCH($B$1,[2]quests!$1:$1,0)+1,FALSE)</f>
        <v>2016年ホワイトデークエスト</v>
      </c>
      <c r="E35" s="88" t="s">
        <v>219</v>
      </c>
      <c r="F35" s="84" t="e">
        <f ca="1">VLOOKUP($B35&amp;"_"&amp;$E35,OFFSET([2]stages!$A$1,0,0,COUNTA([2]stages!$A:$A),MATCH(F$1,[2]stages!$2:$2,0)-MATCH("temp_stage",[2]stages!$2:$2,0)+1),MATCH(F$1,[2]stages!$2:$2,0)-MATCH("temp_stage",[2]stages!$2:$2,0)+1,FALSE)</f>
        <v>#N/A</v>
      </c>
      <c r="G35" s="84" t="e">
        <f ca="1">VLOOKUP($B35&amp;"_"&amp;$E35,OFFSET([2]stages!$A$1,0,0,COUNTA([2]stages!$A:$A),MATCH(G$1,[2]stages!$2:$2,0)-MATCH("temp_stage",[2]stages!$2:$2,0)+1),MATCH(G$1,[2]stages!$2:$2,0)-MATCH("temp_stage",[2]stages!$2:$2,0)+1,FALSE)</f>
        <v>#N/A</v>
      </c>
      <c r="H35" s="86">
        <v>0</v>
      </c>
      <c r="I35">
        <v>12</v>
      </c>
      <c r="J35" s="85" t="s">
        <v>200</v>
      </c>
      <c r="K35" s="95" t="str">
        <f>VLOOKUP(I35,[7]stage_hints!$A:$C,3,FALSE)</f>
        <v>ユニットのお気に入り登録</v>
      </c>
      <c r="L35" s="96" t="str">
        <f>VLOOKUP(I35,[7]stage_hints!$A:$D,4,FALSE)</f>
        <v>大事なユニットを誤って消さないように_x000D_フォルダから「お気に入り登録」しましょう</v>
      </c>
      <c r="M35" s="57" t="s">
        <v>215</v>
      </c>
    </row>
    <row r="36" spans="1:13">
      <c r="A36" s="82" t="s">
        <v>203</v>
      </c>
      <c r="B36" s="83">
        <f>floors!$C$2</f>
        <v>11220</v>
      </c>
      <c r="C36" s="84" t="str">
        <f ca="1">VLOOKUP($B36,OFFSET([2]quests!$A$1,0,0,COUNTA([2]quests!$A:$A),MATCH(C$1,[2]quests!$1:$1,0)-MATCH($B$1,[2]quests!$1:$1,0)+1),MATCH(C$1,[2]quests!$1:$1,0)-MATCH($B$1,[2]quests!$1:$1,0)+1,FALSE)</f>
        <v>ホワイトデー★特別クエスト</v>
      </c>
      <c r="D36" s="84" t="str">
        <f ca="1">VLOOKUP($B36,OFFSET([2]quests!$A$1,0,0,COUNTA([2]quests!$A:$A),MATCH(D$1,[2]quests!$1:$1,0)-MATCH($B$1,[2]quests!$1:$1,0)+1),MATCH(D$1,[2]quests!$1:$1,0)-MATCH($B$1,[2]quests!$1:$1,0)+1,FALSE)</f>
        <v>2016年ホワイトデークエスト</v>
      </c>
      <c r="E36" s="88" t="s">
        <v>219</v>
      </c>
      <c r="F36" s="84" t="e">
        <f ca="1">VLOOKUP($B36&amp;"_"&amp;$E36,OFFSET([2]stages!$A$1,0,0,COUNTA([2]stages!$A:$A),MATCH(F$1,[2]stages!$2:$2,0)-MATCH("temp_stage",[2]stages!$2:$2,0)+1),MATCH(F$1,[2]stages!$2:$2,0)-MATCH("temp_stage",[2]stages!$2:$2,0)+1,FALSE)</f>
        <v>#N/A</v>
      </c>
      <c r="G36" s="84" t="e">
        <f ca="1">VLOOKUP($B36&amp;"_"&amp;$E36,OFFSET([2]stages!$A$1,0,0,COUNTA([2]stages!$A:$A),MATCH(G$1,[2]stages!$2:$2,0)-MATCH("temp_stage",[2]stages!$2:$2,0)+1),MATCH(G$1,[2]stages!$2:$2,0)-MATCH("temp_stage",[2]stages!$2:$2,0)+1,FALSE)</f>
        <v>#N/A</v>
      </c>
      <c r="H36" s="86">
        <v>0</v>
      </c>
      <c r="I36">
        <v>13</v>
      </c>
      <c r="J36" s="85" t="s">
        <v>200</v>
      </c>
      <c r="K36" s="95" t="str">
        <f>VLOOKUP(I36,[7]stage_hints!$A:$C,3,FALSE)</f>
        <v>ユニットの覚醒</v>
      </c>
      <c r="L36" s="96" t="str">
        <f>VLOOKUP(I36,[7]stage_hints!$A:$D,4,FALSE)</f>
        <v>ユニットを覚醒させると_x000D_比べものにならない強さが手に入ります</v>
      </c>
      <c r="M36" s="57" t="s">
        <v>215</v>
      </c>
    </row>
    <row r="37" spans="1:13">
      <c r="A37" s="82" t="s">
        <v>203</v>
      </c>
      <c r="B37" s="83">
        <f>floors!$C$2</f>
        <v>11220</v>
      </c>
      <c r="C37" s="84" t="str">
        <f ca="1">VLOOKUP($B37,OFFSET([2]quests!$A$1,0,0,COUNTA([2]quests!$A:$A),MATCH(C$1,[2]quests!$1:$1,0)-MATCH($B$1,[2]quests!$1:$1,0)+1),MATCH(C$1,[2]quests!$1:$1,0)-MATCH($B$1,[2]quests!$1:$1,0)+1,FALSE)</f>
        <v>ホワイトデー★特別クエスト</v>
      </c>
      <c r="D37" s="84" t="str">
        <f ca="1">VLOOKUP($B37,OFFSET([2]quests!$A$1,0,0,COUNTA([2]quests!$A:$A),MATCH(D$1,[2]quests!$1:$1,0)-MATCH($B$1,[2]quests!$1:$1,0)+1),MATCH(D$1,[2]quests!$1:$1,0)-MATCH($B$1,[2]quests!$1:$1,0)+1,FALSE)</f>
        <v>2016年ホワイトデークエスト</v>
      </c>
      <c r="E37" s="88" t="s">
        <v>219</v>
      </c>
      <c r="F37" s="84" t="e">
        <f ca="1">VLOOKUP($B37&amp;"_"&amp;$E37,OFFSET([2]stages!$A$1,0,0,COUNTA([2]stages!$A:$A),MATCH(F$1,[2]stages!$2:$2,0)-MATCH("temp_stage",[2]stages!$2:$2,0)+1),MATCH(F$1,[2]stages!$2:$2,0)-MATCH("temp_stage",[2]stages!$2:$2,0)+1,FALSE)</f>
        <v>#N/A</v>
      </c>
      <c r="G37" s="84" t="e">
        <f ca="1">VLOOKUP($B37&amp;"_"&amp;$E37,OFFSET([2]stages!$A$1,0,0,COUNTA([2]stages!$A:$A),MATCH(G$1,[2]stages!$2:$2,0)-MATCH("temp_stage",[2]stages!$2:$2,0)+1),MATCH(G$1,[2]stages!$2:$2,0)-MATCH("temp_stage",[2]stages!$2:$2,0)+1,FALSE)</f>
        <v>#N/A</v>
      </c>
      <c r="H37" s="86">
        <v>0</v>
      </c>
      <c r="I37">
        <v>14</v>
      </c>
      <c r="J37" s="85" t="s">
        <v>200</v>
      </c>
      <c r="K37" s="95" t="str">
        <f>VLOOKUP(I37,[7]stage_hints!$A:$C,3,FALSE)</f>
        <v>覚醒するにはレベルを最大に</v>
      </c>
      <c r="L37" s="96" t="str">
        <f>VLOOKUP(I37,[7]stage_hints!$A:$D,4,FALSE)</f>
        <v>覚醒するにはユニットのレベルを_x000D_最大まで上げる必要があります</v>
      </c>
      <c r="M37" s="57" t="s">
        <v>215</v>
      </c>
    </row>
    <row r="38" spans="1:13">
      <c r="A38" s="82" t="s">
        <v>203</v>
      </c>
      <c r="B38" s="83">
        <f>floors!$C$2</f>
        <v>11220</v>
      </c>
      <c r="C38" s="84" t="str">
        <f ca="1">VLOOKUP($B38,OFFSET([2]quests!$A$1,0,0,COUNTA([2]quests!$A:$A),MATCH(C$1,[2]quests!$1:$1,0)-MATCH($B$1,[2]quests!$1:$1,0)+1),MATCH(C$1,[2]quests!$1:$1,0)-MATCH($B$1,[2]quests!$1:$1,0)+1,FALSE)</f>
        <v>ホワイトデー★特別クエスト</v>
      </c>
      <c r="D38" s="84" t="str">
        <f ca="1">VLOOKUP($B38,OFFSET([2]quests!$A$1,0,0,COUNTA([2]quests!$A:$A),MATCH(D$1,[2]quests!$1:$1,0)-MATCH($B$1,[2]quests!$1:$1,0)+1),MATCH(D$1,[2]quests!$1:$1,0)-MATCH($B$1,[2]quests!$1:$1,0)+1,FALSE)</f>
        <v>2016年ホワイトデークエスト</v>
      </c>
      <c r="E38" s="88" t="s">
        <v>219</v>
      </c>
      <c r="F38" s="84" t="e">
        <f ca="1">VLOOKUP($B38&amp;"_"&amp;$E38,OFFSET([2]stages!$A$1,0,0,COUNTA([2]stages!$A:$A),MATCH(F$1,[2]stages!$2:$2,0)-MATCH("temp_stage",[2]stages!$2:$2,0)+1),MATCH(F$1,[2]stages!$2:$2,0)-MATCH("temp_stage",[2]stages!$2:$2,0)+1,FALSE)</f>
        <v>#N/A</v>
      </c>
      <c r="G38" s="84" t="e">
        <f ca="1">VLOOKUP($B38&amp;"_"&amp;$E38,OFFSET([2]stages!$A$1,0,0,COUNTA([2]stages!$A:$A),MATCH(G$1,[2]stages!$2:$2,0)-MATCH("temp_stage",[2]stages!$2:$2,0)+1),MATCH(G$1,[2]stages!$2:$2,0)-MATCH("temp_stage",[2]stages!$2:$2,0)+1,FALSE)</f>
        <v>#N/A</v>
      </c>
      <c r="H38" s="86">
        <v>0</v>
      </c>
      <c r="I38">
        <v>15</v>
      </c>
      <c r="J38" s="85" t="s">
        <v>200</v>
      </c>
      <c r="K38" s="95" t="str">
        <f>VLOOKUP(I38,[7]stage_hints!$A:$C,3,FALSE)</f>
        <v>覚醒素材を獲得</v>
      </c>
      <c r="L38" s="96" t="str">
        <f>VLOOKUP(I38,[7]stage_hints!$A:$D,4,FALSE)</f>
        <v>「曜日クエスト」では_x000D_ユニットの覚醒に必要な素材が手に入ります</v>
      </c>
      <c r="M38" s="57" t="s">
        <v>215</v>
      </c>
    </row>
    <row r="39" spans="1:13">
      <c r="A39" s="82" t="s">
        <v>203</v>
      </c>
      <c r="B39" s="83">
        <f>floors!$C$2</f>
        <v>11220</v>
      </c>
      <c r="C39" s="84" t="str">
        <f ca="1">VLOOKUP($B39,OFFSET([2]quests!$A$1,0,0,COUNTA([2]quests!$A:$A),MATCH(C$1,[2]quests!$1:$1,0)-MATCH($B$1,[2]quests!$1:$1,0)+1),MATCH(C$1,[2]quests!$1:$1,0)-MATCH($B$1,[2]quests!$1:$1,0)+1,FALSE)</f>
        <v>ホワイトデー★特別クエスト</v>
      </c>
      <c r="D39" s="84" t="str">
        <f ca="1">VLOOKUP($B39,OFFSET([2]quests!$A$1,0,0,COUNTA([2]quests!$A:$A),MATCH(D$1,[2]quests!$1:$1,0)-MATCH($B$1,[2]quests!$1:$1,0)+1),MATCH(D$1,[2]quests!$1:$1,0)-MATCH($B$1,[2]quests!$1:$1,0)+1,FALSE)</f>
        <v>2016年ホワイトデークエスト</v>
      </c>
      <c r="E39" s="88" t="s">
        <v>219</v>
      </c>
      <c r="F39" s="84" t="e">
        <f ca="1">VLOOKUP($B39&amp;"_"&amp;$E39,OFFSET([2]stages!$A$1,0,0,COUNTA([2]stages!$A:$A),MATCH(F$1,[2]stages!$2:$2,0)-MATCH("temp_stage",[2]stages!$2:$2,0)+1),MATCH(F$1,[2]stages!$2:$2,0)-MATCH("temp_stage",[2]stages!$2:$2,0)+1,FALSE)</f>
        <v>#N/A</v>
      </c>
      <c r="G39" s="84" t="e">
        <f ca="1">VLOOKUP($B39&amp;"_"&amp;$E39,OFFSET([2]stages!$A$1,0,0,COUNTA([2]stages!$A:$A),MATCH(G$1,[2]stages!$2:$2,0)-MATCH("temp_stage",[2]stages!$2:$2,0)+1),MATCH(G$1,[2]stages!$2:$2,0)-MATCH("temp_stage",[2]stages!$2:$2,0)+1,FALSE)</f>
        <v>#N/A</v>
      </c>
      <c r="H39" s="86">
        <v>0</v>
      </c>
      <c r="I39">
        <v>16</v>
      </c>
      <c r="J39" s="85" t="s">
        <v>200</v>
      </c>
      <c r="K39" s="95" t="str">
        <f>VLOOKUP(I39,[7]stage_hints!$A:$C,3,FALSE)</f>
        <v>マルチプレイのメリット（その1）</v>
      </c>
      <c r="L39" s="96" t="str">
        <f>VLOOKUP(I39,[7]stage_hints!$A:$D,4,FALSE)</f>
        <v>他のプレイヤーとマルチプレイで遊ぶと_x000D_ポリゴンがもらえます（100人まで）</v>
      </c>
      <c r="M39" s="57" t="s">
        <v>215</v>
      </c>
    </row>
    <row r="40" spans="1:13">
      <c r="A40" s="82" t="s">
        <v>203</v>
      </c>
      <c r="B40" s="83">
        <f>floors!$C$2</f>
        <v>11220</v>
      </c>
      <c r="C40" s="84" t="str">
        <f ca="1">VLOOKUP($B40,OFFSET([2]quests!$A$1,0,0,COUNTA([2]quests!$A:$A),MATCH(C$1,[2]quests!$1:$1,0)-MATCH($B$1,[2]quests!$1:$1,0)+1),MATCH(C$1,[2]quests!$1:$1,0)-MATCH($B$1,[2]quests!$1:$1,0)+1,FALSE)</f>
        <v>ホワイトデー★特別クエスト</v>
      </c>
      <c r="D40" s="84" t="str">
        <f ca="1">VLOOKUP($B40,OFFSET([2]quests!$A$1,0,0,COUNTA([2]quests!$A:$A),MATCH(D$1,[2]quests!$1:$1,0)-MATCH($B$1,[2]quests!$1:$1,0)+1),MATCH(D$1,[2]quests!$1:$1,0)-MATCH($B$1,[2]quests!$1:$1,0)+1,FALSE)</f>
        <v>2016年ホワイトデークエスト</v>
      </c>
      <c r="E40" s="88" t="s">
        <v>219</v>
      </c>
      <c r="F40" s="84" t="e">
        <f ca="1">VLOOKUP($B40&amp;"_"&amp;$E40,OFFSET([2]stages!$A$1,0,0,COUNTA([2]stages!$A:$A),MATCH(F$1,[2]stages!$2:$2,0)-MATCH("temp_stage",[2]stages!$2:$2,0)+1),MATCH(F$1,[2]stages!$2:$2,0)-MATCH("temp_stage",[2]stages!$2:$2,0)+1,FALSE)</f>
        <v>#N/A</v>
      </c>
      <c r="G40" s="84" t="e">
        <f ca="1">VLOOKUP($B40&amp;"_"&amp;$E40,OFFSET([2]stages!$A$1,0,0,COUNTA([2]stages!$A:$A),MATCH(G$1,[2]stages!$2:$2,0)-MATCH("temp_stage",[2]stages!$2:$2,0)+1),MATCH(G$1,[2]stages!$2:$2,0)-MATCH("temp_stage",[2]stages!$2:$2,0)+1,FALSE)</f>
        <v>#N/A</v>
      </c>
      <c r="H40" s="86">
        <v>0</v>
      </c>
      <c r="I40">
        <v>17</v>
      </c>
      <c r="J40" s="85" t="s">
        <v>200</v>
      </c>
      <c r="K40" s="95" t="str">
        <f>VLOOKUP(I40,[7]stage_hints!$A:$C,3,FALSE)</f>
        <v>リンクガチャ</v>
      </c>
      <c r="L40" s="96" t="str">
        <f>VLOOKUP(I40,[7]stage_hints!$A:$D,4,FALSE)</f>
        <v>無料のリンクガチャを回して_x000D_経験値素材や売却素材を獲得しましょう</v>
      </c>
      <c r="M40" s="57" t="s">
        <v>215</v>
      </c>
    </row>
    <row r="41" spans="1:13">
      <c r="A41" s="82" t="s">
        <v>203</v>
      </c>
      <c r="B41" s="83">
        <f>floors!$C$2</f>
        <v>11220</v>
      </c>
      <c r="C41" s="84" t="str">
        <f ca="1">VLOOKUP($B41,OFFSET([2]quests!$A$1,0,0,COUNTA([2]quests!$A:$A),MATCH(C$1,[2]quests!$1:$1,0)-MATCH($B$1,[2]quests!$1:$1,0)+1),MATCH(C$1,[2]quests!$1:$1,0)-MATCH($B$1,[2]quests!$1:$1,0)+1,FALSE)</f>
        <v>ホワイトデー★特別クエスト</v>
      </c>
      <c r="D41" s="84" t="str">
        <f ca="1">VLOOKUP($B41,OFFSET([2]quests!$A$1,0,0,COUNTA([2]quests!$A:$A),MATCH(D$1,[2]quests!$1:$1,0)-MATCH($B$1,[2]quests!$1:$1,0)+1),MATCH(D$1,[2]quests!$1:$1,0)-MATCH($B$1,[2]quests!$1:$1,0)+1,FALSE)</f>
        <v>2016年ホワイトデークエスト</v>
      </c>
      <c r="E41" s="88" t="s">
        <v>219</v>
      </c>
      <c r="F41" s="84" t="e">
        <f ca="1">VLOOKUP($B41&amp;"_"&amp;$E41,OFFSET([2]stages!$A$1,0,0,COUNTA([2]stages!$A:$A),MATCH(F$1,[2]stages!$2:$2,0)-MATCH("temp_stage",[2]stages!$2:$2,0)+1),MATCH(F$1,[2]stages!$2:$2,0)-MATCH("temp_stage",[2]stages!$2:$2,0)+1,FALSE)</f>
        <v>#N/A</v>
      </c>
      <c r="G41" s="84" t="e">
        <f ca="1">VLOOKUP($B41&amp;"_"&amp;$E41,OFFSET([2]stages!$A$1,0,0,COUNTA([2]stages!$A:$A),MATCH(G$1,[2]stages!$2:$2,0)-MATCH("temp_stage",[2]stages!$2:$2,0)+1),MATCH(G$1,[2]stages!$2:$2,0)-MATCH("temp_stage",[2]stages!$2:$2,0)+1,FALSE)</f>
        <v>#N/A</v>
      </c>
      <c r="H41" s="86">
        <v>0</v>
      </c>
      <c r="I41">
        <v>18</v>
      </c>
      <c r="J41" s="85" t="s">
        <v>200</v>
      </c>
      <c r="K41" s="95" t="str">
        <f>VLOOKUP(I41,[7]stage_hints!$A:$C,3,FALSE)</f>
        <v>マルチプレイのメリット（その2）</v>
      </c>
      <c r="L41" s="96" t="str">
        <f>VLOOKUP(I41,[7]stage_hints!$A:$D,4,FALSE)</f>
        <v>マルチプレイならリンクが2倍もらえます_x000D_リンクガチャをたくさん回しましょう</v>
      </c>
      <c r="M41" s="57" t="s">
        <v>215</v>
      </c>
    </row>
    <row r="42" spans="1:13">
      <c r="A42" s="82" t="s">
        <v>203</v>
      </c>
      <c r="B42" s="83">
        <f>floors!$C$2</f>
        <v>11220</v>
      </c>
      <c r="C42" s="84" t="str">
        <f ca="1">VLOOKUP($B42,OFFSET([2]quests!$A$1,0,0,COUNTA([2]quests!$A:$A),MATCH(C$1,[2]quests!$1:$1,0)-MATCH($B$1,[2]quests!$1:$1,0)+1),MATCH(C$1,[2]quests!$1:$1,0)-MATCH($B$1,[2]quests!$1:$1,0)+1,FALSE)</f>
        <v>ホワイトデー★特別クエスト</v>
      </c>
      <c r="D42" s="84" t="str">
        <f ca="1">VLOOKUP($B42,OFFSET([2]quests!$A$1,0,0,COUNTA([2]quests!$A:$A),MATCH(D$1,[2]quests!$1:$1,0)-MATCH($B$1,[2]quests!$1:$1,0)+1),MATCH(D$1,[2]quests!$1:$1,0)-MATCH($B$1,[2]quests!$1:$1,0)+1,FALSE)</f>
        <v>2016年ホワイトデークエスト</v>
      </c>
      <c r="E42" s="88" t="s">
        <v>219</v>
      </c>
      <c r="F42" s="84" t="e">
        <f ca="1">VLOOKUP($B42&amp;"_"&amp;$E42,OFFSET([2]stages!$A$1,0,0,COUNTA([2]stages!$A:$A),MATCH(F$1,[2]stages!$2:$2,0)-MATCH("temp_stage",[2]stages!$2:$2,0)+1),MATCH(F$1,[2]stages!$2:$2,0)-MATCH("temp_stage",[2]stages!$2:$2,0)+1,FALSE)</f>
        <v>#N/A</v>
      </c>
      <c r="G42" s="84" t="e">
        <f ca="1">VLOOKUP($B42&amp;"_"&amp;$E42,OFFSET([2]stages!$A$1,0,0,COUNTA([2]stages!$A:$A),MATCH(G$1,[2]stages!$2:$2,0)-MATCH("temp_stage",[2]stages!$2:$2,0)+1),MATCH(G$1,[2]stages!$2:$2,0)-MATCH("temp_stage",[2]stages!$2:$2,0)+1,FALSE)</f>
        <v>#N/A</v>
      </c>
      <c r="H42" s="86">
        <v>0</v>
      </c>
      <c r="I42">
        <v>19</v>
      </c>
      <c r="J42" s="85" t="s">
        <v>200</v>
      </c>
      <c r="K42" s="95" t="str">
        <f>VLOOKUP(I42,[7]stage_hints!$A:$C,3,FALSE)</f>
        <v>ソロ専用チャレンジタワー</v>
      </c>
      <c r="L42" s="96" t="str">
        <f>VLOOKUP(I42,[7]stage_hints!$A:$D,4,FALSE)</f>
        <v>ソロ専用の「チャレンジタワー」では_x000D_各フロアごとにクリア報酬がもらえます</v>
      </c>
      <c r="M42" s="57" t="s">
        <v>215</v>
      </c>
    </row>
    <row r="43" spans="1:13">
      <c r="A43" s="82" t="s">
        <v>203</v>
      </c>
      <c r="B43" s="83">
        <f>floors!$C$2</f>
        <v>11220</v>
      </c>
      <c r="C43" s="84" t="str">
        <f ca="1">VLOOKUP($B43,OFFSET([2]quests!$A$1,0,0,COUNTA([2]quests!$A:$A),MATCH(C$1,[2]quests!$1:$1,0)-MATCH($B$1,[2]quests!$1:$1,0)+1),MATCH(C$1,[2]quests!$1:$1,0)-MATCH($B$1,[2]quests!$1:$1,0)+1,FALSE)</f>
        <v>ホワイトデー★特別クエスト</v>
      </c>
      <c r="D43" s="84" t="str">
        <f ca="1">VLOOKUP($B43,OFFSET([2]quests!$A$1,0,0,COUNTA([2]quests!$A:$A),MATCH(D$1,[2]quests!$1:$1,0)-MATCH($B$1,[2]quests!$1:$1,0)+1),MATCH(D$1,[2]quests!$1:$1,0)-MATCH($B$1,[2]quests!$1:$1,0)+1,FALSE)</f>
        <v>2016年ホワイトデークエスト</v>
      </c>
      <c r="E43" s="88" t="s">
        <v>219</v>
      </c>
      <c r="F43" s="84" t="e">
        <f ca="1">VLOOKUP($B43&amp;"_"&amp;$E43,OFFSET([2]stages!$A$1,0,0,COUNTA([2]stages!$A:$A),MATCH(F$1,[2]stages!$2:$2,0)-MATCH("temp_stage",[2]stages!$2:$2,0)+1),MATCH(F$1,[2]stages!$2:$2,0)-MATCH("temp_stage",[2]stages!$2:$2,0)+1,FALSE)</f>
        <v>#N/A</v>
      </c>
      <c r="G43" s="84" t="e">
        <f ca="1">VLOOKUP($B43&amp;"_"&amp;$E43,OFFSET([2]stages!$A$1,0,0,COUNTA([2]stages!$A:$A),MATCH(G$1,[2]stages!$2:$2,0)-MATCH("temp_stage",[2]stages!$2:$2,0)+1),MATCH(G$1,[2]stages!$2:$2,0)-MATCH("temp_stage",[2]stages!$2:$2,0)+1,FALSE)</f>
        <v>#N/A</v>
      </c>
      <c r="H43" s="86">
        <v>0</v>
      </c>
      <c r="I43">
        <v>20</v>
      </c>
      <c r="J43" s="85" t="s">
        <v>200</v>
      </c>
      <c r="K43" s="95" t="str">
        <f>VLOOKUP(I43,[7]stage_hints!$A:$C,3,FALSE)</f>
        <v>マルチプレイのメリット（その3）</v>
      </c>
      <c r="L43" s="96" t="str">
        <f>VLOOKUP(I43,[7]stage_hints!$A:$D,4,FALSE)</f>
        <v>マルチプレイへの参加はエナジー消費ゼロ_x000D_いつでも好きなだけ遊ぶことができます</v>
      </c>
      <c r="M43" s="57" t="s">
        <v>215</v>
      </c>
    </row>
    <row r="44" spans="1:13">
      <c r="A44" s="82" t="s">
        <v>203</v>
      </c>
      <c r="B44" s="83">
        <f>floors!$C$2</f>
        <v>11220</v>
      </c>
      <c r="C44" s="84" t="str">
        <f ca="1">VLOOKUP($B44,OFFSET([2]quests!$A$1,0,0,COUNTA([2]quests!$A:$A),MATCH(C$1,[2]quests!$1:$1,0)-MATCH($B$1,[2]quests!$1:$1,0)+1),MATCH(C$1,[2]quests!$1:$1,0)-MATCH($B$1,[2]quests!$1:$1,0)+1,FALSE)</f>
        <v>ホワイトデー★特別クエスト</v>
      </c>
      <c r="D44" s="84" t="str">
        <f ca="1">VLOOKUP($B44,OFFSET([2]quests!$A$1,0,0,COUNTA([2]quests!$A:$A),MATCH(D$1,[2]quests!$1:$1,0)-MATCH($B$1,[2]quests!$1:$1,0)+1),MATCH(D$1,[2]quests!$1:$1,0)-MATCH($B$1,[2]quests!$1:$1,0)+1,FALSE)</f>
        <v>2016年ホワイトデークエスト</v>
      </c>
      <c r="E44" s="88" t="s">
        <v>219</v>
      </c>
      <c r="F44" s="84" t="e">
        <f ca="1">VLOOKUP($B44&amp;"_"&amp;$E44,OFFSET([2]stages!$A$1,0,0,COUNTA([2]stages!$A:$A),MATCH(F$1,[2]stages!$2:$2,0)-MATCH("temp_stage",[2]stages!$2:$2,0)+1),MATCH(F$1,[2]stages!$2:$2,0)-MATCH("temp_stage",[2]stages!$2:$2,0)+1,FALSE)</f>
        <v>#N/A</v>
      </c>
      <c r="G44" s="84" t="e">
        <f ca="1">VLOOKUP($B44&amp;"_"&amp;$E44,OFFSET([2]stages!$A$1,0,0,COUNTA([2]stages!$A:$A),MATCH(G$1,[2]stages!$2:$2,0)-MATCH("temp_stage",[2]stages!$2:$2,0)+1),MATCH(G$1,[2]stages!$2:$2,0)-MATCH("temp_stage",[2]stages!$2:$2,0)+1,FALSE)</f>
        <v>#N/A</v>
      </c>
      <c r="H44" s="86">
        <v>0</v>
      </c>
      <c r="I44">
        <v>21</v>
      </c>
      <c r="J44" s="85" t="s">
        <v>200</v>
      </c>
      <c r="K44" s="95" t="str">
        <f>VLOOKUP(I44,[7]stage_hints!$A:$C,3,FALSE)</f>
        <v>スキルを有効に</v>
      </c>
      <c r="L44" s="96" t="str">
        <f>VLOOKUP(I44,[7]stage_hints!$A:$D,4,FALSE)</f>
        <v>ターン経過でユニットのスキルが使えます_x000D_強力スキルでバトルを有利に進めましょう</v>
      </c>
      <c r="M44" s="57" t="s">
        <v>215</v>
      </c>
    </row>
    <row r="45" spans="1:13">
      <c r="A45" s="82" t="s">
        <v>203</v>
      </c>
      <c r="B45" s="83">
        <f>floors!$C$2</f>
        <v>11220</v>
      </c>
      <c r="C45" s="84" t="str">
        <f ca="1">VLOOKUP($B45,OFFSET([2]quests!$A$1,0,0,COUNTA([2]quests!$A:$A),MATCH(C$1,[2]quests!$1:$1,0)-MATCH($B$1,[2]quests!$1:$1,0)+1),MATCH(C$1,[2]quests!$1:$1,0)-MATCH($B$1,[2]quests!$1:$1,0)+1,FALSE)</f>
        <v>ホワイトデー★特別クエスト</v>
      </c>
      <c r="D45" s="84" t="str">
        <f ca="1">VLOOKUP($B45,OFFSET([2]quests!$A$1,0,0,COUNTA([2]quests!$A:$A),MATCH(D$1,[2]quests!$1:$1,0)-MATCH($B$1,[2]quests!$1:$1,0)+1),MATCH(D$1,[2]quests!$1:$1,0)-MATCH($B$1,[2]quests!$1:$1,0)+1,FALSE)</f>
        <v>2016年ホワイトデークエスト</v>
      </c>
      <c r="E45" s="88" t="s">
        <v>219</v>
      </c>
      <c r="F45" s="84" t="e">
        <f ca="1">VLOOKUP($B45&amp;"_"&amp;$E45,OFFSET([2]stages!$A$1,0,0,COUNTA([2]stages!$A:$A),MATCH(F$1,[2]stages!$2:$2,0)-MATCH("temp_stage",[2]stages!$2:$2,0)+1),MATCH(F$1,[2]stages!$2:$2,0)-MATCH("temp_stage",[2]stages!$2:$2,0)+1,FALSE)</f>
        <v>#N/A</v>
      </c>
      <c r="G45" s="84" t="e">
        <f ca="1">VLOOKUP($B45&amp;"_"&amp;$E45,OFFSET([2]stages!$A$1,0,0,COUNTA([2]stages!$A:$A),MATCH(G$1,[2]stages!$2:$2,0)-MATCH("temp_stage",[2]stages!$2:$2,0)+1),MATCH(G$1,[2]stages!$2:$2,0)-MATCH("temp_stage",[2]stages!$2:$2,0)+1,FALSE)</f>
        <v>#N/A</v>
      </c>
      <c r="H45" s="86">
        <v>0</v>
      </c>
      <c r="I45">
        <v>22</v>
      </c>
      <c r="J45" s="85" t="s">
        <v>200</v>
      </c>
      <c r="K45" s="95" t="str">
        <f>VLOOKUP(I45,[7]stage_hints!$A:$C,3,FALSE)</f>
        <v>フィーバーで一発逆転（その1）</v>
      </c>
      <c r="L45" s="96" t="str">
        <f>VLOOKUP(I45,[7]stage_hints!$A:$D,4,FALSE)</f>
        <v>フィーバーは攻撃と回復を兼ね備えます_x000D_ピンチからの一発逆転を狙いましょう</v>
      </c>
      <c r="M45" s="57" t="s">
        <v>215</v>
      </c>
    </row>
    <row r="46" spans="1:13">
      <c r="A46" s="82" t="s">
        <v>203</v>
      </c>
      <c r="B46" s="83">
        <f>floors!$C$2</f>
        <v>11220</v>
      </c>
      <c r="C46" s="84" t="str">
        <f ca="1">VLOOKUP($B46,OFFSET([2]quests!$A$1,0,0,COUNTA([2]quests!$A:$A),MATCH(C$1,[2]quests!$1:$1,0)-MATCH($B$1,[2]quests!$1:$1,0)+1),MATCH(C$1,[2]quests!$1:$1,0)-MATCH($B$1,[2]quests!$1:$1,0)+1,FALSE)</f>
        <v>ホワイトデー★特別クエスト</v>
      </c>
      <c r="D46" s="84" t="str">
        <f ca="1">VLOOKUP($B46,OFFSET([2]quests!$A$1,0,0,COUNTA([2]quests!$A:$A),MATCH(D$1,[2]quests!$1:$1,0)-MATCH($B$1,[2]quests!$1:$1,0)+1),MATCH(D$1,[2]quests!$1:$1,0)-MATCH($B$1,[2]quests!$1:$1,0)+1,FALSE)</f>
        <v>2016年ホワイトデークエスト</v>
      </c>
      <c r="E46" s="88" t="s">
        <v>219</v>
      </c>
      <c r="F46" s="84" t="e">
        <f ca="1">VLOOKUP($B46&amp;"_"&amp;$E46,OFFSET([2]stages!$A$1,0,0,COUNTA([2]stages!$A:$A),MATCH(F$1,[2]stages!$2:$2,0)-MATCH("temp_stage",[2]stages!$2:$2,0)+1),MATCH(F$1,[2]stages!$2:$2,0)-MATCH("temp_stage",[2]stages!$2:$2,0)+1,FALSE)</f>
        <v>#N/A</v>
      </c>
      <c r="G46" s="84" t="e">
        <f ca="1">VLOOKUP($B46&amp;"_"&amp;$E46,OFFSET([2]stages!$A$1,0,0,COUNTA([2]stages!$A:$A),MATCH(G$1,[2]stages!$2:$2,0)-MATCH("temp_stage",[2]stages!$2:$2,0)+1),MATCH(G$1,[2]stages!$2:$2,0)-MATCH("temp_stage",[2]stages!$2:$2,0)+1,FALSE)</f>
        <v>#N/A</v>
      </c>
      <c r="H46" s="86">
        <v>0</v>
      </c>
      <c r="I46">
        <v>23</v>
      </c>
      <c r="J46" s="85" t="s">
        <v>200</v>
      </c>
      <c r="K46" s="95" t="str">
        <f>VLOOKUP(I46,[7]stage_hints!$A:$C,3,FALSE)</f>
        <v>フィーバーで一発逆転（その2）</v>
      </c>
      <c r="L46" s="96" t="str">
        <f>VLOOKUP(I46,[7]stage_hints!$A:$D,4,FALSE)</f>
        <v>フィーバー中は虹色のボムパネルを狙って_x000D_画面上のパネルを一気に破壊しましょう</v>
      </c>
      <c r="M46" s="57" t="s">
        <v>215</v>
      </c>
    </row>
    <row r="47" spans="1:13">
      <c r="A47" s="82" t="s">
        <v>203</v>
      </c>
      <c r="B47" s="83">
        <f>floors!$C$2</f>
        <v>11220</v>
      </c>
      <c r="C47" s="84" t="str">
        <f ca="1">VLOOKUP($B47,OFFSET([2]quests!$A$1,0,0,COUNTA([2]quests!$A:$A),MATCH(C$1,[2]quests!$1:$1,0)-MATCH($B$1,[2]quests!$1:$1,0)+1),MATCH(C$1,[2]quests!$1:$1,0)-MATCH($B$1,[2]quests!$1:$1,0)+1,FALSE)</f>
        <v>ホワイトデー★特別クエスト</v>
      </c>
      <c r="D47" s="84" t="str">
        <f ca="1">VLOOKUP($B47,OFFSET([2]quests!$A$1,0,0,COUNTA([2]quests!$A:$A),MATCH(D$1,[2]quests!$1:$1,0)-MATCH($B$1,[2]quests!$1:$1,0)+1),MATCH(D$1,[2]quests!$1:$1,0)-MATCH($B$1,[2]quests!$1:$1,0)+1,FALSE)</f>
        <v>2016年ホワイトデークエスト</v>
      </c>
      <c r="E47" s="88" t="s">
        <v>219</v>
      </c>
      <c r="F47" s="84" t="e">
        <f ca="1">VLOOKUP($B47&amp;"_"&amp;$E47,OFFSET([2]stages!$A$1,0,0,COUNTA([2]stages!$A:$A),MATCH(F$1,[2]stages!$2:$2,0)-MATCH("temp_stage",[2]stages!$2:$2,0)+1),MATCH(F$1,[2]stages!$2:$2,0)-MATCH("temp_stage",[2]stages!$2:$2,0)+1,FALSE)</f>
        <v>#N/A</v>
      </c>
      <c r="G47" s="84" t="e">
        <f ca="1">VLOOKUP($B47&amp;"_"&amp;$E47,OFFSET([2]stages!$A$1,0,0,COUNTA([2]stages!$A:$A),MATCH(G$1,[2]stages!$2:$2,0)-MATCH("temp_stage",[2]stages!$2:$2,0)+1),MATCH(G$1,[2]stages!$2:$2,0)-MATCH("temp_stage",[2]stages!$2:$2,0)+1,FALSE)</f>
        <v>#N/A</v>
      </c>
      <c r="H47" s="86">
        <v>0</v>
      </c>
      <c r="I47">
        <v>24</v>
      </c>
      <c r="J47" s="85" t="s">
        <v>200</v>
      </c>
      <c r="K47" s="95" t="str">
        <f>VLOOKUP(I47,[7]stage_hints!$A:$C,3,FALSE)</f>
        <v>りんごを使って限界突破</v>
      </c>
      <c r="L47" s="96" t="str">
        <f>VLOOKUP(I47,[7]stage_hints!$A:$D,4,FALSE)</f>
        <v>赤りんご(攻撃力) 青りんご(回復力)_x000D_緑りんご(体力)をユニット強化に使うと_x000D_ステータスが限界突破します（計99個迄）</v>
      </c>
      <c r="M47" s="57" t="s">
        <v>215</v>
      </c>
    </row>
    <row r="48" spans="1:13">
      <c r="A48" s="82" t="s">
        <v>203</v>
      </c>
      <c r="B48" s="83">
        <f>floors!$C$2</f>
        <v>11220</v>
      </c>
      <c r="C48" s="84" t="str">
        <f ca="1">VLOOKUP($B48,OFFSET([2]quests!$A$1,0,0,COUNTA([2]quests!$A:$A),MATCH(C$1,[2]quests!$1:$1,0)-MATCH($B$1,[2]quests!$1:$1,0)+1),MATCH(C$1,[2]quests!$1:$1,0)-MATCH($B$1,[2]quests!$1:$1,0)+1,FALSE)</f>
        <v>ホワイトデー★特別クエスト</v>
      </c>
      <c r="D48" s="84" t="str">
        <f ca="1">VLOOKUP($B48,OFFSET([2]quests!$A$1,0,0,COUNTA([2]quests!$A:$A),MATCH(D$1,[2]quests!$1:$1,0)-MATCH($B$1,[2]quests!$1:$1,0)+1),MATCH(D$1,[2]quests!$1:$1,0)-MATCH($B$1,[2]quests!$1:$1,0)+1,FALSE)</f>
        <v>2016年ホワイトデークエスト</v>
      </c>
      <c r="E48" s="88" t="s">
        <v>219</v>
      </c>
      <c r="F48" s="84" t="e">
        <f ca="1">VLOOKUP($B48&amp;"_"&amp;$E48,OFFSET([2]stages!$A$1,0,0,COUNTA([2]stages!$A:$A),MATCH(F$1,[2]stages!$2:$2,0)-MATCH("temp_stage",[2]stages!$2:$2,0)+1),MATCH(F$1,[2]stages!$2:$2,0)-MATCH("temp_stage",[2]stages!$2:$2,0)+1,FALSE)</f>
        <v>#N/A</v>
      </c>
      <c r="G48" s="84" t="e">
        <f ca="1">VLOOKUP($B48&amp;"_"&amp;$E48,OFFSET([2]stages!$A$1,0,0,COUNTA([2]stages!$A:$A),MATCH(G$1,[2]stages!$2:$2,0)-MATCH("temp_stage",[2]stages!$2:$2,0)+1),MATCH(G$1,[2]stages!$2:$2,0)-MATCH("temp_stage",[2]stages!$2:$2,0)+1,FALSE)</f>
        <v>#N/A</v>
      </c>
      <c r="H48" s="86">
        <v>0</v>
      </c>
      <c r="I48">
        <v>25</v>
      </c>
      <c r="J48" s="85" t="s">
        <v>200</v>
      </c>
      <c r="K48" s="95" t="str">
        <f>VLOOKUP(I48,[7]stage_hints!$A:$C,3,FALSE)</f>
        <v>スキルレベルアップ</v>
      </c>
      <c r="L48" s="96" t="str">
        <f>VLOOKUP(I48,[7]stage_hints!$A:$D,4,FALSE)</f>
        <v>「クリスタルのりんご」を強化に使うと_x000D_スキルレベルを上げることができます</v>
      </c>
      <c r="M48" s="57" t="s">
        <v>215</v>
      </c>
    </row>
    <row r="49" spans="1:13">
      <c r="A49" s="82" t="s">
        <v>203</v>
      </c>
      <c r="B49" s="83">
        <f>floors!$C$2</f>
        <v>11220</v>
      </c>
      <c r="C49" s="84" t="str">
        <f ca="1">VLOOKUP($B49,OFFSET([2]quests!$A$1,0,0,COUNTA([2]quests!$A:$A),MATCH(C$1,[2]quests!$1:$1,0)-MATCH($B$1,[2]quests!$1:$1,0)+1),MATCH(C$1,[2]quests!$1:$1,0)-MATCH($B$1,[2]quests!$1:$1,0)+1,FALSE)</f>
        <v>ホワイトデー★特別クエスト</v>
      </c>
      <c r="D49" s="84" t="str">
        <f ca="1">VLOOKUP($B49,OFFSET([2]quests!$A$1,0,0,COUNTA([2]quests!$A:$A),MATCH(D$1,[2]quests!$1:$1,0)-MATCH($B$1,[2]quests!$1:$1,0)+1),MATCH(D$1,[2]quests!$1:$1,0)-MATCH($B$1,[2]quests!$1:$1,0)+1,FALSE)</f>
        <v>2016年ホワイトデークエスト</v>
      </c>
      <c r="E49" s="88" t="s">
        <v>219</v>
      </c>
      <c r="F49" s="84" t="e">
        <f ca="1">VLOOKUP($B49&amp;"_"&amp;$E49,OFFSET([2]stages!$A$1,0,0,COUNTA([2]stages!$A:$A),MATCH(F$1,[2]stages!$2:$2,0)-MATCH("temp_stage",[2]stages!$2:$2,0)+1),MATCH(F$1,[2]stages!$2:$2,0)-MATCH("temp_stage",[2]stages!$2:$2,0)+1,FALSE)</f>
        <v>#N/A</v>
      </c>
      <c r="G49" s="84" t="e">
        <f ca="1">VLOOKUP($B49&amp;"_"&amp;$E49,OFFSET([2]stages!$A$1,0,0,COUNTA([2]stages!$A:$A),MATCH(G$1,[2]stages!$2:$2,0)-MATCH("temp_stage",[2]stages!$2:$2,0)+1),MATCH(G$1,[2]stages!$2:$2,0)-MATCH("temp_stage",[2]stages!$2:$2,0)+1,FALSE)</f>
        <v>#N/A</v>
      </c>
      <c r="H49" s="86">
        <v>0</v>
      </c>
      <c r="I49">
        <v>26</v>
      </c>
      <c r="J49" s="85" t="s">
        <v>200</v>
      </c>
      <c r="K49" s="95" t="str">
        <f>VLOOKUP(I49,[7]stage_hints!$A:$C,3,FALSE)</f>
        <v>スキルレベルの効果</v>
      </c>
      <c r="L49" s="96" t="str">
        <f>VLOOKUP(I49,[7]stage_hints!$A:$D,4,FALSE)</f>
        <v>スキルレベルが上がると_x000D_短いターンでスキルを使うことができます</v>
      </c>
      <c r="M49" s="57" t="s">
        <v>215</v>
      </c>
    </row>
    <row r="50" spans="1:13">
      <c r="A50" s="82" t="s">
        <v>203</v>
      </c>
      <c r="B50" s="83">
        <f>floors!$C$2</f>
        <v>11220</v>
      </c>
      <c r="C50" s="84" t="str">
        <f ca="1">VLOOKUP($B50,OFFSET([2]quests!$A$1,0,0,COUNTA([2]quests!$A:$A),MATCH(C$1,[2]quests!$1:$1,0)-MATCH($B$1,[2]quests!$1:$1,0)+1),MATCH(C$1,[2]quests!$1:$1,0)-MATCH($B$1,[2]quests!$1:$1,0)+1,FALSE)</f>
        <v>ホワイトデー★特別クエスト</v>
      </c>
      <c r="D50" s="84" t="str">
        <f ca="1">VLOOKUP($B50,OFFSET([2]quests!$A$1,0,0,COUNTA([2]quests!$A:$A),MATCH(D$1,[2]quests!$1:$1,0)-MATCH($B$1,[2]quests!$1:$1,0)+1),MATCH(D$1,[2]quests!$1:$1,0)-MATCH($B$1,[2]quests!$1:$1,0)+1,FALSE)</f>
        <v>2016年ホワイトデークエスト</v>
      </c>
      <c r="E50" s="88" t="s">
        <v>219</v>
      </c>
      <c r="F50" s="84" t="e">
        <f ca="1">VLOOKUP($B50&amp;"_"&amp;$E50,OFFSET([2]stages!$A$1,0,0,COUNTA([2]stages!$A:$A),MATCH(F$1,[2]stages!$2:$2,0)-MATCH("temp_stage",[2]stages!$2:$2,0)+1),MATCH(F$1,[2]stages!$2:$2,0)-MATCH("temp_stage",[2]stages!$2:$2,0)+1,FALSE)</f>
        <v>#N/A</v>
      </c>
      <c r="G50" s="84" t="e">
        <f ca="1">VLOOKUP($B50&amp;"_"&amp;$E50,OFFSET([2]stages!$A$1,0,0,COUNTA([2]stages!$A:$A),MATCH(G$1,[2]stages!$2:$2,0)-MATCH("temp_stage",[2]stages!$2:$2,0)+1),MATCH(G$1,[2]stages!$2:$2,0)-MATCH("temp_stage",[2]stages!$2:$2,0)+1,FALSE)</f>
        <v>#N/A</v>
      </c>
      <c r="H50" s="86">
        <v>0</v>
      </c>
      <c r="I50">
        <v>27</v>
      </c>
      <c r="J50" s="85" t="s">
        <v>200</v>
      </c>
      <c r="K50" s="95" t="str">
        <f>VLOOKUP(I50,[7]stage_hints!$A:$C,3,FALSE)</f>
        <v>ホーム画面からデッキを編成</v>
      </c>
      <c r="L50" s="96" t="str">
        <f>VLOOKUP(I50,[7]stage_hints!$A:$D,4,FALSE)</f>
        <v>ホーム画面でユニットを長押しすると_x000D_すぐにパーティ編成に移動できます</v>
      </c>
      <c r="M50" s="57" t="s">
        <v>215</v>
      </c>
    </row>
    <row r="51" spans="1:13">
      <c r="A51" s="82" t="s">
        <v>203</v>
      </c>
      <c r="B51" s="83">
        <f>floors!$C$2</f>
        <v>11220</v>
      </c>
      <c r="C51" s="84" t="str">
        <f ca="1">VLOOKUP($B51,OFFSET([2]quests!$A$1,0,0,COUNTA([2]quests!$A:$A),MATCH(C$1,[2]quests!$1:$1,0)-MATCH($B$1,[2]quests!$1:$1,0)+1),MATCH(C$1,[2]quests!$1:$1,0)-MATCH($B$1,[2]quests!$1:$1,0)+1,FALSE)</f>
        <v>ホワイトデー★特別クエスト</v>
      </c>
      <c r="D51" s="84" t="str">
        <f ca="1">VLOOKUP($B51,OFFSET([2]quests!$A$1,0,0,COUNTA([2]quests!$A:$A),MATCH(D$1,[2]quests!$1:$1,0)-MATCH($B$1,[2]quests!$1:$1,0)+1),MATCH(D$1,[2]quests!$1:$1,0)-MATCH($B$1,[2]quests!$1:$1,0)+1,FALSE)</f>
        <v>2016年ホワイトデークエスト</v>
      </c>
      <c r="E51" s="88" t="s">
        <v>219</v>
      </c>
      <c r="F51" s="84" t="e">
        <f ca="1">VLOOKUP($B51&amp;"_"&amp;$E51,OFFSET([2]stages!$A$1,0,0,COUNTA([2]stages!$A:$A),MATCH(F$1,[2]stages!$2:$2,0)-MATCH("temp_stage",[2]stages!$2:$2,0)+1),MATCH(F$1,[2]stages!$2:$2,0)-MATCH("temp_stage",[2]stages!$2:$2,0)+1,FALSE)</f>
        <v>#N/A</v>
      </c>
      <c r="G51" s="84" t="e">
        <f ca="1">VLOOKUP($B51&amp;"_"&amp;$E51,OFFSET([2]stages!$A$1,0,0,COUNTA([2]stages!$A:$A),MATCH(G$1,[2]stages!$2:$2,0)-MATCH("temp_stage",[2]stages!$2:$2,0)+1),MATCH(G$1,[2]stages!$2:$2,0)-MATCH("temp_stage",[2]stages!$2:$2,0)+1,FALSE)</f>
        <v>#N/A</v>
      </c>
      <c r="H51" s="86">
        <v>0</v>
      </c>
      <c r="I51">
        <v>28</v>
      </c>
      <c r="J51" s="85" t="s">
        <v>200</v>
      </c>
      <c r="K51" s="95" t="str">
        <f>VLOOKUP(I51,[7]stage_hints!$A:$C,3,FALSE)</f>
        <v>ステータス情報は長押しで</v>
      </c>
      <c r="L51" s="96" t="str">
        <f>VLOOKUP(I51,[7]stage_hints!$A:$D,4,FALSE)</f>
        <v>ユニットのアイコンを長押しすると_x000D_ステータス情報を確認することができます</v>
      </c>
      <c r="M51" s="57" t="s">
        <v>215</v>
      </c>
    </row>
    <row r="52" spans="1:13">
      <c r="A52" s="82" t="s">
        <v>203</v>
      </c>
      <c r="B52" s="83">
        <f>floors!$C$2</f>
        <v>11220</v>
      </c>
      <c r="C52" s="84" t="str">
        <f ca="1">VLOOKUP($B52,OFFSET([2]quests!$A$1,0,0,COUNTA([2]quests!$A:$A),MATCH(C$1,[2]quests!$1:$1,0)-MATCH($B$1,[2]quests!$1:$1,0)+1),MATCH(C$1,[2]quests!$1:$1,0)-MATCH($B$1,[2]quests!$1:$1,0)+1,FALSE)</f>
        <v>ホワイトデー★特別クエスト</v>
      </c>
      <c r="D52" s="84" t="str">
        <f ca="1">VLOOKUP($B52,OFFSET([2]quests!$A$1,0,0,COUNTA([2]quests!$A:$A),MATCH(D$1,[2]quests!$1:$1,0)-MATCH($B$1,[2]quests!$1:$1,0)+1),MATCH(D$1,[2]quests!$1:$1,0)-MATCH($B$1,[2]quests!$1:$1,0)+1,FALSE)</f>
        <v>2016年ホワイトデークエスト</v>
      </c>
      <c r="E52" s="88" t="s">
        <v>219</v>
      </c>
      <c r="F52" s="84" t="e">
        <f ca="1">VLOOKUP($B52&amp;"_"&amp;$E52,OFFSET([2]stages!$A$1,0,0,COUNTA([2]stages!$A:$A),MATCH(F$1,[2]stages!$2:$2,0)-MATCH("temp_stage",[2]stages!$2:$2,0)+1),MATCH(F$1,[2]stages!$2:$2,0)-MATCH("temp_stage",[2]stages!$2:$2,0)+1,FALSE)</f>
        <v>#N/A</v>
      </c>
      <c r="G52" s="84" t="e">
        <f ca="1">VLOOKUP($B52&amp;"_"&amp;$E52,OFFSET([2]stages!$A$1,0,0,COUNTA([2]stages!$A:$A),MATCH(G$1,[2]stages!$2:$2,0)-MATCH("temp_stage",[2]stages!$2:$2,0)+1),MATCH(G$1,[2]stages!$2:$2,0)-MATCH("temp_stage",[2]stages!$2:$2,0)+1,FALSE)</f>
        <v>#N/A</v>
      </c>
      <c r="H52" s="86">
        <v>0</v>
      </c>
      <c r="I52">
        <v>29</v>
      </c>
      <c r="J52" s="85" t="s">
        <v>200</v>
      </c>
      <c r="K52" s="95" t="str">
        <f>VLOOKUP(I52,[7]stage_hints!$A:$C,3,FALSE)</f>
        <v>「バグ」のメリット</v>
      </c>
      <c r="L52" s="96" t="str">
        <f>VLOOKUP(I52,[7]stage_hints!$A:$D,4,FALSE)</f>
        <v>ユニットの「バグ」を増やすと_x000D_報酬をもらえる確率がアップします</v>
      </c>
      <c r="M52" s="57" t="s">
        <v>215</v>
      </c>
    </row>
    <row r="53" spans="1:13">
      <c r="A53" s="82" t="s">
        <v>203</v>
      </c>
      <c r="B53" s="83">
        <f>floors!$C$2</f>
        <v>11220</v>
      </c>
      <c r="C53" s="84" t="str">
        <f ca="1">VLOOKUP($B53,OFFSET([2]quests!$A$1,0,0,COUNTA([2]quests!$A:$A),MATCH(C$1,[2]quests!$1:$1,0)-MATCH($B$1,[2]quests!$1:$1,0)+1),MATCH(C$1,[2]quests!$1:$1,0)-MATCH($B$1,[2]quests!$1:$1,0)+1,FALSE)</f>
        <v>ホワイトデー★特別クエスト</v>
      </c>
      <c r="D53" s="84" t="str">
        <f ca="1">VLOOKUP($B53,OFFSET([2]quests!$A$1,0,0,COUNTA([2]quests!$A:$A),MATCH(D$1,[2]quests!$1:$1,0)-MATCH($B$1,[2]quests!$1:$1,0)+1),MATCH(D$1,[2]quests!$1:$1,0)-MATCH($B$1,[2]quests!$1:$1,0)+1,FALSE)</f>
        <v>2016年ホワイトデークエスト</v>
      </c>
      <c r="E53" s="88" t="s">
        <v>219</v>
      </c>
      <c r="F53" s="84" t="e">
        <f ca="1">VLOOKUP($B53&amp;"_"&amp;$E53,OFFSET([2]stages!$A$1,0,0,COUNTA([2]stages!$A:$A),MATCH(F$1,[2]stages!$2:$2,0)-MATCH("temp_stage",[2]stages!$2:$2,0)+1),MATCH(F$1,[2]stages!$2:$2,0)-MATCH("temp_stage",[2]stages!$2:$2,0)+1,FALSE)</f>
        <v>#N/A</v>
      </c>
      <c r="G53" s="84" t="e">
        <f ca="1">VLOOKUP($B53&amp;"_"&amp;$E53,OFFSET([2]stages!$A$1,0,0,COUNTA([2]stages!$A:$A),MATCH(G$1,[2]stages!$2:$2,0)-MATCH("temp_stage",[2]stages!$2:$2,0)+1),MATCH(G$1,[2]stages!$2:$2,0)-MATCH("temp_stage",[2]stages!$2:$2,0)+1,FALSE)</f>
        <v>#N/A</v>
      </c>
      <c r="H53" s="86">
        <v>0</v>
      </c>
      <c r="I53">
        <v>30</v>
      </c>
      <c r="J53" s="85" t="s">
        <v>200</v>
      </c>
      <c r="K53" s="95" t="str">
        <f>VLOOKUP(I53,[7]stage_hints!$A:$C,3,FALSE)</f>
        <v>「バグ」の増やし方</v>
      </c>
      <c r="L53" s="96" t="str">
        <f>VLOOKUP(I53,[7]stage_hints!$A:$D,4,FALSE)</f>
        <v>同じユニット同士を強化で合成すると_x000D_「バグ」を増やすことができます</v>
      </c>
      <c r="M53" s="57" t="s">
        <v>215</v>
      </c>
    </row>
    <row r="54" spans="1:13">
      <c r="A54" s="82" t="s">
        <v>203</v>
      </c>
      <c r="B54" s="83">
        <f>floors!$C$2</f>
        <v>11220</v>
      </c>
      <c r="C54" s="84" t="str">
        <f ca="1">VLOOKUP($B54,OFFSET([2]quests!$A$1,0,0,COUNTA([2]quests!$A:$A),MATCH(C$1,[2]quests!$1:$1,0)-MATCH($B$1,[2]quests!$1:$1,0)+1),MATCH(C$1,[2]quests!$1:$1,0)-MATCH($B$1,[2]quests!$1:$1,0)+1,FALSE)</f>
        <v>ホワイトデー★特別クエスト</v>
      </c>
      <c r="D54" s="84" t="str">
        <f ca="1">VLOOKUP($B54,OFFSET([2]quests!$A$1,0,0,COUNTA([2]quests!$A:$A),MATCH(D$1,[2]quests!$1:$1,0)-MATCH($B$1,[2]quests!$1:$1,0)+1),MATCH(D$1,[2]quests!$1:$1,0)-MATCH($B$1,[2]quests!$1:$1,0)+1,FALSE)</f>
        <v>2016年ホワイトデークエスト</v>
      </c>
      <c r="E54" s="88" t="s">
        <v>219</v>
      </c>
      <c r="F54" s="84" t="e">
        <f ca="1">VLOOKUP($B54&amp;"_"&amp;$E54,OFFSET([2]stages!$A$1,0,0,COUNTA([2]stages!$A:$A),MATCH(F$1,[2]stages!$2:$2,0)-MATCH("temp_stage",[2]stages!$2:$2,0)+1),MATCH(F$1,[2]stages!$2:$2,0)-MATCH("temp_stage",[2]stages!$2:$2,0)+1,FALSE)</f>
        <v>#N/A</v>
      </c>
      <c r="G54" s="84" t="e">
        <f ca="1">VLOOKUP($B54&amp;"_"&amp;$E54,OFFSET([2]stages!$A$1,0,0,COUNTA([2]stages!$A:$A),MATCH(G$1,[2]stages!$2:$2,0)-MATCH("temp_stage",[2]stages!$2:$2,0)+1),MATCH(G$1,[2]stages!$2:$2,0)-MATCH("temp_stage",[2]stages!$2:$2,0)+1,FALSE)</f>
        <v>#N/A</v>
      </c>
      <c r="H54" s="86">
        <v>0</v>
      </c>
      <c r="I54">
        <v>31</v>
      </c>
      <c r="J54" s="85" t="s">
        <v>200</v>
      </c>
      <c r="K54" s="95" t="str">
        <f>VLOOKUP(I54,[7]stage_hints!$A:$C,3,FALSE)</f>
        <v>イベントはお知らせでチェック</v>
      </c>
      <c r="L54" s="96" t="str">
        <f>VLOOKUP(I54,[7]stage_hints!$A:$D,4,FALSE)</f>
        <v>イベント限定ユニットを取り忘れないように_x000D_お知らせをこまめにチェックしましょう</v>
      </c>
      <c r="M54" s="57" t="s">
        <v>215</v>
      </c>
    </row>
    <row r="55" spans="1:13">
      <c r="A55" s="82" t="s">
        <v>203</v>
      </c>
      <c r="B55" s="83">
        <f>floors!$C$2</f>
        <v>11220</v>
      </c>
      <c r="C55" s="84" t="str">
        <f ca="1">VLOOKUP($B55,OFFSET([2]quests!$A$1,0,0,COUNTA([2]quests!$A:$A),MATCH(C$1,[2]quests!$1:$1,0)-MATCH($B$1,[2]quests!$1:$1,0)+1),MATCH(C$1,[2]quests!$1:$1,0)-MATCH($B$1,[2]quests!$1:$1,0)+1,FALSE)</f>
        <v>ホワイトデー★特別クエスト</v>
      </c>
      <c r="D55" s="84" t="str">
        <f ca="1">VLOOKUP($B55,OFFSET([2]quests!$A$1,0,0,COUNTA([2]quests!$A:$A),MATCH(D$1,[2]quests!$1:$1,0)-MATCH($B$1,[2]quests!$1:$1,0)+1),MATCH(D$1,[2]quests!$1:$1,0)-MATCH($B$1,[2]quests!$1:$1,0)+1,FALSE)</f>
        <v>2016年ホワイトデークエスト</v>
      </c>
      <c r="E55" s="88" t="s">
        <v>219</v>
      </c>
      <c r="F55" s="84" t="e">
        <f ca="1">VLOOKUP($B55&amp;"_"&amp;$E55,OFFSET([2]stages!$A$1,0,0,COUNTA([2]stages!$A:$A),MATCH(F$1,[2]stages!$2:$2,0)-MATCH("temp_stage",[2]stages!$2:$2,0)+1),MATCH(F$1,[2]stages!$2:$2,0)-MATCH("temp_stage",[2]stages!$2:$2,0)+1,FALSE)</f>
        <v>#N/A</v>
      </c>
      <c r="G55" s="84" t="e">
        <f ca="1">VLOOKUP($B55&amp;"_"&amp;$E55,OFFSET([2]stages!$A$1,0,0,COUNTA([2]stages!$A:$A),MATCH(G$1,[2]stages!$2:$2,0)-MATCH("temp_stage",[2]stages!$2:$2,0)+1),MATCH(G$1,[2]stages!$2:$2,0)-MATCH("temp_stage",[2]stages!$2:$2,0)+1,FALSE)</f>
        <v>#N/A</v>
      </c>
      <c r="H55" s="86">
        <v>0</v>
      </c>
      <c r="I55">
        <v>32</v>
      </c>
      <c r="J55" s="85" t="s">
        <v>200</v>
      </c>
      <c r="K55" s="95" t="str">
        <f>VLOOKUP(I55,[7]stage_hints!$A:$C,3,FALSE)</f>
        <v>敵の連続攻撃には</v>
      </c>
      <c r="L55" s="96" t="str">
        <f>VLOOKUP(I55,[7]stage_hints!$A:$D,4,FALSE)</f>
        <v>カウンタースキルを持つユニットがいれば_x000D_ダメージ回数分の反撃ができます</v>
      </c>
      <c r="M55" s="57" t="s">
        <v>215</v>
      </c>
    </row>
    <row r="56" spans="1:13">
      <c r="A56" s="82" t="s">
        <v>203</v>
      </c>
      <c r="B56" s="83">
        <f>floors!$C$2</f>
        <v>11220</v>
      </c>
      <c r="C56" s="84" t="str">
        <f ca="1">VLOOKUP($B56,OFFSET([2]quests!$A$1,0,0,COUNTA([2]quests!$A:$A),MATCH(C$1,[2]quests!$1:$1,0)-MATCH($B$1,[2]quests!$1:$1,0)+1),MATCH(C$1,[2]quests!$1:$1,0)-MATCH($B$1,[2]quests!$1:$1,0)+1,FALSE)</f>
        <v>ホワイトデー★特別クエスト</v>
      </c>
      <c r="D56" s="84" t="str">
        <f ca="1">VLOOKUP($B56,OFFSET([2]quests!$A$1,0,0,COUNTA([2]quests!$A:$A),MATCH(D$1,[2]quests!$1:$1,0)-MATCH($B$1,[2]quests!$1:$1,0)+1),MATCH(D$1,[2]quests!$1:$1,0)-MATCH($B$1,[2]quests!$1:$1,0)+1,FALSE)</f>
        <v>2016年ホワイトデークエスト</v>
      </c>
      <c r="E56" s="88" t="s">
        <v>219</v>
      </c>
      <c r="F56" s="84" t="e">
        <f ca="1">VLOOKUP($B56&amp;"_"&amp;$E56,OFFSET([2]stages!$A$1,0,0,COUNTA([2]stages!$A:$A),MATCH(F$1,[2]stages!$2:$2,0)-MATCH("temp_stage",[2]stages!$2:$2,0)+1),MATCH(F$1,[2]stages!$2:$2,0)-MATCH("temp_stage",[2]stages!$2:$2,0)+1,FALSE)</f>
        <v>#N/A</v>
      </c>
      <c r="G56" s="84" t="e">
        <f ca="1">VLOOKUP($B56&amp;"_"&amp;$E56,OFFSET([2]stages!$A$1,0,0,COUNTA([2]stages!$A:$A),MATCH(G$1,[2]stages!$2:$2,0)-MATCH("temp_stage",[2]stages!$2:$2,0)+1),MATCH(G$1,[2]stages!$2:$2,0)-MATCH("temp_stage",[2]stages!$2:$2,0)+1,FALSE)</f>
        <v>#N/A</v>
      </c>
      <c r="H56" s="86">
        <v>0</v>
      </c>
      <c r="I56">
        <v>33</v>
      </c>
      <c r="J56" s="85" t="s">
        <v>200</v>
      </c>
      <c r="K56" s="95" t="str">
        <f>VLOOKUP(I56,[7]stage_hints!$A:$C,3,FALSE)</f>
        <v>敵のカウンター攻撃には</v>
      </c>
      <c r="L56" s="96" t="str">
        <f>VLOOKUP(I56,[7]stage_hints!$A:$D,4,FALSE)</f>
        <v>カウンターブレイクスキルを持っていれば_x000D_敵のカウンターを解除して攻撃ができます</v>
      </c>
      <c r="M56" s="57" t="s">
        <v>215</v>
      </c>
    </row>
    <row r="57" spans="1:13">
      <c r="A57" s="82" t="s">
        <v>203</v>
      </c>
      <c r="B57" s="83">
        <f>floors!$C$2</f>
        <v>11220</v>
      </c>
      <c r="C57" s="84" t="str">
        <f ca="1">VLOOKUP($B57,OFFSET([2]quests!$A$1,0,0,COUNTA([2]quests!$A:$A),MATCH(C$1,[2]quests!$1:$1,0)-MATCH($B$1,[2]quests!$1:$1,0)+1),MATCH(C$1,[2]quests!$1:$1,0)-MATCH($B$1,[2]quests!$1:$1,0)+1,FALSE)</f>
        <v>ホワイトデー★特別クエスト</v>
      </c>
      <c r="D57" s="84" t="str">
        <f ca="1">VLOOKUP($B57,OFFSET([2]quests!$A$1,0,0,COUNTA([2]quests!$A:$A),MATCH(D$1,[2]quests!$1:$1,0)-MATCH($B$1,[2]quests!$1:$1,0)+1),MATCH(D$1,[2]quests!$1:$1,0)-MATCH($B$1,[2]quests!$1:$1,0)+1,FALSE)</f>
        <v>2016年ホワイトデークエスト</v>
      </c>
      <c r="E57" s="88" t="s">
        <v>219</v>
      </c>
      <c r="F57" s="84" t="e">
        <f ca="1">VLOOKUP($B57&amp;"_"&amp;$E57,OFFSET([2]stages!$A$1,0,0,COUNTA([2]stages!$A:$A),MATCH(F$1,[2]stages!$2:$2,0)-MATCH("temp_stage",[2]stages!$2:$2,0)+1),MATCH(F$1,[2]stages!$2:$2,0)-MATCH("temp_stage",[2]stages!$2:$2,0)+1,FALSE)</f>
        <v>#N/A</v>
      </c>
      <c r="G57" s="84" t="e">
        <f ca="1">VLOOKUP($B57&amp;"_"&amp;$E57,OFFSET([2]stages!$A$1,0,0,COUNTA([2]stages!$A:$A),MATCH(G$1,[2]stages!$2:$2,0)-MATCH("temp_stage",[2]stages!$2:$2,0)+1),MATCH(G$1,[2]stages!$2:$2,0)-MATCH("temp_stage",[2]stages!$2:$2,0)+1,FALSE)</f>
        <v>#N/A</v>
      </c>
      <c r="H57" s="86">
        <v>0</v>
      </c>
      <c r="I57">
        <v>34</v>
      </c>
      <c r="J57" s="85" t="s">
        <v>200</v>
      </c>
      <c r="K57" s="95" t="str">
        <f>VLOOKUP(I57,[7]stage_hints!$A:$C,3,FALSE)</f>
        <v>ステータスをスキルで下げられたら</v>
      </c>
      <c r="L57" s="96" t="str">
        <f>VLOOKUP(I57,[7]stage_hints!$A:$D,4,FALSE)</f>
        <v>ステータスダウンのスキルを受けたら_x000D_ステータスアップスキルで上書きしましょう</v>
      </c>
      <c r="M57" s="57" t="s">
        <v>215</v>
      </c>
    </row>
    <row r="58" spans="1:13">
      <c r="A58" s="82" t="s">
        <v>203</v>
      </c>
      <c r="B58" s="83">
        <f>floors!$C$2</f>
        <v>11220</v>
      </c>
      <c r="C58" s="84" t="str">
        <f ca="1">VLOOKUP($B58,OFFSET([2]quests!$A$1,0,0,COUNTA([2]quests!$A:$A),MATCH(C$1,[2]quests!$1:$1,0)-MATCH($B$1,[2]quests!$1:$1,0)+1),MATCH(C$1,[2]quests!$1:$1,0)-MATCH($B$1,[2]quests!$1:$1,0)+1,FALSE)</f>
        <v>ホワイトデー★特別クエスト</v>
      </c>
      <c r="D58" s="84" t="str">
        <f ca="1">VLOOKUP($B58,OFFSET([2]quests!$A$1,0,0,COUNTA([2]quests!$A:$A),MATCH(D$1,[2]quests!$1:$1,0)-MATCH($B$1,[2]quests!$1:$1,0)+1),MATCH(D$1,[2]quests!$1:$1,0)-MATCH($B$1,[2]quests!$1:$1,0)+1,FALSE)</f>
        <v>2016年ホワイトデークエスト</v>
      </c>
      <c r="E58" s="88" t="s">
        <v>219</v>
      </c>
      <c r="F58" s="84" t="e">
        <f ca="1">VLOOKUP($B58&amp;"_"&amp;$E58,OFFSET([2]stages!$A$1,0,0,COUNTA([2]stages!$A:$A),MATCH(F$1,[2]stages!$2:$2,0)-MATCH("temp_stage",[2]stages!$2:$2,0)+1),MATCH(F$1,[2]stages!$2:$2,0)-MATCH("temp_stage",[2]stages!$2:$2,0)+1,FALSE)</f>
        <v>#N/A</v>
      </c>
      <c r="G58" s="84" t="e">
        <f ca="1">VLOOKUP($B58&amp;"_"&amp;$E58,OFFSET([2]stages!$A$1,0,0,COUNTA([2]stages!$A:$A),MATCH(G$1,[2]stages!$2:$2,0)-MATCH("temp_stage",[2]stages!$2:$2,0)+1),MATCH(G$1,[2]stages!$2:$2,0)-MATCH("temp_stage",[2]stages!$2:$2,0)+1,FALSE)</f>
        <v>#N/A</v>
      </c>
      <c r="H58" s="86">
        <v>0</v>
      </c>
      <c r="I58">
        <v>35</v>
      </c>
      <c r="J58" s="85" t="s">
        <v>200</v>
      </c>
      <c r="K58" s="95" t="str">
        <f>VLOOKUP(I58,[7]stage_hints!$A:$C,3,FALSE)</f>
        <v>敵のステータスがスキルで上がったら</v>
      </c>
      <c r="L58" s="96" t="str">
        <f>VLOOKUP(I58,[7]stage_hints!$A:$D,4,FALSE)</f>
        <v>敵のステータスがスキルでアップしたときは_x000D_ステータスダウンスキルで上書きしましょう</v>
      </c>
      <c r="M58" s="57" t="s">
        <v>215</v>
      </c>
    </row>
    <row r="59" spans="1:13">
      <c r="A59" s="82" t="s">
        <v>203</v>
      </c>
      <c r="B59" s="83">
        <f>floors!$C$2</f>
        <v>11220</v>
      </c>
      <c r="C59" s="84" t="str">
        <f ca="1">VLOOKUP($B59,OFFSET([2]quests!$A$1,0,0,COUNTA([2]quests!$A:$A),MATCH(C$1,[2]quests!$1:$1,0)-MATCH($B$1,[2]quests!$1:$1,0)+1),MATCH(C$1,[2]quests!$1:$1,0)-MATCH($B$1,[2]quests!$1:$1,0)+1,FALSE)</f>
        <v>ホワイトデー★特別クエスト</v>
      </c>
      <c r="D59" s="84" t="str">
        <f ca="1">VLOOKUP($B59,OFFSET([2]quests!$A$1,0,0,COUNTA([2]quests!$A:$A),MATCH(D$1,[2]quests!$1:$1,0)-MATCH($B$1,[2]quests!$1:$1,0)+1),MATCH(D$1,[2]quests!$1:$1,0)-MATCH($B$1,[2]quests!$1:$1,0)+1,FALSE)</f>
        <v>2016年ホワイトデークエスト</v>
      </c>
      <c r="E59" s="88" t="s">
        <v>219</v>
      </c>
      <c r="F59" s="84" t="e">
        <f ca="1">VLOOKUP($B59&amp;"_"&amp;$E59,OFFSET([2]stages!$A$1,0,0,COUNTA([2]stages!$A:$A),MATCH(F$1,[2]stages!$2:$2,0)-MATCH("temp_stage",[2]stages!$2:$2,0)+1),MATCH(F$1,[2]stages!$2:$2,0)-MATCH("temp_stage",[2]stages!$2:$2,0)+1,FALSE)</f>
        <v>#N/A</v>
      </c>
      <c r="G59" s="84" t="e">
        <f ca="1">VLOOKUP($B59&amp;"_"&amp;$E59,OFFSET([2]stages!$A$1,0,0,COUNTA([2]stages!$A:$A),MATCH(G$1,[2]stages!$2:$2,0)-MATCH("temp_stage",[2]stages!$2:$2,0)+1),MATCH(G$1,[2]stages!$2:$2,0)-MATCH("temp_stage",[2]stages!$2:$2,0)+1,FALSE)</f>
        <v>#N/A</v>
      </c>
      <c r="H59" s="86">
        <v>0</v>
      </c>
      <c r="I59">
        <v>39</v>
      </c>
      <c r="J59" s="85" t="s">
        <v>200</v>
      </c>
      <c r="K59" s="95" t="str">
        <f>VLOOKUP(I59,[7]stage_hints!$A:$C,3,FALSE)</f>
        <v>システム適合者を確認</v>
      </c>
      <c r="L59" s="96" t="str">
        <f>VLOOKUP(I59,[7]stage_hints!$A:$D,4,FALSE)</f>
        <v>ALICEが「アナタ」を呼んでいます</v>
      </c>
      <c r="M59" s="57" t="s">
        <v>215</v>
      </c>
    </row>
    <row r="60" spans="1:13">
      <c r="A60" s="82" t="s">
        <v>203</v>
      </c>
      <c r="B60" s="83">
        <f>floors!$C$2</f>
        <v>11220</v>
      </c>
      <c r="C60" s="84" t="str">
        <f ca="1">VLOOKUP($B60,OFFSET([2]quests!$A$1,0,0,COUNTA([2]quests!$A:$A),MATCH(C$1,[2]quests!$1:$1,0)-MATCH($B$1,[2]quests!$1:$1,0)+1),MATCH(C$1,[2]quests!$1:$1,0)-MATCH($B$1,[2]quests!$1:$1,0)+1,FALSE)</f>
        <v>ホワイトデー★特別クエスト</v>
      </c>
      <c r="D60" s="84" t="str">
        <f ca="1">VLOOKUP($B60,OFFSET([2]quests!$A$1,0,0,COUNTA([2]quests!$A:$A),MATCH(D$1,[2]quests!$1:$1,0)-MATCH($B$1,[2]quests!$1:$1,0)+1),MATCH(D$1,[2]quests!$1:$1,0)-MATCH($B$1,[2]quests!$1:$1,0)+1,FALSE)</f>
        <v>2016年ホワイトデークエスト</v>
      </c>
      <c r="E60" s="88" t="s">
        <v>220</v>
      </c>
      <c r="F60" s="84" t="e">
        <f ca="1">VLOOKUP($B60&amp;"_"&amp;$E60,OFFSET([2]stages!$A$1,0,0,COUNTA([2]stages!$A:$A),MATCH(F$1,[2]stages!$2:$2,0)-MATCH("temp_stage",[2]stages!$2:$2,0)+1),MATCH(F$1,[2]stages!$2:$2,0)-MATCH("temp_stage",[2]stages!$2:$2,0)+1,FALSE)</f>
        <v>#N/A</v>
      </c>
      <c r="G60" s="84" t="e">
        <f ca="1">VLOOKUP($B60&amp;"_"&amp;$E60,OFFSET([2]stages!$A$1,0,0,COUNTA([2]stages!$A:$A),MATCH(G$1,[2]stages!$2:$2,0)-MATCH("temp_stage",[2]stages!$2:$2,0)+1),MATCH(G$1,[2]stages!$2:$2,0)-MATCH("temp_stage",[2]stages!$2:$2,0)+1,FALSE)</f>
        <v>#N/A</v>
      </c>
      <c r="H60" s="86">
        <v>0</v>
      </c>
      <c r="I60" s="99">
        <v>3</v>
      </c>
      <c r="J60" s="85" t="s">
        <v>200</v>
      </c>
      <c r="K60" s="95" t="str">
        <f>VLOOKUP(I60,[7]stage_hints!$A:$C,3,FALSE)</f>
        <v>ターゲット</v>
      </c>
      <c r="L60" s="96" t="str">
        <f>VLOOKUP(I60,[7]stage_hints!$A:$D,4,FALSE)</f>
        <v>敵ユニットをタップすると_x000D_その敵を狙い撃ちできます</v>
      </c>
      <c r="M60" s="57" t="s">
        <v>215</v>
      </c>
    </row>
    <row r="61" spans="1:13">
      <c r="A61" s="82" t="s">
        <v>203</v>
      </c>
      <c r="B61" s="83">
        <f>floors!$C$2</f>
        <v>11220</v>
      </c>
      <c r="C61" s="84" t="str">
        <f ca="1">VLOOKUP($B61,OFFSET([2]quests!$A$1,0,0,COUNTA([2]quests!$A:$A),MATCH(C$1,[2]quests!$1:$1,0)-MATCH($B$1,[2]quests!$1:$1,0)+1),MATCH(C$1,[2]quests!$1:$1,0)-MATCH($B$1,[2]quests!$1:$1,0)+1,FALSE)</f>
        <v>ホワイトデー★特別クエスト</v>
      </c>
      <c r="D61" s="84" t="str">
        <f ca="1">VLOOKUP($B61,OFFSET([2]quests!$A$1,0,0,COUNTA([2]quests!$A:$A),MATCH(D$1,[2]quests!$1:$1,0)-MATCH($B$1,[2]quests!$1:$1,0)+1),MATCH(D$1,[2]quests!$1:$1,0)-MATCH($B$1,[2]quests!$1:$1,0)+1,FALSE)</f>
        <v>2016年ホワイトデークエスト</v>
      </c>
      <c r="E61" s="88" t="s">
        <v>220</v>
      </c>
      <c r="F61" s="84" t="e">
        <f ca="1">VLOOKUP($B61&amp;"_"&amp;$E61,OFFSET([2]stages!$A$1,0,0,COUNTA([2]stages!$A:$A),MATCH(F$1,[2]stages!$2:$2,0)-MATCH("temp_stage",[2]stages!$2:$2,0)+1),MATCH(F$1,[2]stages!$2:$2,0)-MATCH("temp_stage",[2]stages!$2:$2,0)+1,FALSE)</f>
        <v>#N/A</v>
      </c>
      <c r="G61" s="84" t="e">
        <f ca="1">VLOOKUP($B61&amp;"_"&amp;$E61,OFFSET([2]stages!$A$1,0,0,COUNTA([2]stages!$A:$A),MATCH(G$1,[2]stages!$2:$2,0)-MATCH("temp_stage",[2]stages!$2:$2,0)+1),MATCH(G$1,[2]stages!$2:$2,0)-MATCH("temp_stage",[2]stages!$2:$2,0)+1,FALSE)</f>
        <v>#N/A</v>
      </c>
      <c r="H61" s="86">
        <v>0</v>
      </c>
      <c r="I61" s="99">
        <v>6</v>
      </c>
      <c r="J61" s="85" t="s">
        <v>200</v>
      </c>
      <c r="K61" s="95" t="str">
        <f>VLOOKUP(I61,[7]stage_hints!$A:$C,3,FALSE)</f>
        <v>ユニット強化の属性ボーナス</v>
      </c>
      <c r="L61" s="96" t="str">
        <f>VLOOKUP(I61,[7]stage_hints!$A:$D,4,FALSE)</f>
        <v>同属性ユニットを強化素材にすると_x000D_経験値が多くもらえます</v>
      </c>
      <c r="M61" s="57" t="s">
        <v>215</v>
      </c>
    </row>
    <row r="62" spans="1:13">
      <c r="A62" s="82" t="s">
        <v>203</v>
      </c>
      <c r="B62" s="83">
        <f>floors!$C$2</f>
        <v>11220</v>
      </c>
      <c r="C62" s="84" t="str">
        <f ca="1">VLOOKUP($B62,OFFSET([2]quests!$A$1,0,0,COUNTA([2]quests!$A:$A),MATCH(C$1,[2]quests!$1:$1,0)-MATCH($B$1,[2]quests!$1:$1,0)+1),MATCH(C$1,[2]quests!$1:$1,0)-MATCH($B$1,[2]quests!$1:$1,0)+1,FALSE)</f>
        <v>ホワイトデー★特別クエスト</v>
      </c>
      <c r="D62" s="84" t="str">
        <f ca="1">VLOOKUP($B62,OFFSET([2]quests!$A$1,0,0,COUNTA([2]quests!$A:$A),MATCH(D$1,[2]quests!$1:$1,0)-MATCH($B$1,[2]quests!$1:$1,0)+1),MATCH(D$1,[2]quests!$1:$1,0)-MATCH($B$1,[2]quests!$1:$1,0)+1,FALSE)</f>
        <v>2016年ホワイトデークエスト</v>
      </c>
      <c r="E62" s="88" t="s">
        <v>220</v>
      </c>
      <c r="F62" s="84" t="e">
        <f ca="1">VLOOKUP($B62&amp;"_"&amp;$E62,OFFSET([2]stages!$A$1,0,0,COUNTA([2]stages!$A:$A),MATCH(F$1,[2]stages!$2:$2,0)-MATCH("temp_stage",[2]stages!$2:$2,0)+1),MATCH(F$1,[2]stages!$2:$2,0)-MATCH("temp_stage",[2]stages!$2:$2,0)+1,FALSE)</f>
        <v>#N/A</v>
      </c>
      <c r="G62" s="84" t="e">
        <f ca="1">VLOOKUP($B62&amp;"_"&amp;$E62,OFFSET([2]stages!$A$1,0,0,COUNTA([2]stages!$A:$A),MATCH(G$1,[2]stages!$2:$2,0)-MATCH("temp_stage",[2]stages!$2:$2,0)+1),MATCH(G$1,[2]stages!$2:$2,0)-MATCH("temp_stage",[2]stages!$2:$2,0)+1,FALSE)</f>
        <v>#N/A</v>
      </c>
      <c r="H62" s="86">
        <v>0</v>
      </c>
      <c r="I62" s="99">
        <v>7</v>
      </c>
      <c r="J62" s="85" t="s">
        <v>200</v>
      </c>
      <c r="K62" s="95" t="str">
        <f>VLOOKUP(I62,[7]stage_hints!$A:$C,3,FALSE)</f>
        <v>メタルダックで経験値を獲得</v>
      </c>
      <c r="L62" s="96" t="str">
        <f>VLOOKUP(I62,[7]stage_hints!$A:$D,4,FALSE)</f>
        <v>「メタルなアヒル」を強化素材にすると_x000D_大量の経験値がもらえます</v>
      </c>
      <c r="M62" s="57" t="s">
        <v>215</v>
      </c>
    </row>
    <row r="63" spans="1:13">
      <c r="A63" s="82" t="s">
        <v>203</v>
      </c>
      <c r="B63" s="83">
        <f>floors!$C$2</f>
        <v>11220</v>
      </c>
      <c r="C63" s="84" t="str">
        <f ca="1">VLOOKUP($B63,OFFSET([2]quests!$A$1,0,0,COUNTA([2]quests!$A:$A),MATCH(C$1,[2]quests!$1:$1,0)-MATCH($B$1,[2]quests!$1:$1,0)+1),MATCH(C$1,[2]quests!$1:$1,0)-MATCH($B$1,[2]quests!$1:$1,0)+1,FALSE)</f>
        <v>ホワイトデー★特別クエスト</v>
      </c>
      <c r="D63" s="84" t="str">
        <f ca="1">VLOOKUP($B63,OFFSET([2]quests!$A$1,0,0,COUNTA([2]quests!$A:$A),MATCH(D$1,[2]quests!$1:$1,0)-MATCH($B$1,[2]quests!$1:$1,0)+1),MATCH(D$1,[2]quests!$1:$1,0)-MATCH($B$1,[2]quests!$1:$1,0)+1,FALSE)</f>
        <v>2016年ホワイトデークエスト</v>
      </c>
      <c r="E63" s="88" t="s">
        <v>220</v>
      </c>
      <c r="F63" s="84" t="e">
        <f ca="1">VLOOKUP($B63&amp;"_"&amp;$E63,OFFSET([2]stages!$A$1,0,0,COUNTA([2]stages!$A:$A),MATCH(F$1,[2]stages!$2:$2,0)-MATCH("temp_stage",[2]stages!$2:$2,0)+1),MATCH(F$1,[2]stages!$2:$2,0)-MATCH("temp_stage",[2]stages!$2:$2,0)+1,FALSE)</f>
        <v>#N/A</v>
      </c>
      <c r="G63" s="84" t="e">
        <f ca="1">VLOOKUP($B63&amp;"_"&amp;$E63,OFFSET([2]stages!$A$1,0,0,COUNTA([2]stages!$A:$A),MATCH(G$1,[2]stages!$2:$2,0)-MATCH("temp_stage",[2]stages!$2:$2,0)+1),MATCH(G$1,[2]stages!$2:$2,0)-MATCH("temp_stage",[2]stages!$2:$2,0)+1,FALSE)</f>
        <v>#N/A</v>
      </c>
      <c r="H63" s="86">
        <v>0</v>
      </c>
      <c r="I63" s="99">
        <v>8</v>
      </c>
      <c r="J63" s="85" t="s">
        <v>200</v>
      </c>
      <c r="K63" s="95" t="str">
        <f>VLOOKUP(I63,[7]stage_hints!$A:$C,3,FALSE)</f>
        <v>ゲリラクエストは要チェック</v>
      </c>
      <c r="L63" s="96" t="str">
        <f>VLOOKUP(I63,[7]stage_hints!$A:$D,4,FALSE)</f>
        <v>時間限定の「アヒル捕獲作戦」では_x000D_経験値素材ユニットが多く手に入ります</v>
      </c>
      <c r="M63" s="57" t="s">
        <v>215</v>
      </c>
    </row>
    <row r="64" spans="1:13">
      <c r="A64" s="82" t="s">
        <v>203</v>
      </c>
      <c r="B64" s="83">
        <f>floors!$C$2</f>
        <v>11220</v>
      </c>
      <c r="C64" s="84" t="str">
        <f ca="1">VLOOKUP($B64,OFFSET([2]quests!$A$1,0,0,COUNTA([2]quests!$A:$A),MATCH(C$1,[2]quests!$1:$1,0)-MATCH($B$1,[2]quests!$1:$1,0)+1),MATCH(C$1,[2]quests!$1:$1,0)-MATCH($B$1,[2]quests!$1:$1,0)+1,FALSE)</f>
        <v>ホワイトデー★特別クエスト</v>
      </c>
      <c r="D64" s="84" t="str">
        <f ca="1">VLOOKUP($B64,OFFSET([2]quests!$A$1,0,0,COUNTA([2]quests!$A:$A),MATCH(D$1,[2]quests!$1:$1,0)-MATCH($B$1,[2]quests!$1:$1,0)+1),MATCH(D$1,[2]quests!$1:$1,0)-MATCH($B$1,[2]quests!$1:$1,0)+1,FALSE)</f>
        <v>2016年ホワイトデークエスト</v>
      </c>
      <c r="E64" s="88" t="s">
        <v>220</v>
      </c>
      <c r="F64" s="84" t="e">
        <f ca="1">VLOOKUP($B64&amp;"_"&amp;$E64,OFFSET([2]stages!$A$1,0,0,COUNTA([2]stages!$A:$A),MATCH(F$1,[2]stages!$2:$2,0)-MATCH("temp_stage",[2]stages!$2:$2,0)+1),MATCH(F$1,[2]stages!$2:$2,0)-MATCH("temp_stage",[2]stages!$2:$2,0)+1,FALSE)</f>
        <v>#N/A</v>
      </c>
      <c r="G64" s="84" t="e">
        <f ca="1">VLOOKUP($B64&amp;"_"&amp;$E64,OFFSET([2]stages!$A$1,0,0,COUNTA([2]stages!$A:$A),MATCH(G$1,[2]stages!$2:$2,0)-MATCH("temp_stage",[2]stages!$2:$2,0)+1),MATCH(G$1,[2]stages!$2:$2,0)-MATCH("temp_stage",[2]stages!$2:$2,0)+1,FALSE)</f>
        <v>#N/A</v>
      </c>
      <c r="H64" s="86">
        <v>0</v>
      </c>
      <c r="I64" s="99">
        <v>9</v>
      </c>
      <c r="J64" s="85" t="s">
        <v>200</v>
      </c>
      <c r="K64" s="95" t="str">
        <f>VLOOKUP(I64,[7]stage_hints!$A:$C,3,FALSE)</f>
        <v>ゴールドダックでビットを獲得</v>
      </c>
      <c r="L64" s="96" t="str">
        <f>VLOOKUP(I64,[7]stage_hints!$A:$D,4,FALSE)</f>
        <v>「ゴールドなアヒル」を売却すると_x000D_大量のビットがもらえます</v>
      </c>
      <c r="M64" s="57" t="s">
        <v>215</v>
      </c>
    </row>
    <row r="65" spans="1:13">
      <c r="A65" s="82" t="s">
        <v>203</v>
      </c>
      <c r="B65" s="83">
        <f>floors!$C$2</f>
        <v>11220</v>
      </c>
      <c r="C65" s="84" t="str">
        <f ca="1">VLOOKUP($B65,OFFSET([2]quests!$A$1,0,0,COUNTA([2]quests!$A:$A),MATCH(C$1,[2]quests!$1:$1,0)-MATCH($B$1,[2]quests!$1:$1,0)+1),MATCH(C$1,[2]quests!$1:$1,0)-MATCH($B$1,[2]quests!$1:$1,0)+1,FALSE)</f>
        <v>ホワイトデー★特別クエスト</v>
      </c>
      <c r="D65" s="84" t="str">
        <f ca="1">VLOOKUP($B65,OFFSET([2]quests!$A$1,0,0,COUNTA([2]quests!$A:$A),MATCH(D$1,[2]quests!$1:$1,0)-MATCH($B$1,[2]quests!$1:$1,0)+1),MATCH(D$1,[2]quests!$1:$1,0)-MATCH($B$1,[2]quests!$1:$1,0)+1,FALSE)</f>
        <v>2016年ホワイトデークエスト</v>
      </c>
      <c r="E65" s="88" t="s">
        <v>220</v>
      </c>
      <c r="F65" s="84" t="e">
        <f ca="1">VLOOKUP($B65&amp;"_"&amp;$E65,OFFSET([2]stages!$A$1,0,0,COUNTA([2]stages!$A:$A),MATCH(F$1,[2]stages!$2:$2,0)-MATCH("temp_stage",[2]stages!$2:$2,0)+1),MATCH(F$1,[2]stages!$2:$2,0)-MATCH("temp_stage",[2]stages!$2:$2,0)+1,FALSE)</f>
        <v>#N/A</v>
      </c>
      <c r="G65" s="84" t="e">
        <f ca="1">VLOOKUP($B65&amp;"_"&amp;$E65,OFFSET([2]stages!$A$1,0,0,COUNTA([2]stages!$A:$A),MATCH(G$1,[2]stages!$2:$2,0)-MATCH("temp_stage",[2]stages!$2:$2,0)+1),MATCH(G$1,[2]stages!$2:$2,0)-MATCH("temp_stage",[2]stages!$2:$2,0)+1,FALSE)</f>
        <v>#N/A</v>
      </c>
      <c r="H65" s="86">
        <v>0</v>
      </c>
      <c r="I65" s="99">
        <v>10</v>
      </c>
      <c r="J65" s="85" t="s">
        <v>200</v>
      </c>
      <c r="K65" s="95" t="str">
        <f>VLOOKUP(I65,[7]stage_hints!$A:$C,3,FALSE)</f>
        <v>土日に大量のビットを獲得</v>
      </c>
      <c r="L65" s="96" t="str">
        <f>VLOOKUP(I65,[7]stage_hints!$A:$D,4,FALSE)</f>
        <v>土日限定の「ゴールドカジノ」では_x000D_売却素材ユニットが多く手に入ります</v>
      </c>
      <c r="M65" s="57" t="s">
        <v>215</v>
      </c>
    </row>
    <row r="66" spans="1:13">
      <c r="A66" s="82" t="s">
        <v>203</v>
      </c>
      <c r="B66" s="83">
        <f>floors!$C$2</f>
        <v>11220</v>
      </c>
      <c r="C66" s="84" t="str">
        <f ca="1">VLOOKUP($B66,OFFSET([2]quests!$A$1,0,0,COUNTA([2]quests!$A:$A),MATCH(C$1,[2]quests!$1:$1,0)-MATCH($B$1,[2]quests!$1:$1,0)+1),MATCH(C$1,[2]quests!$1:$1,0)-MATCH($B$1,[2]quests!$1:$1,0)+1,FALSE)</f>
        <v>ホワイトデー★特別クエスト</v>
      </c>
      <c r="D66" s="84" t="str">
        <f ca="1">VLOOKUP($B66,OFFSET([2]quests!$A$1,0,0,COUNTA([2]quests!$A:$A),MATCH(D$1,[2]quests!$1:$1,0)-MATCH($B$1,[2]quests!$1:$1,0)+1),MATCH(D$1,[2]quests!$1:$1,0)-MATCH($B$1,[2]quests!$1:$1,0)+1,FALSE)</f>
        <v>2016年ホワイトデークエスト</v>
      </c>
      <c r="E66" s="88" t="s">
        <v>220</v>
      </c>
      <c r="F66" s="84" t="e">
        <f ca="1">VLOOKUP($B66&amp;"_"&amp;$E66,OFFSET([2]stages!$A$1,0,0,COUNTA([2]stages!$A:$A),MATCH(F$1,[2]stages!$2:$2,0)-MATCH("temp_stage",[2]stages!$2:$2,0)+1),MATCH(F$1,[2]stages!$2:$2,0)-MATCH("temp_stage",[2]stages!$2:$2,0)+1,FALSE)</f>
        <v>#N/A</v>
      </c>
      <c r="G66" s="84" t="e">
        <f ca="1">VLOOKUP($B66&amp;"_"&amp;$E66,OFFSET([2]stages!$A$1,0,0,COUNTA([2]stages!$A:$A),MATCH(G$1,[2]stages!$2:$2,0)-MATCH("temp_stage",[2]stages!$2:$2,0)+1),MATCH(G$1,[2]stages!$2:$2,0)-MATCH("temp_stage",[2]stages!$2:$2,0)+1,FALSE)</f>
        <v>#N/A</v>
      </c>
      <c r="H66" s="86">
        <v>0</v>
      </c>
      <c r="I66" s="99">
        <v>11</v>
      </c>
      <c r="J66" s="85" t="s">
        <v>200</v>
      </c>
      <c r="K66" s="95" t="str">
        <f>VLOOKUP(I66,[7]stage_hints!$A:$C,3,FALSE)</f>
        <v>ランク解放クエスト</v>
      </c>
      <c r="L66" s="96" t="str">
        <f>VLOOKUP(I66,[7]stage_hints!$A:$D,4,FALSE)</f>
        <v>一定ランクに到達すると_x000D_報酬付きのランク開放クエストが現れます</v>
      </c>
      <c r="M66" s="57" t="s">
        <v>215</v>
      </c>
    </row>
    <row r="67" spans="1:13">
      <c r="A67" s="82" t="s">
        <v>203</v>
      </c>
      <c r="B67" s="83">
        <f>floors!$C$2</f>
        <v>11220</v>
      </c>
      <c r="C67" s="84" t="str">
        <f ca="1">VLOOKUP($B67,OFFSET([2]quests!$A$1,0,0,COUNTA([2]quests!$A:$A),MATCH(C$1,[2]quests!$1:$1,0)-MATCH($B$1,[2]quests!$1:$1,0)+1),MATCH(C$1,[2]quests!$1:$1,0)-MATCH($B$1,[2]quests!$1:$1,0)+1,FALSE)</f>
        <v>ホワイトデー★特別クエスト</v>
      </c>
      <c r="D67" s="84" t="str">
        <f ca="1">VLOOKUP($B67,OFFSET([2]quests!$A$1,0,0,COUNTA([2]quests!$A:$A),MATCH(D$1,[2]quests!$1:$1,0)-MATCH($B$1,[2]quests!$1:$1,0)+1),MATCH(D$1,[2]quests!$1:$1,0)-MATCH($B$1,[2]quests!$1:$1,0)+1,FALSE)</f>
        <v>2016年ホワイトデークエスト</v>
      </c>
      <c r="E67" s="88" t="s">
        <v>220</v>
      </c>
      <c r="F67" s="84" t="e">
        <f ca="1">VLOOKUP($B67&amp;"_"&amp;$E67,OFFSET([2]stages!$A$1,0,0,COUNTA([2]stages!$A:$A),MATCH(F$1,[2]stages!$2:$2,0)-MATCH("temp_stage",[2]stages!$2:$2,0)+1),MATCH(F$1,[2]stages!$2:$2,0)-MATCH("temp_stage",[2]stages!$2:$2,0)+1,FALSE)</f>
        <v>#N/A</v>
      </c>
      <c r="G67" s="84" t="e">
        <f ca="1">VLOOKUP($B67&amp;"_"&amp;$E67,OFFSET([2]stages!$A$1,0,0,COUNTA([2]stages!$A:$A),MATCH(G$1,[2]stages!$2:$2,0)-MATCH("temp_stage",[2]stages!$2:$2,0)+1),MATCH(G$1,[2]stages!$2:$2,0)-MATCH("temp_stage",[2]stages!$2:$2,0)+1,FALSE)</f>
        <v>#N/A</v>
      </c>
      <c r="H67" s="86">
        <v>0</v>
      </c>
      <c r="I67" s="99">
        <v>12</v>
      </c>
      <c r="J67" s="85" t="s">
        <v>200</v>
      </c>
      <c r="K67" s="95" t="str">
        <f>VLOOKUP(I67,[7]stage_hints!$A:$C,3,FALSE)</f>
        <v>ユニットのお気に入り登録</v>
      </c>
      <c r="L67" s="96" t="str">
        <f>VLOOKUP(I67,[7]stage_hints!$A:$D,4,FALSE)</f>
        <v>大事なユニットを誤って消さないように_x000D_フォルダから「お気に入り登録」しましょう</v>
      </c>
      <c r="M67" s="57" t="s">
        <v>215</v>
      </c>
    </row>
    <row r="68" spans="1:13">
      <c r="A68" s="82" t="s">
        <v>203</v>
      </c>
      <c r="B68" s="83">
        <f>floors!$C$2</f>
        <v>11220</v>
      </c>
      <c r="C68" s="84" t="str">
        <f ca="1">VLOOKUP($B68,OFFSET([2]quests!$A$1,0,0,COUNTA([2]quests!$A:$A),MATCH(C$1,[2]quests!$1:$1,0)-MATCH($B$1,[2]quests!$1:$1,0)+1),MATCH(C$1,[2]quests!$1:$1,0)-MATCH($B$1,[2]quests!$1:$1,0)+1,FALSE)</f>
        <v>ホワイトデー★特別クエスト</v>
      </c>
      <c r="D68" s="84" t="str">
        <f ca="1">VLOOKUP($B68,OFFSET([2]quests!$A$1,0,0,COUNTA([2]quests!$A:$A),MATCH(D$1,[2]quests!$1:$1,0)-MATCH($B$1,[2]quests!$1:$1,0)+1),MATCH(D$1,[2]quests!$1:$1,0)-MATCH($B$1,[2]quests!$1:$1,0)+1,FALSE)</f>
        <v>2016年ホワイトデークエスト</v>
      </c>
      <c r="E68" s="88" t="s">
        <v>220</v>
      </c>
      <c r="F68" s="84" t="e">
        <f ca="1">VLOOKUP($B68&amp;"_"&amp;$E68,OFFSET([2]stages!$A$1,0,0,COUNTA([2]stages!$A:$A),MATCH(F$1,[2]stages!$2:$2,0)-MATCH("temp_stage",[2]stages!$2:$2,0)+1),MATCH(F$1,[2]stages!$2:$2,0)-MATCH("temp_stage",[2]stages!$2:$2,0)+1,FALSE)</f>
        <v>#N/A</v>
      </c>
      <c r="G68" s="84" t="e">
        <f ca="1">VLOOKUP($B68&amp;"_"&amp;$E68,OFFSET([2]stages!$A$1,0,0,COUNTA([2]stages!$A:$A),MATCH(G$1,[2]stages!$2:$2,0)-MATCH("temp_stage",[2]stages!$2:$2,0)+1),MATCH(G$1,[2]stages!$2:$2,0)-MATCH("temp_stage",[2]stages!$2:$2,0)+1,FALSE)</f>
        <v>#N/A</v>
      </c>
      <c r="H68" s="86">
        <v>0</v>
      </c>
      <c r="I68" s="99">
        <v>13</v>
      </c>
      <c r="J68" s="85" t="s">
        <v>200</v>
      </c>
      <c r="K68" s="95" t="str">
        <f>VLOOKUP(I68,[7]stage_hints!$A:$C,3,FALSE)</f>
        <v>ユニットの覚醒</v>
      </c>
      <c r="L68" s="96" t="str">
        <f>VLOOKUP(I68,[7]stage_hints!$A:$D,4,FALSE)</f>
        <v>ユニットを覚醒させると_x000D_比べものにならない強さが手に入ります</v>
      </c>
      <c r="M68" s="57" t="s">
        <v>215</v>
      </c>
    </row>
    <row r="69" spans="1:13">
      <c r="A69" s="82" t="s">
        <v>203</v>
      </c>
      <c r="B69" s="83">
        <f>floors!$C$2</f>
        <v>11220</v>
      </c>
      <c r="C69" s="84" t="str">
        <f ca="1">VLOOKUP($B69,OFFSET([2]quests!$A$1,0,0,COUNTA([2]quests!$A:$A),MATCH(C$1,[2]quests!$1:$1,0)-MATCH($B$1,[2]quests!$1:$1,0)+1),MATCH(C$1,[2]quests!$1:$1,0)-MATCH($B$1,[2]quests!$1:$1,0)+1,FALSE)</f>
        <v>ホワイトデー★特別クエスト</v>
      </c>
      <c r="D69" s="84" t="str">
        <f ca="1">VLOOKUP($B69,OFFSET([2]quests!$A$1,0,0,COUNTA([2]quests!$A:$A),MATCH(D$1,[2]quests!$1:$1,0)-MATCH($B$1,[2]quests!$1:$1,0)+1),MATCH(D$1,[2]quests!$1:$1,0)-MATCH($B$1,[2]quests!$1:$1,0)+1,FALSE)</f>
        <v>2016年ホワイトデークエスト</v>
      </c>
      <c r="E69" s="88" t="s">
        <v>220</v>
      </c>
      <c r="F69" s="84" t="e">
        <f ca="1">VLOOKUP($B69&amp;"_"&amp;$E69,OFFSET([2]stages!$A$1,0,0,COUNTA([2]stages!$A:$A),MATCH(F$1,[2]stages!$2:$2,0)-MATCH("temp_stage",[2]stages!$2:$2,0)+1),MATCH(F$1,[2]stages!$2:$2,0)-MATCH("temp_stage",[2]stages!$2:$2,0)+1,FALSE)</f>
        <v>#N/A</v>
      </c>
      <c r="G69" s="84" t="e">
        <f ca="1">VLOOKUP($B69&amp;"_"&amp;$E69,OFFSET([2]stages!$A$1,0,0,COUNTA([2]stages!$A:$A),MATCH(G$1,[2]stages!$2:$2,0)-MATCH("temp_stage",[2]stages!$2:$2,0)+1),MATCH(G$1,[2]stages!$2:$2,0)-MATCH("temp_stage",[2]stages!$2:$2,0)+1,FALSE)</f>
        <v>#N/A</v>
      </c>
      <c r="H69" s="86">
        <v>0</v>
      </c>
      <c r="I69" s="99">
        <v>14</v>
      </c>
      <c r="J69" s="85" t="s">
        <v>200</v>
      </c>
      <c r="K69" s="95" t="str">
        <f>VLOOKUP(I69,[7]stage_hints!$A:$C,3,FALSE)</f>
        <v>覚醒するにはレベルを最大に</v>
      </c>
      <c r="L69" s="96" t="str">
        <f>VLOOKUP(I69,[7]stage_hints!$A:$D,4,FALSE)</f>
        <v>覚醒するにはユニットのレベルを_x000D_最大まで上げる必要があります</v>
      </c>
      <c r="M69" s="57" t="s">
        <v>215</v>
      </c>
    </row>
    <row r="70" spans="1:13">
      <c r="A70" s="82" t="s">
        <v>203</v>
      </c>
      <c r="B70" s="83">
        <f>floors!$C$2</f>
        <v>11220</v>
      </c>
      <c r="C70" s="84" t="str">
        <f ca="1">VLOOKUP($B70,OFFSET([2]quests!$A$1,0,0,COUNTA([2]quests!$A:$A),MATCH(C$1,[2]quests!$1:$1,0)-MATCH($B$1,[2]quests!$1:$1,0)+1),MATCH(C$1,[2]quests!$1:$1,0)-MATCH($B$1,[2]quests!$1:$1,0)+1,FALSE)</f>
        <v>ホワイトデー★特別クエスト</v>
      </c>
      <c r="D70" s="84" t="str">
        <f ca="1">VLOOKUP($B70,OFFSET([2]quests!$A$1,0,0,COUNTA([2]quests!$A:$A),MATCH(D$1,[2]quests!$1:$1,0)-MATCH($B$1,[2]quests!$1:$1,0)+1),MATCH(D$1,[2]quests!$1:$1,0)-MATCH($B$1,[2]quests!$1:$1,0)+1,FALSE)</f>
        <v>2016年ホワイトデークエスト</v>
      </c>
      <c r="E70" s="88" t="s">
        <v>220</v>
      </c>
      <c r="F70" s="84" t="e">
        <f ca="1">VLOOKUP($B70&amp;"_"&amp;$E70,OFFSET([2]stages!$A$1,0,0,COUNTA([2]stages!$A:$A),MATCH(F$1,[2]stages!$2:$2,0)-MATCH("temp_stage",[2]stages!$2:$2,0)+1),MATCH(F$1,[2]stages!$2:$2,0)-MATCH("temp_stage",[2]stages!$2:$2,0)+1,FALSE)</f>
        <v>#N/A</v>
      </c>
      <c r="G70" s="84" t="e">
        <f ca="1">VLOOKUP($B70&amp;"_"&amp;$E70,OFFSET([2]stages!$A$1,0,0,COUNTA([2]stages!$A:$A),MATCH(G$1,[2]stages!$2:$2,0)-MATCH("temp_stage",[2]stages!$2:$2,0)+1),MATCH(G$1,[2]stages!$2:$2,0)-MATCH("temp_stage",[2]stages!$2:$2,0)+1,FALSE)</f>
        <v>#N/A</v>
      </c>
      <c r="H70" s="86">
        <v>0</v>
      </c>
      <c r="I70" s="99">
        <v>15</v>
      </c>
      <c r="J70" s="85" t="s">
        <v>200</v>
      </c>
      <c r="K70" s="95" t="str">
        <f>VLOOKUP(I70,[7]stage_hints!$A:$C,3,FALSE)</f>
        <v>覚醒素材を獲得</v>
      </c>
      <c r="L70" s="96" t="str">
        <f>VLOOKUP(I70,[7]stage_hints!$A:$D,4,FALSE)</f>
        <v>「曜日クエスト」では_x000D_ユニットの覚醒に必要な素材が手に入ります</v>
      </c>
      <c r="M70" s="57" t="s">
        <v>215</v>
      </c>
    </row>
    <row r="71" spans="1:13">
      <c r="A71" s="82" t="s">
        <v>203</v>
      </c>
      <c r="B71" s="83">
        <f>floors!$C$2</f>
        <v>11220</v>
      </c>
      <c r="C71" s="84" t="str">
        <f ca="1">VLOOKUP($B71,OFFSET([2]quests!$A$1,0,0,COUNTA([2]quests!$A:$A),MATCH(C$1,[2]quests!$1:$1,0)-MATCH($B$1,[2]quests!$1:$1,0)+1),MATCH(C$1,[2]quests!$1:$1,0)-MATCH($B$1,[2]quests!$1:$1,0)+1,FALSE)</f>
        <v>ホワイトデー★特別クエスト</v>
      </c>
      <c r="D71" s="84" t="str">
        <f ca="1">VLOOKUP($B71,OFFSET([2]quests!$A$1,0,0,COUNTA([2]quests!$A:$A),MATCH(D$1,[2]quests!$1:$1,0)-MATCH($B$1,[2]quests!$1:$1,0)+1),MATCH(D$1,[2]quests!$1:$1,0)-MATCH($B$1,[2]quests!$1:$1,0)+1,FALSE)</f>
        <v>2016年ホワイトデークエスト</v>
      </c>
      <c r="E71" s="88" t="s">
        <v>220</v>
      </c>
      <c r="F71" s="84" t="e">
        <f ca="1">VLOOKUP($B71&amp;"_"&amp;$E71,OFFSET([2]stages!$A$1,0,0,COUNTA([2]stages!$A:$A),MATCH(F$1,[2]stages!$2:$2,0)-MATCH("temp_stage",[2]stages!$2:$2,0)+1),MATCH(F$1,[2]stages!$2:$2,0)-MATCH("temp_stage",[2]stages!$2:$2,0)+1,FALSE)</f>
        <v>#N/A</v>
      </c>
      <c r="G71" s="84" t="e">
        <f ca="1">VLOOKUP($B71&amp;"_"&amp;$E71,OFFSET([2]stages!$A$1,0,0,COUNTA([2]stages!$A:$A),MATCH(G$1,[2]stages!$2:$2,0)-MATCH("temp_stage",[2]stages!$2:$2,0)+1),MATCH(G$1,[2]stages!$2:$2,0)-MATCH("temp_stage",[2]stages!$2:$2,0)+1,FALSE)</f>
        <v>#N/A</v>
      </c>
      <c r="H71" s="86">
        <v>0</v>
      </c>
      <c r="I71" s="99">
        <v>16</v>
      </c>
      <c r="J71" s="85" t="s">
        <v>200</v>
      </c>
      <c r="K71" s="95" t="str">
        <f>VLOOKUP(I71,[7]stage_hints!$A:$C,3,FALSE)</f>
        <v>マルチプレイのメリット（その1）</v>
      </c>
      <c r="L71" s="96" t="str">
        <f>VLOOKUP(I71,[7]stage_hints!$A:$D,4,FALSE)</f>
        <v>他のプレイヤーとマルチプレイで遊ぶと_x000D_ポリゴンがもらえます（100人まで）</v>
      </c>
      <c r="M71" s="57" t="s">
        <v>215</v>
      </c>
    </row>
    <row r="72" spans="1:13">
      <c r="A72" s="82" t="s">
        <v>203</v>
      </c>
      <c r="B72" s="83">
        <f>floors!$C$2</f>
        <v>11220</v>
      </c>
      <c r="C72" s="84" t="str">
        <f ca="1">VLOOKUP($B72,OFFSET([2]quests!$A$1,0,0,COUNTA([2]quests!$A:$A),MATCH(C$1,[2]quests!$1:$1,0)-MATCH($B$1,[2]quests!$1:$1,0)+1),MATCH(C$1,[2]quests!$1:$1,0)-MATCH($B$1,[2]quests!$1:$1,0)+1,FALSE)</f>
        <v>ホワイトデー★特別クエスト</v>
      </c>
      <c r="D72" s="84" t="str">
        <f ca="1">VLOOKUP($B72,OFFSET([2]quests!$A$1,0,0,COUNTA([2]quests!$A:$A),MATCH(D$1,[2]quests!$1:$1,0)-MATCH($B$1,[2]quests!$1:$1,0)+1),MATCH(D$1,[2]quests!$1:$1,0)-MATCH($B$1,[2]quests!$1:$1,0)+1,FALSE)</f>
        <v>2016年ホワイトデークエスト</v>
      </c>
      <c r="E72" s="88" t="s">
        <v>220</v>
      </c>
      <c r="F72" s="84" t="e">
        <f ca="1">VLOOKUP($B72&amp;"_"&amp;$E72,OFFSET([2]stages!$A$1,0,0,COUNTA([2]stages!$A:$A),MATCH(F$1,[2]stages!$2:$2,0)-MATCH("temp_stage",[2]stages!$2:$2,0)+1),MATCH(F$1,[2]stages!$2:$2,0)-MATCH("temp_stage",[2]stages!$2:$2,0)+1,FALSE)</f>
        <v>#N/A</v>
      </c>
      <c r="G72" s="84" t="e">
        <f ca="1">VLOOKUP($B72&amp;"_"&amp;$E72,OFFSET([2]stages!$A$1,0,0,COUNTA([2]stages!$A:$A),MATCH(G$1,[2]stages!$2:$2,0)-MATCH("temp_stage",[2]stages!$2:$2,0)+1),MATCH(G$1,[2]stages!$2:$2,0)-MATCH("temp_stage",[2]stages!$2:$2,0)+1,FALSE)</f>
        <v>#N/A</v>
      </c>
      <c r="H72" s="86">
        <v>0</v>
      </c>
      <c r="I72" s="99">
        <v>17</v>
      </c>
      <c r="J72" s="85" t="s">
        <v>200</v>
      </c>
      <c r="K72" s="95" t="str">
        <f>VLOOKUP(I72,[7]stage_hints!$A:$C,3,FALSE)</f>
        <v>リンクガチャ</v>
      </c>
      <c r="L72" s="96" t="str">
        <f>VLOOKUP(I72,[7]stage_hints!$A:$D,4,FALSE)</f>
        <v>無料のリンクガチャを回して_x000D_経験値素材や売却素材を獲得しましょう</v>
      </c>
      <c r="M72" s="57" t="s">
        <v>215</v>
      </c>
    </row>
    <row r="73" spans="1:13">
      <c r="A73" s="82" t="s">
        <v>203</v>
      </c>
      <c r="B73" s="83">
        <f>floors!$C$2</f>
        <v>11220</v>
      </c>
      <c r="C73" s="84" t="str">
        <f ca="1">VLOOKUP($B73,OFFSET([2]quests!$A$1,0,0,COUNTA([2]quests!$A:$A),MATCH(C$1,[2]quests!$1:$1,0)-MATCH($B$1,[2]quests!$1:$1,0)+1),MATCH(C$1,[2]quests!$1:$1,0)-MATCH($B$1,[2]quests!$1:$1,0)+1,FALSE)</f>
        <v>ホワイトデー★特別クエスト</v>
      </c>
      <c r="D73" s="84" t="str">
        <f ca="1">VLOOKUP($B73,OFFSET([2]quests!$A$1,0,0,COUNTA([2]quests!$A:$A),MATCH(D$1,[2]quests!$1:$1,0)-MATCH($B$1,[2]quests!$1:$1,0)+1),MATCH(D$1,[2]quests!$1:$1,0)-MATCH($B$1,[2]quests!$1:$1,0)+1,FALSE)</f>
        <v>2016年ホワイトデークエスト</v>
      </c>
      <c r="E73" s="88" t="s">
        <v>220</v>
      </c>
      <c r="F73" s="84" t="e">
        <f ca="1">VLOOKUP($B73&amp;"_"&amp;$E73,OFFSET([2]stages!$A$1,0,0,COUNTA([2]stages!$A:$A),MATCH(F$1,[2]stages!$2:$2,0)-MATCH("temp_stage",[2]stages!$2:$2,0)+1),MATCH(F$1,[2]stages!$2:$2,0)-MATCH("temp_stage",[2]stages!$2:$2,0)+1,FALSE)</f>
        <v>#N/A</v>
      </c>
      <c r="G73" s="84" t="e">
        <f ca="1">VLOOKUP($B73&amp;"_"&amp;$E73,OFFSET([2]stages!$A$1,0,0,COUNTA([2]stages!$A:$A),MATCH(G$1,[2]stages!$2:$2,0)-MATCH("temp_stage",[2]stages!$2:$2,0)+1),MATCH(G$1,[2]stages!$2:$2,0)-MATCH("temp_stage",[2]stages!$2:$2,0)+1,FALSE)</f>
        <v>#N/A</v>
      </c>
      <c r="H73" s="86">
        <v>0</v>
      </c>
      <c r="I73" s="99">
        <v>18</v>
      </c>
      <c r="J73" s="85" t="s">
        <v>200</v>
      </c>
      <c r="K73" s="95" t="str">
        <f>VLOOKUP(I73,[7]stage_hints!$A:$C,3,FALSE)</f>
        <v>マルチプレイのメリット（その2）</v>
      </c>
      <c r="L73" s="96" t="str">
        <f>VLOOKUP(I73,[7]stage_hints!$A:$D,4,FALSE)</f>
        <v>マルチプレイならリンクが2倍もらえます_x000D_リンクガチャをたくさん回しましょう</v>
      </c>
      <c r="M73" s="57" t="s">
        <v>215</v>
      </c>
    </row>
    <row r="74" spans="1:13">
      <c r="A74" s="82" t="s">
        <v>203</v>
      </c>
      <c r="B74" s="83">
        <f>floors!$C$2</f>
        <v>11220</v>
      </c>
      <c r="C74" s="84" t="str">
        <f ca="1">VLOOKUP($B74,OFFSET([2]quests!$A$1,0,0,COUNTA([2]quests!$A:$A),MATCH(C$1,[2]quests!$1:$1,0)-MATCH($B$1,[2]quests!$1:$1,0)+1),MATCH(C$1,[2]quests!$1:$1,0)-MATCH($B$1,[2]quests!$1:$1,0)+1,FALSE)</f>
        <v>ホワイトデー★特別クエスト</v>
      </c>
      <c r="D74" s="84" t="str">
        <f ca="1">VLOOKUP($B74,OFFSET([2]quests!$A$1,0,0,COUNTA([2]quests!$A:$A),MATCH(D$1,[2]quests!$1:$1,0)-MATCH($B$1,[2]quests!$1:$1,0)+1),MATCH(D$1,[2]quests!$1:$1,0)-MATCH($B$1,[2]quests!$1:$1,0)+1,FALSE)</f>
        <v>2016年ホワイトデークエスト</v>
      </c>
      <c r="E74" s="88" t="s">
        <v>220</v>
      </c>
      <c r="F74" s="84" t="e">
        <f ca="1">VLOOKUP($B74&amp;"_"&amp;$E74,OFFSET([2]stages!$A$1,0,0,COUNTA([2]stages!$A:$A),MATCH(F$1,[2]stages!$2:$2,0)-MATCH("temp_stage",[2]stages!$2:$2,0)+1),MATCH(F$1,[2]stages!$2:$2,0)-MATCH("temp_stage",[2]stages!$2:$2,0)+1,FALSE)</f>
        <v>#N/A</v>
      </c>
      <c r="G74" s="84" t="e">
        <f ca="1">VLOOKUP($B74&amp;"_"&amp;$E74,OFFSET([2]stages!$A$1,0,0,COUNTA([2]stages!$A:$A),MATCH(G$1,[2]stages!$2:$2,0)-MATCH("temp_stage",[2]stages!$2:$2,0)+1),MATCH(G$1,[2]stages!$2:$2,0)-MATCH("temp_stage",[2]stages!$2:$2,0)+1,FALSE)</f>
        <v>#N/A</v>
      </c>
      <c r="H74" s="86">
        <v>0</v>
      </c>
      <c r="I74" s="99">
        <v>19</v>
      </c>
      <c r="J74" s="85" t="s">
        <v>200</v>
      </c>
      <c r="K74" s="95" t="str">
        <f>VLOOKUP(I74,[7]stage_hints!$A:$C,3,FALSE)</f>
        <v>ソロ専用チャレンジタワー</v>
      </c>
      <c r="L74" s="96" t="str">
        <f>VLOOKUP(I74,[7]stage_hints!$A:$D,4,FALSE)</f>
        <v>ソロ専用の「チャレンジタワー」では_x000D_各フロアごとにクリア報酬がもらえます</v>
      </c>
      <c r="M74" s="57" t="s">
        <v>215</v>
      </c>
    </row>
    <row r="75" spans="1:13">
      <c r="A75" s="82" t="s">
        <v>203</v>
      </c>
      <c r="B75" s="83">
        <f>floors!$C$2</f>
        <v>11220</v>
      </c>
      <c r="C75" s="84" t="str">
        <f ca="1">VLOOKUP($B75,OFFSET([2]quests!$A$1,0,0,COUNTA([2]quests!$A:$A),MATCH(C$1,[2]quests!$1:$1,0)-MATCH($B$1,[2]quests!$1:$1,0)+1),MATCH(C$1,[2]quests!$1:$1,0)-MATCH($B$1,[2]quests!$1:$1,0)+1,FALSE)</f>
        <v>ホワイトデー★特別クエスト</v>
      </c>
      <c r="D75" s="84" t="str">
        <f ca="1">VLOOKUP($B75,OFFSET([2]quests!$A$1,0,0,COUNTA([2]quests!$A:$A),MATCH(D$1,[2]quests!$1:$1,0)-MATCH($B$1,[2]quests!$1:$1,0)+1),MATCH(D$1,[2]quests!$1:$1,0)-MATCH($B$1,[2]quests!$1:$1,0)+1,FALSE)</f>
        <v>2016年ホワイトデークエスト</v>
      </c>
      <c r="E75" s="88" t="s">
        <v>220</v>
      </c>
      <c r="F75" s="84" t="e">
        <f ca="1">VLOOKUP($B75&amp;"_"&amp;$E75,OFFSET([2]stages!$A$1,0,0,COUNTA([2]stages!$A:$A),MATCH(F$1,[2]stages!$2:$2,0)-MATCH("temp_stage",[2]stages!$2:$2,0)+1),MATCH(F$1,[2]stages!$2:$2,0)-MATCH("temp_stage",[2]stages!$2:$2,0)+1,FALSE)</f>
        <v>#N/A</v>
      </c>
      <c r="G75" s="84" t="e">
        <f ca="1">VLOOKUP($B75&amp;"_"&amp;$E75,OFFSET([2]stages!$A$1,0,0,COUNTA([2]stages!$A:$A),MATCH(G$1,[2]stages!$2:$2,0)-MATCH("temp_stage",[2]stages!$2:$2,0)+1),MATCH(G$1,[2]stages!$2:$2,0)-MATCH("temp_stage",[2]stages!$2:$2,0)+1,FALSE)</f>
        <v>#N/A</v>
      </c>
      <c r="H75" s="86">
        <v>0</v>
      </c>
      <c r="I75" s="99">
        <v>20</v>
      </c>
      <c r="J75" s="85" t="s">
        <v>200</v>
      </c>
      <c r="K75" s="95" t="str">
        <f>VLOOKUP(I75,[7]stage_hints!$A:$C,3,FALSE)</f>
        <v>マルチプレイのメリット（その3）</v>
      </c>
      <c r="L75" s="96" t="str">
        <f>VLOOKUP(I75,[7]stage_hints!$A:$D,4,FALSE)</f>
        <v>マルチプレイへの参加はエナジー消費ゼロ_x000D_いつでも好きなだけ遊ぶことができます</v>
      </c>
      <c r="M75" s="57" t="s">
        <v>215</v>
      </c>
    </row>
    <row r="76" spans="1:13">
      <c r="A76" s="82" t="s">
        <v>203</v>
      </c>
      <c r="B76" s="83">
        <f>floors!$C$2</f>
        <v>11220</v>
      </c>
      <c r="C76" s="84" t="str">
        <f ca="1">VLOOKUP($B76,OFFSET([2]quests!$A$1,0,0,COUNTA([2]quests!$A:$A),MATCH(C$1,[2]quests!$1:$1,0)-MATCH($B$1,[2]quests!$1:$1,0)+1),MATCH(C$1,[2]quests!$1:$1,0)-MATCH($B$1,[2]quests!$1:$1,0)+1,FALSE)</f>
        <v>ホワイトデー★特別クエスト</v>
      </c>
      <c r="D76" s="84" t="str">
        <f ca="1">VLOOKUP($B76,OFFSET([2]quests!$A$1,0,0,COUNTA([2]quests!$A:$A),MATCH(D$1,[2]quests!$1:$1,0)-MATCH($B$1,[2]quests!$1:$1,0)+1),MATCH(D$1,[2]quests!$1:$1,0)-MATCH($B$1,[2]quests!$1:$1,0)+1,FALSE)</f>
        <v>2016年ホワイトデークエスト</v>
      </c>
      <c r="E76" s="88" t="s">
        <v>220</v>
      </c>
      <c r="F76" s="84" t="e">
        <f ca="1">VLOOKUP($B76&amp;"_"&amp;$E76,OFFSET([2]stages!$A$1,0,0,COUNTA([2]stages!$A:$A),MATCH(F$1,[2]stages!$2:$2,0)-MATCH("temp_stage",[2]stages!$2:$2,0)+1),MATCH(F$1,[2]stages!$2:$2,0)-MATCH("temp_stage",[2]stages!$2:$2,0)+1,FALSE)</f>
        <v>#N/A</v>
      </c>
      <c r="G76" s="84" t="e">
        <f ca="1">VLOOKUP($B76&amp;"_"&amp;$E76,OFFSET([2]stages!$A$1,0,0,COUNTA([2]stages!$A:$A),MATCH(G$1,[2]stages!$2:$2,0)-MATCH("temp_stage",[2]stages!$2:$2,0)+1),MATCH(G$1,[2]stages!$2:$2,0)-MATCH("temp_stage",[2]stages!$2:$2,0)+1,FALSE)</f>
        <v>#N/A</v>
      </c>
      <c r="H76" s="86">
        <v>0</v>
      </c>
      <c r="I76" s="99">
        <v>21</v>
      </c>
      <c r="J76" s="85" t="s">
        <v>200</v>
      </c>
      <c r="K76" s="95" t="str">
        <f>VLOOKUP(I76,[7]stage_hints!$A:$C,3,FALSE)</f>
        <v>スキルを有効に</v>
      </c>
      <c r="L76" s="96" t="str">
        <f>VLOOKUP(I76,[7]stage_hints!$A:$D,4,FALSE)</f>
        <v>ターン経過でユニットのスキルが使えます_x000D_強力スキルでバトルを有利に進めましょう</v>
      </c>
      <c r="M76" s="57" t="s">
        <v>215</v>
      </c>
    </row>
    <row r="77" spans="1:13">
      <c r="A77" s="82" t="s">
        <v>203</v>
      </c>
      <c r="B77" s="83">
        <f>floors!$C$2</f>
        <v>11220</v>
      </c>
      <c r="C77" s="84" t="str">
        <f ca="1">VLOOKUP($B77,OFFSET([2]quests!$A$1,0,0,COUNTA([2]quests!$A:$A),MATCH(C$1,[2]quests!$1:$1,0)-MATCH($B$1,[2]quests!$1:$1,0)+1),MATCH(C$1,[2]quests!$1:$1,0)-MATCH($B$1,[2]quests!$1:$1,0)+1,FALSE)</f>
        <v>ホワイトデー★特別クエスト</v>
      </c>
      <c r="D77" s="84" t="str">
        <f ca="1">VLOOKUP($B77,OFFSET([2]quests!$A$1,0,0,COUNTA([2]quests!$A:$A),MATCH(D$1,[2]quests!$1:$1,0)-MATCH($B$1,[2]quests!$1:$1,0)+1),MATCH(D$1,[2]quests!$1:$1,0)-MATCH($B$1,[2]quests!$1:$1,0)+1,FALSE)</f>
        <v>2016年ホワイトデークエスト</v>
      </c>
      <c r="E77" s="88" t="s">
        <v>220</v>
      </c>
      <c r="F77" s="84" t="e">
        <f ca="1">VLOOKUP($B77&amp;"_"&amp;$E77,OFFSET([2]stages!$A$1,0,0,COUNTA([2]stages!$A:$A),MATCH(F$1,[2]stages!$2:$2,0)-MATCH("temp_stage",[2]stages!$2:$2,0)+1),MATCH(F$1,[2]stages!$2:$2,0)-MATCH("temp_stage",[2]stages!$2:$2,0)+1,FALSE)</f>
        <v>#N/A</v>
      </c>
      <c r="G77" s="84" t="e">
        <f ca="1">VLOOKUP($B77&amp;"_"&amp;$E77,OFFSET([2]stages!$A$1,0,0,COUNTA([2]stages!$A:$A),MATCH(G$1,[2]stages!$2:$2,0)-MATCH("temp_stage",[2]stages!$2:$2,0)+1),MATCH(G$1,[2]stages!$2:$2,0)-MATCH("temp_stage",[2]stages!$2:$2,0)+1,FALSE)</f>
        <v>#N/A</v>
      </c>
      <c r="H77" s="86">
        <v>0</v>
      </c>
      <c r="I77" s="99">
        <v>22</v>
      </c>
      <c r="J77" s="85" t="s">
        <v>200</v>
      </c>
      <c r="K77" s="95" t="str">
        <f>VLOOKUP(I77,[7]stage_hints!$A:$C,3,FALSE)</f>
        <v>フィーバーで一発逆転（その1）</v>
      </c>
      <c r="L77" s="96" t="str">
        <f>VLOOKUP(I77,[7]stage_hints!$A:$D,4,FALSE)</f>
        <v>フィーバーは攻撃と回復を兼ね備えます_x000D_ピンチからの一発逆転を狙いましょう</v>
      </c>
      <c r="M77" s="57" t="s">
        <v>215</v>
      </c>
    </row>
    <row r="78" spans="1:13">
      <c r="A78" s="82" t="s">
        <v>203</v>
      </c>
      <c r="B78" s="83">
        <f>floors!$C$2</f>
        <v>11220</v>
      </c>
      <c r="C78" s="84" t="str">
        <f ca="1">VLOOKUP($B78,OFFSET([2]quests!$A$1,0,0,COUNTA([2]quests!$A:$A),MATCH(C$1,[2]quests!$1:$1,0)-MATCH($B$1,[2]quests!$1:$1,0)+1),MATCH(C$1,[2]quests!$1:$1,0)-MATCH($B$1,[2]quests!$1:$1,0)+1,FALSE)</f>
        <v>ホワイトデー★特別クエスト</v>
      </c>
      <c r="D78" s="84" t="str">
        <f ca="1">VLOOKUP($B78,OFFSET([2]quests!$A$1,0,0,COUNTA([2]quests!$A:$A),MATCH(D$1,[2]quests!$1:$1,0)-MATCH($B$1,[2]quests!$1:$1,0)+1),MATCH(D$1,[2]quests!$1:$1,0)-MATCH($B$1,[2]quests!$1:$1,0)+1,FALSE)</f>
        <v>2016年ホワイトデークエスト</v>
      </c>
      <c r="E78" s="88" t="s">
        <v>220</v>
      </c>
      <c r="F78" s="84" t="e">
        <f ca="1">VLOOKUP($B78&amp;"_"&amp;$E78,OFFSET([2]stages!$A$1,0,0,COUNTA([2]stages!$A:$A),MATCH(F$1,[2]stages!$2:$2,0)-MATCH("temp_stage",[2]stages!$2:$2,0)+1),MATCH(F$1,[2]stages!$2:$2,0)-MATCH("temp_stage",[2]stages!$2:$2,0)+1,FALSE)</f>
        <v>#N/A</v>
      </c>
      <c r="G78" s="84" t="e">
        <f ca="1">VLOOKUP($B78&amp;"_"&amp;$E78,OFFSET([2]stages!$A$1,0,0,COUNTA([2]stages!$A:$A),MATCH(G$1,[2]stages!$2:$2,0)-MATCH("temp_stage",[2]stages!$2:$2,0)+1),MATCH(G$1,[2]stages!$2:$2,0)-MATCH("temp_stage",[2]stages!$2:$2,0)+1,FALSE)</f>
        <v>#N/A</v>
      </c>
      <c r="H78" s="86">
        <v>0</v>
      </c>
      <c r="I78" s="99">
        <v>23</v>
      </c>
      <c r="J78" s="85" t="s">
        <v>200</v>
      </c>
      <c r="K78" s="95" t="str">
        <f>VLOOKUP(I78,[7]stage_hints!$A:$C,3,FALSE)</f>
        <v>フィーバーで一発逆転（その2）</v>
      </c>
      <c r="L78" s="96" t="str">
        <f>VLOOKUP(I78,[7]stage_hints!$A:$D,4,FALSE)</f>
        <v>フィーバー中は虹色のボムパネルを狙って_x000D_画面上のパネルを一気に破壊しましょう</v>
      </c>
      <c r="M78" s="57" t="s">
        <v>215</v>
      </c>
    </row>
    <row r="79" spans="1:13">
      <c r="A79" s="82" t="s">
        <v>203</v>
      </c>
      <c r="B79" s="83">
        <f>floors!$C$2</f>
        <v>11220</v>
      </c>
      <c r="C79" s="84" t="str">
        <f ca="1">VLOOKUP($B79,OFFSET([2]quests!$A$1,0,0,COUNTA([2]quests!$A:$A),MATCH(C$1,[2]quests!$1:$1,0)-MATCH($B$1,[2]quests!$1:$1,0)+1),MATCH(C$1,[2]quests!$1:$1,0)-MATCH($B$1,[2]quests!$1:$1,0)+1,FALSE)</f>
        <v>ホワイトデー★特別クエスト</v>
      </c>
      <c r="D79" s="84" t="str">
        <f ca="1">VLOOKUP($B79,OFFSET([2]quests!$A$1,0,0,COUNTA([2]quests!$A:$A),MATCH(D$1,[2]quests!$1:$1,0)-MATCH($B$1,[2]quests!$1:$1,0)+1),MATCH(D$1,[2]quests!$1:$1,0)-MATCH($B$1,[2]quests!$1:$1,0)+1,FALSE)</f>
        <v>2016年ホワイトデークエスト</v>
      </c>
      <c r="E79" s="88" t="s">
        <v>220</v>
      </c>
      <c r="F79" s="84" t="e">
        <f ca="1">VLOOKUP($B79&amp;"_"&amp;$E79,OFFSET([2]stages!$A$1,0,0,COUNTA([2]stages!$A:$A),MATCH(F$1,[2]stages!$2:$2,0)-MATCH("temp_stage",[2]stages!$2:$2,0)+1),MATCH(F$1,[2]stages!$2:$2,0)-MATCH("temp_stage",[2]stages!$2:$2,0)+1,FALSE)</f>
        <v>#N/A</v>
      </c>
      <c r="G79" s="84" t="e">
        <f ca="1">VLOOKUP($B79&amp;"_"&amp;$E79,OFFSET([2]stages!$A$1,0,0,COUNTA([2]stages!$A:$A),MATCH(G$1,[2]stages!$2:$2,0)-MATCH("temp_stage",[2]stages!$2:$2,0)+1),MATCH(G$1,[2]stages!$2:$2,0)-MATCH("temp_stage",[2]stages!$2:$2,0)+1,FALSE)</f>
        <v>#N/A</v>
      </c>
      <c r="H79" s="86">
        <v>0</v>
      </c>
      <c r="I79" s="99">
        <v>24</v>
      </c>
      <c r="J79" s="85" t="s">
        <v>200</v>
      </c>
      <c r="K79" s="95" t="str">
        <f>VLOOKUP(I79,[7]stage_hints!$A:$C,3,FALSE)</f>
        <v>りんごを使って限界突破</v>
      </c>
      <c r="L79" s="96" t="str">
        <f>VLOOKUP(I79,[7]stage_hints!$A:$D,4,FALSE)</f>
        <v>赤りんご(攻撃力) 青りんご(回復力)_x000D_緑りんご(体力)をユニット強化に使うと_x000D_ステータスが限界突破します（計99個迄）</v>
      </c>
      <c r="M79" s="57" t="s">
        <v>215</v>
      </c>
    </row>
    <row r="80" spans="1:13">
      <c r="A80" s="82" t="s">
        <v>203</v>
      </c>
      <c r="B80" s="83">
        <f>floors!$C$2</f>
        <v>11220</v>
      </c>
      <c r="C80" s="84" t="str">
        <f ca="1">VLOOKUP($B80,OFFSET([2]quests!$A$1,0,0,COUNTA([2]quests!$A:$A),MATCH(C$1,[2]quests!$1:$1,0)-MATCH($B$1,[2]quests!$1:$1,0)+1),MATCH(C$1,[2]quests!$1:$1,0)-MATCH($B$1,[2]quests!$1:$1,0)+1,FALSE)</f>
        <v>ホワイトデー★特別クエスト</v>
      </c>
      <c r="D80" s="84" t="str">
        <f ca="1">VLOOKUP($B80,OFFSET([2]quests!$A$1,0,0,COUNTA([2]quests!$A:$A),MATCH(D$1,[2]quests!$1:$1,0)-MATCH($B$1,[2]quests!$1:$1,0)+1),MATCH(D$1,[2]quests!$1:$1,0)-MATCH($B$1,[2]quests!$1:$1,0)+1,FALSE)</f>
        <v>2016年ホワイトデークエスト</v>
      </c>
      <c r="E80" s="88" t="s">
        <v>220</v>
      </c>
      <c r="F80" s="84" t="e">
        <f ca="1">VLOOKUP($B80&amp;"_"&amp;$E80,OFFSET([2]stages!$A$1,0,0,COUNTA([2]stages!$A:$A),MATCH(F$1,[2]stages!$2:$2,0)-MATCH("temp_stage",[2]stages!$2:$2,0)+1),MATCH(F$1,[2]stages!$2:$2,0)-MATCH("temp_stage",[2]stages!$2:$2,0)+1,FALSE)</f>
        <v>#N/A</v>
      </c>
      <c r="G80" s="84" t="e">
        <f ca="1">VLOOKUP($B80&amp;"_"&amp;$E80,OFFSET([2]stages!$A$1,0,0,COUNTA([2]stages!$A:$A),MATCH(G$1,[2]stages!$2:$2,0)-MATCH("temp_stage",[2]stages!$2:$2,0)+1),MATCH(G$1,[2]stages!$2:$2,0)-MATCH("temp_stage",[2]stages!$2:$2,0)+1,FALSE)</f>
        <v>#N/A</v>
      </c>
      <c r="H80" s="86">
        <v>0</v>
      </c>
      <c r="I80" s="99">
        <v>25</v>
      </c>
      <c r="J80" s="85" t="s">
        <v>200</v>
      </c>
      <c r="K80" s="95" t="str">
        <f>VLOOKUP(I80,[7]stage_hints!$A:$C,3,FALSE)</f>
        <v>スキルレベルアップ</v>
      </c>
      <c r="L80" s="96" t="str">
        <f>VLOOKUP(I80,[7]stage_hints!$A:$D,4,FALSE)</f>
        <v>「クリスタルのりんご」を強化に使うと_x000D_スキルレベルを上げることができます</v>
      </c>
      <c r="M80" s="57" t="s">
        <v>215</v>
      </c>
    </row>
    <row r="81" spans="1:13">
      <c r="A81" s="82" t="s">
        <v>203</v>
      </c>
      <c r="B81" s="83">
        <f>floors!$C$2</f>
        <v>11220</v>
      </c>
      <c r="C81" s="84" t="str">
        <f ca="1">VLOOKUP($B81,OFFSET([2]quests!$A$1,0,0,COUNTA([2]quests!$A:$A),MATCH(C$1,[2]quests!$1:$1,0)-MATCH($B$1,[2]quests!$1:$1,0)+1),MATCH(C$1,[2]quests!$1:$1,0)-MATCH($B$1,[2]quests!$1:$1,0)+1,FALSE)</f>
        <v>ホワイトデー★特別クエスト</v>
      </c>
      <c r="D81" s="84" t="str">
        <f ca="1">VLOOKUP($B81,OFFSET([2]quests!$A$1,0,0,COUNTA([2]quests!$A:$A),MATCH(D$1,[2]quests!$1:$1,0)-MATCH($B$1,[2]quests!$1:$1,0)+1),MATCH(D$1,[2]quests!$1:$1,0)-MATCH($B$1,[2]quests!$1:$1,0)+1,FALSE)</f>
        <v>2016年ホワイトデークエスト</v>
      </c>
      <c r="E81" s="88" t="s">
        <v>220</v>
      </c>
      <c r="F81" s="84" t="e">
        <f ca="1">VLOOKUP($B81&amp;"_"&amp;$E81,OFFSET([2]stages!$A$1,0,0,COUNTA([2]stages!$A:$A),MATCH(F$1,[2]stages!$2:$2,0)-MATCH("temp_stage",[2]stages!$2:$2,0)+1),MATCH(F$1,[2]stages!$2:$2,0)-MATCH("temp_stage",[2]stages!$2:$2,0)+1,FALSE)</f>
        <v>#N/A</v>
      </c>
      <c r="G81" s="84" t="e">
        <f ca="1">VLOOKUP($B81&amp;"_"&amp;$E81,OFFSET([2]stages!$A$1,0,0,COUNTA([2]stages!$A:$A),MATCH(G$1,[2]stages!$2:$2,0)-MATCH("temp_stage",[2]stages!$2:$2,0)+1),MATCH(G$1,[2]stages!$2:$2,0)-MATCH("temp_stage",[2]stages!$2:$2,0)+1,FALSE)</f>
        <v>#N/A</v>
      </c>
      <c r="H81" s="86">
        <v>0</v>
      </c>
      <c r="I81" s="99">
        <v>26</v>
      </c>
      <c r="J81" s="85" t="s">
        <v>200</v>
      </c>
      <c r="K81" s="95" t="str">
        <f>VLOOKUP(I81,[7]stage_hints!$A:$C,3,FALSE)</f>
        <v>スキルレベルの効果</v>
      </c>
      <c r="L81" s="96" t="str">
        <f>VLOOKUP(I81,[7]stage_hints!$A:$D,4,FALSE)</f>
        <v>スキルレベルが上がると_x000D_短いターンでスキルを使うことができます</v>
      </c>
      <c r="M81" s="57" t="s">
        <v>215</v>
      </c>
    </row>
    <row r="82" spans="1:13">
      <c r="A82" s="82" t="s">
        <v>203</v>
      </c>
      <c r="B82" s="83">
        <f>floors!$C$2</f>
        <v>11220</v>
      </c>
      <c r="C82" s="84" t="str">
        <f ca="1">VLOOKUP($B82,OFFSET([2]quests!$A$1,0,0,COUNTA([2]quests!$A:$A),MATCH(C$1,[2]quests!$1:$1,0)-MATCH($B$1,[2]quests!$1:$1,0)+1),MATCH(C$1,[2]quests!$1:$1,0)-MATCH($B$1,[2]quests!$1:$1,0)+1,FALSE)</f>
        <v>ホワイトデー★特別クエスト</v>
      </c>
      <c r="D82" s="84" t="str">
        <f ca="1">VLOOKUP($B82,OFFSET([2]quests!$A$1,0,0,COUNTA([2]quests!$A:$A),MATCH(D$1,[2]quests!$1:$1,0)-MATCH($B$1,[2]quests!$1:$1,0)+1),MATCH(D$1,[2]quests!$1:$1,0)-MATCH($B$1,[2]quests!$1:$1,0)+1,FALSE)</f>
        <v>2016年ホワイトデークエスト</v>
      </c>
      <c r="E82" s="88" t="s">
        <v>220</v>
      </c>
      <c r="F82" s="84" t="e">
        <f ca="1">VLOOKUP($B82&amp;"_"&amp;$E82,OFFSET([2]stages!$A$1,0,0,COUNTA([2]stages!$A:$A),MATCH(F$1,[2]stages!$2:$2,0)-MATCH("temp_stage",[2]stages!$2:$2,0)+1),MATCH(F$1,[2]stages!$2:$2,0)-MATCH("temp_stage",[2]stages!$2:$2,0)+1,FALSE)</f>
        <v>#N/A</v>
      </c>
      <c r="G82" s="84" t="e">
        <f ca="1">VLOOKUP($B82&amp;"_"&amp;$E82,OFFSET([2]stages!$A$1,0,0,COUNTA([2]stages!$A:$A),MATCH(G$1,[2]stages!$2:$2,0)-MATCH("temp_stage",[2]stages!$2:$2,0)+1),MATCH(G$1,[2]stages!$2:$2,0)-MATCH("temp_stage",[2]stages!$2:$2,0)+1,FALSE)</f>
        <v>#N/A</v>
      </c>
      <c r="H82" s="86">
        <v>0</v>
      </c>
      <c r="I82" s="99">
        <v>27</v>
      </c>
      <c r="J82" s="85" t="s">
        <v>200</v>
      </c>
      <c r="K82" s="95" t="str">
        <f>VLOOKUP(I82,[7]stage_hints!$A:$C,3,FALSE)</f>
        <v>ホーム画面からデッキを編成</v>
      </c>
      <c r="L82" s="96" t="str">
        <f>VLOOKUP(I82,[7]stage_hints!$A:$D,4,FALSE)</f>
        <v>ホーム画面でユニットを長押しすると_x000D_すぐにパーティ編成に移動できます</v>
      </c>
      <c r="M82" s="57" t="s">
        <v>215</v>
      </c>
    </row>
    <row r="83" spans="1:13">
      <c r="A83" s="82" t="s">
        <v>203</v>
      </c>
      <c r="B83" s="83">
        <f>floors!$C$2</f>
        <v>11220</v>
      </c>
      <c r="C83" s="84" t="str">
        <f ca="1">VLOOKUP($B83,OFFSET([2]quests!$A$1,0,0,COUNTA([2]quests!$A:$A),MATCH(C$1,[2]quests!$1:$1,0)-MATCH($B$1,[2]quests!$1:$1,0)+1),MATCH(C$1,[2]quests!$1:$1,0)-MATCH($B$1,[2]quests!$1:$1,0)+1,FALSE)</f>
        <v>ホワイトデー★特別クエスト</v>
      </c>
      <c r="D83" s="84" t="str">
        <f ca="1">VLOOKUP($B83,OFFSET([2]quests!$A$1,0,0,COUNTA([2]quests!$A:$A),MATCH(D$1,[2]quests!$1:$1,0)-MATCH($B$1,[2]quests!$1:$1,0)+1),MATCH(D$1,[2]quests!$1:$1,0)-MATCH($B$1,[2]quests!$1:$1,0)+1,FALSE)</f>
        <v>2016年ホワイトデークエスト</v>
      </c>
      <c r="E83" s="88" t="s">
        <v>220</v>
      </c>
      <c r="F83" s="84" t="e">
        <f ca="1">VLOOKUP($B83&amp;"_"&amp;$E83,OFFSET([2]stages!$A$1,0,0,COUNTA([2]stages!$A:$A),MATCH(F$1,[2]stages!$2:$2,0)-MATCH("temp_stage",[2]stages!$2:$2,0)+1),MATCH(F$1,[2]stages!$2:$2,0)-MATCH("temp_stage",[2]stages!$2:$2,0)+1,FALSE)</f>
        <v>#N/A</v>
      </c>
      <c r="G83" s="84" t="e">
        <f ca="1">VLOOKUP($B83&amp;"_"&amp;$E83,OFFSET([2]stages!$A$1,0,0,COUNTA([2]stages!$A:$A),MATCH(G$1,[2]stages!$2:$2,0)-MATCH("temp_stage",[2]stages!$2:$2,0)+1),MATCH(G$1,[2]stages!$2:$2,0)-MATCH("temp_stage",[2]stages!$2:$2,0)+1,FALSE)</f>
        <v>#N/A</v>
      </c>
      <c r="H83" s="86">
        <v>0</v>
      </c>
      <c r="I83" s="99">
        <v>28</v>
      </c>
      <c r="J83" s="85" t="s">
        <v>200</v>
      </c>
      <c r="K83" s="95" t="str">
        <f>VLOOKUP(I83,[7]stage_hints!$A:$C,3,FALSE)</f>
        <v>ステータス情報は長押しで</v>
      </c>
      <c r="L83" s="96" t="str">
        <f>VLOOKUP(I83,[7]stage_hints!$A:$D,4,FALSE)</f>
        <v>ユニットのアイコンを長押しすると_x000D_ステータス情報を確認することができます</v>
      </c>
      <c r="M83" s="57" t="s">
        <v>215</v>
      </c>
    </row>
    <row r="84" spans="1:13">
      <c r="A84" s="82" t="s">
        <v>203</v>
      </c>
      <c r="B84" s="83">
        <f>floors!$C$2</f>
        <v>11220</v>
      </c>
      <c r="C84" s="84" t="str">
        <f ca="1">VLOOKUP($B84,OFFSET([2]quests!$A$1,0,0,COUNTA([2]quests!$A:$A),MATCH(C$1,[2]quests!$1:$1,0)-MATCH($B$1,[2]quests!$1:$1,0)+1),MATCH(C$1,[2]quests!$1:$1,0)-MATCH($B$1,[2]quests!$1:$1,0)+1,FALSE)</f>
        <v>ホワイトデー★特別クエスト</v>
      </c>
      <c r="D84" s="84" t="str">
        <f ca="1">VLOOKUP($B84,OFFSET([2]quests!$A$1,0,0,COUNTA([2]quests!$A:$A),MATCH(D$1,[2]quests!$1:$1,0)-MATCH($B$1,[2]quests!$1:$1,0)+1),MATCH(D$1,[2]quests!$1:$1,0)-MATCH($B$1,[2]quests!$1:$1,0)+1,FALSE)</f>
        <v>2016年ホワイトデークエスト</v>
      </c>
      <c r="E84" s="88" t="s">
        <v>220</v>
      </c>
      <c r="F84" s="84" t="e">
        <f ca="1">VLOOKUP($B84&amp;"_"&amp;$E84,OFFSET([2]stages!$A$1,0,0,COUNTA([2]stages!$A:$A),MATCH(F$1,[2]stages!$2:$2,0)-MATCH("temp_stage",[2]stages!$2:$2,0)+1),MATCH(F$1,[2]stages!$2:$2,0)-MATCH("temp_stage",[2]stages!$2:$2,0)+1,FALSE)</f>
        <v>#N/A</v>
      </c>
      <c r="G84" s="84" t="e">
        <f ca="1">VLOOKUP($B84&amp;"_"&amp;$E84,OFFSET([2]stages!$A$1,0,0,COUNTA([2]stages!$A:$A),MATCH(G$1,[2]stages!$2:$2,0)-MATCH("temp_stage",[2]stages!$2:$2,0)+1),MATCH(G$1,[2]stages!$2:$2,0)-MATCH("temp_stage",[2]stages!$2:$2,0)+1,FALSE)</f>
        <v>#N/A</v>
      </c>
      <c r="H84" s="86">
        <v>0</v>
      </c>
      <c r="I84" s="99">
        <v>29</v>
      </c>
      <c r="J84" s="85" t="s">
        <v>200</v>
      </c>
      <c r="K84" s="95" t="str">
        <f>VLOOKUP(I84,[7]stage_hints!$A:$C,3,FALSE)</f>
        <v>「バグ」のメリット</v>
      </c>
      <c r="L84" s="96" t="str">
        <f>VLOOKUP(I84,[7]stage_hints!$A:$D,4,FALSE)</f>
        <v>ユニットの「バグ」を増やすと_x000D_報酬をもらえる確率がアップします</v>
      </c>
      <c r="M84" s="57" t="s">
        <v>215</v>
      </c>
    </row>
    <row r="85" spans="1:13">
      <c r="A85" s="82" t="s">
        <v>203</v>
      </c>
      <c r="B85" s="83">
        <f>floors!$C$2</f>
        <v>11220</v>
      </c>
      <c r="C85" s="84" t="str">
        <f ca="1">VLOOKUP($B85,OFFSET([2]quests!$A$1,0,0,COUNTA([2]quests!$A:$A),MATCH(C$1,[2]quests!$1:$1,0)-MATCH($B$1,[2]quests!$1:$1,0)+1),MATCH(C$1,[2]quests!$1:$1,0)-MATCH($B$1,[2]quests!$1:$1,0)+1,FALSE)</f>
        <v>ホワイトデー★特別クエスト</v>
      </c>
      <c r="D85" s="84" t="str">
        <f ca="1">VLOOKUP($B85,OFFSET([2]quests!$A$1,0,0,COUNTA([2]quests!$A:$A),MATCH(D$1,[2]quests!$1:$1,0)-MATCH($B$1,[2]quests!$1:$1,0)+1),MATCH(D$1,[2]quests!$1:$1,0)-MATCH($B$1,[2]quests!$1:$1,0)+1,FALSE)</f>
        <v>2016年ホワイトデークエスト</v>
      </c>
      <c r="E85" s="88" t="s">
        <v>220</v>
      </c>
      <c r="F85" s="84" t="e">
        <f ca="1">VLOOKUP($B85&amp;"_"&amp;$E85,OFFSET([2]stages!$A$1,0,0,COUNTA([2]stages!$A:$A),MATCH(F$1,[2]stages!$2:$2,0)-MATCH("temp_stage",[2]stages!$2:$2,0)+1),MATCH(F$1,[2]stages!$2:$2,0)-MATCH("temp_stage",[2]stages!$2:$2,0)+1,FALSE)</f>
        <v>#N/A</v>
      </c>
      <c r="G85" s="84" t="e">
        <f ca="1">VLOOKUP($B85&amp;"_"&amp;$E85,OFFSET([2]stages!$A$1,0,0,COUNTA([2]stages!$A:$A),MATCH(G$1,[2]stages!$2:$2,0)-MATCH("temp_stage",[2]stages!$2:$2,0)+1),MATCH(G$1,[2]stages!$2:$2,0)-MATCH("temp_stage",[2]stages!$2:$2,0)+1,FALSE)</f>
        <v>#N/A</v>
      </c>
      <c r="H85" s="86">
        <v>0</v>
      </c>
      <c r="I85" s="99">
        <v>30</v>
      </c>
      <c r="J85" s="85" t="s">
        <v>200</v>
      </c>
      <c r="K85" s="95" t="str">
        <f>VLOOKUP(I85,[7]stage_hints!$A:$C,3,FALSE)</f>
        <v>「バグ」の増やし方</v>
      </c>
      <c r="L85" s="96" t="str">
        <f>VLOOKUP(I85,[7]stage_hints!$A:$D,4,FALSE)</f>
        <v>同じユニット同士を強化で合成すると_x000D_「バグ」を増やすことができます</v>
      </c>
      <c r="M85" s="57" t="s">
        <v>215</v>
      </c>
    </row>
    <row r="86" spans="1:13">
      <c r="A86" s="82" t="s">
        <v>203</v>
      </c>
      <c r="B86" s="83">
        <f>floors!$C$2</f>
        <v>11220</v>
      </c>
      <c r="C86" s="84" t="str">
        <f ca="1">VLOOKUP($B86,OFFSET([2]quests!$A$1,0,0,COUNTA([2]quests!$A:$A),MATCH(C$1,[2]quests!$1:$1,0)-MATCH($B$1,[2]quests!$1:$1,0)+1),MATCH(C$1,[2]quests!$1:$1,0)-MATCH($B$1,[2]quests!$1:$1,0)+1,FALSE)</f>
        <v>ホワイトデー★特別クエスト</v>
      </c>
      <c r="D86" s="84" t="str">
        <f ca="1">VLOOKUP($B86,OFFSET([2]quests!$A$1,0,0,COUNTA([2]quests!$A:$A),MATCH(D$1,[2]quests!$1:$1,0)-MATCH($B$1,[2]quests!$1:$1,0)+1),MATCH(D$1,[2]quests!$1:$1,0)-MATCH($B$1,[2]quests!$1:$1,0)+1,FALSE)</f>
        <v>2016年ホワイトデークエスト</v>
      </c>
      <c r="E86" s="88" t="s">
        <v>220</v>
      </c>
      <c r="F86" s="84" t="e">
        <f ca="1">VLOOKUP($B86&amp;"_"&amp;$E86,OFFSET([2]stages!$A$1,0,0,COUNTA([2]stages!$A:$A),MATCH(F$1,[2]stages!$2:$2,0)-MATCH("temp_stage",[2]stages!$2:$2,0)+1),MATCH(F$1,[2]stages!$2:$2,0)-MATCH("temp_stage",[2]stages!$2:$2,0)+1,FALSE)</f>
        <v>#N/A</v>
      </c>
      <c r="G86" s="84" t="e">
        <f ca="1">VLOOKUP($B86&amp;"_"&amp;$E86,OFFSET([2]stages!$A$1,0,0,COUNTA([2]stages!$A:$A),MATCH(G$1,[2]stages!$2:$2,0)-MATCH("temp_stage",[2]stages!$2:$2,0)+1),MATCH(G$1,[2]stages!$2:$2,0)-MATCH("temp_stage",[2]stages!$2:$2,0)+1,FALSE)</f>
        <v>#N/A</v>
      </c>
      <c r="H86" s="86">
        <v>0</v>
      </c>
      <c r="I86" s="99">
        <v>31</v>
      </c>
      <c r="J86" s="85" t="s">
        <v>200</v>
      </c>
      <c r="K86" s="95" t="str">
        <f>VLOOKUP(I86,[7]stage_hints!$A:$C,3,FALSE)</f>
        <v>イベントはお知らせでチェック</v>
      </c>
      <c r="L86" s="96" t="str">
        <f>VLOOKUP(I86,[7]stage_hints!$A:$D,4,FALSE)</f>
        <v>イベント限定ユニットを取り忘れないように_x000D_お知らせをこまめにチェックしましょう</v>
      </c>
      <c r="M86" s="57" t="s">
        <v>215</v>
      </c>
    </row>
    <row r="87" spans="1:13">
      <c r="A87" s="82" t="s">
        <v>203</v>
      </c>
      <c r="B87" s="83">
        <f>floors!$C$2</f>
        <v>11220</v>
      </c>
      <c r="C87" s="84" t="str">
        <f ca="1">VLOOKUP($B87,OFFSET([2]quests!$A$1,0,0,COUNTA([2]quests!$A:$A),MATCH(C$1,[2]quests!$1:$1,0)-MATCH($B$1,[2]quests!$1:$1,0)+1),MATCH(C$1,[2]quests!$1:$1,0)-MATCH($B$1,[2]quests!$1:$1,0)+1,FALSE)</f>
        <v>ホワイトデー★特別クエスト</v>
      </c>
      <c r="D87" s="84" t="str">
        <f ca="1">VLOOKUP($B87,OFFSET([2]quests!$A$1,0,0,COUNTA([2]quests!$A:$A),MATCH(D$1,[2]quests!$1:$1,0)-MATCH($B$1,[2]quests!$1:$1,0)+1),MATCH(D$1,[2]quests!$1:$1,0)-MATCH($B$1,[2]quests!$1:$1,0)+1,FALSE)</f>
        <v>2016年ホワイトデークエスト</v>
      </c>
      <c r="E87" s="88" t="s">
        <v>220</v>
      </c>
      <c r="F87" s="84" t="e">
        <f ca="1">VLOOKUP($B87&amp;"_"&amp;$E87,OFFSET([2]stages!$A$1,0,0,COUNTA([2]stages!$A:$A),MATCH(F$1,[2]stages!$2:$2,0)-MATCH("temp_stage",[2]stages!$2:$2,0)+1),MATCH(F$1,[2]stages!$2:$2,0)-MATCH("temp_stage",[2]stages!$2:$2,0)+1,FALSE)</f>
        <v>#N/A</v>
      </c>
      <c r="G87" s="84" t="e">
        <f ca="1">VLOOKUP($B87&amp;"_"&amp;$E87,OFFSET([2]stages!$A$1,0,0,COUNTA([2]stages!$A:$A),MATCH(G$1,[2]stages!$2:$2,0)-MATCH("temp_stage",[2]stages!$2:$2,0)+1),MATCH(G$1,[2]stages!$2:$2,0)-MATCH("temp_stage",[2]stages!$2:$2,0)+1,FALSE)</f>
        <v>#N/A</v>
      </c>
      <c r="H87" s="86">
        <v>0</v>
      </c>
      <c r="I87" s="99">
        <v>32</v>
      </c>
      <c r="J87" s="85" t="s">
        <v>200</v>
      </c>
      <c r="K87" s="95" t="str">
        <f>VLOOKUP(I87,[7]stage_hints!$A:$C,3,FALSE)</f>
        <v>敵の連続攻撃には</v>
      </c>
      <c r="L87" s="96" t="str">
        <f>VLOOKUP(I87,[7]stage_hints!$A:$D,4,FALSE)</f>
        <v>カウンタースキルを持つユニットがいれば_x000D_ダメージ回数分の反撃ができます</v>
      </c>
      <c r="M87" s="57" t="s">
        <v>215</v>
      </c>
    </row>
    <row r="88" spans="1:13">
      <c r="A88" s="82" t="s">
        <v>203</v>
      </c>
      <c r="B88" s="83">
        <f>floors!$C$2</f>
        <v>11220</v>
      </c>
      <c r="C88" s="84" t="str">
        <f ca="1">VLOOKUP($B88,OFFSET([2]quests!$A$1,0,0,COUNTA([2]quests!$A:$A),MATCH(C$1,[2]quests!$1:$1,0)-MATCH($B$1,[2]quests!$1:$1,0)+1),MATCH(C$1,[2]quests!$1:$1,0)-MATCH($B$1,[2]quests!$1:$1,0)+1,FALSE)</f>
        <v>ホワイトデー★特別クエスト</v>
      </c>
      <c r="D88" s="84" t="str">
        <f ca="1">VLOOKUP($B88,OFFSET([2]quests!$A$1,0,0,COUNTA([2]quests!$A:$A),MATCH(D$1,[2]quests!$1:$1,0)-MATCH($B$1,[2]quests!$1:$1,0)+1),MATCH(D$1,[2]quests!$1:$1,0)-MATCH($B$1,[2]quests!$1:$1,0)+1,FALSE)</f>
        <v>2016年ホワイトデークエスト</v>
      </c>
      <c r="E88" s="88" t="s">
        <v>220</v>
      </c>
      <c r="F88" s="84" t="e">
        <f ca="1">VLOOKUP($B88&amp;"_"&amp;$E88,OFFSET([2]stages!$A$1,0,0,COUNTA([2]stages!$A:$A),MATCH(F$1,[2]stages!$2:$2,0)-MATCH("temp_stage",[2]stages!$2:$2,0)+1),MATCH(F$1,[2]stages!$2:$2,0)-MATCH("temp_stage",[2]stages!$2:$2,0)+1,FALSE)</f>
        <v>#N/A</v>
      </c>
      <c r="G88" s="84" t="e">
        <f ca="1">VLOOKUP($B88&amp;"_"&amp;$E88,OFFSET([2]stages!$A$1,0,0,COUNTA([2]stages!$A:$A),MATCH(G$1,[2]stages!$2:$2,0)-MATCH("temp_stage",[2]stages!$2:$2,0)+1),MATCH(G$1,[2]stages!$2:$2,0)-MATCH("temp_stage",[2]stages!$2:$2,0)+1,FALSE)</f>
        <v>#N/A</v>
      </c>
      <c r="H88" s="86">
        <v>0</v>
      </c>
      <c r="I88" s="99">
        <v>33</v>
      </c>
      <c r="J88" s="85" t="s">
        <v>200</v>
      </c>
      <c r="K88" s="95" t="str">
        <f>VLOOKUP(I88,[7]stage_hints!$A:$C,3,FALSE)</f>
        <v>敵のカウンター攻撃には</v>
      </c>
      <c r="L88" s="96" t="str">
        <f>VLOOKUP(I88,[7]stage_hints!$A:$D,4,FALSE)</f>
        <v>カウンターブレイクスキルを持っていれば_x000D_敵のカウンターを解除して攻撃ができます</v>
      </c>
      <c r="M88" s="57" t="s">
        <v>215</v>
      </c>
    </row>
    <row r="89" spans="1:13">
      <c r="A89" s="82" t="s">
        <v>203</v>
      </c>
      <c r="B89" s="83">
        <f>floors!$C$2</f>
        <v>11220</v>
      </c>
      <c r="C89" s="84" t="str">
        <f ca="1">VLOOKUP($B89,OFFSET([2]quests!$A$1,0,0,COUNTA([2]quests!$A:$A),MATCH(C$1,[2]quests!$1:$1,0)-MATCH($B$1,[2]quests!$1:$1,0)+1),MATCH(C$1,[2]quests!$1:$1,0)-MATCH($B$1,[2]quests!$1:$1,0)+1,FALSE)</f>
        <v>ホワイトデー★特別クエスト</v>
      </c>
      <c r="D89" s="84" t="str">
        <f ca="1">VLOOKUP($B89,OFFSET([2]quests!$A$1,0,0,COUNTA([2]quests!$A:$A),MATCH(D$1,[2]quests!$1:$1,0)-MATCH($B$1,[2]quests!$1:$1,0)+1),MATCH(D$1,[2]quests!$1:$1,0)-MATCH($B$1,[2]quests!$1:$1,0)+1,FALSE)</f>
        <v>2016年ホワイトデークエスト</v>
      </c>
      <c r="E89" s="88" t="s">
        <v>220</v>
      </c>
      <c r="F89" s="84" t="e">
        <f ca="1">VLOOKUP($B89&amp;"_"&amp;$E89,OFFSET([2]stages!$A$1,0,0,COUNTA([2]stages!$A:$A),MATCH(F$1,[2]stages!$2:$2,0)-MATCH("temp_stage",[2]stages!$2:$2,0)+1),MATCH(F$1,[2]stages!$2:$2,0)-MATCH("temp_stage",[2]stages!$2:$2,0)+1,FALSE)</f>
        <v>#N/A</v>
      </c>
      <c r="G89" s="84" t="e">
        <f ca="1">VLOOKUP($B89&amp;"_"&amp;$E89,OFFSET([2]stages!$A$1,0,0,COUNTA([2]stages!$A:$A),MATCH(G$1,[2]stages!$2:$2,0)-MATCH("temp_stage",[2]stages!$2:$2,0)+1),MATCH(G$1,[2]stages!$2:$2,0)-MATCH("temp_stage",[2]stages!$2:$2,0)+1,FALSE)</f>
        <v>#N/A</v>
      </c>
      <c r="H89" s="86">
        <v>0</v>
      </c>
      <c r="I89" s="99">
        <v>34</v>
      </c>
      <c r="J89" s="85" t="s">
        <v>200</v>
      </c>
      <c r="K89" s="95" t="str">
        <f>VLOOKUP(I89,[7]stage_hints!$A:$C,3,FALSE)</f>
        <v>ステータスをスキルで下げられたら</v>
      </c>
      <c r="L89" s="96" t="str">
        <f>VLOOKUP(I89,[7]stage_hints!$A:$D,4,FALSE)</f>
        <v>ステータスダウンのスキルを受けたら_x000D_ステータスアップスキルで上書きしましょう</v>
      </c>
      <c r="M89" s="57" t="s">
        <v>215</v>
      </c>
    </row>
    <row r="90" spans="1:13">
      <c r="A90" s="82" t="s">
        <v>203</v>
      </c>
      <c r="B90" s="83">
        <f>floors!$C$2</f>
        <v>11220</v>
      </c>
      <c r="C90" s="84" t="str">
        <f ca="1">VLOOKUP($B90,OFFSET([2]quests!$A$1,0,0,COUNTA([2]quests!$A:$A),MATCH(C$1,[2]quests!$1:$1,0)-MATCH($B$1,[2]quests!$1:$1,0)+1),MATCH(C$1,[2]quests!$1:$1,0)-MATCH($B$1,[2]quests!$1:$1,0)+1,FALSE)</f>
        <v>ホワイトデー★特別クエスト</v>
      </c>
      <c r="D90" s="84" t="str">
        <f ca="1">VLOOKUP($B90,OFFSET([2]quests!$A$1,0,0,COUNTA([2]quests!$A:$A),MATCH(D$1,[2]quests!$1:$1,0)-MATCH($B$1,[2]quests!$1:$1,0)+1),MATCH(D$1,[2]quests!$1:$1,0)-MATCH($B$1,[2]quests!$1:$1,0)+1,FALSE)</f>
        <v>2016年ホワイトデークエスト</v>
      </c>
      <c r="E90" s="88" t="s">
        <v>220</v>
      </c>
      <c r="F90" s="84" t="e">
        <f ca="1">VLOOKUP($B90&amp;"_"&amp;$E90,OFFSET([2]stages!$A$1,0,0,COUNTA([2]stages!$A:$A),MATCH(F$1,[2]stages!$2:$2,0)-MATCH("temp_stage",[2]stages!$2:$2,0)+1),MATCH(F$1,[2]stages!$2:$2,0)-MATCH("temp_stage",[2]stages!$2:$2,0)+1,FALSE)</f>
        <v>#N/A</v>
      </c>
      <c r="G90" s="84" t="e">
        <f ca="1">VLOOKUP($B90&amp;"_"&amp;$E90,OFFSET([2]stages!$A$1,0,0,COUNTA([2]stages!$A:$A),MATCH(G$1,[2]stages!$2:$2,0)-MATCH("temp_stage",[2]stages!$2:$2,0)+1),MATCH(G$1,[2]stages!$2:$2,0)-MATCH("temp_stage",[2]stages!$2:$2,0)+1,FALSE)</f>
        <v>#N/A</v>
      </c>
      <c r="H90" s="86">
        <v>0</v>
      </c>
      <c r="I90" s="99">
        <v>35</v>
      </c>
      <c r="J90" s="85" t="s">
        <v>200</v>
      </c>
      <c r="K90" s="95" t="str">
        <f>VLOOKUP(I90,[7]stage_hints!$A:$C,3,FALSE)</f>
        <v>敵のステータスがスキルで上がったら</v>
      </c>
      <c r="L90" s="96" t="str">
        <f>VLOOKUP(I90,[7]stage_hints!$A:$D,4,FALSE)</f>
        <v>敵のステータスがスキルでアップしたときは_x000D_ステータスダウンスキルで上書きしましょう</v>
      </c>
      <c r="M90" s="57" t="s">
        <v>215</v>
      </c>
    </row>
    <row r="91" spans="1:13">
      <c r="A91" s="82" t="s">
        <v>203</v>
      </c>
      <c r="B91" s="83">
        <f>floors!$C$2</f>
        <v>11220</v>
      </c>
      <c r="C91" s="84" t="str">
        <f ca="1">VLOOKUP($B91,OFFSET([2]quests!$A$1,0,0,COUNTA([2]quests!$A:$A),MATCH(C$1,[2]quests!$1:$1,0)-MATCH($B$1,[2]quests!$1:$1,0)+1),MATCH(C$1,[2]quests!$1:$1,0)-MATCH($B$1,[2]quests!$1:$1,0)+1,FALSE)</f>
        <v>ホワイトデー★特別クエスト</v>
      </c>
      <c r="D91" s="84" t="str">
        <f ca="1">VLOOKUP($B91,OFFSET([2]quests!$A$1,0,0,COUNTA([2]quests!$A:$A),MATCH(D$1,[2]quests!$1:$1,0)-MATCH($B$1,[2]quests!$1:$1,0)+1),MATCH(D$1,[2]quests!$1:$1,0)-MATCH($B$1,[2]quests!$1:$1,0)+1,FALSE)</f>
        <v>2016年ホワイトデークエスト</v>
      </c>
      <c r="E91" s="88" t="s">
        <v>220</v>
      </c>
      <c r="F91" s="84" t="e">
        <f ca="1">VLOOKUP($B91&amp;"_"&amp;$E91,OFFSET([2]stages!$A$1,0,0,COUNTA([2]stages!$A:$A),MATCH(F$1,[2]stages!$2:$2,0)-MATCH("temp_stage",[2]stages!$2:$2,0)+1),MATCH(F$1,[2]stages!$2:$2,0)-MATCH("temp_stage",[2]stages!$2:$2,0)+1,FALSE)</f>
        <v>#N/A</v>
      </c>
      <c r="G91" s="84" t="e">
        <f ca="1">VLOOKUP($B91&amp;"_"&amp;$E91,OFFSET([2]stages!$A$1,0,0,COUNTA([2]stages!$A:$A),MATCH(G$1,[2]stages!$2:$2,0)-MATCH("temp_stage",[2]stages!$2:$2,0)+1),MATCH(G$1,[2]stages!$2:$2,0)-MATCH("temp_stage",[2]stages!$2:$2,0)+1,FALSE)</f>
        <v>#N/A</v>
      </c>
      <c r="H91" s="86">
        <v>0</v>
      </c>
      <c r="I91" s="99">
        <v>36</v>
      </c>
      <c r="J91" s="85" t="s">
        <v>200</v>
      </c>
      <c r="K91" s="95" t="str">
        <f>VLOOKUP(I91,[7]stage_hints!$A:$C,3,FALSE)</f>
        <v>チャレンジタワーのボス</v>
      </c>
      <c r="L91" s="96" t="str">
        <f>VLOOKUP(I91,[7]stage_hints!$A:$D,4,FALSE)</f>
        <v>チャレンジタワーでのみ登場するボスは_x000D_一定確率で獲得することができます</v>
      </c>
      <c r="M91" s="57" t="s">
        <v>215</v>
      </c>
    </row>
    <row r="92" spans="1:13">
      <c r="A92" s="82" t="s">
        <v>203</v>
      </c>
      <c r="B92" s="83">
        <f>floors!$C$2</f>
        <v>11220</v>
      </c>
      <c r="C92" s="84" t="str">
        <f ca="1">VLOOKUP($B92,OFFSET([2]quests!$A$1,0,0,COUNTA([2]quests!$A:$A),MATCH(C$1,[2]quests!$1:$1,0)-MATCH($B$1,[2]quests!$1:$1,0)+1),MATCH(C$1,[2]quests!$1:$1,0)-MATCH($B$1,[2]quests!$1:$1,0)+1,FALSE)</f>
        <v>ホワイトデー★特別クエスト</v>
      </c>
      <c r="D92" s="84" t="str">
        <f ca="1">VLOOKUP($B92,OFFSET([2]quests!$A$1,0,0,COUNTA([2]quests!$A:$A),MATCH(D$1,[2]quests!$1:$1,0)-MATCH($B$1,[2]quests!$1:$1,0)+1),MATCH(D$1,[2]quests!$1:$1,0)-MATCH($B$1,[2]quests!$1:$1,0)+1,FALSE)</f>
        <v>2016年ホワイトデークエスト</v>
      </c>
      <c r="E92" s="88" t="s">
        <v>220</v>
      </c>
      <c r="F92" s="84" t="e">
        <f ca="1">VLOOKUP($B92&amp;"_"&amp;$E92,OFFSET([2]stages!$A$1,0,0,COUNTA([2]stages!$A:$A),MATCH(F$1,[2]stages!$2:$2,0)-MATCH("temp_stage",[2]stages!$2:$2,0)+1),MATCH(F$1,[2]stages!$2:$2,0)-MATCH("temp_stage",[2]stages!$2:$2,0)+1,FALSE)</f>
        <v>#N/A</v>
      </c>
      <c r="G92" s="84" t="e">
        <f ca="1">VLOOKUP($B92&amp;"_"&amp;$E92,OFFSET([2]stages!$A$1,0,0,COUNTA([2]stages!$A:$A),MATCH(G$1,[2]stages!$2:$2,0)-MATCH("temp_stage",[2]stages!$2:$2,0)+1),MATCH(G$1,[2]stages!$2:$2,0)-MATCH("temp_stage",[2]stages!$2:$2,0)+1,FALSE)</f>
        <v>#N/A</v>
      </c>
      <c r="H92" s="86">
        <v>0</v>
      </c>
      <c r="I92" s="99">
        <v>37</v>
      </c>
      <c r="J92" s="85" t="s">
        <v>200</v>
      </c>
      <c r="K92" s="95" t="str">
        <f>VLOOKUP(I92,[7]stage_hints!$A:$C,3,FALSE)</f>
        <v>限界突破値の引き継ぎ</v>
      </c>
      <c r="L92" s="96" t="str">
        <f>VLOOKUP(I92,[7]stage_hints!$A:$D,4,FALSE)</f>
        <v>同じユニットを強化で合成すると_x000D_限界突破値を引き継げます（覚醒前後も可）</v>
      </c>
      <c r="M92" s="57" t="s">
        <v>215</v>
      </c>
    </row>
    <row r="93" spans="1:13">
      <c r="A93" s="82" t="s">
        <v>203</v>
      </c>
      <c r="B93" s="83">
        <f>floors!$C$2</f>
        <v>11220</v>
      </c>
      <c r="C93" s="84" t="str">
        <f ca="1">VLOOKUP($B93,OFFSET([2]quests!$A$1,0,0,COUNTA([2]quests!$A:$A),MATCH(C$1,[2]quests!$1:$1,0)-MATCH($B$1,[2]quests!$1:$1,0)+1),MATCH(C$1,[2]quests!$1:$1,0)-MATCH($B$1,[2]quests!$1:$1,0)+1,FALSE)</f>
        <v>ホワイトデー★特別クエスト</v>
      </c>
      <c r="D93" s="84" t="str">
        <f ca="1">VLOOKUP($B93,OFFSET([2]quests!$A$1,0,0,COUNTA([2]quests!$A:$A),MATCH(D$1,[2]quests!$1:$1,0)-MATCH($B$1,[2]quests!$1:$1,0)+1),MATCH(D$1,[2]quests!$1:$1,0)-MATCH($B$1,[2]quests!$1:$1,0)+1,FALSE)</f>
        <v>2016年ホワイトデークエスト</v>
      </c>
      <c r="E93" s="88" t="s">
        <v>220</v>
      </c>
      <c r="F93" s="84" t="e">
        <f ca="1">VLOOKUP($B93&amp;"_"&amp;$E93,OFFSET([2]stages!$A$1,0,0,COUNTA([2]stages!$A:$A),MATCH(F$1,[2]stages!$2:$2,0)-MATCH("temp_stage",[2]stages!$2:$2,0)+1),MATCH(F$1,[2]stages!$2:$2,0)-MATCH("temp_stage",[2]stages!$2:$2,0)+1,FALSE)</f>
        <v>#N/A</v>
      </c>
      <c r="G93" s="84" t="e">
        <f ca="1">VLOOKUP($B93&amp;"_"&amp;$E93,OFFSET([2]stages!$A$1,0,0,COUNTA([2]stages!$A:$A),MATCH(G$1,[2]stages!$2:$2,0)-MATCH("temp_stage",[2]stages!$2:$2,0)+1),MATCH(G$1,[2]stages!$2:$2,0)-MATCH("temp_stage",[2]stages!$2:$2,0)+1,FALSE)</f>
        <v>#N/A</v>
      </c>
      <c r="H93" s="86">
        <v>0</v>
      </c>
      <c r="I93" s="99">
        <v>39</v>
      </c>
      <c r="J93" s="85" t="s">
        <v>200</v>
      </c>
      <c r="K93" s="95" t="str">
        <f>VLOOKUP(I93,[7]stage_hints!$A:$C,3,FALSE)</f>
        <v>システム適合者を確認</v>
      </c>
      <c r="L93" s="96" t="str">
        <f>VLOOKUP(I93,[7]stage_hints!$A:$D,4,FALSE)</f>
        <v>ALICEが「アナタ」を呼んでいます</v>
      </c>
      <c r="M93" s="57" t="s">
        <v>215</v>
      </c>
    </row>
    <row r="94" spans="1:13">
      <c r="A94" s="82" t="s">
        <v>203</v>
      </c>
      <c r="B94" s="83">
        <f>floors!$C$2</f>
        <v>11220</v>
      </c>
      <c r="C94" s="84" t="str">
        <f ca="1">VLOOKUP($B94,OFFSET([2]quests!$A$1,0,0,COUNTA([2]quests!$A:$A),MATCH(C$1,[2]quests!$1:$1,0)-MATCH($B$1,[2]quests!$1:$1,0)+1),MATCH(C$1,[2]quests!$1:$1,0)-MATCH($B$1,[2]quests!$1:$1,0)+1,FALSE)</f>
        <v>ホワイトデー★特別クエスト</v>
      </c>
      <c r="D94" s="84" t="str">
        <f ca="1">VLOOKUP($B94,OFFSET([2]quests!$A$1,0,0,COUNTA([2]quests!$A:$A),MATCH(D$1,[2]quests!$1:$1,0)-MATCH($B$1,[2]quests!$1:$1,0)+1),MATCH(D$1,[2]quests!$1:$1,0)-MATCH($B$1,[2]quests!$1:$1,0)+1,FALSE)</f>
        <v>2016年ホワイトデークエスト</v>
      </c>
      <c r="E94" s="88" t="s">
        <v>221</v>
      </c>
      <c r="F94" s="84" t="e">
        <f ca="1">VLOOKUP($B94&amp;"_"&amp;$E94,OFFSET([2]stages!$A$1,0,0,COUNTA([2]stages!$A:$A),MATCH(F$1,[2]stages!$2:$2,0)-MATCH("temp_stage",[2]stages!$2:$2,0)+1),MATCH(F$1,[2]stages!$2:$2,0)-MATCH("temp_stage",[2]stages!$2:$2,0)+1,FALSE)</f>
        <v>#N/A</v>
      </c>
      <c r="G94" s="84" t="e">
        <f ca="1">VLOOKUP($B94&amp;"_"&amp;$E94,OFFSET([2]stages!$A$1,0,0,COUNTA([2]stages!$A:$A),MATCH(G$1,[2]stages!$2:$2,0)-MATCH("temp_stage",[2]stages!$2:$2,0)+1),MATCH(G$1,[2]stages!$2:$2,0)-MATCH("temp_stage",[2]stages!$2:$2,0)+1,FALSE)</f>
        <v>#N/A</v>
      </c>
      <c r="H94" s="86">
        <v>0</v>
      </c>
      <c r="I94">
        <v>12</v>
      </c>
      <c r="J94" s="85" t="s">
        <v>200</v>
      </c>
      <c r="K94" s="95" t="str">
        <f>VLOOKUP(I94,[7]stage_hints!$A:$C,3,FALSE)</f>
        <v>ユニットのお気に入り登録</v>
      </c>
      <c r="L94" s="96" t="str">
        <f>VLOOKUP(I94,[7]stage_hints!$A:$D,4,FALSE)</f>
        <v>大事なユニットを誤って消さないように_x000D_フォルダから「お気に入り登録」しましょう</v>
      </c>
      <c r="M94" s="57" t="s">
        <v>215</v>
      </c>
    </row>
    <row r="95" spans="1:13">
      <c r="A95" s="82" t="s">
        <v>203</v>
      </c>
      <c r="B95" s="83">
        <f>floors!$C$2</f>
        <v>11220</v>
      </c>
      <c r="C95" s="84" t="str">
        <f ca="1">VLOOKUP($B95,OFFSET([2]quests!$A$1,0,0,COUNTA([2]quests!$A:$A),MATCH(C$1,[2]quests!$1:$1,0)-MATCH($B$1,[2]quests!$1:$1,0)+1),MATCH(C$1,[2]quests!$1:$1,0)-MATCH($B$1,[2]quests!$1:$1,0)+1,FALSE)</f>
        <v>ホワイトデー★特別クエスト</v>
      </c>
      <c r="D95" s="84" t="str">
        <f ca="1">VLOOKUP($B95,OFFSET([2]quests!$A$1,0,0,COUNTA([2]quests!$A:$A),MATCH(D$1,[2]quests!$1:$1,0)-MATCH($B$1,[2]quests!$1:$1,0)+1),MATCH(D$1,[2]quests!$1:$1,0)-MATCH($B$1,[2]quests!$1:$1,0)+1,FALSE)</f>
        <v>2016年ホワイトデークエスト</v>
      </c>
      <c r="E95" s="88" t="s">
        <v>221</v>
      </c>
      <c r="F95" s="84" t="e">
        <f ca="1">VLOOKUP($B95&amp;"_"&amp;$E95,OFFSET([2]stages!$A$1,0,0,COUNTA([2]stages!$A:$A),MATCH(F$1,[2]stages!$2:$2,0)-MATCH("temp_stage",[2]stages!$2:$2,0)+1),MATCH(F$1,[2]stages!$2:$2,0)-MATCH("temp_stage",[2]stages!$2:$2,0)+1,FALSE)</f>
        <v>#N/A</v>
      </c>
      <c r="G95" s="84" t="e">
        <f ca="1">VLOOKUP($B95&amp;"_"&amp;$E95,OFFSET([2]stages!$A$1,0,0,COUNTA([2]stages!$A:$A),MATCH(G$1,[2]stages!$2:$2,0)-MATCH("temp_stage",[2]stages!$2:$2,0)+1),MATCH(G$1,[2]stages!$2:$2,0)-MATCH("temp_stage",[2]stages!$2:$2,0)+1,FALSE)</f>
        <v>#N/A</v>
      </c>
      <c r="H95" s="86">
        <v>0</v>
      </c>
      <c r="I95">
        <v>17</v>
      </c>
      <c r="J95" s="85" t="s">
        <v>200</v>
      </c>
      <c r="K95" s="95" t="str">
        <f>VLOOKUP(I95,[7]stage_hints!$A:$C,3,FALSE)</f>
        <v>リンクガチャ</v>
      </c>
      <c r="L95" s="96" t="str">
        <f>VLOOKUP(I95,[7]stage_hints!$A:$D,4,FALSE)</f>
        <v>無料のリンクガチャを回して_x000D_経験値素材や売却素材を獲得しましょう</v>
      </c>
      <c r="M95" s="57" t="s">
        <v>215</v>
      </c>
    </row>
    <row r="96" spans="1:13">
      <c r="A96" s="82" t="s">
        <v>203</v>
      </c>
      <c r="B96" s="83">
        <f>floors!$C$2</f>
        <v>11220</v>
      </c>
      <c r="C96" s="84" t="str">
        <f ca="1">VLOOKUP($B96,OFFSET([2]quests!$A$1,0,0,COUNTA([2]quests!$A:$A),MATCH(C$1,[2]quests!$1:$1,0)-MATCH($B$1,[2]quests!$1:$1,0)+1),MATCH(C$1,[2]quests!$1:$1,0)-MATCH($B$1,[2]quests!$1:$1,0)+1,FALSE)</f>
        <v>ホワイトデー★特別クエスト</v>
      </c>
      <c r="D96" s="84" t="str">
        <f ca="1">VLOOKUP($B96,OFFSET([2]quests!$A$1,0,0,COUNTA([2]quests!$A:$A),MATCH(D$1,[2]quests!$1:$1,0)-MATCH($B$1,[2]quests!$1:$1,0)+1),MATCH(D$1,[2]quests!$1:$1,0)-MATCH($B$1,[2]quests!$1:$1,0)+1,FALSE)</f>
        <v>2016年ホワイトデークエスト</v>
      </c>
      <c r="E96" s="88" t="s">
        <v>221</v>
      </c>
      <c r="F96" s="84" t="e">
        <f ca="1">VLOOKUP($B96&amp;"_"&amp;$E96,OFFSET([2]stages!$A$1,0,0,COUNTA([2]stages!$A:$A),MATCH(F$1,[2]stages!$2:$2,0)-MATCH("temp_stage",[2]stages!$2:$2,0)+1),MATCH(F$1,[2]stages!$2:$2,0)-MATCH("temp_stage",[2]stages!$2:$2,0)+1,FALSE)</f>
        <v>#N/A</v>
      </c>
      <c r="G96" s="84" t="e">
        <f ca="1">VLOOKUP($B96&amp;"_"&amp;$E96,OFFSET([2]stages!$A$1,0,0,COUNTA([2]stages!$A:$A),MATCH(G$1,[2]stages!$2:$2,0)-MATCH("temp_stage",[2]stages!$2:$2,0)+1),MATCH(G$1,[2]stages!$2:$2,0)-MATCH("temp_stage",[2]stages!$2:$2,0)+1,FALSE)</f>
        <v>#N/A</v>
      </c>
      <c r="H96" s="86">
        <v>0</v>
      </c>
      <c r="I96">
        <v>19</v>
      </c>
      <c r="J96" s="85" t="s">
        <v>200</v>
      </c>
      <c r="K96" s="95" t="str">
        <f>VLOOKUP(I96,[7]stage_hints!$A:$C,3,FALSE)</f>
        <v>ソロ専用チャレンジタワー</v>
      </c>
      <c r="L96" s="96" t="str">
        <f>VLOOKUP(I96,[7]stage_hints!$A:$D,4,FALSE)</f>
        <v>ソロ専用の「チャレンジタワー」では_x000D_各フロアごとにクリア報酬がもらえます</v>
      </c>
      <c r="M96" s="57" t="s">
        <v>215</v>
      </c>
    </row>
    <row r="97" spans="1:13">
      <c r="A97" s="82" t="s">
        <v>203</v>
      </c>
      <c r="B97" s="83">
        <f>floors!$C$2</f>
        <v>11220</v>
      </c>
      <c r="C97" s="84" t="str">
        <f ca="1">VLOOKUP($B97,OFFSET([2]quests!$A$1,0,0,COUNTA([2]quests!$A:$A),MATCH(C$1,[2]quests!$1:$1,0)-MATCH($B$1,[2]quests!$1:$1,0)+1),MATCH(C$1,[2]quests!$1:$1,0)-MATCH($B$1,[2]quests!$1:$1,0)+1,FALSE)</f>
        <v>ホワイトデー★特別クエスト</v>
      </c>
      <c r="D97" s="84" t="str">
        <f ca="1">VLOOKUP($B97,OFFSET([2]quests!$A$1,0,0,COUNTA([2]quests!$A:$A),MATCH(D$1,[2]quests!$1:$1,0)-MATCH($B$1,[2]quests!$1:$1,0)+1),MATCH(D$1,[2]quests!$1:$1,0)-MATCH($B$1,[2]quests!$1:$1,0)+1,FALSE)</f>
        <v>2016年ホワイトデークエスト</v>
      </c>
      <c r="E97" s="88" t="s">
        <v>221</v>
      </c>
      <c r="F97" s="84" t="e">
        <f ca="1">VLOOKUP($B97&amp;"_"&amp;$E97,OFFSET([2]stages!$A$1,0,0,COUNTA([2]stages!$A:$A),MATCH(F$1,[2]stages!$2:$2,0)-MATCH("temp_stage",[2]stages!$2:$2,0)+1),MATCH(F$1,[2]stages!$2:$2,0)-MATCH("temp_stage",[2]stages!$2:$2,0)+1,FALSE)</f>
        <v>#N/A</v>
      </c>
      <c r="G97" s="84" t="e">
        <f ca="1">VLOOKUP($B97&amp;"_"&amp;$E97,OFFSET([2]stages!$A$1,0,0,COUNTA([2]stages!$A:$A),MATCH(G$1,[2]stages!$2:$2,0)-MATCH("temp_stage",[2]stages!$2:$2,0)+1),MATCH(G$1,[2]stages!$2:$2,0)-MATCH("temp_stage",[2]stages!$2:$2,0)+1,FALSE)</f>
        <v>#N/A</v>
      </c>
      <c r="H97" s="86">
        <v>0</v>
      </c>
      <c r="I97">
        <v>21</v>
      </c>
      <c r="J97" s="85" t="s">
        <v>200</v>
      </c>
      <c r="K97" s="95" t="str">
        <f>VLOOKUP(I97,[7]stage_hints!$A:$C,3,FALSE)</f>
        <v>スキルを有効に</v>
      </c>
      <c r="L97" s="96" t="str">
        <f>VLOOKUP(I97,[7]stage_hints!$A:$D,4,FALSE)</f>
        <v>ターン経過でユニットのスキルが使えます_x000D_強力スキルでバトルを有利に進めましょう</v>
      </c>
      <c r="M97" s="57" t="s">
        <v>215</v>
      </c>
    </row>
    <row r="98" spans="1:13">
      <c r="A98" s="82" t="s">
        <v>203</v>
      </c>
      <c r="B98" s="83">
        <f>floors!$C$2</f>
        <v>11220</v>
      </c>
      <c r="C98" s="84" t="str">
        <f ca="1">VLOOKUP($B98,OFFSET([2]quests!$A$1,0,0,COUNTA([2]quests!$A:$A),MATCH(C$1,[2]quests!$1:$1,0)-MATCH($B$1,[2]quests!$1:$1,0)+1),MATCH(C$1,[2]quests!$1:$1,0)-MATCH($B$1,[2]quests!$1:$1,0)+1,FALSE)</f>
        <v>ホワイトデー★特別クエスト</v>
      </c>
      <c r="D98" s="84" t="str">
        <f ca="1">VLOOKUP($B98,OFFSET([2]quests!$A$1,0,0,COUNTA([2]quests!$A:$A),MATCH(D$1,[2]quests!$1:$1,0)-MATCH($B$1,[2]quests!$1:$1,0)+1),MATCH(D$1,[2]quests!$1:$1,0)-MATCH($B$1,[2]quests!$1:$1,0)+1,FALSE)</f>
        <v>2016年ホワイトデークエスト</v>
      </c>
      <c r="E98" s="88" t="s">
        <v>221</v>
      </c>
      <c r="F98" s="84" t="e">
        <f ca="1">VLOOKUP($B98&amp;"_"&amp;$E98,OFFSET([2]stages!$A$1,0,0,COUNTA([2]stages!$A:$A),MATCH(F$1,[2]stages!$2:$2,0)-MATCH("temp_stage",[2]stages!$2:$2,0)+1),MATCH(F$1,[2]stages!$2:$2,0)-MATCH("temp_stage",[2]stages!$2:$2,0)+1,FALSE)</f>
        <v>#N/A</v>
      </c>
      <c r="G98" s="84" t="e">
        <f ca="1">VLOOKUP($B98&amp;"_"&amp;$E98,OFFSET([2]stages!$A$1,0,0,COUNTA([2]stages!$A:$A),MATCH(G$1,[2]stages!$2:$2,0)-MATCH("temp_stage",[2]stages!$2:$2,0)+1),MATCH(G$1,[2]stages!$2:$2,0)-MATCH("temp_stage",[2]stages!$2:$2,0)+1,FALSE)</f>
        <v>#N/A</v>
      </c>
      <c r="H98" s="86">
        <v>0</v>
      </c>
      <c r="I98">
        <v>27</v>
      </c>
      <c r="J98" s="85" t="s">
        <v>200</v>
      </c>
      <c r="K98" s="95" t="str">
        <f>VLOOKUP(I98,[7]stage_hints!$A:$C,3,FALSE)</f>
        <v>ホーム画面からデッキを編成</v>
      </c>
      <c r="L98" s="96" t="str">
        <f>VLOOKUP(I98,[7]stage_hints!$A:$D,4,FALSE)</f>
        <v>ホーム画面でユニットを長押しすると_x000D_すぐにパーティ編成に移動できます</v>
      </c>
      <c r="M98" s="57" t="s">
        <v>215</v>
      </c>
    </row>
    <row r="99" spans="1:13">
      <c r="A99" s="82" t="s">
        <v>203</v>
      </c>
      <c r="B99" s="83">
        <f>floors!$C$2</f>
        <v>11220</v>
      </c>
      <c r="C99" s="84" t="str">
        <f ca="1">VLOOKUP($B99,OFFSET([2]quests!$A$1,0,0,COUNTA([2]quests!$A:$A),MATCH(C$1,[2]quests!$1:$1,0)-MATCH($B$1,[2]quests!$1:$1,0)+1),MATCH(C$1,[2]quests!$1:$1,0)-MATCH($B$1,[2]quests!$1:$1,0)+1,FALSE)</f>
        <v>ホワイトデー★特別クエスト</v>
      </c>
      <c r="D99" s="84" t="str">
        <f ca="1">VLOOKUP($B99,OFFSET([2]quests!$A$1,0,0,COUNTA([2]quests!$A:$A),MATCH(D$1,[2]quests!$1:$1,0)-MATCH($B$1,[2]quests!$1:$1,0)+1),MATCH(D$1,[2]quests!$1:$1,0)-MATCH($B$1,[2]quests!$1:$1,0)+1,FALSE)</f>
        <v>2016年ホワイトデークエスト</v>
      </c>
      <c r="E99" s="88" t="s">
        <v>221</v>
      </c>
      <c r="F99" s="84" t="e">
        <f ca="1">VLOOKUP($B99&amp;"_"&amp;$E99,OFFSET([2]stages!$A$1,0,0,COUNTA([2]stages!$A:$A),MATCH(F$1,[2]stages!$2:$2,0)-MATCH("temp_stage",[2]stages!$2:$2,0)+1),MATCH(F$1,[2]stages!$2:$2,0)-MATCH("temp_stage",[2]stages!$2:$2,0)+1,FALSE)</f>
        <v>#N/A</v>
      </c>
      <c r="G99" s="84" t="e">
        <f ca="1">VLOOKUP($B99&amp;"_"&amp;$E99,OFFSET([2]stages!$A$1,0,0,COUNTA([2]stages!$A:$A),MATCH(G$1,[2]stages!$2:$2,0)-MATCH("temp_stage",[2]stages!$2:$2,0)+1),MATCH(G$1,[2]stages!$2:$2,0)-MATCH("temp_stage",[2]stages!$2:$2,0)+1,FALSE)</f>
        <v>#N/A</v>
      </c>
      <c r="H99" s="86">
        <v>0</v>
      </c>
      <c r="I99">
        <v>28</v>
      </c>
      <c r="J99" s="85" t="s">
        <v>200</v>
      </c>
      <c r="K99" s="95" t="str">
        <f>VLOOKUP(I99,[7]stage_hints!$A:$C,3,FALSE)</f>
        <v>ステータス情報は長押しで</v>
      </c>
      <c r="L99" s="96" t="str">
        <f>VLOOKUP(I99,[7]stage_hints!$A:$D,4,FALSE)</f>
        <v>ユニットのアイコンを長押しすると_x000D_ステータス情報を確認することができます</v>
      </c>
      <c r="M99" s="57" t="s">
        <v>215</v>
      </c>
    </row>
    <row r="100" spans="1:13">
      <c r="A100" s="82" t="s">
        <v>203</v>
      </c>
      <c r="B100" s="83">
        <f>floors!$C$2</f>
        <v>11220</v>
      </c>
      <c r="C100" s="84" t="str">
        <f ca="1">VLOOKUP($B100,OFFSET([2]quests!$A$1,0,0,COUNTA([2]quests!$A:$A),MATCH(C$1,[2]quests!$1:$1,0)-MATCH($B$1,[2]quests!$1:$1,0)+1),MATCH(C$1,[2]quests!$1:$1,0)-MATCH($B$1,[2]quests!$1:$1,0)+1,FALSE)</f>
        <v>ホワイトデー★特別クエスト</v>
      </c>
      <c r="D100" s="84" t="str">
        <f ca="1">VLOOKUP($B100,OFFSET([2]quests!$A$1,0,0,COUNTA([2]quests!$A:$A),MATCH(D$1,[2]quests!$1:$1,0)-MATCH($B$1,[2]quests!$1:$1,0)+1),MATCH(D$1,[2]quests!$1:$1,0)-MATCH($B$1,[2]quests!$1:$1,0)+1,FALSE)</f>
        <v>2016年ホワイトデークエスト</v>
      </c>
      <c r="E100" s="88" t="s">
        <v>221</v>
      </c>
      <c r="F100" s="84" t="e">
        <f ca="1">VLOOKUP($B100&amp;"_"&amp;$E100,OFFSET([2]stages!$A$1,0,0,COUNTA([2]stages!$A:$A),MATCH(F$1,[2]stages!$2:$2,0)-MATCH("temp_stage",[2]stages!$2:$2,0)+1),MATCH(F$1,[2]stages!$2:$2,0)-MATCH("temp_stage",[2]stages!$2:$2,0)+1,FALSE)</f>
        <v>#N/A</v>
      </c>
      <c r="G100" s="84" t="e">
        <f ca="1">VLOOKUP($B100&amp;"_"&amp;$E100,OFFSET([2]stages!$A$1,0,0,COUNTA([2]stages!$A:$A),MATCH(G$1,[2]stages!$2:$2,0)-MATCH("temp_stage",[2]stages!$2:$2,0)+1),MATCH(G$1,[2]stages!$2:$2,0)-MATCH("temp_stage",[2]stages!$2:$2,0)+1,FALSE)</f>
        <v>#N/A</v>
      </c>
      <c r="H100" s="86">
        <v>0</v>
      </c>
      <c r="I100">
        <v>29</v>
      </c>
      <c r="J100" s="85" t="s">
        <v>200</v>
      </c>
      <c r="K100" s="95" t="str">
        <f>VLOOKUP(I100,[7]stage_hints!$A:$C,3,FALSE)</f>
        <v>「バグ」のメリット</v>
      </c>
      <c r="L100" s="96" t="str">
        <f>VLOOKUP(I100,[7]stage_hints!$A:$D,4,FALSE)</f>
        <v>ユニットの「バグ」を増やすと_x000D_報酬をもらえる確率がアップします</v>
      </c>
      <c r="M100" s="57" t="s">
        <v>215</v>
      </c>
    </row>
    <row r="101" spans="1:13">
      <c r="A101" s="82" t="s">
        <v>203</v>
      </c>
      <c r="B101" s="83">
        <f>floors!$C$2</f>
        <v>11220</v>
      </c>
      <c r="C101" s="84" t="str">
        <f ca="1">VLOOKUP($B101,OFFSET([2]quests!$A$1,0,0,COUNTA([2]quests!$A:$A),MATCH(C$1,[2]quests!$1:$1,0)-MATCH($B$1,[2]quests!$1:$1,0)+1),MATCH(C$1,[2]quests!$1:$1,0)-MATCH($B$1,[2]quests!$1:$1,0)+1,FALSE)</f>
        <v>ホワイトデー★特別クエスト</v>
      </c>
      <c r="D101" s="84" t="str">
        <f ca="1">VLOOKUP($B101,OFFSET([2]quests!$A$1,0,0,COUNTA([2]quests!$A:$A),MATCH(D$1,[2]quests!$1:$1,0)-MATCH($B$1,[2]quests!$1:$1,0)+1),MATCH(D$1,[2]quests!$1:$1,0)-MATCH($B$1,[2]quests!$1:$1,0)+1,FALSE)</f>
        <v>2016年ホワイトデークエスト</v>
      </c>
      <c r="E101" s="88" t="s">
        <v>221</v>
      </c>
      <c r="F101" s="84" t="e">
        <f ca="1">VLOOKUP($B101&amp;"_"&amp;$E101,OFFSET([2]stages!$A$1,0,0,COUNTA([2]stages!$A:$A),MATCH(F$1,[2]stages!$2:$2,0)-MATCH("temp_stage",[2]stages!$2:$2,0)+1),MATCH(F$1,[2]stages!$2:$2,0)-MATCH("temp_stage",[2]stages!$2:$2,0)+1,FALSE)</f>
        <v>#N/A</v>
      </c>
      <c r="G101" s="84" t="e">
        <f ca="1">VLOOKUP($B101&amp;"_"&amp;$E101,OFFSET([2]stages!$A$1,0,0,COUNTA([2]stages!$A:$A),MATCH(G$1,[2]stages!$2:$2,0)-MATCH("temp_stage",[2]stages!$2:$2,0)+1),MATCH(G$1,[2]stages!$2:$2,0)-MATCH("temp_stage",[2]stages!$2:$2,0)+1,FALSE)</f>
        <v>#N/A</v>
      </c>
      <c r="H101" s="86">
        <v>0</v>
      </c>
      <c r="I101">
        <v>30</v>
      </c>
      <c r="J101" s="85" t="s">
        <v>200</v>
      </c>
      <c r="K101" s="95" t="str">
        <f>VLOOKUP(I101,[7]stage_hints!$A:$C,3,FALSE)</f>
        <v>「バグ」の増やし方</v>
      </c>
      <c r="L101" s="96" t="str">
        <f>VLOOKUP(I101,[7]stage_hints!$A:$D,4,FALSE)</f>
        <v>同じユニット同士を強化で合成すると_x000D_「バグ」を増やすことができます</v>
      </c>
      <c r="M101" s="57" t="s">
        <v>215</v>
      </c>
    </row>
    <row r="102" spans="1:13">
      <c r="A102" s="82" t="s">
        <v>203</v>
      </c>
      <c r="B102" s="83">
        <f>floors!$C$2</f>
        <v>11220</v>
      </c>
      <c r="C102" s="84" t="str">
        <f ca="1">VLOOKUP($B102,OFFSET([2]quests!$A$1,0,0,COUNTA([2]quests!$A:$A),MATCH(C$1,[2]quests!$1:$1,0)-MATCH($B$1,[2]quests!$1:$1,0)+1),MATCH(C$1,[2]quests!$1:$1,0)-MATCH($B$1,[2]quests!$1:$1,0)+1,FALSE)</f>
        <v>ホワイトデー★特別クエスト</v>
      </c>
      <c r="D102" s="84" t="str">
        <f ca="1">VLOOKUP($B102,OFFSET([2]quests!$A$1,0,0,COUNTA([2]quests!$A:$A),MATCH(D$1,[2]quests!$1:$1,0)-MATCH($B$1,[2]quests!$1:$1,0)+1),MATCH(D$1,[2]quests!$1:$1,0)-MATCH($B$1,[2]quests!$1:$1,0)+1,FALSE)</f>
        <v>2016年ホワイトデークエスト</v>
      </c>
      <c r="E102" s="88" t="s">
        <v>221</v>
      </c>
      <c r="F102" s="84" t="e">
        <f ca="1">VLOOKUP($B102&amp;"_"&amp;$E102,OFFSET([2]stages!$A$1,0,0,COUNTA([2]stages!$A:$A),MATCH(F$1,[2]stages!$2:$2,0)-MATCH("temp_stage",[2]stages!$2:$2,0)+1),MATCH(F$1,[2]stages!$2:$2,0)-MATCH("temp_stage",[2]stages!$2:$2,0)+1,FALSE)</f>
        <v>#N/A</v>
      </c>
      <c r="G102" s="84" t="e">
        <f ca="1">VLOOKUP($B102&amp;"_"&amp;$E102,OFFSET([2]stages!$A$1,0,0,COUNTA([2]stages!$A:$A),MATCH(G$1,[2]stages!$2:$2,0)-MATCH("temp_stage",[2]stages!$2:$2,0)+1),MATCH(G$1,[2]stages!$2:$2,0)-MATCH("temp_stage",[2]stages!$2:$2,0)+1,FALSE)</f>
        <v>#N/A</v>
      </c>
      <c r="H102" s="86">
        <v>0</v>
      </c>
      <c r="I102">
        <v>32</v>
      </c>
      <c r="J102" s="85" t="s">
        <v>200</v>
      </c>
      <c r="K102" s="95" t="str">
        <f>VLOOKUP(I102,[7]stage_hints!$A:$C,3,FALSE)</f>
        <v>敵の連続攻撃には</v>
      </c>
      <c r="L102" s="96" t="str">
        <f>VLOOKUP(I102,[7]stage_hints!$A:$D,4,FALSE)</f>
        <v>カウンタースキルを持つユニットがいれば_x000D_ダメージ回数分の反撃ができます</v>
      </c>
      <c r="M102" s="57" t="s">
        <v>215</v>
      </c>
    </row>
    <row r="103" spans="1:13">
      <c r="A103" s="82" t="s">
        <v>203</v>
      </c>
      <c r="B103" s="83">
        <f>floors!$C$2</f>
        <v>11220</v>
      </c>
      <c r="C103" s="84" t="str">
        <f ca="1">VLOOKUP($B103,OFFSET([2]quests!$A$1,0,0,COUNTA([2]quests!$A:$A),MATCH(C$1,[2]quests!$1:$1,0)-MATCH($B$1,[2]quests!$1:$1,0)+1),MATCH(C$1,[2]quests!$1:$1,0)-MATCH($B$1,[2]quests!$1:$1,0)+1,FALSE)</f>
        <v>ホワイトデー★特別クエスト</v>
      </c>
      <c r="D103" s="84" t="str">
        <f ca="1">VLOOKUP($B103,OFFSET([2]quests!$A$1,0,0,COUNTA([2]quests!$A:$A),MATCH(D$1,[2]quests!$1:$1,0)-MATCH($B$1,[2]quests!$1:$1,0)+1),MATCH(D$1,[2]quests!$1:$1,0)-MATCH($B$1,[2]quests!$1:$1,0)+1,FALSE)</f>
        <v>2016年ホワイトデークエスト</v>
      </c>
      <c r="E103" s="88" t="s">
        <v>221</v>
      </c>
      <c r="F103" s="84" t="e">
        <f ca="1">VLOOKUP($B103&amp;"_"&amp;$E103,OFFSET([2]stages!$A$1,0,0,COUNTA([2]stages!$A:$A),MATCH(F$1,[2]stages!$2:$2,0)-MATCH("temp_stage",[2]stages!$2:$2,0)+1),MATCH(F$1,[2]stages!$2:$2,0)-MATCH("temp_stage",[2]stages!$2:$2,0)+1,FALSE)</f>
        <v>#N/A</v>
      </c>
      <c r="G103" s="84" t="e">
        <f ca="1">VLOOKUP($B103&amp;"_"&amp;$E103,OFFSET([2]stages!$A$1,0,0,COUNTA([2]stages!$A:$A),MATCH(G$1,[2]stages!$2:$2,0)-MATCH("temp_stage",[2]stages!$2:$2,0)+1),MATCH(G$1,[2]stages!$2:$2,0)-MATCH("temp_stage",[2]stages!$2:$2,0)+1,FALSE)</f>
        <v>#N/A</v>
      </c>
      <c r="H103" s="86">
        <v>0</v>
      </c>
      <c r="I103">
        <v>33</v>
      </c>
      <c r="J103" s="85" t="s">
        <v>200</v>
      </c>
      <c r="K103" s="95" t="str">
        <f>VLOOKUP(I103,[7]stage_hints!$A:$C,3,FALSE)</f>
        <v>敵のカウンター攻撃には</v>
      </c>
      <c r="L103" s="96" t="str">
        <f>VLOOKUP(I103,[7]stage_hints!$A:$D,4,FALSE)</f>
        <v>カウンターブレイクスキルを持っていれば_x000D_敵のカウンターを解除して攻撃ができます</v>
      </c>
      <c r="M103" s="57" t="s">
        <v>215</v>
      </c>
    </row>
    <row r="104" spans="1:13">
      <c r="A104" s="82" t="s">
        <v>203</v>
      </c>
      <c r="B104" s="83">
        <f>floors!$C$2</f>
        <v>11220</v>
      </c>
      <c r="C104" s="84" t="str">
        <f ca="1">VLOOKUP($B104,OFFSET([2]quests!$A$1,0,0,COUNTA([2]quests!$A:$A),MATCH(C$1,[2]quests!$1:$1,0)-MATCH($B$1,[2]quests!$1:$1,0)+1),MATCH(C$1,[2]quests!$1:$1,0)-MATCH($B$1,[2]quests!$1:$1,0)+1,FALSE)</f>
        <v>ホワイトデー★特別クエスト</v>
      </c>
      <c r="D104" s="84" t="str">
        <f ca="1">VLOOKUP($B104,OFFSET([2]quests!$A$1,0,0,COUNTA([2]quests!$A:$A),MATCH(D$1,[2]quests!$1:$1,0)-MATCH($B$1,[2]quests!$1:$1,0)+1),MATCH(D$1,[2]quests!$1:$1,0)-MATCH($B$1,[2]quests!$1:$1,0)+1,FALSE)</f>
        <v>2016年ホワイトデークエスト</v>
      </c>
      <c r="E104" s="88" t="s">
        <v>221</v>
      </c>
      <c r="F104" s="84" t="e">
        <f ca="1">VLOOKUP($B104&amp;"_"&amp;$E104,OFFSET([2]stages!$A$1,0,0,COUNTA([2]stages!$A:$A),MATCH(F$1,[2]stages!$2:$2,0)-MATCH("temp_stage",[2]stages!$2:$2,0)+1),MATCH(F$1,[2]stages!$2:$2,0)-MATCH("temp_stage",[2]stages!$2:$2,0)+1,FALSE)</f>
        <v>#N/A</v>
      </c>
      <c r="G104" s="84" t="e">
        <f ca="1">VLOOKUP($B104&amp;"_"&amp;$E104,OFFSET([2]stages!$A$1,0,0,COUNTA([2]stages!$A:$A),MATCH(G$1,[2]stages!$2:$2,0)-MATCH("temp_stage",[2]stages!$2:$2,0)+1),MATCH(G$1,[2]stages!$2:$2,0)-MATCH("temp_stage",[2]stages!$2:$2,0)+1,FALSE)</f>
        <v>#N/A</v>
      </c>
      <c r="H104" s="86">
        <v>0</v>
      </c>
      <c r="I104">
        <v>34</v>
      </c>
      <c r="J104" s="85" t="s">
        <v>200</v>
      </c>
      <c r="K104" s="95" t="str">
        <f>VLOOKUP(I104,[7]stage_hints!$A:$C,3,FALSE)</f>
        <v>ステータスをスキルで下げられたら</v>
      </c>
      <c r="L104" s="96" t="str">
        <f>VLOOKUP(I104,[7]stage_hints!$A:$D,4,FALSE)</f>
        <v>ステータスダウンのスキルを受けたら_x000D_ステータスアップスキルで上書きしましょう</v>
      </c>
      <c r="M104" s="57" t="s">
        <v>215</v>
      </c>
    </row>
    <row r="105" spans="1:13">
      <c r="A105" s="82" t="s">
        <v>203</v>
      </c>
      <c r="B105" s="83">
        <f>floors!$C$2</f>
        <v>11220</v>
      </c>
      <c r="C105" s="84" t="str">
        <f ca="1">VLOOKUP($B105,OFFSET([2]quests!$A$1,0,0,COUNTA([2]quests!$A:$A),MATCH(C$1,[2]quests!$1:$1,0)-MATCH($B$1,[2]quests!$1:$1,0)+1),MATCH(C$1,[2]quests!$1:$1,0)-MATCH($B$1,[2]quests!$1:$1,0)+1,FALSE)</f>
        <v>ホワイトデー★特別クエスト</v>
      </c>
      <c r="D105" s="84" t="str">
        <f ca="1">VLOOKUP($B105,OFFSET([2]quests!$A$1,0,0,COUNTA([2]quests!$A:$A),MATCH(D$1,[2]quests!$1:$1,0)-MATCH($B$1,[2]quests!$1:$1,0)+1),MATCH(D$1,[2]quests!$1:$1,0)-MATCH($B$1,[2]quests!$1:$1,0)+1,FALSE)</f>
        <v>2016年ホワイトデークエスト</v>
      </c>
      <c r="E105" s="88" t="s">
        <v>221</v>
      </c>
      <c r="F105" s="84" t="e">
        <f ca="1">VLOOKUP($B105&amp;"_"&amp;$E105,OFFSET([2]stages!$A$1,0,0,COUNTA([2]stages!$A:$A),MATCH(F$1,[2]stages!$2:$2,0)-MATCH("temp_stage",[2]stages!$2:$2,0)+1),MATCH(F$1,[2]stages!$2:$2,0)-MATCH("temp_stage",[2]stages!$2:$2,0)+1,FALSE)</f>
        <v>#N/A</v>
      </c>
      <c r="G105" s="84" t="e">
        <f ca="1">VLOOKUP($B105&amp;"_"&amp;$E105,OFFSET([2]stages!$A$1,0,0,COUNTA([2]stages!$A:$A),MATCH(G$1,[2]stages!$2:$2,0)-MATCH("temp_stage",[2]stages!$2:$2,0)+1),MATCH(G$1,[2]stages!$2:$2,0)-MATCH("temp_stage",[2]stages!$2:$2,0)+1,FALSE)</f>
        <v>#N/A</v>
      </c>
      <c r="H105" s="86">
        <v>0</v>
      </c>
      <c r="I105">
        <v>35</v>
      </c>
      <c r="J105" s="85" t="s">
        <v>200</v>
      </c>
      <c r="K105" s="95" t="str">
        <f>VLOOKUP(I105,[7]stage_hints!$A:$C,3,FALSE)</f>
        <v>敵のステータスがスキルで上がったら</v>
      </c>
      <c r="L105" s="96" t="str">
        <f>VLOOKUP(I105,[7]stage_hints!$A:$D,4,FALSE)</f>
        <v>敵のステータスがスキルでアップしたときは_x000D_ステータスダウンスキルで上書きしましょう</v>
      </c>
      <c r="M105" s="57" t="s">
        <v>215</v>
      </c>
    </row>
    <row r="106" spans="1:13">
      <c r="A106" s="82" t="s">
        <v>203</v>
      </c>
      <c r="B106" s="83">
        <f>floors!$C$2</f>
        <v>11220</v>
      </c>
      <c r="C106" s="84" t="str">
        <f ca="1">VLOOKUP($B106,OFFSET([2]quests!$A$1,0,0,COUNTA([2]quests!$A:$A),MATCH(C$1,[2]quests!$1:$1,0)-MATCH($B$1,[2]quests!$1:$1,0)+1),MATCH(C$1,[2]quests!$1:$1,0)-MATCH($B$1,[2]quests!$1:$1,0)+1,FALSE)</f>
        <v>ホワイトデー★特別クエスト</v>
      </c>
      <c r="D106" s="84" t="str">
        <f ca="1">VLOOKUP($B106,OFFSET([2]quests!$A$1,0,0,COUNTA([2]quests!$A:$A),MATCH(D$1,[2]quests!$1:$1,0)-MATCH($B$1,[2]quests!$1:$1,0)+1),MATCH(D$1,[2]quests!$1:$1,0)-MATCH($B$1,[2]quests!$1:$1,0)+1,FALSE)</f>
        <v>2016年ホワイトデークエスト</v>
      </c>
      <c r="E106" s="88" t="s">
        <v>221</v>
      </c>
      <c r="F106" s="84" t="e">
        <f ca="1">VLOOKUP($B106&amp;"_"&amp;$E106,OFFSET([2]stages!$A$1,0,0,COUNTA([2]stages!$A:$A),MATCH(F$1,[2]stages!$2:$2,0)-MATCH("temp_stage",[2]stages!$2:$2,0)+1),MATCH(F$1,[2]stages!$2:$2,0)-MATCH("temp_stage",[2]stages!$2:$2,0)+1,FALSE)</f>
        <v>#N/A</v>
      </c>
      <c r="G106" s="84" t="e">
        <f ca="1">VLOOKUP($B106&amp;"_"&amp;$E106,OFFSET([2]stages!$A$1,0,0,COUNTA([2]stages!$A:$A),MATCH(G$1,[2]stages!$2:$2,0)-MATCH("temp_stage",[2]stages!$2:$2,0)+1),MATCH(G$1,[2]stages!$2:$2,0)-MATCH("temp_stage",[2]stages!$2:$2,0)+1,FALSE)</f>
        <v>#N/A</v>
      </c>
      <c r="H106" s="86">
        <v>0</v>
      </c>
      <c r="I106">
        <v>36</v>
      </c>
      <c r="J106" s="85" t="s">
        <v>200</v>
      </c>
      <c r="K106" s="95" t="str">
        <f>VLOOKUP(I106,[7]stage_hints!$A:$C,3,FALSE)</f>
        <v>チャレンジタワーのボス</v>
      </c>
      <c r="L106" s="96" t="str">
        <f>VLOOKUP(I106,[7]stage_hints!$A:$D,4,FALSE)</f>
        <v>チャレンジタワーでのみ登場するボスは_x000D_一定確率で獲得することができます</v>
      </c>
      <c r="M106" s="57" t="s">
        <v>215</v>
      </c>
    </row>
    <row r="107" spans="1:13">
      <c r="A107" s="82" t="s">
        <v>203</v>
      </c>
      <c r="B107" s="83">
        <f>floors!$C$2</f>
        <v>11220</v>
      </c>
      <c r="C107" s="84" t="str">
        <f ca="1">VLOOKUP($B107,OFFSET([2]quests!$A$1,0,0,COUNTA([2]quests!$A:$A),MATCH(C$1,[2]quests!$1:$1,0)-MATCH($B$1,[2]quests!$1:$1,0)+1),MATCH(C$1,[2]quests!$1:$1,0)-MATCH($B$1,[2]quests!$1:$1,0)+1,FALSE)</f>
        <v>ホワイトデー★特別クエスト</v>
      </c>
      <c r="D107" s="84" t="str">
        <f ca="1">VLOOKUP($B107,OFFSET([2]quests!$A$1,0,0,COUNTA([2]quests!$A:$A),MATCH(D$1,[2]quests!$1:$1,0)-MATCH($B$1,[2]quests!$1:$1,0)+1),MATCH(D$1,[2]quests!$1:$1,0)-MATCH($B$1,[2]quests!$1:$1,0)+1,FALSE)</f>
        <v>2016年ホワイトデークエスト</v>
      </c>
      <c r="E107" s="88" t="s">
        <v>221</v>
      </c>
      <c r="F107" s="84" t="e">
        <f ca="1">VLOOKUP($B107&amp;"_"&amp;$E107,OFFSET([2]stages!$A$1,0,0,COUNTA([2]stages!$A:$A),MATCH(F$1,[2]stages!$2:$2,0)-MATCH("temp_stage",[2]stages!$2:$2,0)+1),MATCH(F$1,[2]stages!$2:$2,0)-MATCH("temp_stage",[2]stages!$2:$2,0)+1,FALSE)</f>
        <v>#N/A</v>
      </c>
      <c r="G107" s="84" t="e">
        <f ca="1">VLOOKUP($B107&amp;"_"&amp;$E107,OFFSET([2]stages!$A$1,0,0,COUNTA([2]stages!$A:$A),MATCH(G$1,[2]stages!$2:$2,0)-MATCH("temp_stage",[2]stages!$2:$2,0)+1),MATCH(G$1,[2]stages!$2:$2,0)-MATCH("temp_stage",[2]stages!$2:$2,0)+1,FALSE)</f>
        <v>#N/A</v>
      </c>
      <c r="H107" s="86">
        <v>0</v>
      </c>
      <c r="I107">
        <v>37</v>
      </c>
      <c r="J107" s="85" t="s">
        <v>200</v>
      </c>
      <c r="K107" s="95" t="str">
        <f>VLOOKUP(I107,[7]stage_hints!$A:$C,3,FALSE)</f>
        <v>限界突破値の引き継ぎ</v>
      </c>
      <c r="L107" s="96" t="str">
        <f>VLOOKUP(I107,[7]stage_hints!$A:$D,4,FALSE)</f>
        <v>同じユニットを強化で合成すると_x000D_限界突破値を引き継げます（覚醒前後も可）</v>
      </c>
      <c r="M107" s="57" t="s">
        <v>215</v>
      </c>
    </row>
    <row r="108" spans="1:13">
      <c r="A108" s="82" t="s">
        <v>203</v>
      </c>
      <c r="B108" s="83">
        <f>floors!$C$2</f>
        <v>11220</v>
      </c>
      <c r="C108" s="84" t="str">
        <f ca="1">VLOOKUP($B108,OFFSET([2]quests!$A$1,0,0,COUNTA([2]quests!$A:$A),MATCH(C$1,[2]quests!$1:$1,0)-MATCH($B$1,[2]quests!$1:$1,0)+1),MATCH(C$1,[2]quests!$1:$1,0)-MATCH($B$1,[2]quests!$1:$1,0)+1,FALSE)</f>
        <v>ホワイトデー★特別クエスト</v>
      </c>
      <c r="D108" s="84" t="str">
        <f ca="1">VLOOKUP($B108,OFFSET([2]quests!$A$1,0,0,COUNTA([2]quests!$A:$A),MATCH(D$1,[2]quests!$1:$1,0)-MATCH($B$1,[2]quests!$1:$1,0)+1),MATCH(D$1,[2]quests!$1:$1,0)-MATCH($B$1,[2]quests!$1:$1,0)+1,FALSE)</f>
        <v>2016年ホワイトデークエスト</v>
      </c>
      <c r="E108" s="88" t="s">
        <v>221</v>
      </c>
      <c r="F108" s="84" t="e">
        <f ca="1">VLOOKUP($B108&amp;"_"&amp;$E108,OFFSET([2]stages!$A$1,0,0,COUNTA([2]stages!$A:$A),MATCH(F$1,[2]stages!$2:$2,0)-MATCH("temp_stage",[2]stages!$2:$2,0)+1),MATCH(F$1,[2]stages!$2:$2,0)-MATCH("temp_stage",[2]stages!$2:$2,0)+1,FALSE)</f>
        <v>#N/A</v>
      </c>
      <c r="G108" s="84" t="e">
        <f ca="1">VLOOKUP($B108&amp;"_"&amp;$E108,OFFSET([2]stages!$A$1,0,0,COUNTA([2]stages!$A:$A),MATCH(G$1,[2]stages!$2:$2,0)-MATCH("temp_stage",[2]stages!$2:$2,0)+1),MATCH(G$1,[2]stages!$2:$2,0)-MATCH("temp_stage",[2]stages!$2:$2,0)+1,FALSE)</f>
        <v>#N/A</v>
      </c>
      <c r="H108" s="86">
        <v>0</v>
      </c>
      <c r="I108">
        <v>39</v>
      </c>
      <c r="J108" s="85" t="s">
        <v>200</v>
      </c>
      <c r="K108" s="95" t="str">
        <f>VLOOKUP(I108,[7]stage_hints!$A:$C,3,FALSE)</f>
        <v>システム適合者を確認</v>
      </c>
      <c r="L108" s="96" t="str">
        <f>VLOOKUP(I108,[7]stage_hints!$A:$D,4,FALSE)</f>
        <v>ALICEが「アナタ」を呼んでいます</v>
      </c>
      <c r="M108" s="57" t="s">
        <v>215</v>
      </c>
    </row>
    <row r="109" spans="1:13">
      <c r="A109" s="82" t="s">
        <v>203</v>
      </c>
      <c r="B109" s="83">
        <f>floors!$C$2</f>
        <v>11220</v>
      </c>
      <c r="C109" s="84" t="str">
        <f ca="1">VLOOKUP($B109,OFFSET([2]quests!$A$1,0,0,COUNTA([2]quests!$A:$A),MATCH(C$1,[2]quests!$1:$1,0)-MATCH($B$1,[2]quests!$1:$1,0)+1),MATCH(C$1,[2]quests!$1:$1,0)-MATCH($B$1,[2]quests!$1:$1,0)+1,FALSE)</f>
        <v>ホワイトデー★特別クエスト</v>
      </c>
      <c r="D109" s="84" t="str">
        <f ca="1">VLOOKUP($B109,OFFSET([2]quests!$A$1,0,0,COUNTA([2]quests!$A:$A),MATCH(D$1,[2]quests!$1:$1,0)-MATCH($B$1,[2]quests!$1:$1,0)+1),MATCH(D$1,[2]quests!$1:$1,0)-MATCH($B$1,[2]quests!$1:$1,0)+1,FALSE)</f>
        <v>2016年ホワイトデークエスト</v>
      </c>
      <c r="E109" s="88" t="s">
        <v>222</v>
      </c>
      <c r="F109" s="84" t="e">
        <f ca="1">VLOOKUP($B109&amp;"_"&amp;$E109,OFFSET([2]stages!$A$1,0,0,COUNTA([2]stages!$A:$A),MATCH(F$1,[2]stages!$2:$2,0)-MATCH("temp_stage",[2]stages!$2:$2,0)+1),MATCH(F$1,[2]stages!$2:$2,0)-MATCH("temp_stage",[2]stages!$2:$2,0)+1,FALSE)</f>
        <v>#N/A</v>
      </c>
      <c r="G109" s="84" t="e">
        <f ca="1">VLOOKUP($B109&amp;"_"&amp;$E109,OFFSET([2]stages!$A$1,0,0,COUNTA([2]stages!$A:$A),MATCH(G$1,[2]stages!$2:$2,0)-MATCH("temp_stage",[2]stages!$2:$2,0)+1),MATCH(G$1,[2]stages!$2:$2,0)-MATCH("temp_stage",[2]stages!$2:$2,0)+1,FALSE)</f>
        <v>#N/A</v>
      </c>
      <c r="H109" s="86">
        <v>0</v>
      </c>
      <c r="I109">
        <v>12</v>
      </c>
      <c r="J109" s="85" t="s">
        <v>200</v>
      </c>
      <c r="K109" s="95" t="str">
        <f>VLOOKUP(I109,[7]stage_hints!$A:$C,3,FALSE)</f>
        <v>ユニットのお気に入り登録</v>
      </c>
      <c r="L109" s="96" t="str">
        <f>VLOOKUP(I109,[7]stage_hints!$A:$D,4,FALSE)</f>
        <v>大事なユニットを誤って消さないように_x000D_フォルダから「お気に入り登録」しましょう</v>
      </c>
      <c r="M109" s="57" t="s">
        <v>215</v>
      </c>
    </row>
    <row r="110" spans="1:13">
      <c r="A110" s="82" t="s">
        <v>203</v>
      </c>
      <c r="B110" s="83">
        <f>floors!$C$2</f>
        <v>11220</v>
      </c>
      <c r="C110" s="84" t="str">
        <f ca="1">VLOOKUP($B110,OFFSET([2]quests!$A$1,0,0,COUNTA([2]quests!$A:$A),MATCH(C$1,[2]quests!$1:$1,0)-MATCH($B$1,[2]quests!$1:$1,0)+1),MATCH(C$1,[2]quests!$1:$1,0)-MATCH($B$1,[2]quests!$1:$1,0)+1,FALSE)</f>
        <v>ホワイトデー★特別クエスト</v>
      </c>
      <c r="D110" s="84" t="str">
        <f ca="1">VLOOKUP($B110,OFFSET([2]quests!$A$1,0,0,COUNTA([2]quests!$A:$A),MATCH(D$1,[2]quests!$1:$1,0)-MATCH($B$1,[2]quests!$1:$1,0)+1),MATCH(D$1,[2]quests!$1:$1,0)-MATCH($B$1,[2]quests!$1:$1,0)+1,FALSE)</f>
        <v>2016年ホワイトデークエスト</v>
      </c>
      <c r="E110" s="88" t="s">
        <v>222</v>
      </c>
      <c r="F110" s="84" t="e">
        <f ca="1">VLOOKUP($B110&amp;"_"&amp;$E110,OFFSET([2]stages!$A$1,0,0,COUNTA([2]stages!$A:$A),MATCH(F$1,[2]stages!$2:$2,0)-MATCH("temp_stage",[2]stages!$2:$2,0)+1),MATCH(F$1,[2]stages!$2:$2,0)-MATCH("temp_stage",[2]stages!$2:$2,0)+1,FALSE)</f>
        <v>#N/A</v>
      </c>
      <c r="G110" s="84" t="e">
        <f ca="1">VLOOKUP($B110&amp;"_"&amp;$E110,OFFSET([2]stages!$A$1,0,0,COUNTA([2]stages!$A:$A),MATCH(G$1,[2]stages!$2:$2,0)-MATCH("temp_stage",[2]stages!$2:$2,0)+1),MATCH(G$1,[2]stages!$2:$2,0)-MATCH("temp_stage",[2]stages!$2:$2,0)+1,FALSE)</f>
        <v>#N/A</v>
      </c>
      <c r="H110" s="86">
        <v>0</v>
      </c>
      <c r="I110">
        <v>17</v>
      </c>
      <c r="J110" s="85" t="s">
        <v>200</v>
      </c>
      <c r="K110" s="95" t="str">
        <f>VLOOKUP(I110,[7]stage_hints!$A:$C,3,FALSE)</f>
        <v>リンクガチャ</v>
      </c>
      <c r="L110" s="96" t="str">
        <f>VLOOKUP(I110,[7]stage_hints!$A:$D,4,FALSE)</f>
        <v>無料のリンクガチャを回して_x000D_経験値素材や売却素材を獲得しましょう</v>
      </c>
      <c r="M110" s="57" t="s">
        <v>215</v>
      </c>
    </row>
    <row r="111" spans="1:13">
      <c r="A111" s="82" t="s">
        <v>203</v>
      </c>
      <c r="B111" s="83">
        <f>floors!$C$2</f>
        <v>11220</v>
      </c>
      <c r="C111" s="84" t="str">
        <f ca="1">VLOOKUP($B111,OFFSET([2]quests!$A$1,0,0,COUNTA([2]quests!$A:$A),MATCH(C$1,[2]quests!$1:$1,0)-MATCH($B$1,[2]quests!$1:$1,0)+1),MATCH(C$1,[2]quests!$1:$1,0)-MATCH($B$1,[2]quests!$1:$1,0)+1,FALSE)</f>
        <v>ホワイトデー★特別クエスト</v>
      </c>
      <c r="D111" s="84" t="str">
        <f ca="1">VLOOKUP($B111,OFFSET([2]quests!$A$1,0,0,COUNTA([2]quests!$A:$A),MATCH(D$1,[2]quests!$1:$1,0)-MATCH($B$1,[2]quests!$1:$1,0)+1),MATCH(D$1,[2]quests!$1:$1,0)-MATCH($B$1,[2]quests!$1:$1,0)+1,FALSE)</f>
        <v>2016年ホワイトデークエスト</v>
      </c>
      <c r="E111" s="88" t="s">
        <v>222</v>
      </c>
      <c r="F111" s="84" t="e">
        <f ca="1">VLOOKUP($B111&amp;"_"&amp;$E111,OFFSET([2]stages!$A$1,0,0,COUNTA([2]stages!$A:$A),MATCH(F$1,[2]stages!$2:$2,0)-MATCH("temp_stage",[2]stages!$2:$2,0)+1),MATCH(F$1,[2]stages!$2:$2,0)-MATCH("temp_stage",[2]stages!$2:$2,0)+1,FALSE)</f>
        <v>#N/A</v>
      </c>
      <c r="G111" s="84" t="e">
        <f ca="1">VLOOKUP($B111&amp;"_"&amp;$E111,OFFSET([2]stages!$A$1,0,0,COUNTA([2]stages!$A:$A),MATCH(G$1,[2]stages!$2:$2,0)-MATCH("temp_stage",[2]stages!$2:$2,0)+1),MATCH(G$1,[2]stages!$2:$2,0)-MATCH("temp_stage",[2]stages!$2:$2,0)+1,FALSE)</f>
        <v>#N/A</v>
      </c>
      <c r="H111" s="86">
        <v>0</v>
      </c>
      <c r="I111">
        <v>19</v>
      </c>
      <c r="J111" s="85" t="s">
        <v>200</v>
      </c>
      <c r="K111" s="95" t="str">
        <f>VLOOKUP(I111,[7]stage_hints!$A:$C,3,FALSE)</f>
        <v>ソロ専用チャレンジタワー</v>
      </c>
      <c r="L111" s="96" t="str">
        <f>VLOOKUP(I111,[7]stage_hints!$A:$D,4,FALSE)</f>
        <v>ソロ専用の「チャレンジタワー」では_x000D_各フロアごとにクリア報酬がもらえます</v>
      </c>
      <c r="M111" s="57" t="s">
        <v>215</v>
      </c>
    </row>
    <row r="112" spans="1:13">
      <c r="A112" s="82" t="s">
        <v>203</v>
      </c>
      <c r="B112" s="83">
        <f>floors!$C$2</f>
        <v>11220</v>
      </c>
      <c r="C112" s="84" t="str">
        <f ca="1">VLOOKUP($B112,OFFSET([2]quests!$A$1,0,0,COUNTA([2]quests!$A:$A),MATCH(C$1,[2]quests!$1:$1,0)-MATCH($B$1,[2]quests!$1:$1,0)+1),MATCH(C$1,[2]quests!$1:$1,0)-MATCH($B$1,[2]quests!$1:$1,0)+1,FALSE)</f>
        <v>ホワイトデー★特別クエスト</v>
      </c>
      <c r="D112" s="84" t="str">
        <f ca="1">VLOOKUP($B112,OFFSET([2]quests!$A$1,0,0,COUNTA([2]quests!$A:$A),MATCH(D$1,[2]quests!$1:$1,0)-MATCH($B$1,[2]quests!$1:$1,0)+1),MATCH(D$1,[2]quests!$1:$1,0)-MATCH($B$1,[2]quests!$1:$1,0)+1,FALSE)</f>
        <v>2016年ホワイトデークエスト</v>
      </c>
      <c r="E112" s="88" t="s">
        <v>222</v>
      </c>
      <c r="F112" s="84" t="e">
        <f ca="1">VLOOKUP($B112&amp;"_"&amp;$E112,OFFSET([2]stages!$A$1,0,0,COUNTA([2]stages!$A:$A),MATCH(F$1,[2]stages!$2:$2,0)-MATCH("temp_stage",[2]stages!$2:$2,0)+1),MATCH(F$1,[2]stages!$2:$2,0)-MATCH("temp_stage",[2]stages!$2:$2,0)+1,FALSE)</f>
        <v>#N/A</v>
      </c>
      <c r="G112" s="84" t="e">
        <f ca="1">VLOOKUP($B112&amp;"_"&amp;$E112,OFFSET([2]stages!$A$1,0,0,COUNTA([2]stages!$A:$A),MATCH(G$1,[2]stages!$2:$2,0)-MATCH("temp_stage",[2]stages!$2:$2,0)+1),MATCH(G$1,[2]stages!$2:$2,0)-MATCH("temp_stage",[2]stages!$2:$2,0)+1,FALSE)</f>
        <v>#N/A</v>
      </c>
      <c r="H112" s="86">
        <v>0</v>
      </c>
      <c r="I112">
        <v>21</v>
      </c>
      <c r="J112" s="85" t="s">
        <v>200</v>
      </c>
      <c r="K112" s="95" t="str">
        <f>VLOOKUP(I112,[7]stage_hints!$A:$C,3,FALSE)</f>
        <v>スキルを有効に</v>
      </c>
      <c r="L112" s="96" t="str">
        <f>VLOOKUP(I112,[7]stage_hints!$A:$D,4,FALSE)</f>
        <v>ターン経過でユニットのスキルが使えます_x000D_強力スキルでバトルを有利に進めましょう</v>
      </c>
      <c r="M112" s="57" t="s">
        <v>215</v>
      </c>
    </row>
    <row r="113" spans="1:13">
      <c r="A113" s="82" t="s">
        <v>203</v>
      </c>
      <c r="B113" s="83">
        <f>floors!$C$2</f>
        <v>11220</v>
      </c>
      <c r="C113" s="84" t="str">
        <f ca="1">VLOOKUP($B113,OFFSET([2]quests!$A$1,0,0,COUNTA([2]quests!$A:$A),MATCH(C$1,[2]quests!$1:$1,0)-MATCH($B$1,[2]quests!$1:$1,0)+1),MATCH(C$1,[2]quests!$1:$1,0)-MATCH($B$1,[2]quests!$1:$1,0)+1,FALSE)</f>
        <v>ホワイトデー★特別クエスト</v>
      </c>
      <c r="D113" s="84" t="str">
        <f ca="1">VLOOKUP($B113,OFFSET([2]quests!$A$1,0,0,COUNTA([2]quests!$A:$A),MATCH(D$1,[2]quests!$1:$1,0)-MATCH($B$1,[2]quests!$1:$1,0)+1),MATCH(D$1,[2]quests!$1:$1,0)-MATCH($B$1,[2]quests!$1:$1,0)+1,FALSE)</f>
        <v>2016年ホワイトデークエスト</v>
      </c>
      <c r="E113" s="88" t="s">
        <v>222</v>
      </c>
      <c r="F113" s="84" t="e">
        <f ca="1">VLOOKUP($B113&amp;"_"&amp;$E113,OFFSET([2]stages!$A$1,0,0,COUNTA([2]stages!$A:$A),MATCH(F$1,[2]stages!$2:$2,0)-MATCH("temp_stage",[2]stages!$2:$2,0)+1),MATCH(F$1,[2]stages!$2:$2,0)-MATCH("temp_stage",[2]stages!$2:$2,0)+1,FALSE)</f>
        <v>#N/A</v>
      </c>
      <c r="G113" s="84" t="e">
        <f ca="1">VLOOKUP($B113&amp;"_"&amp;$E113,OFFSET([2]stages!$A$1,0,0,COUNTA([2]stages!$A:$A),MATCH(G$1,[2]stages!$2:$2,0)-MATCH("temp_stage",[2]stages!$2:$2,0)+1),MATCH(G$1,[2]stages!$2:$2,0)-MATCH("temp_stage",[2]stages!$2:$2,0)+1,FALSE)</f>
        <v>#N/A</v>
      </c>
      <c r="H113" s="86">
        <v>0</v>
      </c>
      <c r="I113">
        <v>29</v>
      </c>
      <c r="J113" s="85" t="s">
        <v>200</v>
      </c>
      <c r="K113" s="95" t="str">
        <f>VLOOKUP(I113,[7]stage_hints!$A:$C,3,FALSE)</f>
        <v>「バグ」のメリット</v>
      </c>
      <c r="L113" s="96" t="str">
        <f>VLOOKUP(I113,[7]stage_hints!$A:$D,4,FALSE)</f>
        <v>ユニットの「バグ」を増やすと_x000D_報酬をもらえる確率がアップします</v>
      </c>
      <c r="M113" s="57" t="s">
        <v>215</v>
      </c>
    </row>
    <row r="114" spans="1:13">
      <c r="A114" s="82" t="s">
        <v>203</v>
      </c>
      <c r="B114" s="83">
        <f>floors!$C$2</f>
        <v>11220</v>
      </c>
      <c r="C114" s="84" t="str">
        <f ca="1">VLOOKUP($B114,OFFSET([2]quests!$A$1,0,0,COUNTA([2]quests!$A:$A),MATCH(C$1,[2]quests!$1:$1,0)-MATCH($B$1,[2]quests!$1:$1,0)+1),MATCH(C$1,[2]quests!$1:$1,0)-MATCH($B$1,[2]quests!$1:$1,0)+1,FALSE)</f>
        <v>ホワイトデー★特別クエスト</v>
      </c>
      <c r="D114" s="84" t="str">
        <f ca="1">VLOOKUP($B114,OFFSET([2]quests!$A$1,0,0,COUNTA([2]quests!$A:$A),MATCH(D$1,[2]quests!$1:$1,0)-MATCH($B$1,[2]quests!$1:$1,0)+1),MATCH(D$1,[2]quests!$1:$1,0)-MATCH($B$1,[2]quests!$1:$1,0)+1,FALSE)</f>
        <v>2016年ホワイトデークエスト</v>
      </c>
      <c r="E114" s="88" t="s">
        <v>222</v>
      </c>
      <c r="F114" s="84" t="e">
        <f ca="1">VLOOKUP($B114&amp;"_"&amp;$E114,OFFSET([2]stages!$A$1,0,0,COUNTA([2]stages!$A:$A),MATCH(F$1,[2]stages!$2:$2,0)-MATCH("temp_stage",[2]stages!$2:$2,0)+1),MATCH(F$1,[2]stages!$2:$2,0)-MATCH("temp_stage",[2]stages!$2:$2,0)+1,FALSE)</f>
        <v>#N/A</v>
      </c>
      <c r="G114" s="84" t="e">
        <f ca="1">VLOOKUP($B114&amp;"_"&amp;$E114,OFFSET([2]stages!$A$1,0,0,COUNTA([2]stages!$A:$A),MATCH(G$1,[2]stages!$2:$2,0)-MATCH("temp_stage",[2]stages!$2:$2,0)+1),MATCH(G$1,[2]stages!$2:$2,0)-MATCH("temp_stage",[2]stages!$2:$2,0)+1,FALSE)</f>
        <v>#N/A</v>
      </c>
      <c r="H114" s="86">
        <v>0</v>
      </c>
      <c r="I114">
        <v>30</v>
      </c>
      <c r="J114" s="85" t="s">
        <v>200</v>
      </c>
      <c r="K114" s="95" t="str">
        <f>VLOOKUP(I114,[7]stage_hints!$A:$C,3,FALSE)</f>
        <v>「バグ」の増やし方</v>
      </c>
      <c r="L114" s="96" t="str">
        <f>VLOOKUP(I114,[7]stage_hints!$A:$D,4,FALSE)</f>
        <v>同じユニット同士を強化で合成すると_x000D_「バグ」を増やすことができます</v>
      </c>
      <c r="M114" s="57" t="s">
        <v>215</v>
      </c>
    </row>
    <row r="115" spans="1:13">
      <c r="A115" s="82" t="s">
        <v>203</v>
      </c>
      <c r="B115" s="83">
        <f>floors!$C$2</f>
        <v>11220</v>
      </c>
      <c r="C115" s="84" t="str">
        <f ca="1">VLOOKUP($B115,OFFSET([2]quests!$A$1,0,0,COUNTA([2]quests!$A:$A),MATCH(C$1,[2]quests!$1:$1,0)-MATCH($B$1,[2]quests!$1:$1,0)+1),MATCH(C$1,[2]quests!$1:$1,0)-MATCH($B$1,[2]quests!$1:$1,0)+1,FALSE)</f>
        <v>ホワイトデー★特別クエスト</v>
      </c>
      <c r="D115" s="84" t="str">
        <f ca="1">VLOOKUP($B115,OFFSET([2]quests!$A$1,0,0,COUNTA([2]quests!$A:$A),MATCH(D$1,[2]quests!$1:$1,0)-MATCH($B$1,[2]quests!$1:$1,0)+1),MATCH(D$1,[2]quests!$1:$1,0)-MATCH($B$1,[2]quests!$1:$1,0)+1,FALSE)</f>
        <v>2016年ホワイトデークエスト</v>
      </c>
      <c r="E115" s="88" t="s">
        <v>222</v>
      </c>
      <c r="F115" s="84" t="e">
        <f ca="1">VLOOKUP($B115&amp;"_"&amp;$E115,OFFSET([2]stages!$A$1,0,0,COUNTA([2]stages!$A:$A),MATCH(F$1,[2]stages!$2:$2,0)-MATCH("temp_stage",[2]stages!$2:$2,0)+1),MATCH(F$1,[2]stages!$2:$2,0)-MATCH("temp_stage",[2]stages!$2:$2,0)+1,FALSE)</f>
        <v>#N/A</v>
      </c>
      <c r="G115" s="84" t="e">
        <f ca="1">VLOOKUP($B115&amp;"_"&amp;$E115,OFFSET([2]stages!$A$1,0,0,COUNTA([2]stages!$A:$A),MATCH(G$1,[2]stages!$2:$2,0)-MATCH("temp_stage",[2]stages!$2:$2,0)+1),MATCH(G$1,[2]stages!$2:$2,0)-MATCH("temp_stage",[2]stages!$2:$2,0)+1,FALSE)</f>
        <v>#N/A</v>
      </c>
      <c r="H115" s="86">
        <v>0</v>
      </c>
      <c r="I115">
        <v>32</v>
      </c>
      <c r="J115" s="85" t="s">
        <v>200</v>
      </c>
      <c r="K115" s="95" t="str">
        <f>VLOOKUP(I115,[7]stage_hints!$A:$C,3,FALSE)</f>
        <v>敵の連続攻撃には</v>
      </c>
      <c r="L115" s="96" t="str">
        <f>VLOOKUP(I115,[7]stage_hints!$A:$D,4,FALSE)</f>
        <v>カウンタースキルを持つユニットがいれば_x000D_ダメージ回数分の反撃ができます</v>
      </c>
      <c r="M115" s="57" t="s">
        <v>215</v>
      </c>
    </row>
    <row r="116" spans="1:13">
      <c r="A116" s="82" t="s">
        <v>203</v>
      </c>
      <c r="B116" s="83">
        <f>floors!$C$2</f>
        <v>11220</v>
      </c>
      <c r="C116" s="84" t="str">
        <f ca="1">VLOOKUP($B116,OFFSET([2]quests!$A$1,0,0,COUNTA([2]quests!$A:$A),MATCH(C$1,[2]quests!$1:$1,0)-MATCH($B$1,[2]quests!$1:$1,0)+1),MATCH(C$1,[2]quests!$1:$1,0)-MATCH($B$1,[2]quests!$1:$1,0)+1,FALSE)</f>
        <v>ホワイトデー★特別クエスト</v>
      </c>
      <c r="D116" s="84" t="str">
        <f ca="1">VLOOKUP($B116,OFFSET([2]quests!$A$1,0,0,COUNTA([2]quests!$A:$A),MATCH(D$1,[2]quests!$1:$1,0)-MATCH($B$1,[2]quests!$1:$1,0)+1),MATCH(D$1,[2]quests!$1:$1,0)-MATCH($B$1,[2]quests!$1:$1,0)+1,FALSE)</f>
        <v>2016年ホワイトデークエスト</v>
      </c>
      <c r="E116" s="88" t="s">
        <v>222</v>
      </c>
      <c r="F116" s="84" t="e">
        <f ca="1">VLOOKUP($B116&amp;"_"&amp;$E116,OFFSET([2]stages!$A$1,0,0,COUNTA([2]stages!$A:$A),MATCH(F$1,[2]stages!$2:$2,0)-MATCH("temp_stage",[2]stages!$2:$2,0)+1),MATCH(F$1,[2]stages!$2:$2,0)-MATCH("temp_stage",[2]stages!$2:$2,0)+1,FALSE)</f>
        <v>#N/A</v>
      </c>
      <c r="G116" s="84" t="e">
        <f ca="1">VLOOKUP($B116&amp;"_"&amp;$E116,OFFSET([2]stages!$A$1,0,0,COUNTA([2]stages!$A:$A),MATCH(G$1,[2]stages!$2:$2,0)-MATCH("temp_stage",[2]stages!$2:$2,0)+1),MATCH(G$1,[2]stages!$2:$2,0)-MATCH("temp_stage",[2]stages!$2:$2,0)+1,FALSE)</f>
        <v>#N/A</v>
      </c>
      <c r="H116" s="86">
        <v>0</v>
      </c>
      <c r="I116">
        <v>33</v>
      </c>
      <c r="J116" s="85" t="s">
        <v>200</v>
      </c>
      <c r="K116" s="95" t="str">
        <f>VLOOKUP(I116,[7]stage_hints!$A:$C,3,FALSE)</f>
        <v>敵のカウンター攻撃には</v>
      </c>
      <c r="L116" s="96" t="str">
        <f>VLOOKUP(I116,[7]stage_hints!$A:$D,4,FALSE)</f>
        <v>カウンターブレイクスキルを持っていれば_x000D_敵のカウンターを解除して攻撃ができます</v>
      </c>
      <c r="M116" s="57" t="s">
        <v>215</v>
      </c>
    </row>
    <row r="117" spans="1:13">
      <c r="A117" s="82" t="s">
        <v>203</v>
      </c>
      <c r="B117" s="83">
        <f>floors!$C$2</f>
        <v>11220</v>
      </c>
      <c r="C117" s="84" t="str">
        <f ca="1">VLOOKUP($B117,OFFSET([2]quests!$A$1,0,0,COUNTA([2]quests!$A:$A),MATCH(C$1,[2]quests!$1:$1,0)-MATCH($B$1,[2]quests!$1:$1,0)+1),MATCH(C$1,[2]quests!$1:$1,0)-MATCH($B$1,[2]quests!$1:$1,0)+1,FALSE)</f>
        <v>ホワイトデー★特別クエスト</v>
      </c>
      <c r="D117" s="84" t="str">
        <f ca="1">VLOOKUP($B117,OFFSET([2]quests!$A$1,0,0,COUNTA([2]quests!$A:$A),MATCH(D$1,[2]quests!$1:$1,0)-MATCH($B$1,[2]quests!$1:$1,0)+1),MATCH(D$1,[2]quests!$1:$1,0)-MATCH($B$1,[2]quests!$1:$1,0)+1,FALSE)</f>
        <v>2016年ホワイトデークエスト</v>
      </c>
      <c r="E117" s="88" t="s">
        <v>222</v>
      </c>
      <c r="F117" s="84" t="e">
        <f ca="1">VLOOKUP($B117&amp;"_"&amp;$E117,OFFSET([2]stages!$A$1,0,0,COUNTA([2]stages!$A:$A),MATCH(F$1,[2]stages!$2:$2,0)-MATCH("temp_stage",[2]stages!$2:$2,0)+1),MATCH(F$1,[2]stages!$2:$2,0)-MATCH("temp_stage",[2]stages!$2:$2,0)+1,FALSE)</f>
        <v>#N/A</v>
      </c>
      <c r="G117" s="84" t="e">
        <f ca="1">VLOOKUP($B117&amp;"_"&amp;$E117,OFFSET([2]stages!$A$1,0,0,COUNTA([2]stages!$A:$A),MATCH(G$1,[2]stages!$2:$2,0)-MATCH("temp_stage",[2]stages!$2:$2,0)+1),MATCH(G$1,[2]stages!$2:$2,0)-MATCH("temp_stage",[2]stages!$2:$2,0)+1,FALSE)</f>
        <v>#N/A</v>
      </c>
      <c r="H117" s="86">
        <v>0</v>
      </c>
      <c r="I117">
        <v>34</v>
      </c>
      <c r="J117" s="85" t="s">
        <v>200</v>
      </c>
      <c r="K117" s="95" t="str">
        <f>VLOOKUP(I117,[7]stage_hints!$A:$C,3,FALSE)</f>
        <v>ステータスをスキルで下げられたら</v>
      </c>
      <c r="L117" s="96" t="str">
        <f>VLOOKUP(I117,[7]stage_hints!$A:$D,4,FALSE)</f>
        <v>ステータスダウンのスキルを受けたら_x000D_ステータスアップスキルで上書きしましょう</v>
      </c>
      <c r="M117" s="57" t="s">
        <v>215</v>
      </c>
    </row>
    <row r="118" spans="1:13">
      <c r="A118" s="82" t="s">
        <v>203</v>
      </c>
      <c r="B118" s="83">
        <f>floors!$C$2</f>
        <v>11220</v>
      </c>
      <c r="C118" s="84" t="str">
        <f ca="1">VLOOKUP($B118,OFFSET([2]quests!$A$1,0,0,COUNTA([2]quests!$A:$A),MATCH(C$1,[2]quests!$1:$1,0)-MATCH($B$1,[2]quests!$1:$1,0)+1),MATCH(C$1,[2]quests!$1:$1,0)-MATCH($B$1,[2]quests!$1:$1,0)+1,FALSE)</f>
        <v>ホワイトデー★特別クエスト</v>
      </c>
      <c r="D118" s="84" t="str">
        <f ca="1">VLOOKUP($B118,OFFSET([2]quests!$A$1,0,0,COUNTA([2]quests!$A:$A),MATCH(D$1,[2]quests!$1:$1,0)-MATCH($B$1,[2]quests!$1:$1,0)+1),MATCH(D$1,[2]quests!$1:$1,0)-MATCH($B$1,[2]quests!$1:$1,0)+1,FALSE)</f>
        <v>2016年ホワイトデークエスト</v>
      </c>
      <c r="E118" s="88" t="s">
        <v>222</v>
      </c>
      <c r="F118" s="84" t="e">
        <f ca="1">VLOOKUP($B118&amp;"_"&amp;$E118,OFFSET([2]stages!$A$1,0,0,COUNTA([2]stages!$A:$A),MATCH(F$1,[2]stages!$2:$2,0)-MATCH("temp_stage",[2]stages!$2:$2,0)+1),MATCH(F$1,[2]stages!$2:$2,0)-MATCH("temp_stage",[2]stages!$2:$2,0)+1,FALSE)</f>
        <v>#N/A</v>
      </c>
      <c r="G118" s="84" t="e">
        <f ca="1">VLOOKUP($B118&amp;"_"&amp;$E118,OFFSET([2]stages!$A$1,0,0,COUNTA([2]stages!$A:$A),MATCH(G$1,[2]stages!$2:$2,0)-MATCH("temp_stage",[2]stages!$2:$2,0)+1),MATCH(G$1,[2]stages!$2:$2,0)-MATCH("temp_stage",[2]stages!$2:$2,0)+1,FALSE)</f>
        <v>#N/A</v>
      </c>
      <c r="H118" s="86">
        <v>0</v>
      </c>
      <c r="I118">
        <v>35</v>
      </c>
      <c r="J118" s="85" t="s">
        <v>200</v>
      </c>
      <c r="K118" s="95" t="str">
        <f>VLOOKUP(I118,[7]stage_hints!$A:$C,3,FALSE)</f>
        <v>敵のステータスがスキルで上がったら</v>
      </c>
      <c r="L118" s="96" t="str">
        <f>VLOOKUP(I118,[7]stage_hints!$A:$D,4,FALSE)</f>
        <v>敵のステータスがスキルでアップしたときは_x000D_ステータスダウンスキルで上書きしましょう</v>
      </c>
      <c r="M118" s="57" t="s">
        <v>215</v>
      </c>
    </row>
    <row r="119" spans="1:13">
      <c r="A119" s="82" t="s">
        <v>203</v>
      </c>
      <c r="B119" s="83">
        <f>floors!$C$2</f>
        <v>11220</v>
      </c>
      <c r="C119" s="84" t="str">
        <f ca="1">VLOOKUP($B119,OFFSET([2]quests!$A$1,0,0,COUNTA([2]quests!$A:$A),MATCH(C$1,[2]quests!$1:$1,0)-MATCH($B$1,[2]quests!$1:$1,0)+1),MATCH(C$1,[2]quests!$1:$1,0)-MATCH($B$1,[2]quests!$1:$1,0)+1,FALSE)</f>
        <v>ホワイトデー★特別クエスト</v>
      </c>
      <c r="D119" s="84" t="str">
        <f ca="1">VLOOKUP($B119,OFFSET([2]quests!$A$1,0,0,COUNTA([2]quests!$A:$A),MATCH(D$1,[2]quests!$1:$1,0)-MATCH($B$1,[2]quests!$1:$1,0)+1),MATCH(D$1,[2]quests!$1:$1,0)-MATCH($B$1,[2]quests!$1:$1,0)+1,FALSE)</f>
        <v>2016年ホワイトデークエスト</v>
      </c>
      <c r="E119" s="88" t="s">
        <v>222</v>
      </c>
      <c r="F119" s="84" t="e">
        <f ca="1">VLOOKUP($B119&amp;"_"&amp;$E119,OFFSET([2]stages!$A$1,0,0,COUNTA([2]stages!$A:$A),MATCH(F$1,[2]stages!$2:$2,0)-MATCH("temp_stage",[2]stages!$2:$2,0)+1),MATCH(F$1,[2]stages!$2:$2,0)-MATCH("temp_stage",[2]stages!$2:$2,0)+1,FALSE)</f>
        <v>#N/A</v>
      </c>
      <c r="G119" s="84" t="e">
        <f ca="1">VLOOKUP($B119&amp;"_"&amp;$E119,OFFSET([2]stages!$A$1,0,0,COUNTA([2]stages!$A:$A),MATCH(G$1,[2]stages!$2:$2,0)-MATCH("temp_stage",[2]stages!$2:$2,0)+1),MATCH(G$1,[2]stages!$2:$2,0)-MATCH("temp_stage",[2]stages!$2:$2,0)+1,FALSE)</f>
        <v>#N/A</v>
      </c>
      <c r="H119" s="86">
        <v>0</v>
      </c>
      <c r="I119">
        <v>36</v>
      </c>
      <c r="J119" s="85" t="s">
        <v>200</v>
      </c>
      <c r="K119" s="95" t="str">
        <f>VLOOKUP(I119,[7]stage_hints!$A:$C,3,FALSE)</f>
        <v>チャレンジタワーのボス</v>
      </c>
      <c r="L119" s="96" t="str">
        <f>VLOOKUP(I119,[7]stage_hints!$A:$D,4,FALSE)</f>
        <v>チャレンジタワーでのみ登場するボスは_x000D_一定確率で獲得することができます</v>
      </c>
      <c r="M119" s="57" t="s">
        <v>215</v>
      </c>
    </row>
    <row r="120" spans="1:13">
      <c r="A120" s="82" t="s">
        <v>203</v>
      </c>
      <c r="B120" s="83">
        <f>floors!$C$2</f>
        <v>11220</v>
      </c>
      <c r="C120" s="84" t="str">
        <f ca="1">VLOOKUP($B120,OFFSET([2]quests!$A$1,0,0,COUNTA([2]quests!$A:$A),MATCH(C$1,[2]quests!$1:$1,0)-MATCH($B$1,[2]quests!$1:$1,0)+1),MATCH(C$1,[2]quests!$1:$1,0)-MATCH($B$1,[2]quests!$1:$1,0)+1,FALSE)</f>
        <v>ホワイトデー★特別クエスト</v>
      </c>
      <c r="D120" s="84" t="str">
        <f ca="1">VLOOKUP($B120,OFFSET([2]quests!$A$1,0,0,COUNTA([2]quests!$A:$A),MATCH(D$1,[2]quests!$1:$1,0)-MATCH($B$1,[2]quests!$1:$1,0)+1),MATCH(D$1,[2]quests!$1:$1,0)-MATCH($B$1,[2]quests!$1:$1,0)+1,FALSE)</f>
        <v>2016年ホワイトデークエスト</v>
      </c>
      <c r="E120" s="88" t="s">
        <v>222</v>
      </c>
      <c r="F120" s="84" t="e">
        <f ca="1">VLOOKUP($B120&amp;"_"&amp;$E120,OFFSET([2]stages!$A$1,0,0,COUNTA([2]stages!$A:$A),MATCH(F$1,[2]stages!$2:$2,0)-MATCH("temp_stage",[2]stages!$2:$2,0)+1),MATCH(F$1,[2]stages!$2:$2,0)-MATCH("temp_stage",[2]stages!$2:$2,0)+1,FALSE)</f>
        <v>#N/A</v>
      </c>
      <c r="G120" s="84" t="e">
        <f ca="1">VLOOKUP($B120&amp;"_"&amp;$E120,OFFSET([2]stages!$A$1,0,0,COUNTA([2]stages!$A:$A),MATCH(G$1,[2]stages!$2:$2,0)-MATCH("temp_stage",[2]stages!$2:$2,0)+1),MATCH(G$1,[2]stages!$2:$2,0)-MATCH("temp_stage",[2]stages!$2:$2,0)+1,FALSE)</f>
        <v>#N/A</v>
      </c>
      <c r="H120" s="86">
        <v>0</v>
      </c>
      <c r="I120">
        <v>37</v>
      </c>
      <c r="J120" s="85" t="s">
        <v>200</v>
      </c>
      <c r="K120" s="95" t="str">
        <f>VLOOKUP(I120,[7]stage_hints!$A:$C,3,FALSE)</f>
        <v>限界突破値の引き継ぎ</v>
      </c>
      <c r="L120" s="96" t="str">
        <f>VLOOKUP(I120,[7]stage_hints!$A:$D,4,FALSE)</f>
        <v>同じユニットを強化で合成すると_x000D_限界突破値を引き継げます（覚醒前後も可）</v>
      </c>
      <c r="M120" s="57" t="s">
        <v>215</v>
      </c>
    </row>
    <row r="121" spans="1:13">
      <c r="A121" s="82" t="s">
        <v>203</v>
      </c>
      <c r="B121" s="83">
        <f>floors!$C$2</f>
        <v>11220</v>
      </c>
      <c r="C121" s="84" t="str">
        <f ca="1">VLOOKUP($B121,OFFSET([2]quests!$A$1,0,0,COUNTA([2]quests!$A:$A),MATCH(C$1,[2]quests!$1:$1,0)-MATCH($B$1,[2]quests!$1:$1,0)+1),MATCH(C$1,[2]quests!$1:$1,0)-MATCH($B$1,[2]quests!$1:$1,0)+1,FALSE)</f>
        <v>ホワイトデー★特別クエスト</v>
      </c>
      <c r="D121" s="84" t="str">
        <f ca="1">VLOOKUP($B121,OFFSET([2]quests!$A$1,0,0,COUNTA([2]quests!$A:$A),MATCH(D$1,[2]quests!$1:$1,0)-MATCH($B$1,[2]quests!$1:$1,0)+1),MATCH(D$1,[2]quests!$1:$1,0)-MATCH($B$1,[2]quests!$1:$1,0)+1,FALSE)</f>
        <v>2016年ホワイトデークエスト</v>
      </c>
      <c r="E121" s="88" t="s">
        <v>222</v>
      </c>
      <c r="F121" s="84" t="e">
        <f ca="1">VLOOKUP($B121&amp;"_"&amp;$E121,OFFSET([2]stages!$A$1,0,0,COUNTA([2]stages!$A:$A),MATCH(F$1,[2]stages!$2:$2,0)-MATCH("temp_stage",[2]stages!$2:$2,0)+1),MATCH(F$1,[2]stages!$2:$2,0)-MATCH("temp_stage",[2]stages!$2:$2,0)+1,FALSE)</f>
        <v>#N/A</v>
      </c>
      <c r="G121" s="84" t="e">
        <f ca="1">VLOOKUP($B121&amp;"_"&amp;$E121,OFFSET([2]stages!$A$1,0,0,COUNTA([2]stages!$A:$A),MATCH(G$1,[2]stages!$2:$2,0)-MATCH("temp_stage",[2]stages!$2:$2,0)+1),MATCH(G$1,[2]stages!$2:$2,0)-MATCH("temp_stage",[2]stages!$2:$2,0)+1,FALSE)</f>
        <v>#N/A</v>
      </c>
      <c r="H121" s="86">
        <v>0</v>
      </c>
      <c r="I121">
        <v>39</v>
      </c>
      <c r="J121" s="85" t="s">
        <v>200</v>
      </c>
      <c r="K121" s="95" t="str">
        <f>VLOOKUP(I121,[7]stage_hints!$A:$C,3,FALSE)</f>
        <v>システム適合者を確認</v>
      </c>
      <c r="L121" s="96" t="str">
        <f>VLOOKUP(I121,[7]stage_hints!$A:$D,4,FALSE)</f>
        <v>ALICEが「アナタ」を呼んでいます</v>
      </c>
      <c r="M121" s="57" t="s">
        <v>215</v>
      </c>
    </row>
    <row r="122" spans="1:13">
      <c r="A122" s="82" t="s">
        <v>203</v>
      </c>
      <c r="B122" s="83">
        <f>floors!$C$2</f>
        <v>11220</v>
      </c>
      <c r="C122" s="84" t="str">
        <f ca="1">VLOOKUP($B122,OFFSET([2]quests!$A$1,0,0,COUNTA([2]quests!$A:$A),MATCH(C$1,[2]quests!$1:$1,0)-MATCH($B$1,[2]quests!$1:$1,0)+1),MATCH(C$1,[2]quests!$1:$1,0)-MATCH($B$1,[2]quests!$1:$1,0)+1,FALSE)</f>
        <v>ホワイトデー★特別クエスト</v>
      </c>
      <c r="D122" s="84" t="str">
        <f ca="1">VLOOKUP($B122,OFFSET([2]quests!$A$1,0,0,COUNTA([2]quests!$A:$A),MATCH(D$1,[2]quests!$1:$1,0)-MATCH($B$1,[2]quests!$1:$1,0)+1),MATCH(D$1,[2]quests!$1:$1,0)-MATCH($B$1,[2]quests!$1:$1,0)+1,FALSE)</f>
        <v>2016年ホワイトデークエスト</v>
      </c>
      <c r="E122" s="88" t="s">
        <v>223</v>
      </c>
      <c r="F122" s="84" t="e">
        <f ca="1">VLOOKUP($B122&amp;"_"&amp;$E122,OFFSET([2]stages!$A$1,0,0,COUNTA([2]stages!$A:$A),MATCH(F$1,[2]stages!$2:$2,0)-MATCH("temp_stage",[2]stages!$2:$2,0)+1),MATCH(F$1,[2]stages!$2:$2,0)-MATCH("temp_stage",[2]stages!$2:$2,0)+1,FALSE)</f>
        <v>#N/A</v>
      </c>
      <c r="G122" s="84" t="e">
        <f ca="1">VLOOKUP($B122&amp;"_"&amp;$E122,OFFSET([2]stages!$A$1,0,0,COUNTA([2]stages!$A:$A),MATCH(G$1,[2]stages!$2:$2,0)-MATCH("temp_stage",[2]stages!$2:$2,0)+1),MATCH(G$1,[2]stages!$2:$2,0)-MATCH("temp_stage",[2]stages!$2:$2,0)+1,FALSE)</f>
        <v>#N/A</v>
      </c>
      <c r="H122" s="86">
        <v>0</v>
      </c>
      <c r="I122">
        <v>12</v>
      </c>
      <c r="J122" s="85" t="s">
        <v>200</v>
      </c>
      <c r="K122" s="95" t="str">
        <f>VLOOKUP(I122,[7]stage_hints!$A:$C,3,FALSE)</f>
        <v>ユニットのお気に入り登録</v>
      </c>
      <c r="L122" s="96" t="str">
        <f>VLOOKUP(I122,[7]stage_hints!$A:$D,4,FALSE)</f>
        <v>大事なユニットを誤って消さないように_x000D_フォルダから「お気に入り登録」しましょう</v>
      </c>
      <c r="M122" s="57" t="s">
        <v>215</v>
      </c>
    </row>
    <row r="123" spans="1:13">
      <c r="A123" s="82" t="s">
        <v>203</v>
      </c>
      <c r="B123" s="83">
        <f>floors!$C$2</f>
        <v>11220</v>
      </c>
      <c r="C123" s="84" t="str">
        <f ca="1">VLOOKUP($B123,OFFSET([2]quests!$A$1,0,0,COUNTA([2]quests!$A:$A),MATCH(C$1,[2]quests!$1:$1,0)-MATCH($B$1,[2]quests!$1:$1,0)+1),MATCH(C$1,[2]quests!$1:$1,0)-MATCH($B$1,[2]quests!$1:$1,0)+1,FALSE)</f>
        <v>ホワイトデー★特別クエスト</v>
      </c>
      <c r="D123" s="84" t="str">
        <f ca="1">VLOOKUP($B123,OFFSET([2]quests!$A$1,0,0,COUNTA([2]quests!$A:$A),MATCH(D$1,[2]quests!$1:$1,0)-MATCH($B$1,[2]quests!$1:$1,0)+1),MATCH(D$1,[2]quests!$1:$1,0)-MATCH($B$1,[2]quests!$1:$1,0)+1,FALSE)</f>
        <v>2016年ホワイトデークエスト</v>
      </c>
      <c r="E123" s="88" t="s">
        <v>223</v>
      </c>
      <c r="F123" s="84" t="e">
        <f ca="1">VLOOKUP($B123&amp;"_"&amp;$E123,OFFSET([2]stages!$A$1,0,0,COUNTA([2]stages!$A:$A),MATCH(F$1,[2]stages!$2:$2,0)-MATCH("temp_stage",[2]stages!$2:$2,0)+1),MATCH(F$1,[2]stages!$2:$2,0)-MATCH("temp_stage",[2]stages!$2:$2,0)+1,FALSE)</f>
        <v>#N/A</v>
      </c>
      <c r="G123" s="84" t="e">
        <f ca="1">VLOOKUP($B123&amp;"_"&amp;$E123,OFFSET([2]stages!$A$1,0,0,COUNTA([2]stages!$A:$A),MATCH(G$1,[2]stages!$2:$2,0)-MATCH("temp_stage",[2]stages!$2:$2,0)+1),MATCH(G$1,[2]stages!$2:$2,0)-MATCH("temp_stage",[2]stages!$2:$2,0)+1,FALSE)</f>
        <v>#N/A</v>
      </c>
      <c r="H123" s="86">
        <v>0</v>
      </c>
      <c r="I123">
        <v>17</v>
      </c>
      <c r="J123" s="85" t="s">
        <v>200</v>
      </c>
      <c r="K123" s="95" t="str">
        <f>VLOOKUP(I123,[7]stage_hints!$A:$C,3,FALSE)</f>
        <v>リンクガチャ</v>
      </c>
      <c r="L123" s="96" t="str">
        <f>VLOOKUP(I123,[7]stage_hints!$A:$D,4,FALSE)</f>
        <v>無料のリンクガチャを回して_x000D_経験値素材や売却素材を獲得しましょう</v>
      </c>
      <c r="M123" s="57" t="s">
        <v>215</v>
      </c>
    </row>
    <row r="124" spans="1:13">
      <c r="A124" s="82" t="s">
        <v>203</v>
      </c>
      <c r="B124" s="83">
        <f>floors!$C$2</f>
        <v>11220</v>
      </c>
      <c r="C124" s="84" t="str">
        <f ca="1">VLOOKUP($B124,OFFSET([2]quests!$A$1,0,0,COUNTA([2]quests!$A:$A),MATCH(C$1,[2]quests!$1:$1,0)-MATCH($B$1,[2]quests!$1:$1,0)+1),MATCH(C$1,[2]quests!$1:$1,0)-MATCH($B$1,[2]quests!$1:$1,0)+1,FALSE)</f>
        <v>ホワイトデー★特別クエスト</v>
      </c>
      <c r="D124" s="84" t="str">
        <f ca="1">VLOOKUP($B124,OFFSET([2]quests!$A$1,0,0,COUNTA([2]quests!$A:$A),MATCH(D$1,[2]quests!$1:$1,0)-MATCH($B$1,[2]quests!$1:$1,0)+1),MATCH(D$1,[2]quests!$1:$1,0)-MATCH($B$1,[2]quests!$1:$1,0)+1,FALSE)</f>
        <v>2016年ホワイトデークエスト</v>
      </c>
      <c r="E124" s="88" t="s">
        <v>223</v>
      </c>
      <c r="F124" s="84" t="e">
        <f ca="1">VLOOKUP($B124&amp;"_"&amp;$E124,OFFSET([2]stages!$A$1,0,0,COUNTA([2]stages!$A:$A),MATCH(F$1,[2]stages!$2:$2,0)-MATCH("temp_stage",[2]stages!$2:$2,0)+1),MATCH(F$1,[2]stages!$2:$2,0)-MATCH("temp_stage",[2]stages!$2:$2,0)+1,FALSE)</f>
        <v>#N/A</v>
      </c>
      <c r="G124" s="84" t="e">
        <f ca="1">VLOOKUP($B124&amp;"_"&amp;$E124,OFFSET([2]stages!$A$1,0,0,COUNTA([2]stages!$A:$A),MATCH(G$1,[2]stages!$2:$2,0)-MATCH("temp_stage",[2]stages!$2:$2,0)+1),MATCH(G$1,[2]stages!$2:$2,0)-MATCH("temp_stage",[2]stages!$2:$2,0)+1,FALSE)</f>
        <v>#N/A</v>
      </c>
      <c r="H124" s="86">
        <v>0</v>
      </c>
      <c r="I124">
        <v>19</v>
      </c>
      <c r="J124" s="85" t="s">
        <v>200</v>
      </c>
      <c r="K124" s="95" t="str">
        <f>VLOOKUP(I124,[7]stage_hints!$A:$C,3,FALSE)</f>
        <v>ソロ専用チャレンジタワー</v>
      </c>
      <c r="L124" s="96" t="str">
        <f>VLOOKUP(I124,[7]stage_hints!$A:$D,4,FALSE)</f>
        <v>ソロ専用の「チャレンジタワー」では_x000D_各フロアごとにクリア報酬がもらえます</v>
      </c>
      <c r="M124" s="57" t="s">
        <v>215</v>
      </c>
    </row>
    <row r="125" spans="1:13">
      <c r="A125" s="82" t="s">
        <v>203</v>
      </c>
      <c r="B125" s="83">
        <f>floors!$C$2</f>
        <v>11220</v>
      </c>
      <c r="C125" s="84" t="str">
        <f ca="1">VLOOKUP($B125,OFFSET([2]quests!$A$1,0,0,COUNTA([2]quests!$A:$A),MATCH(C$1,[2]quests!$1:$1,0)-MATCH($B$1,[2]quests!$1:$1,0)+1),MATCH(C$1,[2]quests!$1:$1,0)-MATCH($B$1,[2]quests!$1:$1,0)+1,FALSE)</f>
        <v>ホワイトデー★特別クエスト</v>
      </c>
      <c r="D125" s="84" t="str">
        <f ca="1">VLOOKUP($B125,OFFSET([2]quests!$A$1,0,0,COUNTA([2]quests!$A:$A),MATCH(D$1,[2]quests!$1:$1,0)-MATCH($B$1,[2]quests!$1:$1,0)+1),MATCH(D$1,[2]quests!$1:$1,0)-MATCH($B$1,[2]quests!$1:$1,0)+1,FALSE)</f>
        <v>2016年ホワイトデークエスト</v>
      </c>
      <c r="E125" s="88" t="s">
        <v>223</v>
      </c>
      <c r="F125" s="84" t="e">
        <f ca="1">VLOOKUP($B125&amp;"_"&amp;$E125,OFFSET([2]stages!$A$1,0,0,COUNTA([2]stages!$A:$A),MATCH(F$1,[2]stages!$2:$2,0)-MATCH("temp_stage",[2]stages!$2:$2,0)+1),MATCH(F$1,[2]stages!$2:$2,0)-MATCH("temp_stage",[2]stages!$2:$2,0)+1,FALSE)</f>
        <v>#N/A</v>
      </c>
      <c r="G125" s="84" t="e">
        <f ca="1">VLOOKUP($B125&amp;"_"&amp;$E125,OFFSET([2]stages!$A$1,0,0,COUNTA([2]stages!$A:$A),MATCH(G$1,[2]stages!$2:$2,0)-MATCH("temp_stage",[2]stages!$2:$2,0)+1),MATCH(G$1,[2]stages!$2:$2,0)-MATCH("temp_stage",[2]stages!$2:$2,0)+1,FALSE)</f>
        <v>#N/A</v>
      </c>
      <c r="H125" s="86">
        <v>0</v>
      </c>
      <c r="I125">
        <v>21</v>
      </c>
      <c r="J125" s="85" t="s">
        <v>200</v>
      </c>
      <c r="K125" s="95" t="str">
        <f>VLOOKUP(I125,[7]stage_hints!$A:$C,3,FALSE)</f>
        <v>スキルを有効に</v>
      </c>
      <c r="L125" s="96" t="str">
        <f>VLOOKUP(I125,[7]stage_hints!$A:$D,4,FALSE)</f>
        <v>ターン経過でユニットのスキルが使えます_x000D_強力スキルでバトルを有利に進めましょう</v>
      </c>
      <c r="M125" s="57" t="s">
        <v>215</v>
      </c>
    </row>
    <row r="126" spans="1:13">
      <c r="A126" s="82" t="s">
        <v>203</v>
      </c>
      <c r="B126" s="83">
        <f>floors!$C$2</f>
        <v>11220</v>
      </c>
      <c r="C126" s="84" t="str">
        <f ca="1">VLOOKUP($B126,OFFSET([2]quests!$A$1,0,0,COUNTA([2]quests!$A:$A),MATCH(C$1,[2]quests!$1:$1,0)-MATCH($B$1,[2]quests!$1:$1,0)+1),MATCH(C$1,[2]quests!$1:$1,0)-MATCH($B$1,[2]quests!$1:$1,0)+1,FALSE)</f>
        <v>ホワイトデー★特別クエスト</v>
      </c>
      <c r="D126" s="84" t="str">
        <f ca="1">VLOOKUP($B126,OFFSET([2]quests!$A$1,0,0,COUNTA([2]quests!$A:$A),MATCH(D$1,[2]quests!$1:$1,0)-MATCH($B$1,[2]quests!$1:$1,0)+1),MATCH(D$1,[2]quests!$1:$1,0)-MATCH($B$1,[2]quests!$1:$1,0)+1,FALSE)</f>
        <v>2016年ホワイトデークエスト</v>
      </c>
      <c r="E126" s="88" t="s">
        <v>223</v>
      </c>
      <c r="F126" s="84" t="e">
        <f ca="1">VLOOKUP($B126&amp;"_"&amp;$E126,OFFSET([2]stages!$A$1,0,0,COUNTA([2]stages!$A:$A),MATCH(F$1,[2]stages!$2:$2,0)-MATCH("temp_stage",[2]stages!$2:$2,0)+1),MATCH(F$1,[2]stages!$2:$2,0)-MATCH("temp_stage",[2]stages!$2:$2,0)+1,FALSE)</f>
        <v>#N/A</v>
      </c>
      <c r="G126" s="84" t="e">
        <f ca="1">VLOOKUP($B126&amp;"_"&amp;$E126,OFFSET([2]stages!$A$1,0,0,COUNTA([2]stages!$A:$A),MATCH(G$1,[2]stages!$2:$2,0)-MATCH("temp_stage",[2]stages!$2:$2,0)+1),MATCH(G$1,[2]stages!$2:$2,0)-MATCH("temp_stage",[2]stages!$2:$2,0)+1,FALSE)</f>
        <v>#N/A</v>
      </c>
      <c r="H126" s="86">
        <v>0</v>
      </c>
      <c r="I126">
        <v>29</v>
      </c>
      <c r="J126" s="85" t="s">
        <v>200</v>
      </c>
      <c r="K126" s="95" t="str">
        <f>VLOOKUP(I126,[7]stage_hints!$A:$C,3,FALSE)</f>
        <v>「バグ」のメリット</v>
      </c>
      <c r="L126" s="96" t="str">
        <f>VLOOKUP(I126,[7]stage_hints!$A:$D,4,FALSE)</f>
        <v>ユニットの「バグ」を増やすと_x000D_報酬をもらえる確率がアップします</v>
      </c>
      <c r="M126" s="57" t="s">
        <v>215</v>
      </c>
    </row>
    <row r="127" spans="1:13">
      <c r="A127" s="82" t="s">
        <v>203</v>
      </c>
      <c r="B127" s="83">
        <f>floors!$C$2</f>
        <v>11220</v>
      </c>
      <c r="C127" s="84" t="str">
        <f ca="1">VLOOKUP($B127,OFFSET([2]quests!$A$1,0,0,COUNTA([2]quests!$A:$A),MATCH(C$1,[2]quests!$1:$1,0)-MATCH($B$1,[2]quests!$1:$1,0)+1),MATCH(C$1,[2]quests!$1:$1,0)-MATCH($B$1,[2]quests!$1:$1,0)+1,FALSE)</f>
        <v>ホワイトデー★特別クエスト</v>
      </c>
      <c r="D127" s="84" t="str">
        <f ca="1">VLOOKUP($B127,OFFSET([2]quests!$A$1,0,0,COUNTA([2]quests!$A:$A),MATCH(D$1,[2]quests!$1:$1,0)-MATCH($B$1,[2]quests!$1:$1,0)+1),MATCH(D$1,[2]quests!$1:$1,0)-MATCH($B$1,[2]quests!$1:$1,0)+1,FALSE)</f>
        <v>2016年ホワイトデークエスト</v>
      </c>
      <c r="E127" s="88" t="s">
        <v>223</v>
      </c>
      <c r="F127" s="84" t="e">
        <f ca="1">VLOOKUP($B127&amp;"_"&amp;$E127,OFFSET([2]stages!$A$1,0,0,COUNTA([2]stages!$A:$A),MATCH(F$1,[2]stages!$2:$2,0)-MATCH("temp_stage",[2]stages!$2:$2,0)+1),MATCH(F$1,[2]stages!$2:$2,0)-MATCH("temp_stage",[2]stages!$2:$2,0)+1,FALSE)</f>
        <v>#N/A</v>
      </c>
      <c r="G127" s="84" t="e">
        <f ca="1">VLOOKUP($B127&amp;"_"&amp;$E127,OFFSET([2]stages!$A$1,0,0,COUNTA([2]stages!$A:$A),MATCH(G$1,[2]stages!$2:$2,0)-MATCH("temp_stage",[2]stages!$2:$2,0)+1),MATCH(G$1,[2]stages!$2:$2,0)-MATCH("temp_stage",[2]stages!$2:$2,0)+1,FALSE)</f>
        <v>#N/A</v>
      </c>
      <c r="H127" s="86">
        <v>0</v>
      </c>
      <c r="I127">
        <v>30</v>
      </c>
      <c r="J127" s="85" t="s">
        <v>200</v>
      </c>
      <c r="K127" s="95" t="str">
        <f>VLOOKUP(I127,[7]stage_hints!$A:$C,3,FALSE)</f>
        <v>「バグ」の増やし方</v>
      </c>
      <c r="L127" s="96" t="str">
        <f>VLOOKUP(I127,[7]stage_hints!$A:$D,4,FALSE)</f>
        <v>同じユニット同士を強化で合成すると_x000D_「バグ」を増やすことができます</v>
      </c>
      <c r="M127" s="57" t="s">
        <v>215</v>
      </c>
    </row>
    <row r="128" spans="1:13">
      <c r="A128" s="82" t="s">
        <v>203</v>
      </c>
      <c r="B128" s="83">
        <f>floors!$C$2</f>
        <v>11220</v>
      </c>
      <c r="C128" s="84" t="str">
        <f ca="1">VLOOKUP($B128,OFFSET([2]quests!$A$1,0,0,COUNTA([2]quests!$A:$A),MATCH(C$1,[2]quests!$1:$1,0)-MATCH($B$1,[2]quests!$1:$1,0)+1),MATCH(C$1,[2]quests!$1:$1,0)-MATCH($B$1,[2]quests!$1:$1,0)+1,FALSE)</f>
        <v>ホワイトデー★特別クエスト</v>
      </c>
      <c r="D128" s="84" t="str">
        <f ca="1">VLOOKUP($B128,OFFSET([2]quests!$A$1,0,0,COUNTA([2]quests!$A:$A),MATCH(D$1,[2]quests!$1:$1,0)-MATCH($B$1,[2]quests!$1:$1,0)+1),MATCH(D$1,[2]quests!$1:$1,0)-MATCH($B$1,[2]quests!$1:$1,0)+1,FALSE)</f>
        <v>2016年ホワイトデークエスト</v>
      </c>
      <c r="E128" s="88" t="s">
        <v>223</v>
      </c>
      <c r="F128" s="84" t="e">
        <f ca="1">VLOOKUP($B128&amp;"_"&amp;$E128,OFFSET([2]stages!$A$1,0,0,COUNTA([2]stages!$A:$A),MATCH(F$1,[2]stages!$2:$2,0)-MATCH("temp_stage",[2]stages!$2:$2,0)+1),MATCH(F$1,[2]stages!$2:$2,0)-MATCH("temp_stage",[2]stages!$2:$2,0)+1,FALSE)</f>
        <v>#N/A</v>
      </c>
      <c r="G128" s="84" t="e">
        <f ca="1">VLOOKUP($B128&amp;"_"&amp;$E128,OFFSET([2]stages!$A$1,0,0,COUNTA([2]stages!$A:$A),MATCH(G$1,[2]stages!$2:$2,0)-MATCH("temp_stage",[2]stages!$2:$2,0)+1),MATCH(G$1,[2]stages!$2:$2,0)-MATCH("temp_stage",[2]stages!$2:$2,0)+1,FALSE)</f>
        <v>#N/A</v>
      </c>
      <c r="H128" s="86">
        <v>0</v>
      </c>
      <c r="I128">
        <v>32</v>
      </c>
      <c r="J128" s="85" t="s">
        <v>200</v>
      </c>
      <c r="K128" s="95" t="str">
        <f>VLOOKUP(I128,[7]stage_hints!$A:$C,3,FALSE)</f>
        <v>敵の連続攻撃には</v>
      </c>
      <c r="L128" s="96" t="str">
        <f>VLOOKUP(I128,[7]stage_hints!$A:$D,4,FALSE)</f>
        <v>カウンタースキルを持つユニットがいれば_x000D_ダメージ回数分の反撃ができます</v>
      </c>
      <c r="M128" s="57" t="s">
        <v>215</v>
      </c>
    </row>
    <row r="129" spans="1:13">
      <c r="A129" s="82" t="s">
        <v>203</v>
      </c>
      <c r="B129" s="83">
        <f>floors!$C$2</f>
        <v>11220</v>
      </c>
      <c r="C129" s="84" t="str">
        <f ca="1">VLOOKUP($B129,OFFSET([2]quests!$A$1,0,0,COUNTA([2]quests!$A:$A),MATCH(C$1,[2]quests!$1:$1,0)-MATCH($B$1,[2]quests!$1:$1,0)+1),MATCH(C$1,[2]quests!$1:$1,0)-MATCH($B$1,[2]quests!$1:$1,0)+1,FALSE)</f>
        <v>ホワイトデー★特別クエスト</v>
      </c>
      <c r="D129" s="84" t="str">
        <f ca="1">VLOOKUP($B129,OFFSET([2]quests!$A$1,0,0,COUNTA([2]quests!$A:$A),MATCH(D$1,[2]quests!$1:$1,0)-MATCH($B$1,[2]quests!$1:$1,0)+1),MATCH(D$1,[2]quests!$1:$1,0)-MATCH($B$1,[2]quests!$1:$1,0)+1,FALSE)</f>
        <v>2016年ホワイトデークエスト</v>
      </c>
      <c r="E129" s="88" t="s">
        <v>223</v>
      </c>
      <c r="F129" s="84" t="e">
        <f ca="1">VLOOKUP($B129&amp;"_"&amp;$E129,OFFSET([2]stages!$A$1,0,0,COUNTA([2]stages!$A:$A),MATCH(F$1,[2]stages!$2:$2,0)-MATCH("temp_stage",[2]stages!$2:$2,0)+1),MATCH(F$1,[2]stages!$2:$2,0)-MATCH("temp_stage",[2]stages!$2:$2,0)+1,FALSE)</f>
        <v>#N/A</v>
      </c>
      <c r="G129" s="84" t="e">
        <f ca="1">VLOOKUP($B129&amp;"_"&amp;$E129,OFFSET([2]stages!$A$1,0,0,COUNTA([2]stages!$A:$A),MATCH(G$1,[2]stages!$2:$2,0)-MATCH("temp_stage",[2]stages!$2:$2,0)+1),MATCH(G$1,[2]stages!$2:$2,0)-MATCH("temp_stage",[2]stages!$2:$2,0)+1,FALSE)</f>
        <v>#N/A</v>
      </c>
      <c r="H129" s="86">
        <v>0</v>
      </c>
      <c r="I129">
        <v>33</v>
      </c>
      <c r="J129" s="85" t="s">
        <v>200</v>
      </c>
      <c r="K129" s="95" t="str">
        <f>VLOOKUP(I129,[7]stage_hints!$A:$C,3,FALSE)</f>
        <v>敵のカウンター攻撃には</v>
      </c>
      <c r="L129" s="96" t="str">
        <f>VLOOKUP(I129,[7]stage_hints!$A:$D,4,FALSE)</f>
        <v>カウンターブレイクスキルを持っていれば_x000D_敵のカウンターを解除して攻撃ができます</v>
      </c>
      <c r="M129" s="57" t="s">
        <v>215</v>
      </c>
    </row>
    <row r="130" spans="1:13">
      <c r="A130" s="82" t="s">
        <v>203</v>
      </c>
      <c r="B130" s="83">
        <f>floors!$C$2</f>
        <v>11220</v>
      </c>
      <c r="C130" s="84" t="str">
        <f ca="1">VLOOKUP($B130,OFFSET([2]quests!$A$1,0,0,COUNTA([2]quests!$A:$A),MATCH(C$1,[2]quests!$1:$1,0)-MATCH($B$1,[2]quests!$1:$1,0)+1),MATCH(C$1,[2]quests!$1:$1,0)-MATCH($B$1,[2]quests!$1:$1,0)+1,FALSE)</f>
        <v>ホワイトデー★特別クエスト</v>
      </c>
      <c r="D130" s="84" t="str">
        <f ca="1">VLOOKUP($B130,OFFSET([2]quests!$A$1,0,0,COUNTA([2]quests!$A:$A),MATCH(D$1,[2]quests!$1:$1,0)-MATCH($B$1,[2]quests!$1:$1,0)+1),MATCH(D$1,[2]quests!$1:$1,0)-MATCH($B$1,[2]quests!$1:$1,0)+1,FALSE)</f>
        <v>2016年ホワイトデークエスト</v>
      </c>
      <c r="E130" s="88" t="s">
        <v>223</v>
      </c>
      <c r="F130" s="84" t="e">
        <f ca="1">VLOOKUP($B130&amp;"_"&amp;$E130,OFFSET([2]stages!$A$1,0,0,COUNTA([2]stages!$A:$A),MATCH(F$1,[2]stages!$2:$2,0)-MATCH("temp_stage",[2]stages!$2:$2,0)+1),MATCH(F$1,[2]stages!$2:$2,0)-MATCH("temp_stage",[2]stages!$2:$2,0)+1,FALSE)</f>
        <v>#N/A</v>
      </c>
      <c r="G130" s="84" t="e">
        <f ca="1">VLOOKUP($B130&amp;"_"&amp;$E130,OFFSET([2]stages!$A$1,0,0,COUNTA([2]stages!$A:$A),MATCH(G$1,[2]stages!$2:$2,0)-MATCH("temp_stage",[2]stages!$2:$2,0)+1),MATCH(G$1,[2]stages!$2:$2,0)-MATCH("temp_stage",[2]stages!$2:$2,0)+1,FALSE)</f>
        <v>#N/A</v>
      </c>
      <c r="H130" s="86">
        <v>0</v>
      </c>
      <c r="I130">
        <v>34</v>
      </c>
      <c r="J130" s="85" t="s">
        <v>200</v>
      </c>
      <c r="K130" s="95" t="str">
        <f>VLOOKUP(I130,[7]stage_hints!$A:$C,3,FALSE)</f>
        <v>ステータスをスキルで下げられたら</v>
      </c>
      <c r="L130" s="96" t="str">
        <f>VLOOKUP(I130,[7]stage_hints!$A:$D,4,FALSE)</f>
        <v>ステータスダウンのスキルを受けたら_x000D_ステータスアップスキルで上書きしましょう</v>
      </c>
      <c r="M130" s="57" t="s">
        <v>215</v>
      </c>
    </row>
    <row r="131" spans="1:13">
      <c r="A131" s="82" t="s">
        <v>203</v>
      </c>
      <c r="B131" s="83">
        <f>floors!$C$2</f>
        <v>11220</v>
      </c>
      <c r="C131" s="84" t="str">
        <f ca="1">VLOOKUP($B131,OFFSET([2]quests!$A$1,0,0,COUNTA([2]quests!$A:$A),MATCH(C$1,[2]quests!$1:$1,0)-MATCH($B$1,[2]quests!$1:$1,0)+1),MATCH(C$1,[2]quests!$1:$1,0)-MATCH($B$1,[2]quests!$1:$1,0)+1,FALSE)</f>
        <v>ホワイトデー★特別クエスト</v>
      </c>
      <c r="D131" s="84" t="str">
        <f ca="1">VLOOKUP($B131,OFFSET([2]quests!$A$1,0,0,COUNTA([2]quests!$A:$A),MATCH(D$1,[2]quests!$1:$1,0)-MATCH($B$1,[2]quests!$1:$1,0)+1),MATCH(D$1,[2]quests!$1:$1,0)-MATCH($B$1,[2]quests!$1:$1,0)+1,FALSE)</f>
        <v>2016年ホワイトデークエスト</v>
      </c>
      <c r="E131" s="88" t="s">
        <v>223</v>
      </c>
      <c r="F131" s="84" t="e">
        <f ca="1">VLOOKUP($B131&amp;"_"&amp;$E131,OFFSET([2]stages!$A$1,0,0,COUNTA([2]stages!$A:$A),MATCH(F$1,[2]stages!$2:$2,0)-MATCH("temp_stage",[2]stages!$2:$2,0)+1),MATCH(F$1,[2]stages!$2:$2,0)-MATCH("temp_stage",[2]stages!$2:$2,0)+1,FALSE)</f>
        <v>#N/A</v>
      </c>
      <c r="G131" s="84" t="e">
        <f ca="1">VLOOKUP($B131&amp;"_"&amp;$E131,OFFSET([2]stages!$A$1,0,0,COUNTA([2]stages!$A:$A),MATCH(G$1,[2]stages!$2:$2,0)-MATCH("temp_stage",[2]stages!$2:$2,0)+1),MATCH(G$1,[2]stages!$2:$2,0)-MATCH("temp_stage",[2]stages!$2:$2,0)+1,FALSE)</f>
        <v>#N/A</v>
      </c>
      <c r="H131" s="86">
        <v>0</v>
      </c>
      <c r="I131">
        <v>35</v>
      </c>
      <c r="J131" s="85" t="s">
        <v>200</v>
      </c>
      <c r="K131" s="95" t="str">
        <f>VLOOKUP(I131,[7]stage_hints!$A:$C,3,FALSE)</f>
        <v>敵のステータスがスキルで上がったら</v>
      </c>
      <c r="L131" s="96" t="str">
        <f>VLOOKUP(I131,[7]stage_hints!$A:$D,4,FALSE)</f>
        <v>敵のステータスがスキルでアップしたときは_x000D_ステータスダウンスキルで上書きしましょう</v>
      </c>
      <c r="M131" s="57" t="s">
        <v>215</v>
      </c>
    </row>
    <row r="132" spans="1:13">
      <c r="A132" s="82" t="s">
        <v>203</v>
      </c>
      <c r="B132" s="83">
        <f>floors!$C$2</f>
        <v>11220</v>
      </c>
      <c r="C132" s="84" t="str">
        <f ca="1">VLOOKUP($B132,OFFSET([2]quests!$A$1,0,0,COUNTA([2]quests!$A:$A),MATCH(C$1,[2]quests!$1:$1,0)-MATCH($B$1,[2]quests!$1:$1,0)+1),MATCH(C$1,[2]quests!$1:$1,0)-MATCH($B$1,[2]quests!$1:$1,0)+1,FALSE)</f>
        <v>ホワイトデー★特別クエスト</v>
      </c>
      <c r="D132" s="84" t="str">
        <f ca="1">VLOOKUP($B132,OFFSET([2]quests!$A$1,0,0,COUNTA([2]quests!$A:$A),MATCH(D$1,[2]quests!$1:$1,0)-MATCH($B$1,[2]quests!$1:$1,0)+1),MATCH(D$1,[2]quests!$1:$1,0)-MATCH($B$1,[2]quests!$1:$1,0)+1,FALSE)</f>
        <v>2016年ホワイトデークエスト</v>
      </c>
      <c r="E132" s="88" t="s">
        <v>223</v>
      </c>
      <c r="F132" s="84" t="e">
        <f ca="1">VLOOKUP($B132&amp;"_"&amp;$E132,OFFSET([2]stages!$A$1,0,0,COUNTA([2]stages!$A:$A),MATCH(F$1,[2]stages!$2:$2,0)-MATCH("temp_stage",[2]stages!$2:$2,0)+1),MATCH(F$1,[2]stages!$2:$2,0)-MATCH("temp_stage",[2]stages!$2:$2,0)+1,FALSE)</f>
        <v>#N/A</v>
      </c>
      <c r="G132" s="84" t="e">
        <f ca="1">VLOOKUP($B132&amp;"_"&amp;$E132,OFFSET([2]stages!$A$1,0,0,COUNTA([2]stages!$A:$A),MATCH(G$1,[2]stages!$2:$2,0)-MATCH("temp_stage",[2]stages!$2:$2,0)+1),MATCH(G$1,[2]stages!$2:$2,0)-MATCH("temp_stage",[2]stages!$2:$2,0)+1,FALSE)</f>
        <v>#N/A</v>
      </c>
      <c r="H132" s="86">
        <v>0</v>
      </c>
      <c r="I132">
        <v>36</v>
      </c>
      <c r="J132" s="85" t="s">
        <v>200</v>
      </c>
      <c r="K132" s="95" t="str">
        <f>VLOOKUP(I132,[7]stage_hints!$A:$C,3,FALSE)</f>
        <v>チャレンジタワーのボス</v>
      </c>
      <c r="L132" s="96" t="str">
        <f>VLOOKUP(I132,[7]stage_hints!$A:$D,4,FALSE)</f>
        <v>チャレンジタワーでのみ登場するボスは_x000D_一定確率で獲得することができます</v>
      </c>
      <c r="M132" s="57" t="s">
        <v>215</v>
      </c>
    </row>
    <row r="133" spans="1:13">
      <c r="A133" s="82" t="s">
        <v>203</v>
      </c>
      <c r="B133" s="83">
        <f>floors!$C$2</f>
        <v>11220</v>
      </c>
      <c r="C133" s="84" t="str">
        <f ca="1">VLOOKUP($B133,OFFSET([2]quests!$A$1,0,0,COUNTA([2]quests!$A:$A),MATCH(C$1,[2]quests!$1:$1,0)-MATCH($B$1,[2]quests!$1:$1,0)+1),MATCH(C$1,[2]quests!$1:$1,0)-MATCH($B$1,[2]quests!$1:$1,0)+1,FALSE)</f>
        <v>ホワイトデー★特別クエスト</v>
      </c>
      <c r="D133" s="84" t="str">
        <f ca="1">VLOOKUP($B133,OFFSET([2]quests!$A$1,0,0,COUNTA([2]quests!$A:$A),MATCH(D$1,[2]quests!$1:$1,0)-MATCH($B$1,[2]quests!$1:$1,0)+1),MATCH(D$1,[2]quests!$1:$1,0)-MATCH($B$1,[2]quests!$1:$1,0)+1,FALSE)</f>
        <v>2016年ホワイトデークエスト</v>
      </c>
      <c r="E133" s="88" t="s">
        <v>223</v>
      </c>
      <c r="F133" s="84" t="e">
        <f ca="1">VLOOKUP($B133&amp;"_"&amp;$E133,OFFSET([2]stages!$A$1,0,0,COUNTA([2]stages!$A:$A),MATCH(F$1,[2]stages!$2:$2,0)-MATCH("temp_stage",[2]stages!$2:$2,0)+1),MATCH(F$1,[2]stages!$2:$2,0)-MATCH("temp_stage",[2]stages!$2:$2,0)+1,FALSE)</f>
        <v>#N/A</v>
      </c>
      <c r="G133" s="84" t="e">
        <f ca="1">VLOOKUP($B133&amp;"_"&amp;$E133,OFFSET([2]stages!$A$1,0,0,COUNTA([2]stages!$A:$A),MATCH(G$1,[2]stages!$2:$2,0)-MATCH("temp_stage",[2]stages!$2:$2,0)+1),MATCH(G$1,[2]stages!$2:$2,0)-MATCH("temp_stage",[2]stages!$2:$2,0)+1,FALSE)</f>
        <v>#N/A</v>
      </c>
      <c r="H133" s="86">
        <v>0</v>
      </c>
      <c r="I133">
        <v>37</v>
      </c>
      <c r="J133" s="85" t="s">
        <v>200</v>
      </c>
      <c r="K133" s="95" t="str">
        <f>VLOOKUP(I133,[7]stage_hints!$A:$C,3,FALSE)</f>
        <v>限界突破値の引き継ぎ</v>
      </c>
      <c r="L133" s="96" t="str">
        <f>VLOOKUP(I133,[7]stage_hints!$A:$D,4,FALSE)</f>
        <v>同じユニットを強化で合成すると_x000D_限界突破値を引き継げます（覚醒前後も可）</v>
      </c>
      <c r="M133" s="57" t="s">
        <v>215</v>
      </c>
    </row>
    <row r="134" spans="1:13">
      <c r="A134" s="82" t="s">
        <v>203</v>
      </c>
      <c r="B134" s="83">
        <f>floors!$C$2</f>
        <v>11220</v>
      </c>
      <c r="C134" s="84" t="str">
        <f ca="1">VLOOKUP($B134,OFFSET([2]quests!$A$1,0,0,COUNTA([2]quests!$A:$A),MATCH(C$1,[2]quests!$1:$1,0)-MATCH($B$1,[2]quests!$1:$1,0)+1),MATCH(C$1,[2]quests!$1:$1,0)-MATCH($B$1,[2]quests!$1:$1,0)+1,FALSE)</f>
        <v>ホワイトデー★特別クエスト</v>
      </c>
      <c r="D134" s="84" t="str">
        <f ca="1">VLOOKUP($B134,OFFSET([2]quests!$A$1,0,0,COUNTA([2]quests!$A:$A),MATCH(D$1,[2]quests!$1:$1,0)-MATCH($B$1,[2]quests!$1:$1,0)+1),MATCH(D$1,[2]quests!$1:$1,0)-MATCH($B$1,[2]quests!$1:$1,0)+1,FALSE)</f>
        <v>2016年ホワイトデークエスト</v>
      </c>
      <c r="E134" s="88" t="s">
        <v>223</v>
      </c>
      <c r="F134" s="84" t="e">
        <f ca="1">VLOOKUP($B134&amp;"_"&amp;$E134,OFFSET([2]stages!$A$1,0,0,COUNTA([2]stages!$A:$A),MATCH(F$1,[2]stages!$2:$2,0)-MATCH("temp_stage",[2]stages!$2:$2,0)+1),MATCH(F$1,[2]stages!$2:$2,0)-MATCH("temp_stage",[2]stages!$2:$2,0)+1,FALSE)</f>
        <v>#N/A</v>
      </c>
      <c r="G134" s="84" t="e">
        <f ca="1">VLOOKUP($B134&amp;"_"&amp;$E134,OFFSET([2]stages!$A$1,0,0,COUNTA([2]stages!$A:$A),MATCH(G$1,[2]stages!$2:$2,0)-MATCH("temp_stage",[2]stages!$2:$2,0)+1),MATCH(G$1,[2]stages!$2:$2,0)-MATCH("temp_stage",[2]stages!$2:$2,0)+1,FALSE)</f>
        <v>#N/A</v>
      </c>
      <c r="H134" s="86">
        <v>0</v>
      </c>
      <c r="I134">
        <v>39</v>
      </c>
      <c r="J134" s="85" t="s">
        <v>200</v>
      </c>
      <c r="K134" s="95" t="str">
        <f>VLOOKUP(I134,[7]stage_hints!$A:$C,3,FALSE)</f>
        <v>システム適合者を確認</v>
      </c>
      <c r="L134" s="96" t="str">
        <f>VLOOKUP(I134,[7]stage_hints!$A:$D,4,FALSE)</f>
        <v>ALICEが「アナタ」を呼んでいます</v>
      </c>
      <c r="M134" s="57" t="s">
        <v>215</v>
      </c>
    </row>
  </sheetData>
  <phoneticPr fontId="5"/>
  <dataValidations count="1">
    <dataValidation type="list" allowBlank="1" showInputMessage="1" showErrorMessage="1" sqref="A2:A13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"/>
  <sheetViews>
    <sheetView showGridLines="0" workbookViewId="0">
      <pane ySplit="1" topLeftCell="A2" activePane="bottomLeft" state="frozen"/>
      <selection pane="bottomLeft" activeCell="K2" sqref="K2"/>
    </sheetView>
  </sheetViews>
  <sheetFormatPr baseColWidth="12" defaultColWidth="13" defaultRowHeight="18" outlineLevelCol="1" x14ac:dyDescent="0"/>
  <cols>
    <col min="1" max="1" width="13" style="90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>
      <c r="A1" s="77" t="s">
        <v>190</v>
      </c>
      <c r="B1" s="73" t="s">
        <v>151</v>
      </c>
      <c r="C1" s="78" t="s">
        <v>192</v>
      </c>
      <c r="D1" s="78" t="s">
        <v>33</v>
      </c>
      <c r="E1" s="73" t="s">
        <v>193</v>
      </c>
      <c r="F1" s="78" t="s">
        <v>18</v>
      </c>
      <c r="G1" s="78" t="s">
        <v>33</v>
      </c>
      <c r="H1" s="73" t="s">
        <v>195</v>
      </c>
      <c r="I1" s="91" t="s">
        <v>196</v>
      </c>
      <c r="J1" s="93" t="s">
        <v>197</v>
      </c>
      <c r="K1" s="80" t="s">
        <v>127</v>
      </c>
      <c r="L1" s="79" t="s">
        <v>188</v>
      </c>
      <c r="M1" s="94" t="s">
        <v>187</v>
      </c>
      <c r="N1" s="81" t="s">
        <v>198</v>
      </c>
    </row>
    <row r="2" spans="1:14">
      <c r="A2" s="82" t="s">
        <v>199</v>
      </c>
      <c r="B2" s="83">
        <f>floors!$C$2</f>
        <v>11220</v>
      </c>
      <c r="C2" s="84" t="str">
        <f ca="1">VLOOKUP($B2,OFFSET([2]quests!$A$1,0,0,COUNTA([2]quests!$A:$A),MATCH(C$1,[2]quests!$1:$1,0)-MATCH($B$1,[2]quests!$1:$1,0)+1),MATCH(C$1,[2]quests!$1:$1,0)-MATCH($B$1,[2]quests!$1:$1,0)+1,FALSE)</f>
        <v>ホワイトデー★特別クエスト</v>
      </c>
      <c r="D2" s="84" t="str">
        <f ca="1">VLOOKUP($B2,OFFSET([2]quests!$A$1,0,0,COUNTA([2]quests!$A:$A),MATCH(D$1,[2]quests!$1:$1,0)-MATCH($B$1,[2]quests!$1:$1,0)+1),MATCH(D$1,[2]quests!$1:$1,0)-MATCH($B$1,[2]quests!$1:$1,0)+1,FALSE)</f>
        <v>2016年ホワイトデークエスト</v>
      </c>
      <c r="E2" s="85">
        <v>1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>【ストーリー】ホワイトデー独騒曲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2016年ホワイトデークエスト</v>
      </c>
      <c r="H2" s="86">
        <v>0</v>
      </c>
      <c r="I2" s="92">
        <f>ROW()-1</f>
        <v>1</v>
      </c>
      <c r="J2" s="87" t="str">
        <f>B2&amp;TEXT(I2,"00")</f>
        <v>1122001</v>
      </c>
      <c r="K2" s="85" t="s">
        <v>200</v>
      </c>
      <c r="L2" s="88" t="s">
        <v>201</v>
      </c>
      <c r="M2" s="89" t="s">
        <v>204</v>
      </c>
      <c r="N2" s="57" t="s">
        <v>202</v>
      </c>
    </row>
  </sheetData>
  <phoneticPr fontId="5"/>
  <dataValidations count="1">
    <dataValidation type="list" allowBlank="1" showInputMessage="1" showErrorMessage="1" sqref="A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熊谷 佳樹</cp:lastModifiedBy>
  <dcterms:created xsi:type="dcterms:W3CDTF">2015-01-30T13:36:44Z</dcterms:created>
  <dcterms:modified xsi:type="dcterms:W3CDTF">2016-03-07T11:00:56Z</dcterms:modified>
</cp:coreProperties>
</file>