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39010" sheetId="157" r:id="rId4"/>
    <sheet name="tables_439010" sheetId="158" r:id="rId5"/>
    <sheet name="input_439100" sheetId="153" r:id="rId6"/>
    <sheet name="tables_439100" sheetId="154" r:id="rId7"/>
    <sheet name="tables_settle_439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tables_439010!$A$1:$V$294</definedName>
    <definedName name="_xlnm._FilterDatabase" localSheetId="6" hidden="1">tables_439100!$A$1:$V$294</definedName>
    <definedName name="_xlnm._FilterDatabase" localSheetId="7" hidden="1">tables_settle_439100!$A$1:$V$1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7" l="1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E28" i="157"/>
  <c r="B28" i="157"/>
  <c r="E27" i="157"/>
  <c r="B27" i="157"/>
  <c r="B10" i="157"/>
  <c r="F6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B3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B10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P3" i="159"/>
  <c r="P6" i="159"/>
  <c r="P9" i="159"/>
  <c r="P12" i="159"/>
  <c r="P15" i="159"/>
  <c r="P18" i="159"/>
  <c r="P21" i="159"/>
  <c r="P24" i="159"/>
  <c r="P27" i="159"/>
  <c r="P30" i="159"/>
  <c r="P33" i="159"/>
  <c r="P36" i="159"/>
  <c r="P39" i="159"/>
  <c r="P42" i="159"/>
  <c r="P45" i="159"/>
  <c r="P48" i="159"/>
  <c r="P51" i="159"/>
  <c r="P54" i="159"/>
  <c r="P57" i="159"/>
  <c r="P60" i="159"/>
  <c r="P63" i="159"/>
  <c r="P66" i="159"/>
  <c r="P69" i="159"/>
  <c r="P71" i="159"/>
  <c r="P74" i="159"/>
  <c r="P77" i="159"/>
  <c r="P80" i="159"/>
  <c r="P83" i="159"/>
  <c r="P86" i="159"/>
  <c r="P89" i="159"/>
  <c r="P92" i="159"/>
  <c r="P95" i="159"/>
  <c r="P98" i="159"/>
  <c r="P101" i="159"/>
  <c r="P104" i="159"/>
  <c r="P107" i="159"/>
  <c r="P110" i="159"/>
  <c r="P113" i="159"/>
  <c r="P116" i="159"/>
  <c r="P119" i="159"/>
  <c r="P122" i="159"/>
  <c r="P125" i="159"/>
  <c r="P128" i="159"/>
  <c r="P131" i="159"/>
  <c r="P134" i="159"/>
  <c r="P2" i="159"/>
  <c r="P5" i="159"/>
  <c r="P8" i="159"/>
  <c r="P11" i="159"/>
  <c r="P14" i="159"/>
  <c r="P17" i="159"/>
  <c r="P20" i="159"/>
  <c r="P23" i="159"/>
  <c r="P26" i="159"/>
  <c r="P29" i="159"/>
  <c r="P32" i="159"/>
  <c r="P35" i="159"/>
  <c r="P38" i="159"/>
  <c r="P41" i="159"/>
  <c r="P44" i="159"/>
  <c r="P47" i="159"/>
  <c r="P50" i="159"/>
  <c r="P53" i="159"/>
  <c r="P56" i="159"/>
  <c r="P59" i="159"/>
  <c r="P62" i="159"/>
  <c r="P65" i="159"/>
  <c r="P68" i="159"/>
  <c r="P70" i="159"/>
  <c r="P73" i="159"/>
  <c r="P76" i="159"/>
  <c r="P79" i="159"/>
  <c r="P82" i="159"/>
  <c r="P85" i="159"/>
  <c r="P88" i="159"/>
  <c r="P91" i="159"/>
  <c r="P94" i="159"/>
  <c r="P97" i="159"/>
  <c r="P100" i="159"/>
  <c r="P103" i="159"/>
  <c r="P106" i="159"/>
  <c r="P109" i="159"/>
  <c r="P112" i="159"/>
  <c r="P115" i="159"/>
  <c r="P118" i="159"/>
  <c r="P121" i="159"/>
  <c r="P124" i="159"/>
  <c r="P127" i="159"/>
  <c r="P130" i="159"/>
  <c r="P133" i="159"/>
  <c r="P4" i="159"/>
  <c r="P7" i="159"/>
  <c r="P10" i="159"/>
  <c r="P13" i="159"/>
  <c r="P16" i="159"/>
  <c r="P19" i="159"/>
  <c r="P22" i="159"/>
  <c r="P25" i="159"/>
  <c r="P28" i="159"/>
  <c r="P31" i="159"/>
  <c r="P34" i="159"/>
  <c r="P37" i="159"/>
  <c r="P40" i="159"/>
  <c r="P43" i="159"/>
  <c r="P46" i="159"/>
  <c r="P49" i="159"/>
  <c r="P52" i="159"/>
  <c r="P55" i="159"/>
  <c r="P58" i="159"/>
  <c r="P61" i="159"/>
  <c r="P64" i="159"/>
  <c r="P67" i="159"/>
  <c r="P72" i="159"/>
  <c r="P75" i="159"/>
  <c r="P78" i="159"/>
  <c r="P81" i="159"/>
  <c r="P84" i="159"/>
  <c r="P87" i="159"/>
  <c r="P90" i="159"/>
  <c r="P93" i="159"/>
  <c r="P96" i="159"/>
  <c r="P99" i="159"/>
  <c r="P102" i="159"/>
  <c r="P105" i="159"/>
  <c r="P108" i="159"/>
  <c r="P111" i="159"/>
  <c r="P114" i="159"/>
  <c r="P117" i="159"/>
  <c r="P120" i="159"/>
  <c r="P123" i="159"/>
  <c r="P126" i="159"/>
  <c r="P129" i="159"/>
  <c r="P132" i="159"/>
  <c r="P137" i="159"/>
  <c r="N137" i="159"/>
  <c r="M137" i="159"/>
  <c r="L137" i="159"/>
  <c r="K137" i="159"/>
  <c r="J137" i="159"/>
  <c r="I137" i="159"/>
  <c r="H137" i="159"/>
  <c r="F137" i="159"/>
  <c r="E137" i="159"/>
  <c r="D137" i="159"/>
  <c r="C137" i="159"/>
  <c r="P136" i="159"/>
  <c r="N136" i="159"/>
  <c r="M136" i="159"/>
  <c r="L136" i="159"/>
  <c r="K136" i="159"/>
  <c r="J136" i="159"/>
  <c r="I136" i="159"/>
  <c r="H136" i="159"/>
  <c r="F136" i="159"/>
  <c r="E136" i="159"/>
  <c r="D136" i="159"/>
  <c r="C136" i="159"/>
  <c r="A2" i="153"/>
  <c r="A137" i="159"/>
  <c r="A136" i="159"/>
  <c r="F331" i="154"/>
  <c r="H331" i="154"/>
  <c r="K331" i="154"/>
  <c r="L331" i="154"/>
  <c r="M331" i="154"/>
  <c r="N331" i="154"/>
  <c r="F332" i="154"/>
  <c r="A36" i="153"/>
  <c r="R3" i="153"/>
  <c r="O33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R4" i="153"/>
  <c r="G31" i="153"/>
  <c r="E31" i="153"/>
  <c r="H31" i="153"/>
  <c r="O332" i="154"/>
  <c r="P331" i="154"/>
  <c r="H332" i="154"/>
  <c r="K332" i="154"/>
  <c r="L332" i="154"/>
  <c r="M332" i="154"/>
  <c r="N332" i="154"/>
  <c r="P332" i="154"/>
  <c r="A331" i="154"/>
  <c r="A332" i="154"/>
  <c r="M4" i="153"/>
  <c r="M3" i="153"/>
  <c r="F332" i="158"/>
  <c r="A2" i="157"/>
  <c r="A36" i="157"/>
  <c r="G26" i="157"/>
  <c r="H26" i="157"/>
  <c r="O44" i="158"/>
  <c r="O47" i="158"/>
  <c r="O50" i="158"/>
  <c r="G21" i="157"/>
  <c r="E21" i="157"/>
  <c r="H21" i="157"/>
  <c r="O5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O45" i="158"/>
  <c r="O46" i="158"/>
  <c r="O48" i="158"/>
  <c r="O49" i="158"/>
  <c r="G19" i="157"/>
  <c r="H19" i="157"/>
  <c r="O51" i="158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R3" i="157"/>
  <c r="O331" i="158"/>
  <c r="R4" i="157"/>
  <c r="E31" i="157"/>
  <c r="G31" i="157"/>
  <c r="H31" i="157"/>
  <c r="O332" i="158"/>
  <c r="F42" i="157"/>
  <c r="G42" i="157"/>
  <c r="F35" i="157"/>
  <c r="F41" i="157"/>
  <c r="G41" i="157"/>
  <c r="F34" i="157"/>
  <c r="F331" i="158"/>
  <c r="H331" i="158"/>
  <c r="K331" i="158"/>
  <c r="L331" i="158"/>
  <c r="M331" i="158"/>
  <c r="N331" i="158"/>
  <c r="P331" i="158"/>
  <c r="H332" i="158"/>
  <c r="K332" i="158"/>
  <c r="L332" i="158"/>
  <c r="M332" i="158"/>
  <c r="N332" i="158"/>
  <c r="P332" i="158"/>
  <c r="A331" i="158"/>
  <c r="A332" i="158"/>
  <c r="I7" i="159"/>
  <c r="D7" i="159"/>
  <c r="J7" i="159"/>
  <c r="E7" i="159"/>
  <c r="F7" i="159"/>
  <c r="C7" i="159"/>
  <c r="H7" i="159"/>
  <c r="K7" i="159"/>
  <c r="L7" i="159"/>
  <c r="M7" i="159"/>
  <c r="N7" i="159"/>
  <c r="I8" i="159"/>
  <c r="D8" i="159"/>
  <c r="J8" i="159"/>
  <c r="E8" i="159"/>
  <c r="F8" i="159"/>
  <c r="C8" i="159"/>
  <c r="H8" i="159"/>
  <c r="K8" i="159"/>
  <c r="L8" i="159"/>
  <c r="M8" i="159"/>
  <c r="N8" i="159"/>
  <c r="I9" i="159"/>
  <c r="D9" i="159"/>
  <c r="J9" i="159"/>
  <c r="E9" i="159"/>
  <c r="F9" i="159"/>
  <c r="C9" i="159"/>
  <c r="H9" i="159"/>
  <c r="K9" i="159"/>
  <c r="L9" i="159"/>
  <c r="M9" i="159"/>
  <c r="N9" i="159"/>
  <c r="I10" i="159"/>
  <c r="D10" i="159"/>
  <c r="J10" i="159"/>
  <c r="E10" i="159"/>
  <c r="F10" i="159"/>
  <c r="C10" i="159"/>
  <c r="H10" i="159"/>
  <c r="K10" i="159"/>
  <c r="L10" i="159"/>
  <c r="M10" i="159"/>
  <c r="N10" i="159"/>
  <c r="I11" i="159"/>
  <c r="D11" i="159"/>
  <c r="J11" i="159"/>
  <c r="E11" i="159"/>
  <c r="F11" i="159"/>
  <c r="C11" i="159"/>
  <c r="H11" i="159"/>
  <c r="K11" i="159"/>
  <c r="L11" i="159"/>
  <c r="M11" i="159"/>
  <c r="N11" i="159"/>
  <c r="I12" i="159"/>
  <c r="D12" i="159"/>
  <c r="J12" i="159"/>
  <c r="E12" i="159"/>
  <c r="F12" i="159"/>
  <c r="C12" i="159"/>
  <c r="H12" i="159"/>
  <c r="K12" i="159"/>
  <c r="L12" i="159"/>
  <c r="M12" i="159"/>
  <c r="N12" i="159"/>
  <c r="I13" i="159"/>
  <c r="D13" i="159"/>
  <c r="J13" i="159"/>
  <c r="E13" i="159"/>
  <c r="F13" i="159"/>
  <c r="C13" i="159"/>
  <c r="H13" i="159"/>
  <c r="K13" i="159"/>
  <c r="L13" i="159"/>
  <c r="M13" i="159"/>
  <c r="N13" i="159"/>
  <c r="I14" i="159"/>
  <c r="D14" i="159"/>
  <c r="J14" i="159"/>
  <c r="E14" i="159"/>
  <c r="F14" i="159"/>
  <c r="C14" i="159"/>
  <c r="H14" i="159"/>
  <c r="K14" i="159"/>
  <c r="L14" i="159"/>
  <c r="M14" i="159"/>
  <c r="N14" i="159"/>
  <c r="I15" i="159"/>
  <c r="D15" i="159"/>
  <c r="J15" i="159"/>
  <c r="E15" i="159"/>
  <c r="F15" i="159"/>
  <c r="C15" i="159"/>
  <c r="H15" i="159"/>
  <c r="K15" i="159"/>
  <c r="L15" i="159"/>
  <c r="M15" i="159"/>
  <c r="N15" i="159"/>
  <c r="I16" i="159"/>
  <c r="D16" i="159"/>
  <c r="J16" i="159"/>
  <c r="E16" i="159"/>
  <c r="F16" i="159"/>
  <c r="C16" i="159"/>
  <c r="H16" i="159"/>
  <c r="K16" i="159"/>
  <c r="L16" i="159"/>
  <c r="M16" i="159"/>
  <c r="N16" i="159"/>
  <c r="I17" i="159"/>
  <c r="D17" i="159"/>
  <c r="J17" i="159"/>
  <c r="E17" i="159"/>
  <c r="F17" i="159"/>
  <c r="C17" i="159"/>
  <c r="H17" i="159"/>
  <c r="K17" i="159"/>
  <c r="L17" i="159"/>
  <c r="M17" i="159"/>
  <c r="N17" i="159"/>
  <c r="I18" i="159"/>
  <c r="D18" i="159"/>
  <c r="J18" i="159"/>
  <c r="E18" i="159"/>
  <c r="F18" i="159"/>
  <c r="C18" i="159"/>
  <c r="H18" i="159"/>
  <c r="K18" i="159"/>
  <c r="L18" i="159"/>
  <c r="M18" i="159"/>
  <c r="N18" i="159"/>
  <c r="I19" i="159"/>
  <c r="D19" i="159"/>
  <c r="J19" i="159"/>
  <c r="E19" i="159"/>
  <c r="F19" i="159"/>
  <c r="C19" i="159"/>
  <c r="H19" i="159"/>
  <c r="K19" i="159"/>
  <c r="L19" i="159"/>
  <c r="M19" i="159"/>
  <c r="N19" i="159"/>
  <c r="I20" i="159"/>
  <c r="D20" i="159"/>
  <c r="J20" i="159"/>
  <c r="E20" i="159"/>
  <c r="F20" i="159"/>
  <c r="C20" i="159"/>
  <c r="H20" i="159"/>
  <c r="K20" i="159"/>
  <c r="L20" i="159"/>
  <c r="M20" i="159"/>
  <c r="N20" i="159"/>
  <c r="I21" i="159"/>
  <c r="D21" i="159"/>
  <c r="J21" i="159"/>
  <c r="E21" i="159"/>
  <c r="F21" i="159"/>
  <c r="C21" i="159"/>
  <c r="H21" i="159"/>
  <c r="K21" i="159"/>
  <c r="L21" i="159"/>
  <c r="M21" i="159"/>
  <c r="N21" i="159"/>
  <c r="I22" i="159"/>
  <c r="D22" i="159"/>
  <c r="J22" i="159"/>
  <c r="E22" i="159"/>
  <c r="F22" i="159"/>
  <c r="C22" i="159"/>
  <c r="H22" i="159"/>
  <c r="K22" i="159"/>
  <c r="L22" i="159"/>
  <c r="M22" i="159"/>
  <c r="N22" i="159"/>
  <c r="I23" i="159"/>
  <c r="D23" i="159"/>
  <c r="J23" i="159"/>
  <c r="E23" i="159"/>
  <c r="F23" i="159"/>
  <c r="C23" i="159"/>
  <c r="H23" i="159"/>
  <c r="K23" i="159"/>
  <c r="L23" i="159"/>
  <c r="M23" i="159"/>
  <c r="N23" i="159"/>
  <c r="I24" i="159"/>
  <c r="D24" i="159"/>
  <c r="J24" i="159"/>
  <c r="E24" i="159"/>
  <c r="F24" i="159"/>
  <c r="C24" i="159"/>
  <c r="H24" i="159"/>
  <c r="K24" i="159"/>
  <c r="L24" i="159"/>
  <c r="M24" i="159"/>
  <c r="N24" i="159"/>
  <c r="I25" i="159"/>
  <c r="D25" i="159"/>
  <c r="J25" i="159"/>
  <c r="E25" i="159"/>
  <c r="F25" i="159"/>
  <c r="C25" i="159"/>
  <c r="H25" i="159"/>
  <c r="K25" i="159"/>
  <c r="L25" i="159"/>
  <c r="M25" i="159"/>
  <c r="N25" i="159"/>
  <c r="I26" i="159"/>
  <c r="D26" i="159"/>
  <c r="J26" i="159"/>
  <c r="E26" i="159"/>
  <c r="F26" i="159"/>
  <c r="C26" i="159"/>
  <c r="H26" i="159"/>
  <c r="K26" i="159"/>
  <c r="L26" i="159"/>
  <c r="M26" i="159"/>
  <c r="N26" i="159"/>
  <c r="I27" i="159"/>
  <c r="D27" i="159"/>
  <c r="J27" i="159"/>
  <c r="E27" i="159"/>
  <c r="F27" i="159"/>
  <c r="C27" i="159"/>
  <c r="H27" i="159"/>
  <c r="K27" i="159"/>
  <c r="L27" i="159"/>
  <c r="M27" i="159"/>
  <c r="N27" i="159"/>
  <c r="I28" i="159"/>
  <c r="D28" i="159"/>
  <c r="J28" i="159"/>
  <c r="E28" i="159"/>
  <c r="F28" i="159"/>
  <c r="C28" i="159"/>
  <c r="H28" i="159"/>
  <c r="K28" i="159"/>
  <c r="L28" i="159"/>
  <c r="M28" i="159"/>
  <c r="N28" i="159"/>
  <c r="I29" i="159"/>
  <c r="D29" i="159"/>
  <c r="J29" i="159"/>
  <c r="E29" i="159"/>
  <c r="F29" i="159"/>
  <c r="C29" i="159"/>
  <c r="H29" i="159"/>
  <c r="K29" i="159"/>
  <c r="L29" i="159"/>
  <c r="M29" i="159"/>
  <c r="N29" i="159"/>
  <c r="I30" i="159"/>
  <c r="D30" i="159"/>
  <c r="J30" i="159"/>
  <c r="E30" i="159"/>
  <c r="F30" i="159"/>
  <c r="C30" i="159"/>
  <c r="H30" i="159"/>
  <c r="K30" i="159"/>
  <c r="L30" i="159"/>
  <c r="M30" i="159"/>
  <c r="N30" i="159"/>
  <c r="I31" i="159"/>
  <c r="D31" i="159"/>
  <c r="J31" i="159"/>
  <c r="E31" i="159"/>
  <c r="F31" i="159"/>
  <c r="C31" i="159"/>
  <c r="H31" i="159"/>
  <c r="K31" i="159"/>
  <c r="L31" i="159"/>
  <c r="M31" i="159"/>
  <c r="N31" i="159"/>
  <c r="I32" i="159"/>
  <c r="D32" i="159"/>
  <c r="J32" i="159"/>
  <c r="E32" i="159"/>
  <c r="F32" i="159"/>
  <c r="C32" i="159"/>
  <c r="H32" i="159"/>
  <c r="K32" i="159"/>
  <c r="L32" i="159"/>
  <c r="M32" i="159"/>
  <c r="N32" i="159"/>
  <c r="I33" i="159"/>
  <c r="D33" i="159"/>
  <c r="J33" i="159"/>
  <c r="E33" i="159"/>
  <c r="F33" i="159"/>
  <c r="C33" i="159"/>
  <c r="H33" i="159"/>
  <c r="K33" i="159"/>
  <c r="L33" i="159"/>
  <c r="M33" i="159"/>
  <c r="N33" i="159"/>
  <c r="I34" i="159"/>
  <c r="D34" i="159"/>
  <c r="J34" i="159"/>
  <c r="E34" i="159"/>
  <c r="F34" i="159"/>
  <c r="C34" i="159"/>
  <c r="H34" i="159"/>
  <c r="K34" i="159"/>
  <c r="L34" i="159"/>
  <c r="M34" i="159"/>
  <c r="N34" i="159"/>
  <c r="I35" i="159"/>
  <c r="D35" i="159"/>
  <c r="J35" i="159"/>
  <c r="E35" i="159"/>
  <c r="F35" i="159"/>
  <c r="C35" i="159"/>
  <c r="H35" i="159"/>
  <c r="K35" i="159"/>
  <c r="L35" i="159"/>
  <c r="M35" i="159"/>
  <c r="N35" i="159"/>
  <c r="I36" i="159"/>
  <c r="D36" i="159"/>
  <c r="J36" i="159"/>
  <c r="E36" i="159"/>
  <c r="F36" i="159"/>
  <c r="C36" i="159"/>
  <c r="H36" i="159"/>
  <c r="K36" i="159"/>
  <c r="L36" i="159"/>
  <c r="M36" i="159"/>
  <c r="N36" i="159"/>
  <c r="I37" i="159"/>
  <c r="D37" i="159"/>
  <c r="J37" i="159"/>
  <c r="E37" i="159"/>
  <c r="F37" i="159"/>
  <c r="C37" i="159"/>
  <c r="H37" i="159"/>
  <c r="K37" i="159"/>
  <c r="L37" i="159"/>
  <c r="M37" i="159"/>
  <c r="N37" i="159"/>
  <c r="I38" i="159"/>
  <c r="D38" i="159"/>
  <c r="J38" i="159"/>
  <c r="E38" i="159"/>
  <c r="F38" i="159"/>
  <c r="C38" i="159"/>
  <c r="H38" i="159"/>
  <c r="K38" i="159"/>
  <c r="L38" i="159"/>
  <c r="M38" i="159"/>
  <c r="N38" i="159"/>
  <c r="I39" i="159"/>
  <c r="D39" i="159"/>
  <c r="J39" i="159"/>
  <c r="E39" i="159"/>
  <c r="F39" i="159"/>
  <c r="C39" i="159"/>
  <c r="H39" i="159"/>
  <c r="K39" i="159"/>
  <c r="L39" i="159"/>
  <c r="M39" i="159"/>
  <c r="N39" i="159"/>
  <c r="I40" i="159"/>
  <c r="D40" i="159"/>
  <c r="J40" i="159"/>
  <c r="E40" i="159"/>
  <c r="F40" i="159"/>
  <c r="C40" i="159"/>
  <c r="H40" i="159"/>
  <c r="K40" i="159"/>
  <c r="L40" i="159"/>
  <c r="M40" i="159"/>
  <c r="N40" i="159"/>
  <c r="I41" i="159"/>
  <c r="D41" i="159"/>
  <c r="J41" i="159"/>
  <c r="E41" i="159"/>
  <c r="F41" i="159"/>
  <c r="C41" i="159"/>
  <c r="H41" i="159"/>
  <c r="K41" i="159"/>
  <c r="L41" i="159"/>
  <c r="M41" i="159"/>
  <c r="N41" i="159"/>
  <c r="I42" i="159"/>
  <c r="D42" i="159"/>
  <c r="J42" i="159"/>
  <c r="E42" i="159"/>
  <c r="F42" i="159"/>
  <c r="C42" i="159"/>
  <c r="H42" i="159"/>
  <c r="K42" i="159"/>
  <c r="L42" i="159"/>
  <c r="M42" i="159"/>
  <c r="N42" i="159"/>
  <c r="I43" i="159"/>
  <c r="D43" i="159"/>
  <c r="J43" i="159"/>
  <c r="E43" i="159"/>
  <c r="F43" i="159"/>
  <c r="C43" i="159"/>
  <c r="H43" i="159"/>
  <c r="K43" i="159"/>
  <c r="L43" i="159"/>
  <c r="M43" i="159"/>
  <c r="N43" i="159"/>
  <c r="I44" i="159"/>
  <c r="D44" i="159"/>
  <c r="J44" i="159"/>
  <c r="E44" i="159"/>
  <c r="F44" i="159"/>
  <c r="C44" i="159"/>
  <c r="H44" i="159"/>
  <c r="K44" i="159"/>
  <c r="L44" i="159"/>
  <c r="M44" i="159"/>
  <c r="N44" i="159"/>
  <c r="I45" i="159"/>
  <c r="D45" i="159"/>
  <c r="J45" i="159"/>
  <c r="E45" i="159"/>
  <c r="F45" i="159"/>
  <c r="C45" i="159"/>
  <c r="H45" i="159"/>
  <c r="K45" i="159"/>
  <c r="L45" i="159"/>
  <c r="M45" i="159"/>
  <c r="N45" i="159"/>
  <c r="I46" i="159"/>
  <c r="D46" i="159"/>
  <c r="J46" i="159"/>
  <c r="E46" i="159"/>
  <c r="F46" i="159"/>
  <c r="C46" i="159"/>
  <c r="H46" i="159"/>
  <c r="K46" i="159"/>
  <c r="L46" i="159"/>
  <c r="M46" i="159"/>
  <c r="N46" i="159"/>
  <c r="I47" i="159"/>
  <c r="D47" i="159"/>
  <c r="J47" i="159"/>
  <c r="E47" i="159"/>
  <c r="F47" i="159"/>
  <c r="C47" i="159"/>
  <c r="H47" i="159"/>
  <c r="K47" i="159"/>
  <c r="L47" i="159"/>
  <c r="M47" i="159"/>
  <c r="N47" i="159"/>
  <c r="I48" i="159"/>
  <c r="D48" i="159"/>
  <c r="J48" i="159"/>
  <c r="E48" i="159"/>
  <c r="F48" i="159"/>
  <c r="C48" i="159"/>
  <c r="H48" i="159"/>
  <c r="K48" i="159"/>
  <c r="L48" i="159"/>
  <c r="M48" i="159"/>
  <c r="N48" i="159"/>
  <c r="I49" i="159"/>
  <c r="D49" i="159"/>
  <c r="J49" i="159"/>
  <c r="E49" i="159"/>
  <c r="F49" i="159"/>
  <c r="C49" i="159"/>
  <c r="H49" i="159"/>
  <c r="K49" i="159"/>
  <c r="L49" i="159"/>
  <c r="M49" i="159"/>
  <c r="N49" i="159"/>
  <c r="I50" i="159"/>
  <c r="D50" i="159"/>
  <c r="J50" i="159"/>
  <c r="E50" i="159"/>
  <c r="F50" i="159"/>
  <c r="C50" i="159"/>
  <c r="H50" i="159"/>
  <c r="K50" i="159"/>
  <c r="L50" i="159"/>
  <c r="M50" i="159"/>
  <c r="N50" i="159"/>
  <c r="I51" i="159"/>
  <c r="D51" i="159"/>
  <c r="J51" i="159"/>
  <c r="E51" i="159"/>
  <c r="F51" i="159"/>
  <c r="C51" i="159"/>
  <c r="H51" i="159"/>
  <c r="K51" i="159"/>
  <c r="L51" i="159"/>
  <c r="M51" i="159"/>
  <c r="N51" i="159"/>
  <c r="I52" i="159"/>
  <c r="D52" i="159"/>
  <c r="J52" i="159"/>
  <c r="E52" i="159"/>
  <c r="F52" i="159"/>
  <c r="C52" i="159"/>
  <c r="H52" i="159"/>
  <c r="K52" i="159"/>
  <c r="L52" i="159"/>
  <c r="M52" i="159"/>
  <c r="N52" i="159"/>
  <c r="I53" i="159"/>
  <c r="D53" i="159"/>
  <c r="J53" i="159"/>
  <c r="E53" i="159"/>
  <c r="F53" i="159"/>
  <c r="C53" i="159"/>
  <c r="H53" i="159"/>
  <c r="K53" i="159"/>
  <c r="L53" i="159"/>
  <c r="M53" i="159"/>
  <c r="N53" i="159"/>
  <c r="I54" i="159"/>
  <c r="D54" i="159"/>
  <c r="J54" i="159"/>
  <c r="E54" i="159"/>
  <c r="F54" i="159"/>
  <c r="C54" i="159"/>
  <c r="H54" i="159"/>
  <c r="K54" i="159"/>
  <c r="L54" i="159"/>
  <c r="M54" i="159"/>
  <c r="N54" i="159"/>
  <c r="I55" i="159"/>
  <c r="D55" i="159"/>
  <c r="J55" i="159"/>
  <c r="E55" i="159"/>
  <c r="F55" i="159"/>
  <c r="C55" i="159"/>
  <c r="H55" i="159"/>
  <c r="K55" i="159"/>
  <c r="L55" i="159"/>
  <c r="M55" i="159"/>
  <c r="N55" i="159"/>
  <c r="I56" i="159"/>
  <c r="D56" i="159"/>
  <c r="J56" i="159"/>
  <c r="E56" i="159"/>
  <c r="F56" i="159"/>
  <c r="C56" i="159"/>
  <c r="H56" i="159"/>
  <c r="K56" i="159"/>
  <c r="L56" i="159"/>
  <c r="M56" i="159"/>
  <c r="N56" i="159"/>
  <c r="I57" i="159"/>
  <c r="D57" i="159"/>
  <c r="J57" i="159"/>
  <c r="E57" i="159"/>
  <c r="F57" i="159"/>
  <c r="C57" i="159"/>
  <c r="H57" i="159"/>
  <c r="K57" i="159"/>
  <c r="L57" i="159"/>
  <c r="M57" i="159"/>
  <c r="N57" i="159"/>
  <c r="I58" i="159"/>
  <c r="D58" i="159"/>
  <c r="J58" i="159"/>
  <c r="E58" i="159"/>
  <c r="F58" i="159"/>
  <c r="C58" i="159"/>
  <c r="H58" i="159"/>
  <c r="K58" i="159"/>
  <c r="L58" i="159"/>
  <c r="M58" i="159"/>
  <c r="N58" i="159"/>
  <c r="I59" i="159"/>
  <c r="D59" i="159"/>
  <c r="J59" i="159"/>
  <c r="E59" i="159"/>
  <c r="F59" i="159"/>
  <c r="C59" i="159"/>
  <c r="H59" i="159"/>
  <c r="K59" i="159"/>
  <c r="L59" i="159"/>
  <c r="M59" i="159"/>
  <c r="N59" i="159"/>
  <c r="I60" i="159"/>
  <c r="D60" i="159"/>
  <c r="J60" i="159"/>
  <c r="E60" i="159"/>
  <c r="F60" i="159"/>
  <c r="C60" i="159"/>
  <c r="H60" i="159"/>
  <c r="K60" i="159"/>
  <c r="L60" i="159"/>
  <c r="M60" i="159"/>
  <c r="N60" i="159"/>
  <c r="I61" i="159"/>
  <c r="D61" i="159"/>
  <c r="J61" i="159"/>
  <c r="E61" i="159"/>
  <c r="F61" i="159"/>
  <c r="C61" i="159"/>
  <c r="H61" i="159"/>
  <c r="K61" i="159"/>
  <c r="L61" i="159"/>
  <c r="M61" i="159"/>
  <c r="N61" i="159"/>
  <c r="I62" i="159"/>
  <c r="D62" i="159"/>
  <c r="J62" i="159"/>
  <c r="E62" i="159"/>
  <c r="F62" i="159"/>
  <c r="C62" i="159"/>
  <c r="H62" i="159"/>
  <c r="K62" i="159"/>
  <c r="L62" i="159"/>
  <c r="M62" i="159"/>
  <c r="N62" i="159"/>
  <c r="I63" i="159"/>
  <c r="D63" i="159"/>
  <c r="J63" i="159"/>
  <c r="E63" i="159"/>
  <c r="F63" i="159"/>
  <c r="C63" i="159"/>
  <c r="H63" i="159"/>
  <c r="K63" i="159"/>
  <c r="L63" i="159"/>
  <c r="M63" i="159"/>
  <c r="N63" i="159"/>
  <c r="I64" i="159"/>
  <c r="D64" i="159"/>
  <c r="J64" i="159"/>
  <c r="E64" i="159"/>
  <c r="F64" i="159"/>
  <c r="C64" i="159"/>
  <c r="H64" i="159"/>
  <c r="K64" i="159"/>
  <c r="L64" i="159"/>
  <c r="M64" i="159"/>
  <c r="N64" i="159"/>
  <c r="I65" i="159"/>
  <c r="D65" i="159"/>
  <c r="J65" i="159"/>
  <c r="E65" i="159"/>
  <c r="F65" i="159"/>
  <c r="C65" i="159"/>
  <c r="H65" i="159"/>
  <c r="K65" i="159"/>
  <c r="L65" i="159"/>
  <c r="M65" i="159"/>
  <c r="N65" i="159"/>
  <c r="I66" i="159"/>
  <c r="D66" i="159"/>
  <c r="J66" i="159"/>
  <c r="E66" i="159"/>
  <c r="F66" i="159"/>
  <c r="C66" i="159"/>
  <c r="H66" i="159"/>
  <c r="K66" i="159"/>
  <c r="L66" i="159"/>
  <c r="M66" i="159"/>
  <c r="N66" i="159"/>
  <c r="I67" i="159"/>
  <c r="D67" i="159"/>
  <c r="J67" i="159"/>
  <c r="E67" i="159"/>
  <c r="F67" i="159"/>
  <c r="C67" i="159"/>
  <c r="H67" i="159"/>
  <c r="K67" i="159"/>
  <c r="L67" i="159"/>
  <c r="M67" i="159"/>
  <c r="N67" i="159"/>
  <c r="I68" i="159"/>
  <c r="D68" i="159"/>
  <c r="J68" i="159"/>
  <c r="E68" i="159"/>
  <c r="F68" i="159"/>
  <c r="C68" i="159"/>
  <c r="H68" i="159"/>
  <c r="K68" i="159"/>
  <c r="L68" i="159"/>
  <c r="M68" i="159"/>
  <c r="N68" i="159"/>
  <c r="I69" i="159"/>
  <c r="D69" i="159"/>
  <c r="J69" i="159"/>
  <c r="E69" i="159"/>
  <c r="F69" i="159"/>
  <c r="C69" i="159"/>
  <c r="H69" i="159"/>
  <c r="K69" i="159"/>
  <c r="L69" i="159"/>
  <c r="M69" i="159"/>
  <c r="N69" i="159"/>
  <c r="I70" i="159"/>
  <c r="D70" i="159"/>
  <c r="J70" i="159"/>
  <c r="E70" i="159"/>
  <c r="F70" i="159"/>
  <c r="C70" i="159"/>
  <c r="H70" i="159"/>
  <c r="K70" i="159"/>
  <c r="L70" i="159"/>
  <c r="M70" i="159"/>
  <c r="N70" i="159"/>
  <c r="I71" i="159"/>
  <c r="D71" i="159"/>
  <c r="J71" i="159"/>
  <c r="E71" i="159"/>
  <c r="F71" i="159"/>
  <c r="C71" i="159"/>
  <c r="H71" i="159"/>
  <c r="K71" i="159"/>
  <c r="L71" i="159"/>
  <c r="M71" i="159"/>
  <c r="N71" i="159"/>
  <c r="I72" i="159"/>
  <c r="D72" i="159"/>
  <c r="J72" i="159"/>
  <c r="E72" i="159"/>
  <c r="F72" i="159"/>
  <c r="C72" i="159"/>
  <c r="H72" i="159"/>
  <c r="K72" i="159"/>
  <c r="L72" i="159"/>
  <c r="M72" i="159"/>
  <c r="N72" i="159"/>
  <c r="I73" i="159"/>
  <c r="D73" i="159"/>
  <c r="J73" i="159"/>
  <c r="E73" i="159"/>
  <c r="F73" i="159"/>
  <c r="C73" i="159"/>
  <c r="H73" i="159"/>
  <c r="K73" i="159"/>
  <c r="L73" i="159"/>
  <c r="M73" i="159"/>
  <c r="N73" i="159"/>
  <c r="I74" i="159"/>
  <c r="D74" i="159"/>
  <c r="J74" i="159"/>
  <c r="E74" i="159"/>
  <c r="F74" i="159"/>
  <c r="C74" i="159"/>
  <c r="H74" i="159"/>
  <c r="K74" i="159"/>
  <c r="L74" i="159"/>
  <c r="M74" i="159"/>
  <c r="N74" i="159"/>
  <c r="I75" i="159"/>
  <c r="D75" i="159"/>
  <c r="J75" i="159"/>
  <c r="E75" i="159"/>
  <c r="F75" i="159"/>
  <c r="C75" i="159"/>
  <c r="H75" i="159"/>
  <c r="K75" i="159"/>
  <c r="L75" i="159"/>
  <c r="M75" i="159"/>
  <c r="N75" i="159"/>
  <c r="I76" i="159"/>
  <c r="D76" i="159"/>
  <c r="J76" i="159"/>
  <c r="E76" i="159"/>
  <c r="F76" i="159"/>
  <c r="C76" i="159"/>
  <c r="H76" i="159"/>
  <c r="K76" i="159"/>
  <c r="L76" i="159"/>
  <c r="M76" i="159"/>
  <c r="N76" i="159"/>
  <c r="I77" i="159"/>
  <c r="D77" i="159"/>
  <c r="J77" i="159"/>
  <c r="E77" i="159"/>
  <c r="F77" i="159"/>
  <c r="C77" i="159"/>
  <c r="H77" i="159"/>
  <c r="K77" i="159"/>
  <c r="L77" i="159"/>
  <c r="M77" i="159"/>
  <c r="N77" i="159"/>
  <c r="I78" i="159"/>
  <c r="D78" i="159"/>
  <c r="J78" i="159"/>
  <c r="E78" i="159"/>
  <c r="F78" i="159"/>
  <c r="C78" i="159"/>
  <c r="H78" i="159"/>
  <c r="K78" i="159"/>
  <c r="L78" i="159"/>
  <c r="M78" i="159"/>
  <c r="N78" i="159"/>
  <c r="I79" i="159"/>
  <c r="D79" i="159"/>
  <c r="J79" i="159"/>
  <c r="E79" i="159"/>
  <c r="F79" i="159"/>
  <c r="C79" i="159"/>
  <c r="H79" i="159"/>
  <c r="K79" i="159"/>
  <c r="L79" i="159"/>
  <c r="M79" i="159"/>
  <c r="N79" i="159"/>
  <c r="I80" i="159"/>
  <c r="D80" i="159"/>
  <c r="J80" i="159"/>
  <c r="E80" i="159"/>
  <c r="F80" i="159"/>
  <c r="C80" i="159"/>
  <c r="H80" i="159"/>
  <c r="K80" i="159"/>
  <c r="L80" i="159"/>
  <c r="M80" i="159"/>
  <c r="N80" i="159"/>
  <c r="I81" i="159"/>
  <c r="D81" i="159"/>
  <c r="J81" i="159"/>
  <c r="E81" i="159"/>
  <c r="F81" i="159"/>
  <c r="C81" i="159"/>
  <c r="H81" i="159"/>
  <c r="K81" i="159"/>
  <c r="L81" i="159"/>
  <c r="M81" i="159"/>
  <c r="N81" i="159"/>
  <c r="I82" i="159"/>
  <c r="D82" i="159"/>
  <c r="J82" i="159"/>
  <c r="E82" i="159"/>
  <c r="F82" i="159"/>
  <c r="C82" i="159"/>
  <c r="H82" i="159"/>
  <c r="K82" i="159"/>
  <c r="L82" i="159"/>
  <c r="M82" i="159"/>
  <c r="N82" i="159"/>
  <c r="I83" i="159"/>
  <c r="D83" i="159"/>
  <c r="J83" i="159"/>
  <c r="E83" i="159"/>
  <c r="F83" i="159"/>
  <c r="C83" i="159"/>
  <c r="H83" i="159"/>
  <c r="K83" i="159"/>
  <c r="L83" i="159"/>
  <c r="M83" i="159"/>
  <c r="N83" i="159"/>
  <c r="I84" i="159"/>
  <c r="D84" i="159"/>
  <c r="J84" i="159"/>
  <c r="E84" i="159"/>
  <c r="F84" i="159"/>
  <c r="C84" i="159"/>
  <c r="H84" i="159"/>
  <c r="K84" i="159"/>
  <c r="L84" i="159"/>
  <c r="M84" i="159"/>
  <c r="N84" i="159"/>
  <c r="I85" i="159"/>
  <c r="D85" i="159"/>
  <c r="J85" i="159"/>
  <c r="E85" i="159"/>
  <c r="F85" i="159"/>
  <c r="C85" i="159"/>
  <c r="H85" i="159"/>
  <c r="K85" i="159"/>
  <c r="L85" i="159"/>
  <c r="M85" i="159"/>
  <c r="N85" i="159"/>
  <c r="I86" i="159"/>
  <c r="D86" i="159"/>
  <c r="J86" i="159"/>
  <c r="E86" i="159"/>
  <c r="F86" i="159"/>
  <c r="C86" i="159"/>
  <c r="H86" i="159"/>
  <c r="K86" i="159"/>
  <c r="L86" i="159"/>
  <c r="M86" i="159"/>
  <c r="N86" i="159"/>
  <c r="I87" i="159"/>
  <c r="D87" i="159"/>
  <c r="J87" i="159"/>
  <c r="E87" i="159"/>
  <c r="F87" i="159"/>
  <c r="C87" i="159"/>
  <c r="H87" i="159"/>
  <c r="K87" i="159"/>
  <c r="L87" i="159"/>
  <c r="M87" i="159"/>
  <c r="N87" i="159"/>
  <c r="I88" i="159"/>
  <c r="D88" i="159"/>
  <c r="J88" i="159"/>
  <c r="E88" i="159"/>
  <c r="F88" i="159"/>
  <c r="C88" i="159"/>
  <c r="H88" i="159"/>
  <c r="K88" i="159"/>
  <c r="L88" i="159"/>
  <c r="M88" i="159"/>
  <c r="N88" i="159"/>
  <c r="I89" i="159"/>
  <c r="D89" i="159"/>
  <c r="J89" i="159"/>
  <c r="E89" i="159"/>
  <c r="F89" i="159"/>
  <c r="C89" i="159"/>
  <c r="H89" i="159"/>
  <c r="K89" i="159"/>
  <c r="L89" i="159"/>
  <c r="M89" i="159"/>
  <c r="N89" i="159"/>
  <c r="I90" i="159"/>
  <c r="D90" i="159"/>
  <c r="J90" i="159"/>
  <c r="E90" i="159"/>
  <c r="F90" i="159"/>
  <c r="C90" i="159"/>
  <c r="H90" i="159"/>
  <c r="K90" i="159"/>
  <c r="L90" i="159"/>
  <c r="M90" i="159"/>
  <c r="N90" i="159"/>
  <c r="I91" i="159"/>
  <c r="D91" i="159"/>
  <c r="J91" i="159"/>
  <c r="E91" i="159"/>
  <c r="F91" i="159"/>
  <c r="C91" i="159"/>
  <c r="H91" i="159"/>
  <c r="K91" i="159"/>
  <c r="L91" i="159"/>
  <c r="M91" i="159"/>
  <c r="N91" i="159"/>
  <c r="I92" i="159"/>
  <c r="D92" i="159"/>
  <c r="J92" i="159"/>
  <c r="E92" i="159"/>
  <c r="F92" i="159"/>
  <c r="C92" i="159"/>
  <c r="H92" i="159"/>
  <c r="K92" i="159"/>
  <c r="L92" i="159"/>
  <c r="M92" i="159"/>
  <c r="N92" i="159"/>
  <c r="I93" i="159"/>
  <c r="D93" i="159"/>
  <c r="J93" i="159"/>
  <c r="E93" i="159"/>
  <c r="F93" i="159"/>
  <c r="C93" i="159"/>
  <c r="H93" i="159"/>
  <c r="K93" i="159"/>
  <c r="L93" i="159"/>
  <c r="M93" i="159"/>
  <c r="N93" i="159"/>
  <c r="I94" i="159"/>
  <c r="D94" i="159"/>
  <c r="J94" i="159"/>
  <c r="E94" i="159"/>
  <c r="F94" i="159"/>
  <c r="C94" i="159"/>
  <c r="H94" i="159"/>
  <c r="K94" i="159"/>
  <c r="L94" i="159"/>
  <c r="M94" i="159"/>
  <c r="N94" i="159"/>
  <c r="I95" i="159"/>
  <c r="D95" i="159"/>
  <c r="J95" i="159"/>
  <c r="E95" i="159"/>
  <c r="F95" i="159"/>
  <c r="C95" i="159"/>
  <c r="H95" i="159"/>
  <c r="K95" i="159"/>
  <c r="L95" i="159"/>
  <c r="M95" i="159"/>
  <c r="N95" i="159"/>
  <c r="I96" i="159"/>
  <c r="D96" i="159"/>
  <c r="J96" i="159"/>
  <c r="E96" i="159"/>
  <c r="F96" i="159"/>
  <c r="C96" i="159"/>
  <c r="H96" i="159"/>
  <c r="K96" i="159"/>
  <c r="L96" i="159"/>
  <c r="M96" i="159"/>
  <c r="N96" i="159"/>
  <c r="I97" i="159"/>
  <c r="D97" i="159"/>
  <c r="J97" i="159"/>
  <c r="E97" i="159"/>
  <c r="F97" i="159"/>
  <c r="C97" i="159"/>
  <c r="H97" i="159"/>
  <c r="K97" i="159"/>
  <c r="L97" i="159"/>
  <c r="M97" i="159"/>
  <c r="N97" i="159"/>
  <c r="I98" i="159"/>
  <c r="D98" i="159"/>
  <c r="J98" i="159"/>
  <c r="E98" i="159"/>
  <c r="F98" i="159"/>
  <c r="C98" i="159"/>
  <c r="H98" i="159"/>
  <c r="K98" i="159"/>
  <c r="L98" i="159"/>
  <c r="M98" i="159"/>
  <c r="N98" i="159"/>
  <c r="I99" i="159"/>
  <c r="D99" i="159"/>
  <c r="J99" i="159"/>
  <c r="E99" i="159"/>
  <c r="F99" i="159"/>
  <c r="C99" i="159"/>
  <c r="H99" i="159"/>
  <c r="K99" i="159"/>
  <c r="L99" i="159"/>
  <c r="M99" i="159"/>
  <c r="N99" i="159"/>
  <c r="I100" i="159"/>
  <c r="D100" i="159"/>
  <c r="J100" i="159"/>
  <c r="E100" i="159"/>
  <c r="F100" i="159"/>
  <c r="C100" i="159"/>
  <c r="H100" i="159"/>
  <c r="K100" i="159"/>
  <c r="L100" i="159"/>
  <c r="M100" i="159"/>
  <c r="N100" i="159"/>
  <c r="I101" i="159"/>
  <c r="D101" i="159"/>
  <c r="J101" i="159"/>
  <c r="E101" i="159"/>
  <c r="F101" i="159"/>
  <c r="C101" i="159"/>
  <c r="H101" i="159"/>
  <c r="K101" i="159"/>
  <c r="L101" i="159"/>
  <c r="M101" i="159"/>
  <c r="N101" i="159"/>
  <c r="I102" i="159"/>
  <c r="D102" i="159"/>
  <c r="J102" i="159"/>
  <c r="E102" i="159"/>
  <c r="F102" i="159"/>
  <c r="C102" i="159"/>
  <c r="H102" i="159"/>
  <c r="K102" i="159"/>
  <c r="L102" i="159"/>
  <c r="M102" i="159"/>
  <c r="N102" i="159"/>
  <c r="I103" i="159"/>
  <c r="D103" i="159"/>
  <c r="J103" i="159"/>
  <c r="E103" i="159"/>
  <c r="F103" i="159"/>
  <c r="C103" i="159"/>
  <c r="H103" i="159"/>
  <c r="K103" i="159"/>
  <c r="L103" i="159"/>
  <c r="M103" i="159"/>
  <c r="N103" i="159"/>
  <c r="I104" i="159"/>
  <c r="D104" i="159"/>
  <c r="J104" i="159"/>
  <c r="E104" i="159"/>
  <c r="F104" i="159"/>
  <c r="C104" i="159"/>
  <c r="H104" i="159"/>
  <c r="K104" i="159"/>
  <c r="L104" i="159"/>
  <c r="M104" i="159"/>
  <c r="N104" i="159"/>
  <c r="I105" i="159"/>
  <c r="D105" i="159"/>
  <c r="J105" i="159"/>
  <c r="E105" i="159"/>
  <c r="F105" i="159"/>
  <c r="C105" i="159"/>
  <c r="H105" i="159"/>
  <c r="K105" i="159"/>
  <c r="L105" i="159"/>
  <c r="M105" i="159"/>
  <c r="N105" i="159"/>
  <c r="I106" i="159"/>
  <c r="D106" i="159"/>
  <c r="J106" i="159"/>
  <c r="E106" i="159"/>
  <c r="F106" i="159"/>
  <c r="C106" i="159"/>
  <c r="H106" i="159"/>
  <c r="K106" i="159"/>
  <c r="L106" i="159"/>
  <c r="M106" i="159"/>
  <c r="N106" i="159"/>
  <c r="I107" i="159"/>
  <c r="D107" i="159"/>
  <c r="J107" i="159"/>
  <c r="E107" i="159"/>
  <c r="F107" i="159"/>
  <c r="C107" i="159"/>
  <c r="H107" i="159"/>
  <c r="K107" i="159"/>
  <c r="L107" i="159"/>
  <c r="M107" i="159"/>
  <c r="N107" i="159"/>
  <c r="I108" i="159"/>
  <c r="D108" i="159"/>
  <c r="J108" i="159"/>
  <c r="E108" i="159"/>
  <c r="F108" i="159"/>
  <c r="C108" i="159"/>
  <c r="H108" i="159"/>
  <c r="K108" i="159"/>
  <c r="L108" i="159"/>
  <c r="M108" i="159"/>
  <c r="N108" i="159"/>
  <c r="I109" i="159"/>
  <c r="D109" i="159"/>
  <c r="J109" i="159"/>
  <c r="E109" i="159"/>
  <c r="F109" i="159"/>
  <c r="C109" i="159"/>
  <c r="H109" i="159"/>
  <c r="K109" i="159"/>
  <c r="L109" i="159"/>
  <c r="M109" i="159"/>
  <c r="N109" i="159"/>
  <c r="I110" i="159"/>
  <c r="D110" i="159"/>
  <c r="J110" i="159"/>
  <c r="E110" i="159"/>
  <c r="F110" i="159"/>
  <c r="C110" i="159"/>
  <c r="H110" i="159"/>
  <c r="K110" i="159"/>
  <c r="L110" i="159"/>
  <c r="M110" i="159"/>
  <c r="N110" i="159"/>
  <c r="I111" i="159"/>
  <c r="D111" i="159"/>
  <c r="J111" i="159"/>
  <c r="E111" i="159"/>
  <c r="F111" i="159"/>
  <c r="C111" i="159"/>
  <c r="H111" i="159"/>
  <c r="K111" i="159"/>
  <c r="L111" i="159"/>
  <c r="M111" i="159"/>
  <c r="N111" i="159"/>
  <c r="I112" i="159"/>
  <c r="D112" i="159"/>
  <c r="J112" i="159"/>
  <c r="E112" i="159"/>
  <c r="F112" i="159"/>
  <c r="C112" i="159"/>
  <c r="H112" i="159"/>
  <c r="K112" i="159"/>
  <c r="L112" i="159"/>
  <c r="M112" i="159"/>
  <c r="N112" i="159"/>
  <c r="I113" i="159"/>
  <c r="D113" i="159"/>
  <c r="J113" i="159"/>
  <c r="E113" i="159"/>
  <c r="F113" i="159"/>
  <c r="C113" i="159"/>
  <c r="H113" i="159"/>
  <c r="K113" i="159"/>
  <c r="L113" i="159"/>
  <c r="M113" i="159"/>
  <c r="N113" i="159"/>
  <c r="I114" i="159"/>
  <c r="D114" i="159"/>
  <c r="J114" i="159"/>
  <c r="E114" i="159"/>
  <c r="F114" i="159"/>
  <c r="C114" i="159"/>
  <c r="H114" i="159"/>
  <c r="K114" i="159"/>
  <c r="L114" i="159"/>
  <c r="M114" i="159"/>
  <c r="N114" i="159"/>
  <c r="I115" i="159"/>
  <c r="D115" i="159"/>
  <c r="J115" i="159"/>
  <c r="E115" i="159"/>
  <c r="F115" i="159"/>
  <c r="C115" i="159"/>
  <c r="H115" i="159"/>
  <c r="K115" i="159"/>
  <c r="L115" i="159"/>
  <c r="M115" i="159"/>
  <c r="N115" i="159"/>
  <c r="I116" i="159"/>
  <c r="D116" i="159"/>
  <c r="J116" i="159"/>
  <c r="E116" i="159"/>
  <c r="F116" i="159"/>
  <c r="C116" i="159"/>
  <c r="H116" i="159"/>
  <c r="K116" i="159"/>
  <c r="L116" i="159"/>
  <c r="M116" i="159"/>
  <c r="N116" i="159"/>
  <c r="I117" i="159"/>
  <c r="D117" i="159"/>
  <c r="J117" i="159"/>
  <c r="E117" i="159"/>
  <c r="F117" i="159"/>
  <c r="C117" i="159"/>
  <c r="H117" i="159"/>
  <c r="K117" i="159"/>
  <c r="L117" i="159"/>
  <c r="M117" i="159"/>
  <c r="N117" i="159"/>
  <c r="I118" i="159"/>
  <c r="D118" i="159"/>
  <c r="J118" i="159"/>
  <c r="E118" i="159"/>
  <c r="F118" i="159"/>
  <c r="C118" i="159"/>
  <c r="H118" i="159"/>
  <c r="K118" i="159"/>
  <c r="L118" i="159"/>
  <c r="M118" i="159"/>
  <c r="N118" i="159"/>
  <c r="I119" i="159"/>
  <c r="D119" i="159"/>
  <c r="J119" i="159"/>
  <c r="E119" i="159"/>
  <c r="F119" i="159"/>
  <c r="C119" i="159"/>
  <c r="H119" i="159"/>
  <c r="K119" i="159"/>
  <c r="L119" i="159"/>
  <c r="M119" i="159"/>
  <c r="N119" i="159"/>
  <c r="I120" i="159"/>
  <c r="D120" i="159"/>
  <c r="J120" i="159"/>
  <c r="E120" i="159"/>
  <c r="F120" i="159"/>
  <c r="C120" i="159"/>
  <c r="H120" i="159"/>
  <c r="K120" i="159"/>
  <c r="L120" i="159"/>
  <c r="M120" i="159"/>
  <c r="N120" i="159"/>
  <c r="I121" i="159"/>
  <c r="D121" i="159"/>
  <c r="J121" i="159"/>
  <c r="E121" i="159"/>
  <c r="F121" i="159"/>
  <c r="C121" i="159"/>
  <c r="H121" i="159"/>
  <c r="K121" i="159"/>
  <c r="L121" i="159"/>
  <c r="M121" i="159"/>
  <c r="N121" i="159"/>
  <c r="I122" i="159"/>
  <c r="D122" i="159"/>
  <c r="J122" i="159"/>
  <c r="E122" i="159"/>
  <c r="F122" i="159"/>
  <c r="C122" i="159"/>
  <c r="H122" i="159"/>
  <c r="K122" i="159"/>
  <c r="L122" i="159"/>
  <c r="M122" i="159"/>
  <c r="N122" i="159"/>
  <c r="I123" i="159"/>
  <c r="D123" i="159"/>
  <c r="J123" i="159"/>
  <c r="E123" i="159"/>
  <c r="F123" i="159"/>
  <c r="C123" i="159"/>
  <c r="H123" i="159"/>
  <c r="K123" i="159"/>
  <c r="L123" i="159"/>
  <c r="M123" i="159"/>
  <c r="N123" i="159"/>
  <c r="I124" i="159"/>
  <c r="D124" i="159"/>
  <c r="J124" i="159"/>
  <c r="E124" i="159"/>
  <c r="F124" i="159"/>
  <c r="C124" i="159"/>
  <c r="H124" i="159"/>
  <c r="K124" i="159"/>
  <c r="L124" i="159"/>
  <c r="M124" i="159"/>
  <c r="N124" i="159"/>
  <c r="I125" i="159"/>
  <c r="D125" i="159"/>
  <c r="J125" i="159"/>
  <c r="E125" i="159"/>
  <c r="F125" i="159"/>
  <c r="C125" i="159"/>
  <c r="H125" i="159"/>
  <c r="K125" i="159"/>
  <c r="L125" i="159"/>
  <c r="M125" i="159"/>
  <c r="N125" i="159"/>
  <c r="I126" i="159"/>
  <c r="D126" i="159"/>
  <c r="J126" i="159"/>
  <c r="E126" i="159"/>
  <c r="F126" i="159"/>
  <c r="C126" i="159"/>
  <c r="H126" i="159"/>
  <c r="K126" i="159"/>
  <c r="L126" i="159"/>
  <c r="M126" i="159"/>
  <c r="N126" i="159"/>
  <c r="I127" i="159"/>
  <c r="D127" i="159"/>
  <c r="J127" i="159"/>
  <c r="E127" i="159"/>
  <c r="F127" i="159"/>
  <c r="C127" i="159"/>
  <c r="H127" i="159"/>
  <c r="K127" i="159"/>
  <c r="L127" i="159"/>
  <c r="M127" i="159"/>
  <c r="N127" i="159"/>
  <c r="I128" i="159"/>
  <c r="D128" i="159"/>
  <c r="J128" i="159"/>
  <c r="E128" i="159"/>
  <c r="F128" i="159"/>
  <c r="C128" i="159"/>
  <c r="H128" i="159"/>
  <c r="K128" i="159"/>
  <c r="L128" i="159"/>
  <c r="M128" i="159"/>
  <c r="N128" i="159"/>
  <c r="I129" i="159"/>
  <c r="D129" i="159"/>
  <c r="J129" i="159"/>
  <c r="E129" i="159"/>
  <c r="F129" i="159"/>
  <c r="C129" i="159"/>
  <c r="H129" i="159"/>
  <c r="K129" i="159"/>
  <c r="L129" i="159"/>
  <c r="M129" i="159"/>
  <c r="N129" i="159"/>
  <c r="I130" i="159"/>
  <c r="D130" i="159"/>
  <c r="J130" i="159"/>
  <c r="E130" i="159"/>
  <c r="F130" i="159"/>
  <c r="C130" i="159"/>
  <c r="H130" i="159"/>
  <c r="K130" i="159"/>
  <c r="L130" i="159"/>
  <c r="M130" i="159"/>
  <c r="N130" i="159"/>
  <c r="I131" i="159"/>
  <c r="D131" i="159"/>
  <c r="J131" i="159"/>
  <c r="E131" i="159"/>
  <c r="F131" i="159"/>
  <c r="C131" i="159"/>
  <c r="H131" i="159"/>
  <c r="K131" i="159"/>
  <c r="L131" i="159"/>
  <c r="M131" i="159"/>
  <c r="N131" i="159"/>
  <c r="I132" i="159"/>
  <c r="D132" i="159"/>
  <c r="J132" i="159"/>
  <c r="E132" i="159"/>
  <c r="F132" i="159"/>
  <c r="C132" i="159"/>
  <c r="H132" i="159"/>
  <c r="K132" i="159"/>
  <c r="L132" i="159"/>
  <c r="M132" i="159"/>
  <c r="N132" i="159"/>
  <c r="I133" i="159"/>
  <c r="D133" i="159"/>
  <c r="J133" i="159"/>
  <c r="E133" i="159"/>
  <c r="F133" i="159"/>
  <c r="C133" i="159"/>
  <c r="H133" i="159"/>
  <c r="K133" i="159"/>
  <c r="L133" i="159"/>
  <c r="M133" i="159"/>
  <c r="N133" i="159"/>
  <c r="I134" i="159"/>
  <c r="D134" i="159"/>
  <c r="J134" i="159"/>
  <c r="E134" i="159"/>
  <c r="F134" i="159"/>
  <c r="C134" i="159"/>
  <c r="H134" i="159"/>
  <c r="K134" i="159"/>
  <c r="L134" i="159"/>
  <c r="M134" i="159"/>
  <c r="N134" i="159"/>
  <c r="I135" i="159"/>
  <c r="D135" i="159"/>
  <c r="J135" i="159"/>
  <c r="E135" i="159"/>
  <c r="F135" i="159"/>
  <c r="C135" i="159"/>
  <c r="H135" i="159"/>
  <c r="K135" i="159"/>
  <c r="L135" i="159"/>
  <c r="M135" i="159"/>
  <c r="N135" i="159"/>
  <c r="P135" i="159"/>
  <c r="A3" i="159"/>
  <c r="A4" i="159"/>
  <c r="A5" i="159"/>
  <c r="A6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F325" i="154"/>
  <c r="H325" i="154"/>
  <c r="K325" i="154"/>
  <c r="L325" i="154"/>
  <c r="M325" i="154"/>
  <c r="N325" i="154"/>
  <c r="F326" i="154"/>
  <c r="F327" i="154"/>
  <c r="F328" i="154"/>
  <c r="F329" i="154"/>
  <c r="F330" i="154"/>
  <c r="P325" i="154"/>
  <c r="H326" i="154"/>
  <c r="K326" i="154"/>
  <c r="L326" i="154"/>
  <c r="M326" i="154"/>
  <c r="N326" i="154"/>
  <c r="P326" i="154"/>
  <c r="H327" i="154"/>
  <c r="K327" i="154"/>
  <c r="L327" i="154"/>
  <c r="M327" i="154"/>
  <c r="N327" i="154"/>
  <c r="P327" i="154"/>
  <c r="H328" i="154"/>
  <c r="K328" i="154"/>
  <c r="L328" i="154"/>
  <c r="M328" i="154"/>
  <c r="N328" i="154"/>
  <c r="P328" i="154"/>
  <c r="H329" i="154"/>
  <c r="K329" i="154"/>
  <c r="L329" i="154"/>
  <c r="M329" i="154"/>
  <c r="N329" i="154"/>
  <c r="P329" i="154"/>
  <c r="H330" i="154"/>
  <c r="K330" i="154"/>
  <c r="L330" i="154"/>
  <c r="M330" i="154"/>
  <c r="N330" i="154"/>
  <c r="P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P325" i="158"/>
  <c r="H326" i="158"/>
  <c r="K326" i="158"/>
  <c r="L326" i="158"/>
  <c r="M326" i="158"/>
  <c r="N326" i="158"/>
  <c r="P326" i="158"/>
  <c r="H327" i="158"/>
  <c r="K327" i="158"/>
  <c r="L327" i="158"/>
  <c r="M327" i="158"/>
  <c r="N327" i="158"/>
  <c r="P327" i="158"/>
  <c r="H328" i="158"/>
  <c r="K328" i="158"/>
  <c r="L328" i="158"/>
  <c r="M328" i="158"/>
  <c r="N328" i="158"/>
  <c r="P328" i="158"/>
  <c r="H329" i="158"/>
  <c r="K329" i="158"/>
  <c r="L329" i="158"/>
  <c r="M329" i="158"/>
  <c r="N329" i="158"/>
  <c r="P329" i="158"/>
  <c r="H330" i="158"/>
  <c r="K330" i="158"/>
  <c r="L330" i="158"/>
  <c r="M330" i="158"/>
  <c r="N330" i="158"/>
  <c r="P330" i="158"/>
  <c r="A325" i="158"/>
  <c r="A326" i="158"/>
  <c r="A327" i="158"/>
  <c r="A328" i="158"/>
  <c r="A329" i="158"/>
  <c r="A330" i="158"/>
  <c r="F2" i="158"/>
  <c r="H2" i="158"/>
  <c r="K2" i="158"/>
  <c r="L2" i="158"/>
  <c r="M2" i="158"/>
  <c r="C4" i="103"/>
  <c r="E4" i="103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0" i="154"/>
  <c r="H320" i="154"/>
  <c r="K320" i="154"/>
  <c r="L320" i="154"/>
  <c r="M320" i="154"/>
  <c r="N320" i="154"/>
  <c r="F321" i="154"/>
  <c r="F322" i="154"/>
  <c r="F323" i="154"/>
  <c r="F32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H324" i="154"/>
  <c r="K324" i="154"/>
  <c r="L324" i="154"/>
  <c r="M324" i="154"/>
  <c r="N324" i="154"/>
  <c r="P324" i="154"/>
  <c r="A320" i="154"/>
  <c r="A321" i="154"/>
  <c r="A322" i="154"/>
  <c r="A323" i="154"/>
  <c r="A324" i="154"/>
  <c r="H320" i="158"/>
  <c r="K320" i="158"/>
  <c r="L320" i="158"/>
  <c r="M320" i="158"/>
  <c r="N320" i="158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H324" i="158"/>
  <c r="K324" i="158"/>
  <c r="L324" i="158"/>
  <c r="M324" i="158"/>
  <c r="N324" i="158"/>
  <c r="P324" i="158"/>
  <c r="A320" i="158"/>
  <c r="A321" i="158"/>
  <c r="A322" i="158"/>
  <c r="A323" i="158"/>
  <c r="A324" i="158"/>
  <c r="H315" i="154"/>
  <c r="K315" i="154"/>
  <c r="L315" i="154"/>
  <c r="M315" i="154"/>
  <c r="N315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H315" i="158"/>
  <c r="K315" i="158"/>
  <c r="L315" i="158"/>
  <c r="M315" i="158"/>
  <c r="N315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H310" i="154"/>
  <c r="K310" i="154"/>
  <c r="L310" i="154"/>
  <c r="M310" i="154"/>
  <c r="N310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H310" i="158"/>
  <c r="K310" i="158"/>
  <c r="L310" i="158"/>
  <c r="M310" i="158"/>
  <c r="N310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N6" i="159"/>
  <c r="M6" i="159"/>
  <c r="L6" i="159"/>
  <c r="K6" i="159"/>
  <c r="J6" i="159"/>
  <c r="H6" i="159"/>
  <c r="F6" i="159"/>
  <c r="C6" i="159"/>
  <c r="N5" i="159"/>
  <c r="M5" i="159"/>
  <c r="L5" i="159"/>
  <c r="K5" i="159"/>
  <c r="J5" i="159"/>
  <c r="H5" i="159"/>
  <c r="F5" i="159"/>
  <c r="C5" i="159"/>
  <c r="N4" i="159"/>
  <c r="M4" i="159"/>
  <c r="L4" i="159"/>
  <c r="K4" i="159"/>
  <c r="J4" i="159"/>
  <c r="H4" i="159"/>
  <c r="F4" i="159"/>
  <c r="C4" i="159"/>
  <c r="N3" i="159"/>
  <c r="M3" i="159"/>
  <c r="L3" i="159"/>
  <c r="K3" i="159"/>
  <c r="J3" i="159"/>
  <c r="H3" i="159"/>
  <c r="F3" i="159"/>
  <c r="C3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R5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<sst xmlns="http://schemas.openxmlformats.org/spreadsheetml/2006/main" count="533" uniqueCount="252">
  <si>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</si>
  <si>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</si>
  <si>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</si>
  <si>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</si>
  <si>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</si>
  <si>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</si>
  <si>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</si>
  <si>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</si>
  <si>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</si>
  <si>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</si>
  <si>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</si>
  <si>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</si>
  <si>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</si>
  <si>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</si>
  <si>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</si>
  <si>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</si>
  <si>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</si>
  <si>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</si>
  <si>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</si>
  <si>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</si>
  <si>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</si>
  <si>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</si>
  <si>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</si>
  <si>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</si>
  <si>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</si>
  <si>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</si>
  <si>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</si>
  <si>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</si>
  <si>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</si>
  <si>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</si>
  <si>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</si>
  <si>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</si>
  <si>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</si>
  <si>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</si>
  <si>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</si>
  <si>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</si>
  <si>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</si>
  <si>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</si>
  <si>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</si>
  <si>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</si>
  <si>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</si>
  <si>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</si>
  <si>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</si>
  <si>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</si>
  <si>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</si>
  <si>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</si>
  <si>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</si>
  <si>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</si>
  <si>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</si>
  <si>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</si>
  <si>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</si>
  <si>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</si>
  <si>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</si>
  <si>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</si>
  <si>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</si>
  <si>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</si>
  <si>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</si>
  <si>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</si>
  <si>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</si>
  <si>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</si>
  <si>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</si>
  <si>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</si>
  <si>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</si>
  <si>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</si>
  <si>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</si>
  <si>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</si>
  <si>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</si>
  <si>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</si>
  <si>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</si>
  <si>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</si>
  <si>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</si>
  <si>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</si>
  <si>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</si>
  <si>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</si>
  <si>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</si>
  <si>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</si>
  <si>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</si>
  <si>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</si>
  <si>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</si>
  <si>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</si>
  <si>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</si>
  <si>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</si>
  <si>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</si>
  <si>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</si>
  <si>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</si>
  <si>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</si>
  <si>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</si>
  <si>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</si>
  <si>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</si>
  <si>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</si>
  <si>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</si>
  <si>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</si>
  <si>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</si>
  <si>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</si>
  <si>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</si>
  <si>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</si>
  <si>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</si>
  <si>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</si>
  <si>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</si>
  <si>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</si>
  <si>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</si>
  <si>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</si>
  <si>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</si>
  <si>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</si>
  <si>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</si>
  <si>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</si>
  <si>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</si>
  <si>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</si>
  <si>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</si>
  <si>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</si>
  <si>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</si>
  <si>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</si>
  <si>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</si>
  <si>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</si>
  <si>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</si>
  <si>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</si>
  <si>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</si>
  <si>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</si>
  <si>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</si>
  <si>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</si>
  <si>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</si>
  <si>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</si>
  <si>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</si>
  <si>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</si>
  <si>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</si>
  <si>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</si>
  <si>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</si>
  <si>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</si>
  <si>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</si>
  <si>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</si>
  <si>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</si>
  <si>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</si>
  <si>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</si>
  <si>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</si>
  <si>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</si>
  <si>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</si>
  <si>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</si>
  <si>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</si>
  <si>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</si>
  <si>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</si>
  <si>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</si>
  <si>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</si>
  <si>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</si>
  <si>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</si>
  <si>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</si>
  <si>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</si>
  <si>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</si>
  <si>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</si>
  <si>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</si>
  <si>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</si>
  <si>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</si>
  <si>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</si>
  <si>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</si>
  <si>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</si>
  <si>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</si>
  <si>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</si>
  <si>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</si>
  <si>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</si>
  <si>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</si>
  <si>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</si>
  <si>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</si>
  <si>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</si>
  <si>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</si>
  <si>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</si>
  <si>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</si>
  <si>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</si>
  <si>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</si>
  <si>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</si>
  <si>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</si>
  <si>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</si>
  <si>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</si>
  <si>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</si>
  <si>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</si>
  <si>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</si>
  <si>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</si>
  <si>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</si>
  <si>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</si>
  <si>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</si>
  <si>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</si>
  <si>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</si>
  <si>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</si>
  <si>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</si>
  <si>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</si>
  <si>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</si>
  <si>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</si>
  <si>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</si>
  <si>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</si>
  <si>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</si>
  <si>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</si>
  <si>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</si>
  <si>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</si>
  <si>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</si>
  <si>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</si>
  <si>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</si>
  <si>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</si>
  <si>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</si>
  <si>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</si>
  <si>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</si>
  <si>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</si>
  <si>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</si>
  <si>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</si>
  <si>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</si>
  <si>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</si>
  <si>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</si>
  <si>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</si>
  <si>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</si>
  <si>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</si>
  <si>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</si>
  <si>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</si>
  <si>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</si>
  <si>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</si>
  <si>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</si>
  <si>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</si>
  <si>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</si>
  <si>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</si>
  <si>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</si>
  <si>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</si>
  <si>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</si>
  <si>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</si>
  <si>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</si>
  <si>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</si>
  <si>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</si>
  <si>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</si>
  <si>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</si>
  <si>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</si>
  <si>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</si>
  <si>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</si>
  <si>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</si>
  <si>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</si>
  <si>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</si>
  <si>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</si>
  <si>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</si>
  <si>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</si>
  <si>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</si>
  <si>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</si>
  <si>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</si>
  <si>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</si>
  <si>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</si>
  <si>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</si>
  <si>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</si>
  <si>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</si>
  <si>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</si>
  <si>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</si>
  <si>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</si>
  <si>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</si>
  <si>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</si>
  <si>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</si>
  <si>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</si>
  <si>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</si>
  <si>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tables_439100</t>
  </si>
  <si>
    <t>tables_439010</t>
  </si>
  <si>
    <t>tables_settle_439100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</si>
</sst>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technical</v>
          </cell>
          <cell r="L1219" t="str">
            <v>テクニカルタイプ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technical</v>
          </cell>
          <cell r="L1220" t="str">
            <v>テクニカルタイプ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unknown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unknown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H34" sqref="H3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439100</v>
      </c>
      <c r="D2" s="19" t="s">
        <v>45</v>
      </c>
      <c r="E2" s="17" t="str">
        <f t="shared" ref="E2" si="1">B2&amp;C2&amp;D2</f>
        <v>gacha_select_tables_439100.tmp</v>
      </c>
      <c r="F2" s="98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439010</v>
      </c>
      <c r="D3" s="19" t="s">
        <v>45</v>
      </c>
      <c r="E3" s="17" t="str">
        <f t="shared" ref="E3:E10" si="3">B3&amp;C3&amp;D3</f>
        <v>gacha_select_tables_439010.tmp</v>
      </c>
      <c r="F3" s="98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247</v>
      </c>
      <c r="B4" s="96" t="s">
        <v>248</v>
      </c>
      <c r="C4" s="97" t="str">
        <f t="shared" si="2"/>
        <v>439100</v>
      </c>
      <c r="D4" s="19" t="s">
        <v>46</v>
      </c>
      <c r="E4" s="17" t="str">
        <f t="shared" si="3"/>
        <v>gacha_settle_tables_439100.tmp</v>
      </c>
      <c r="F4" s="98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H47" sqref="H4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1159</v>
      </c>
      <c r="M3" s="37" t="str">
        <f>VLOOKUP(L3,[1]characters!$A:$C,3,FALSE)</f>
        <v>ガロア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VLOOKUP(L3,tables_439010!B:C,2,FALSE)</f>
        <v>PremiumSSS5R3less</v>
      </c>
      <c r="R3" s="62">
        <f t="shared" ref="R3:R20" si="1">N3*A$36</f>
        <v>500500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760</v>
      </c>
      <c r="M4" s="37" t="str">
        <f>VLOOKUP(L4,[1]characters!$A:$C,3,FALSE)</f>
        <v>限論顕現 クロネッカー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VLOOKUP(L4,tables_439010!B:C,2,FALSE)</f>
        <v>PremiumSSS5R3less</v>
      </c>
      <c r="R4" s="62">
        <f t="shared" si="1"/>
        <v>500500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1.1818181818181819E-3</v>
      </c>
      <c r="F5">
        <f>(COUNTIF(tables_439010!C:C,input_439010!A28)+COUNTIF(tables_439010!C:C,input_439010!A29))</f>
        <v>57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VLOOKUP(L5,tables_439010!B:C,2,FALSE)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1.0054945054945055E-2</v>
      </c>
      <c r="F6">
        <f>(COUNTIF(tables_439010!C:C,input_439010!A25)+COUNTIF(tables_439010!C:C,input_439010!A18)+COUNTIF(tables_439010!C:C,input_439010!A20)+COUNTIF(tables_439010!C:C,input_439010!A22))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COUNTIF(tables_439010!C:C,input_439010!A17)-COUNTIF(Q:Q,A17)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0.20109890109890111</v>
      </c>
      <c r="C18" s="85">
        <f t="shared" si="2"/>
        <v>0</v>
      </c>
      <c r="D18" s="74">
        <f t="shared" si="3"/>
        <v>0.20109890109890111</v>
      </c>
      <c r="E18">
        <f>COUNTIF(tables_439010!C:C,input_439010!A18)-COUNTIF(Q:Q,A18)</f>
        <v>20</v>
      </c>
      <c r="F18" s="43">
        <f>IFERROR(B18/E18,0)</f>
        <v>1.0054945054945055E-2</v>
      </c>
      <c r="G18">
        <f t="shared" si="4"/>
        <v>20130000</v>
      </c>
      <c r="H18">
        <f t="shared" si="5"/>
        <v>1006500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COUNTIF(tables_439010!C:C,input_439010!A19)-COUNTIF(Q:Q,A19)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0.52110107392607397</v>
      </c>
      <c r="C20" s="85">
        <f t="shared" si="2"/>
        <v>0</v>
      </c>
      <c r="D20" s="74">
        <f t="shared" si="3"/>
        <v>0.52110107392607397</v>
      </c>
      <c r="E20">
        <f>COUNTIF(tables_439010!C:C,input_439010!A20)-COUNTIF(Q:Q,A20)</f>
        <v>52</v>
      </c>
      <c r="F20" s="43">
        <f t="shared" si="8"/>
        <v>1.0021174498578346E-2</v>
      </c>
      <c r="G20">
        <f t="shared" si="4"/>
        <v>52162217.500000007</v>
      </c>
      <c r="H20">
        <f t="shared" si="5"/>
        <v>1003119.56731</v>
      </c>
      <c r="I20">
        <f t="shared" si="6"/>
        <v>0.56730999995488673</v>
      </c>
      <c r="J20">
        <f t="shared" si="7"/>
        <v>1.7627046942227731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1.756068932717042E-3</v>
      </c>
      <c r="C21" s="85">
        <f t="shared" si="2"/>
        <v>0</v>
      </c>
      <c r="D21" s="74">
        <f t="shared" si="3"/>
        <v>1.756068932717042E-3</v>
      </c>
      <c r="E21">
        <f>COUNTIF(tables_439010!C:C,input_439010!A21)-COUNTIF(Q:Q,A21)</f>
        <v>52</v>
      </c>
      <c r="F21" s="43">
        <f t="shared" si="8"/>
        <v>3.3770556398404655E-5</v>
      </c>
      <c r="G21">
        <f t="shared" si="4"/>
        <v>175782.50016497591</v>
      </c>
      <c r="H21">
        <f t="shared" si="5"/>
        <v>3380.4326999999998</v>
      </c>
      <c r="I21">
        <f t="shared" si="6"/>
        <v>0.43269999999984066</v>
      </c>
      <c r="J21">
        <f t="shared" si="7"/>
        <v>2.3110700254226213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0.13498763736263736</v>
      </c>
      <c r="C22" s="85">
        <f t="shared" si="2"/>
        <v>0</v>
      </c>
      <c r="D22" s="74">
        <f t="shared" si="3"/>
        <v>0.13498763736263736</v>
      </c>
      <c r="E22">
        <f>COUNTIF(tables_439010!C:C,input_439010!A22)-COUNTIF(Q:Q,A22)</f>
        <v>15</v>
      </c>
      <c r="F22" s="43">
        <f t="shared" si="8"/>
        <v>8.9991758241758247E-3</v>
      </c>
      <c r="G22">
        <f t="shared" si="4"/>
        <v>13512262.5</v>
      </c>
      <c r="H22">
        <f t="shared" si="5"/>
        <v>900817.5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1.5836538461538461E-2</v>
      </c>
      <c r="C23" s="85">
        <f t="shared" si="2"/>
        <v>0</v>
      </c>
      <c r="D23" s="74">
        <f t="shared" si="3"/>
        <v>1.5836538461538461E-2</v>
      </c>
      <c r="E23">
        <f>COUNTIF(tables_439010!C:C,input_439010!A23)-COUNTIF(Q:Q,A23)</f>
        <v>21</v>
      </c>
      <c r="F23" s="43">
        <f t="shared" si="8"/>
        <v>7.5412087912087912E-4</v>
      </c>
      <c r="G23">
        <f t="shared" si="4"/>
        <v>1585237.5</v>
      </c>
      <c r="H23">
        <f t="shared" si="5"/>
        <v>75487.5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COUNTIF(tables_439010!C:C,input_439010!A24)-COUNTIF(Q:Q,A24)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3.7203296703296702E-2</v>
      </c>
      <c r="C25" s="85">
        <f t="shared" si="2"/>
        <v>0</v>
      </c>
      <c r="D25" s="74">
        <f t="shared" si="3"/>
        <v>3.7203296703296702E-2</v>
      </c>
      <c r="E25">
        <f>COUNTIF(tables_439010!C:C,input_439010!A25)-COUNTIF(Q:Q,A25)</f>
        <v>4</v>
      </c>
      <c r="F25" s="43">
        <f t="shared" si="8"/>
        <v>9.3008241758241756E-3</v>
      </c>
      <c r="G25">
        <f t="shared" si="4"/>
        <v>3724050</v>
      </c>
      <c r="H25">
        <f t="shared" si="5"/>
        <v>931012.5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3.0164835164835165E-3</v>
      </c>
      <c r="C26" s="85">
        <f t="shared" si="2"/>
        <v>0</v>
      </c>
      <c r="D26" s="74">
        <f t="shared" si="3"/>
        <v>3.0164835164835165E-3</v>
      </c>
      <c r="E26">
        <f>COUNTIF(tables_439010!C:C,input_439010!A26)-COUNTIF(Q:Q,A26)</f>
        <v>4</v>
      </c>
      <c r="F26" s="43">
        <f t="shared" si="8"/>
        <v>7.5412087912087912E-4</v>
      </c>
      <c r="G26">
        <f t="shared" si="4"/>
        <v>301950</v>
      </c>
      <c r="H26">
        <f t="shared" si="5"/>
        <v>75487.5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3.0609090909090912E-2</v>
      </c>
      <c r="C27" s="85">
        <f t="shared" si="2"/>
        <v>0</v>
      </c>
      <c r="D27" s="74">
        <f t="shared" si="3"/>
        <v>3.0609090909090912E-2</v>
      </c>
      <c r="E27">
        <f>COUNTIF(tables_439010!C:C,input_439010!A27)-COUNTIF(Q:Q,A27)</f>
        <v>28</v>
      </c>
      <c r="F27" s="43">
        <f>IFERROR(B27/E27,0)</f>
        <v>1.0931818181818182E-3</v>
      </c>
      <c r="G27">
        <f t="shared" si="4"/>
        <v>3063970.0000000005</v>
      </c>
      <c r="H27">
        <f t="shared" si="5"/>
        <v>109427.5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1.0118181818531673E-2</v>
      </c>
      <c r="C28" s="85">
        <f t="shared" si="2"/>
        <v>0</v>
      </c>
      <c r="D28" s="74">
        <f t="shared" si="3"/>
        <v>1.0118181818531673E-2</v>
      </c>
      <c r="E28">
        <f>COUNTIF(tables_439010!C:C,input_439010!A28)-COUNTIF(Q:Q,A28)</f>
        <v>28</v>
      </c>
      <c r="F28" s="43">
        <f t="shared" si="8"/>
        <v>3.6136363637613117E-4</v>
      </c>
      <c r="G28">
        <f t="shared" si="4"/>
        <v>1012830.0000350205</v>
      </c>
      <c r="H28">
        <f t="shared" si="5"/>
        <v>36172.5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E$5*E29+G50</f>
        <v>3.4272727272727274E-2</v>
      </c>
      <c r="C29" s="85">
        <f t="shared" si="2"/>
        <v>0</v>
      </c>
      <c r="D29" s="74">
        <f t="shared" si="3"/>
        <v>3.4272727272727274E-2</v>
      </c>
      <c r="E29">
        <f>COUNTIF(tables_439010!C:C,input_439010!A29)-COUNTIF(Q:Q,A29)</f>
        <v>29</v>
      </c>
      <c r="F29" s="43">
        <f t="shared" si="8"/>
        <v>1.1818181818181819E-3</v>
      </c>
      <c r="G29">
        <f t="shared" si="4"/>
        <v>3430700</v>
      </c>
      <c r="H29">
        <f t="shared" si="5"/>
        <v>118300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COUNTIF(tables_439010!C:C,input_439010!A30)-COUNTIF(Q:Q,A30)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COUNTIF(tables_439010!C:C,input_439010!A31)-COUNTIF(Q:Q,A31)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0.99000000000199795</v>
      </c>
      <c r="C32" s="41">
        <f>SUM(C19:C31)</f>
        <v>0.01</v>
      </c>
      <c r="D32" s="42">
        <f t="shared" si="3"/>
        <v>0.98000000000199794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3.7458216783216813E-2</v>
      </c>
      <c r="F34">
        <f ca="1">0.925-G41</f>
        <v>-1.1989298442927065E-12</v>
      </c>
    </row>
    <row r="35" spans="1:7" x14ac:dyDescent="0.15">
      <c r="A35" t="s">
        <v>73</v>
      </c>
      <c r="E35">
        <v>9.9999999980020376E-3</v>
      </c>
      <c r="F35">
        <f ca="1">G42-0.075</f>
        <v>3.9959979769577103E-12</v>
      </c>
    </row>
    <row r="36" spans="1:7" x14ac:dyDescent="0.15">
      <c r="A36" s="31">
        <f>LCM(F5-I5,F6-I6)*1000*2*2*5</f>
        <v>100100000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SUMIF(tables_439010!C:C,input_439010!A40,tables_439010!O:O)</f>
        <v>0</v>
      </c>
      <c r="C40" s="54">
        <f t="shared" ref="C40:C46" ca="1" si="9">B40/B$47</f>
        <v>0</v>
      </c>
      <c r="E40">
        <v>3</v>
      </c>
      <c r="F40">
        <f ca="1">SUMIF(tables_439010!J:J,input_439010!E40,tables_439010!O:O)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SUMIF(tables_439010!C:C,input_439010!A41,tables_439010!O:O)</f>
        <v>52162217.500119992</v>
      </c>
      <c r="C41" s="54">
        <f t="shared" ca="1" si="9"/>
        <v>0.92461938178703462</v>
      </c>
      <c r="E41">
        <v>4</v>
      </c>
      <c r="F41">
        <f ca="1">SUMIF(tables_439010!J:J,input_439010!E41,tables_439010!O:O)</f>
        <v>92592500.000120014</v>
      </c>
      <c r="G41">
        <f ca="1">F41/A36</f>
        <v>0.92500000000119897</v>
      </c>
    </row>
    <row r="42" spans="1:7" x14ac:dyDescent="0.15">
      <c r="A42" s="33" t="s">
        <v>106</v>
      </c>
      <c r="B42">
        <f ca="1">SUMIF(tables_439010!C:C,input_439010!A42,tables_439010!O:O)</f>
        <v>3063970</v>
      </c>
      <c r="C42" s="54">
        <f t="shared" ca="1" si="9"/>
        <v>5.43114572766678E-2</v>
      </c>
      <c r="E42">
        <v>5</v>
      </c>
      <c r="F42">
        <f ca="1">SUMIF(tables_439010!J:J,input_439010!E42,tables_439010!O:O)</f>
        <v>7507500.0003999993</v>
      </c>
      <c r="G42">
        <f ca="1">F42/A36</f>
        <v>7.5000000003995995E-2</v>
      </c>
    </row>
    <row r="43" spans="1:7" x14ac:dyDescent="0.15">
      <c r="A43" s="33" t="s">
        <v>109</v>
      </c>
      <c r="B43">
        <f>SUMIF(tables_439010!C:C,input_439010!A43,tables_439010!O:O)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SUMIF(tables_439010!C:C,input_439010!A44,tables_439010!O:O)</f>
        <v>175782.50040000014</v>
      </c>
      <c r="C44" s="54">
        <f t="shared" ca="1" si="9"/>
        <v>3.1158933541974784E-3</v>
      </c>
      <c r="E44" t="s">
        <v>54</v>
      </c>
      <c r="F44" s="55"/>
    </row>
    <row r="45" spans="1:7" x14ac:dyDescent="0.15">
      <c r="A45" s="33" t="s">
        <v>107</v>
      </c>
      <c r="B45">
        <f ca="1">SUMIF(tables_439010!C:C,input_439010!A45,tables_439010!O:O)</f>
        <v>1012830</v>
      </c>
      <c r="C45" s="54">
        <f t="shared" ca="1" si="9"/>
        <v>1.7953267582100165E-2</v>
      </c>
      <c r="E45" t="s">
        <v>204</v>
      </c>
      <c r="F45" s="55">
        <f ca="1">SUMIF(tables_439010!I:I,input_439010!E45,tables_439010!P:P)</f>
        <v>0.20562362637255829</v>
      </c>
    </row>
    <row r="46" spans="1:7" x14ac:dyDescent="0.15">
      <c r="A46" s="33" t="s">
        <v>108</v>
      </c>
      <c r="B46">
        <f>SUMIF(tables_439010!C:C,input_439010!A46,tables_439010!O:O)</f>
        <v>0</v>
      </c>
      <c r="C46" s="54">
        <f t="shared" ca="1" si="9"/>
        <v>0</v>
      </c>
      <c r="E46" t="s">
        <v>205</v>
      </c>
      <c r="F46" s="55">
        <f ca="1">SUMIF(tables_439010!I:I,input_439010!E46,tables_439010!P:P)</f>
        <v>0.20109890109955472</v>
      </c>
    </row>
    <row r="47" spans="1:7" x14ac:dyDescent="0.15">
      <c r="A47" s="39" t="s">
        <v>59</v>
      </c>
      <c r="B47">
        <f ca="1">SUM(B40:B46)</f>
        <v>56414800.000519991</v>
      </c>
      <c r="C47" s="55">
        <f ca="1">SUM(C40:C46)</f>
        <v>1</v>
      </c>
      <c r="E47" t="s">
        <v>206</v>
      </c>
      <c r="F47" s="55">
        <f ca="1">SUMIF(tables_439010!I:I,input_439010!E47,tables_439010!P:P)</f>
        <v>0.50827747252832856</v>
      </c>
    </row>
    <row r="48" spans="1:7" x14ac:dyDescent="0.15">
      <c r="E48" t="s">
        <v>207</v>
      </c>
      <c r="F48" s="55">
        <f ca="1">SUMIF(tables_439010!I:I,input_439010!E48,tables_439010!P:P)</f>
        <v>7.0272727272362237E-2</v>
      </c>
    </row>
    <row r="49" spans="7:7" x14ac:dyDescent="0.15">
      <c r="G49">
        <v>7.636363636713492E-3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2"/>
  <sheetViews>
    <sheetView showGridLines="0" zoomScale="75" zoomScaleNormal="75" zoomScalePageLayoutView="75" workbookViewId="0">
      <pane ySplit="1" topLeftCell="A317" activePane="bottomLeft" state="frozen"/>
      <selection activeCell="H276" sqref="H276"/>
      <selection pane="bottomLeft" activeCell="B333" sqref="B3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input_439010!A$2</f>
        <v>439010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IFERROR(VLOOKUP(B2,input_439010!L:R,7,FALSE),VLOOKUP(tables_439010!C2,input_439010!A:H,8,FALSE))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input_439010!A$2</f>
        <v>439010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IFERROR(VLOOKUP(B3,input_439010!L:R,7,FALSE),VLOOKUP(tables_439010!C3,input_439010!A:H,8,FALSE))</f>
        <v>1006500</v>
      </c>
      <c r="P3" s="46">
        <f t="shared" ca="1" si="1"/>
        <v>1.0054945054892826E-2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input_439010!A$2</f>
        <v>439010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IFERROR(VLOOKUP(B4,input_439010!L:R,7,FALSE),VLOOKUP(tables_439010!C4,input_439010!A:H,8,FALSE))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input_439010!A$2</f>
        <v>439010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IFERROR(VLOOKUP(B5,input_439010!L:R,7,FALSE),VLOOKUP(tables_439010!C5,input_439010!A:H,8,FALSE))</f>
        <v>1006500</v>
      </c>
      <c r="P5" s="46">
        <f t="shared" ca="1" si="1"/>
        <v>1.0054945054892826E-2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input_439010!A$2</f>
        <v>439010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IFERROR(VLOOKUP(B6,input_439010!L:R,7,FALSE),VLOOKUP(tables_439010!C6,input_439010!A:H,8,FALSE))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input_439010!A$2</f>
        <v>439010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IFERROR(VLOOKUP(B7,input_439010!L:R,7,FALSE),VLOOKUP(tables_439010!C7,input_439010!A:H,8,FALSE))</f>
        <v>1006500</v>
      </c>
      <c r="P7" s="46">
        <f t="shared" ca="1" si="1"/>
        <v>1.0054945054892826E-2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input_439010!A$2</f>
        <v>439010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IFERROR(VLOOKUP(B8,input_439010!L:R,7,FALSE),VLOOKUP(tables_439010!C8,input_439010!A:H,8,FALSE))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input_439010!A$2</f>
        <v>439010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IFERROR(VLOOKUP(B9,input_439010!L:R,7,FALSE),VLOOKUP(tables_439010!C9,input_439010!A:H,8,FALSE))</f>
        <v>1006500</v>
      </c>
      <c r="P9" s="46">
        <f t="shared" ca="1" si="1"/>
        <v>1.0054945054892826E-2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input_439010!A$2</f>
        <v>439010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IFERROR(VLOOKUP(B10,input_439010!L:R,7,FALSE),VLOOKUP(tables_439010!C10,input_439010!A:H,8,FALSE))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input_439010!A$2</f>
        <v>439010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IFERROR(VLOOKUP(B11,input_439010!L:R,7,FALSE),VLOOKUP(tables_439010!C11,input_439010!A:H,8,FALSE))</f>
        <v>1006500</v>
      </c>
      <c r="P11" s="46">
        <f t="shared" ca="1" si="1"/>
        <v>1.0054945054892826E-2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input_439010!A$2</f>
        <v>439010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IFERROR(VLOOKUP(B12,input_439010!L:R,7,FALSE),VLOOKUP(tables_439010!C12,input_439010!A:H,8,FALSE))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input_439010!A$2</f>
        <v>439010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IFERROR(VLOOKUP(B13,input_439010!L:R,7,FALSE),VLOOKUP(tables_439010!C13,input_439010!A:H,8,FALSE))</f>
        <v>1006500</v>
      </c>
      <c r="P13" s="46">
        <f t="shared" ca="1" si="1"/>
        <v>1.0054945054892826E-2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input_439010!A$2</f>
        <v>439010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IFERROR(VLOOKUP(B14,input_439010!L:R,7,FALSE),VLOOKUP(tables_439010!C14,input_439010!A:H,8,FALSE))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input_439010!A$2</f>
        <v>439010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IFERROR(VLOOKUP(B15,input_439010!L:R,7,FALSE),VLOOKUP(tables_439010!C15,input_439010!A:H,8,FALSE))</f>
        <v>1006500</v>
      </c>
      <c r="P15" s="46">
        <f t="shared" ca="1" si="1"/>
        <v>1.0054945054892826E-2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input_439010!A$2</f>
        <v>439010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IFERROR(VLOOKUP(B16,input_439010!L:R,7,FALSE),VLOOKUP(tables_439010!C16,input_439010!A:H,8,FALSE))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input_439010!A$2</f>
        <v>439010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IFERROR(VLOOKUP(B17,input_439010!L:R,7,FALSE),VLOOKUP(tables_439010!C17,input_439010!A:H,8,FALSE))</f>
        <v>1006500</v>
      </c>
      <c r="P17" s="46">
        <f t="shared" ca="1" si="1"/>
        <v>1.0054945054892826E-2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input_439010!A$2</f>
        <v>439010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IFERROR(VLOOKUP(B18,input_439010!L:R,7,FALSE),VLOOKUP(tables_439010!C18,input_439010!A:H,8,FALSE))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input_439010!A$2</f>
        <v>439010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IFERROR(VLOOKUP(B19,input_439010!L:R,7,FALSE),VLOOKUP(tables_439010!C19,input_439010!A:H,8,FALSE))</f>
        <v>1006500</v>
      </c>
      <c r="P19" s="46">
        <f t="shared" ca="1" si="1"/>
        <v>1.0054945054892826E-2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input_439010!A$2</f>
        <v>439010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IFERROR(VLOOKUP(B20,input_439010!L:R,7,FALSE),VLOOKUP(tables_439010!C20,input_439010!A:H,8,FALSE))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input_439010!A$2</f>
        <v>439010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IFERROR(VLOOKUP(B21,input_439010!L:R,7,FALSE),VLOOKUP(tables_439010!C21,input_439010!A:H,8,FALSE))</f>
        <v>1006500</v>
      </c>
      <c r="P21" s="46">
        <f t="shared" ca="1" si="1"/>
        <v>1.0054945054892826E-2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input_439010!A$2</f>
        <v>439010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IFERROR(VLOOKUP(B22,input_439010!L:R,7,FALSE),VLOOKUP(tables_439010!C22,input_439010!A:H,8,FALSE))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input_439010!A$2</f>
        <v>439010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IFERROR(VLOOKUP(B23,input_439010!L:R,7,FALSE),VLOOKUP(tables_439010!C23,input_439010!A:H,8,FALSE))</f>
        <v>1006500</v>
      </c>
      <c r="P23" s="46">
        <f t="shared" ca="1" si="1"/>
        <v>1.0054945054892826E-2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input_439010!A$2</f>
        <v>439010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IFERROR(VLOOKUP(B24,input_439010!L:R,7,FALSE),VLOOKUP(tables_439010!C24,input_439010!A:H,8,FALSE))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input_439010!A$2</f>
        <v>439010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IFERROR(VLOOKUP(B25,input_439010!L:R,7,FALSE),VLOOKUP(tables_439010!C25,input_439010!A:H,8,FALSE))</f>
        <v>1006500</v>
      </c>
      <c r="P25" s="46">
        <f t="shared" ca="1" si="1"/>
        <v>1.0054945054892826E-2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input_439010!A$2</f>
        <v>439010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IFERROR(VLOOKUP(B26,input_439010!L:R,7,FALSE),VLOOKUP(tables_439010!C26,input_439010!A:H,8,FALSE))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input_439010!A$2</f>
        <v>439010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IFERROR(VLOOKUP(B27,input_439010!L:R,7,FALSE),VLOOKUP(tables_439010!C27,input_439010!A:H,8,FALSE))</f>
        <v>1006500</v>
      </c>
      <c r="P27" s="46">
        <f t="shared" ca="1" si="1"/>
        <v>1.0054945054892826E-2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input_439010!A$2</f>
        <v>439010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IFERROR(VLOOKUP(B28,input_439010!L:R,7,FALSE),VLOOKUP(tables_439010!C28,input_439010!A:H,8,FALSE))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input_439010!A$2</f>
        <v>439010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IFERROR(VLOOKUP(B29,input_439010!L:R,7,FALSE),VLOOKUP(tables_439010!C29,input_439010!A:H,8,FALSE))</f>
        <v>1006500</v>
      </c>
      <c r="P29" s="46">
        <f t="shared" ca="1" si="1"/>
        <v>1.0054945054892826E-2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input_439010!A$2</f>
        <v>439010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IFERROR(VLOOKUP(B30,input_439010!L:R,7,FALSE),VLOOKUP(tables_439010!C30,input_439010!A:H,8,FALSE))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input_439010!A$2</f>
        <v>439010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IFERROR(VLOOKUP(B31,input_439010!L:R,7,FALSE),VLOOKUP(tables_439010!C31,input_439010!A:H,8,FALSE))</f>
        <v>1006500</v>
      </c>
      <c r="P31" s="46">
        <f t="shared" ca="1" si="1"/>
        <v>1.0054945054892826E-2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input_439010!A$2</f>
        <v>439010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IFERROR(VLOOKUP(B32,input_439010!L:R,7,FALSE),VLOOKUP(tables_439010!C32,input_439010!A:H,8,FALSE))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input_439010!A$2</f>
        <v>439010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IFERROR(VLOOKUP(B33,input_439010!L:R,7,FALSE),VLOOKUP(tables_439010!C33,input_439010!A:H,8,FALSE))</f>
        <v>1006500</v>
      </c>
      <c r="P33" s="46">
        <f t="shared" ca="1" si="1"/>
        <v>1.0054945054892826E-2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input_439010!A$2</f>
        <v>439010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IFERROR(VLOOKUP(B34,input_439010!L:R,7,FALSE),VLOOKUP(tables_439010!C34,input_439010!A:H,8,FALSE))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input_439010!A$2</f>
        <v>439010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IFERROR(VLOOKUP(B35,input_439010!L:R,7,FALSE),VLOOKUP(tables_439010!C35,input_439010!A:H,8,FALSE))</f>
        <v>1006500</v>
      </c>
      <c r="P35" s="46">
        <f t="shared" ca="1" si="1"/>
        <v>1.0054945054892826E-2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input_439010!A$2</f>
        <v>439010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IFERROR(VLOOKUP(B36,input_439010!L:R,7,FALSE),VLOOKUP(tables_439010!C36,input_439010!A:H,8,FALSE))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input_439010!A$2</f>
        <v>439010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IFERROR(VLOOKUP(B37,input_439010!L:R,7,FALSE),VLOOKUP(tables_439010!C37,input_439010!A:H,8,FALSE))</f>
        <v>1006500</v>
      </c>
      <c r="P37" s="46">
        <f t="shared" ca="1" si="1"/>
        <v>1.0054945054892826E-2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input_439010!A$2</f>
        <v>439010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IFERROR(VLOOKUP(B38,input_439010!L:R,7,FALSE),VLOOKUP(tables_439010!C38,input_439010!A:H,8,FALSE))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input_439010!A$2</f>
        <v>439010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IFERROR(VLOOKUP(B39,input_439010!L:R,7,FALSE),VLOOKUP(tables_439010!C39,input_439010!A:H,8,FALSE))</f>
        <v>1006500</v>
      </c>
      <c r="P39" s="46">
        <f t="shared" ca="1" si="1"/>
        <v>1.0054945054892826E-2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input_439010!A$2</f>
        <v>439010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IFERROR(VLOOKUP(B40,input_439010!L:R,7,FALSE),VLOOKUP(tables_439010!C40,input_439010!A:H,8,FALSE))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input_439010!A$2</f>
        <v>439010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IFERROR(VLOOKUP(B41,input_439010!L:R,7,FALSE),VLOOKUP(tables_439010!C41,input_439010!A:H,8,FALSE))</f>
        <v>1006500</v>
      </c>
      <c r="P41" s="46">
        <f t="shared" ca="1" si="1"/>
        <v>1.0054945054892826E-2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input_439010!A$2</f>
        <v>439010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IFERROR(VLOOKUP(B42,input_439010!L:R,7,FALSE),VLOOKUP(tables_439010!C42,input_439010!A:H,8,FALSE))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input_439010!A$2</f>
        <v>439010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IFERROR(VLOOKUP(B43,input_439010!L:R,7,FALSE),VLOOKUP(tables_439010!C43,input_439010!A:H,8,FALSE))</f>
        <v>931012.5</v>
      </c>
      <c r="P43" s="46">
        <f t="shared" ca="1" si="1"/>
        <v>9.3008241757758636E-3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input_439010!A$2</f>
        <v>439010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IFERROR(VLOOKUP(B44,input_439010!L:R,7,FALSE),VLOOKUP(tables_439010!C44,input_439010!A:H,8,FALSE))</f>
        <v>75487.5</v>
      </c>
      <c r="P44" s="46">
        <f t="shared" ca="1" si="1"/>
        <v>7.541208791169619E-4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input_439010!A$2</f>
        <v>439010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IFERROR(VLOOKUP(B45,input_439010!L:R,7,FALSE),VLOOKUP(tables_439010!C45,input_439010!A:H,8,FALSE))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input_439010!A$2</f>
        <v>439010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IFERROR(VLOOKUP(B46,input_439010!L:R,7,FALSE),VLOOKUP(tables_439010!C46,input_439010!A:H,8,FALSE))</f>
        <v>931012.5</v>
      </c>
      <c r="P46" s="46">
        <f t="shared" ca="1" si="1"/>
        <v>9.3008241757758636E-3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input_439010!A$2</f>
        <v>439010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IFERROR(VLOOKUP(B47,input_439010!L:R,7,FALSE),VLOOKUP(tables_439010!C47,input_439010!A:H,8,FALSE))</f>
        <v>75487.5</v>
      </c>
      <c r="P47" s="46">
        <f t="shared" ca="1" si="1"/>
        <v>7.541208791169619E-4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input_439010!A$2</f>
        <v>439010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IFERROR(VLOOKUP(B48,input_439010!L:R,7,FALSE),VLOOKUP(tables_439010!C48,input_439010!A:H,8,FALSE))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input_439010!A$2</f>
        <v>439010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IFERROR(VLOOKUP(B49,input_439010!L:R,7,FALSE),VLOOKUP(tables_439010!C49,input_439010!A:H,8,FALSE))</f>
        <v>931012.5</v>
      </c>
      <c r="P49" s="46">
        <f t="shared" ca="1" si="1"/>
        <v>9.3008241757758636E-3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input_439010!A$2</f>
        <v>439010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IFERROR(VLOOKUP(B50,input_439010!L:R,7,FALSE),VLOOKUP(tables_439010!C50,input_439010!A:H,8,FALSE))</f>
        <v>75487.5</v>
      </c>
      <c r="P50" s="46">
        <f t="shared" ca="1" si="1"/>
        <v>7.541208791169619E-4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input_439010!A$2</f>
        <v>439010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IFERROR(VLOOKUP(B51,input_439010!L:R,7,FALSE),VLOOKUP(tables_439010!C51,input_439010!A:H,8,FALSE))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input_439010!A$2</f>
        <v>439010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IFERROR(VLOOKUP(B52,input_439010!L:R,7,FALSE),VLOOKUP(tables_439010!C52,input_439010!A:H,8,FALSE))</f>
        <v>1003119.56731</v>
      </c>
      <c r="P52" s="46">
        <f t="shared" ca="1" si="1"/>
        <v>1.0021174498549343E-2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input_439010!A$2</f>
        <v>439010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IFERROR(VLOOKUP(B53,input_439010!L:R,7,FALSE),VLOOKUP(tables_439010!C53,input_439010!A:H,8,FALSE))</f>
        <v>3380.4326999999998</v>
      </c>
      <c r="P53" s="46">
        <f t="shared" ca="1" si="1"/>
        <v>3.377055644338102E-5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input_439010!A$2</f>
        <v>439010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IFERROR(VLOOKUP(B54,input_439010!L:R,7,FALSE),VLOOKUP(tables_439010!C54,input_439010!A:H,8,FALSE))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input_439010!A$2</f>
        <v>439010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IFERROR(VLOOKUP(B55,input_439010!L:R,7,FALSE),VLOOKUP(tables_439010!C55,input_439010!A:H,8,FALSE))</f>
        <v>1003119.56731</v>
      </c>
      <c r="P55" s="46">
        <f t="shared" ca="1" si="1"/>
        <v>1.0021174498549343E-2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input_439010!A$2</f>
        <v>439010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IFERROR(VLOOKUP(B56,input_439010!L:R,7,FALSE),VLOOKUP(tables_439010!C56,input_439010!A:H,8,FALSE))</f>
        <v>3380.4326999999998</v>
      </c>
      <c r="P56" s="46">
        <f t="shared" ca="1" si="1"/>
        <v>3.377055644338102E-5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input_439010!A$2</f>
        <v>439010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IFERROR(VLOOKUP(B57,input_439010!L:R,7,FALSE),VLOOKUP(tables_439010!C57,input_439010!A:H,8,FALSE))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input_439010!A$2</f>
        <v>439010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IFERROR(VLOOKUP(B58,input_439010!L:R,7,FALSE),VLOOKUP(tables_439010!C58,input_439010!A:H,8,FALSE))</f>
        <v>1003119.56731</v>
      </c>
      <c r="P58" s="46">
        <f t="shared" ca="1" si="1"/>
        <v>1.0021174498549343E-2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input_439010!A$2</f>
        <v>439010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IFERROR(VLOOKUP(B59,input_439010!L:R,7,FALSE),VLOOKUP(tables_439010!C59,input_439010!A:H,8,FALSE))</f>
        <v>3380.4326999999998</v>
      </c>
      <c r="P59" s="46">
        <f t="shared" ca="1" si="1"/>
        <v>3.377055644338102E-5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input_439010!A$2</f>
        <v>439010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IFERROR(VLOOKUP(B60,input_439010!L:R,7,FALSE),VLOOKUP(tables_439010!C60,input_439010!A:H,8,FALSE))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input_439010!A$2</f>
        <v>439010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IFERROR(VLOOKUP(B61,input_439010!L:R,7,FALSE),VLOOKUP(tables_439010!C61,input_439010!A:H,8,FALSE))</f>
        <v>1003119.56731</v>
      </c>
      <c r="P61" s="46">
        <f t="shared" ca="1" si="1"/>
        <v>1.0021174498549343E-2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input_439010!A$2</f>
        <v>439010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IFERROR(VLOOKUP(B62,input_439010!L:R,7,FALSE),VLOOKUP(tables_439010!C62,input_439010!A:H,8,FALSE))</f>
        <v>3380.4326999999998</v>
      </c>
      <c r="P62" s="46">
        <f t="shared" ca="1" si="1"/>
        <v>3.377055644338102E-5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input_439010!A$2</f>
        <v>439010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IFERROR(VLOOKUP(B63,input_439010!L:R,7,FALSE),VLOOKUP(tables_439010!C63,input_439010!A:H,8,FALSE))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input_439010!A$2</f>
        <v>439010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IFERROR(VLOOKUP(B64,input_439010!L:R,7,FALSE),VLOOKUP(tables_439010!C64,input_439010!A:H,8,FALSE))</f>
        <v>1003119.56731</v>
      </c>
      <c r="P64" s="46">
        <f t="shared" ca="1" si="1"/>
        <v>1.0021174498549343E-2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input_439010!A$2</f>
        <v>439010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IFERROR(VLOOKUP(B65,input_439010!L:R,7,FALSE),VLOOKUP(tables_439010!C65,input_439010!A:H,8,FALSE))</f>
        <v>3380.4326999999998</v>
      </c>
      <c r="P65" s="46">
        <f t="shared" ca="1" si="1"/>
        <v>3.377055644338102E-5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input_439010!A$2</f>
        <v>439010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IFERROR(VLOOKUP(B66,input_439010!L:R,7,FALSE),VLOOKUP(tables_439010!C66,input_439010!A:H,8,FALSE))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input_439010!A$2</f>
        <v>439010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IFERROR(VLOOKUP(B67,input_439010!L:R,7,FALSE),VLOOKUP(tables_439010!C67,input_439010!A:H,8,FALSE))</f>
        <v>1003119.56731</v>
      </c>
      <c r="P67" s="46">
        <f t="shared" ca="1" si="4"/>
        <v>1.0021174498549343E-2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input_439010!A$2</f>
        <v>439010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IFERROR(VLOOKUP(B68,input_439010!L:R,7,FALSE),VLOOKUP(tables_439010!C68,input_439010!A:H,8,FALSE))</f>
        <v>3380.4326999999998</v>
      </c>
      <c r="P68" s="46">
        <f t="shared" ca="1" si="4"/>
        <v>3.377055644338102E-5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input_439010!A$2</f>
        <v>439010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IFERROR(VLOOKUP(B69,input_439010!L:R,7,FALSE),VLOOKUP(tables_439010!C69,input_439010!A:H,8,FALSE))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input_439010!A$2</f>
        <v>439010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IFERROR(VLOOKUP(B70,input_439010!L:R,7,FALSE),VLOOKUP(tables_439010!C70,input_439010!A:H,8,FALSE))</f>
        <v>1003119.56731</v>
      </c>
      <c r="P70" s="46">
        <f t="shared" ca="1" si="4"/>
        <v>1.0021174498549343E-2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input_439010!A$2</f>
        <v>439010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IFERROR(VLOOKUP(B71,input_439010!L:R,7,FALSE),VLOOKUP(tables_439010!C71,input_439010!A:H,8,FALSE))</f>
        <v>3380.4326999999998</v>
      </c>
      <c r="P71" s="46">
        <f t="shared" ca="1" si="4"/>
        <v>3.377055644338102E-5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input_439010!A$2</f>
        <v>439010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IFERROR(VLOOKUP(B72,input_439010!L:R,7,FALSE),VLOOKUP(tables_439010!C72,input_439010!A:H,8,FALSE))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input_439010!A$2</f>
        <v>439010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IFERROR(VLOOKUP(B73,input_439010!L:R,7,FALSE),VLOOKUP(tables_439010!C73,input_439010!A:H,8,FALSE))</f>
        <v>1003119.56731</v>
      </c>
      <c r="P73" s="46">
        <f t="shared" ca="1" si="4"/>
        <v>1.0021174498549343E-2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input_439010!A$2</f>
        <v>439010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IFERROR(VLOOKUP(B74,input_439010!L:R,7,FALSE),VLOOKUP(tables_439010!C74,input_439010!A:H,8,FALSE))</f>
        <v>3380.4326999999998</v>
      </c>
      <c r="P74" s="46">
        <f t="shared" ca="1" si="4"/>
        <v>3.377055644338102E-5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input_439010!A$2</f>
        <v>439010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IFERROR(VLOOKUP(B75,input_439010!L:R,7,FALSE),VLOOKUP(tables_439010!C75,input_439010!A:H,8,FALSE))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input_439010!A$2</f>
        <v>439010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IFERROR(VLOOKUP(B76,input_439010!L:R,7,FALSE),VLOOKUP(tables_439010!C76,input_439010!A:H,8,FALSE))</f>
        <v>1003119.56731</v>
      </c>
      <c r="P76" s="46">
        <f t="shared" ca="1" si="4"/>
        <v>1.0021174498549343E-2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input_439010!A$2</f>
        <v>439010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IFERROR(VLOOKUP(B77,input_439010!L:R,7,FALSE),VLOOKUP(tables_439010!C77,input_439010!A:H,8,FALSE))</f>
        <v>3380.4326999999998</v>
      </c>
      <c r="P77" s="46">
        <f t="shared" ca="1" si="4"/>
        <v>3.377055644338102E-5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input_439010!A$2</f>
        <v>439010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IFERROR(VLOOKUP(B78,input_439010!L:R,7,FALSE),VLOOKUP(tables_439010!C78,input_439010!A:H,8,FALSE))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input_439010!A$2</f>
        <v>439010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IFERROR(VLOOKUP(B79,input_439010!L:R,7,FALSE),VLOOKUP(tables_439010!C79,input_439010!A:H,8,FALSE))</f>
        <v>1003119.56731</v>
      </c>
      <c r="P79" s="46">
        <f t="shared" ca="1" si="4"/>
        <v>1.0021174498549343E-2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input_439010!A$2</f>
        <v>439010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IFERROR(VLOOKUP(B80,input_439010!L:R,7,FALSE),VLOOKUP(tables_439010!C80,input_439010!A:H,8,FALSE))</f>
        <v>3380.4326999999998</v>
      </c>
      <c r="P80" s="46">
        <f t="shared" ca="1" si="4"/>
        <v>3.377055644338102E-5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input_439010!A$2</f>
        <v>439010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IFERROR(VLOOKUP(B81,input_439010!L:R,7,FALSE),VLOOKUP(tables_439010!C81,input_439010!A:H,8,FALSE))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input_439010!A$2</f>
        <v>439010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IFERROR(VLOOKUP(B82,input_439010!L:R,7,FALSE),VLOOKUP(tables_439010!C82,input_439010!A:H,8,FALSE))</f>
        <v>1003119.56731</v>
      </c>
      <c r="P82" s="46">
        <f t="shared" ca="1" si="4"/>
        <v>1.0021174498549343E-2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input_439010!A$2</f>
        <v>439010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IFERROR(VLOOKUP(B83,input_439010!L:R,7,FALSE),VLOOKUP(tables_439010!C83,input_439010!A:H,8,FALSE))</f>
        <v>3380.4326999999998</v>
      </c>
      <c r="P83" s="46">
        <f t="shared" ca="1" si="4"/>
        <v>3.377055644338102E-5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input_439010!A$2</f>
        <v>439010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IFERROR(VLOOKUP(B84,input_439010!L:R,7,FALSE),VLOOKUP(tables_439010!C84,input_439010!A:H,8,FALSE))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input_439010!A$2</f>
        <v>439010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IFERROR(VLOOKUP(B85,input_439010!L:R,7,FALSE),VLOOKUP(tables_439010!C85,input_439010!A:H,8,FALSE))</f>
        <v>1003119.56731</v>
      </c>
      <c r="P85" s="46">
        <f t="shared" ca="1" si="4"/>
        <v>1.0021174498549343E-2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input_439010!A$2</f>
        <v>439010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IFERROR(VLOOKUP(B86,input_439010!L:R,7,FALSE),VLOOKUP(tables_439010!C86,input_439010!A:H,8,FALSE))</f>
        <v>3380.4326999999998</v>
      </c>
      <c r="P86" s="46">
        <f t="shared" ca="1" si="4"/>
        <v>3.377055644338102E-5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input_439010!A$2</f>
        <v>439010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IFERROR(VLOOKUP(B87,input_439010!L:R,7,FALSE),VLOOKUP(tables_439010!C87,input_439010!A:H,8,FALSE))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input_439010!A$2</f>
        <v>439010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IFERROR(VLOOKUP(B88,input_439010!L:R,7,FALSE),VLOOKUP(tables_439010!C88,input_439010!A:H,8,FALSE))</f>
        <v>1003119.56731</v>
      </c>
      <c r="P88" s="46">
        <f t="shared" ca="1" si="4"/>
        <v>1.0021174498549343E-2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input_439010!A$2</f>
        <v>439010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IFERROR(VLOOKUP(B89,input_439010!L:R,7,FALSE),VLOOKUP(tables_439010!C89,input_439010!A:H,8,FALSE))</f>
        <v>3380.4326999999998</v>
      </c>
      <c r="P89" s="46">
        <f t="shared" ca="1" si="4"/>
        <v>3.377055644338102E-5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input_439010!A$2</f>
        <v>439010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IFERROR(VLOOKUP(B90,input_439010!L:R,7,FALSE),VLOOKUP(tables_439010!C90,input_439010!A:H,8,FALSE))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input_439010!A$2</f>
        <v>439010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IFERROR(VLOOKUP(B91,input_439010!L:R,7,FALSE),VLOOKUP(tables_439010!C91,input_439010!A:H,8,FALSE))</f>
        <v>1003119.56731</v>
      </c>
      <c r="P91" s="46">
        <f t="shared" ca="1" si="4"/>
        <v>1.0021174498549343E-2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input_439010!A$2</f>
        <v>439010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IFERROR(VLOOKUP(B92,input_439010!L:R,7,FALSE),VLOOKUP(tables_439010!C92,input_439010!A:H,8,FALSE))</f>
        <v>3380.4326999999998</v>
      </c>
      <c r="P92" s="46">
        <f t="shared" ca="1" si="4"/>
        <v>3.377055644338102E-5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input_439010!A$2</f>
        <v>439010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IFERROR(VLOOKUP(B93,input_439010!L:R,7,FALSE),VLOOKUP(tables_439010!C93,input_439010!A:H,8,FALSE))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input_439010!A$2</f>
        <v>439010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IFERROR(VLOOKUP(B94,input_439010!L:R,7,FALSE),VLOOKUP(tables_439010!C94,input_439010!A:H,8,FALSE))</f>
        <v>1003119.56731</v>
      </c>
      <c r="P94" s="46">
        <f t="shared" ca="1" si="4"/>
        <v>1.0021174498549343E-2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input_439010!A$2</f>
        <v>439010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IFERROR(VLOOKUP(B95,input_439010!L:R,7,FALSE),VLOOKUP(tables_439010!C95,input_439010!A:H,8,FALSE))</f>
        <v>3380.4326999999998</v>
      </c>
      <c r="P95" s="46">
        <f t="shared" ca="1" si="4"/>
        <v>3.377055644338102E-5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input_439010!A$2</f>
        <v>439010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IFERROR(VLOOKUP(B96,input_439010!L:R,7,FALSE),VLOOKUP(tables_439010!C96,input_439010!A:H,8,FALSE))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input_439010!A$2</f>
        <v>439010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IFERROR(VLOOKUP(B97,input_439010!L:R,7,FALSE),VLOOKUP(tables_439010!C97,input_439010!A:H,8,FALSE))</f>
        <v>1003119.56731</v>
      </c>
      <c r="P97" s="46">
        <f t="shared" ca="1" si="4"/>
        <v>1.0021174498549343E-2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input_439010!A$2</f>
        <v>439010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IFERROR(VLOOKUP(B98,input_439010!L:R,7,FALSE),VLOOKUP(tables_439010!C98,input_439010!A:H,8,FALSE))</f>
        <v>3380.4326999999998</v>
      </c>
      <c r="P98" s="46">
        <f t="shared" ca="1" si="4"/>
        <v>3.377055644338102E-5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input_439010!A$2</f>
        <v>439010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IFERROR(VLOOKUP(B99,input_439010!L:R,7,FALSE),VLOOKUP(tables_439010!C99,input_439010!A:H,8,FALSE))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input_439010!A$2</f>
        <v>439010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IFERROR(VLOOKUP(B100,input_439010!L:R,7,FALSE),VLOOKUP(tables_439010!C100,input_439010!A:H,8,FALSE))</f>
        <v>1003119.56731</v>
      </c>
      <c r="P100" s="46">
        <f t="shared" ca="1" si="4"/>
        <v>1.0021174498549343E-2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input_439010!A$2</f>
        <v>439010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IFERROR(VLOOKUP(B101,input_439010!L:R,7,FALSE),VLOOKUP(tables_439010!C101,input_439010!A:H,8,FALSE))</f>
        <v>3380.4326999999998</v>
      </c>
      <c r="P101" s="46">
        <f t="shared" ca="1" si="4"/>
        <v>3.377055644338102E-5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input_439010!A$2</f>
        <v>439010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IFERROR(VLOOKUP(B102,input_439010!L:R,7,FALSE),VLOOKUP(tables_439010!C102,input_439010!A:H,8,FALSE))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input_439010!A$2</f>
        <v>439010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IFERROR(VLOOKUP(B103,input_439010!L:R,7,FALSE),VLOOKUP(tables_439010!C103,input_439010!A:H,8,FALSE))</f>
        <v>1003119.56731</v>
      </c>
      <c r="P103" s="46">
        <f t="shared" ca="1" si="4"/>
        <v>1.0021174498549343E-2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input_439010!A$2</f>
        <v>439010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IFERROR(VLOOKUP(B104,input_439010!L:R,7,FALSE),VLOOKUP(tables_439010!C104,input_439010!A:H,8,FALSE))</f>
        <v>3380.4326999999998</v>
      </c>
      <c r="P104" s="46">
        <f t="shared" ca="1" si="4"/>
        <v>3.377055644338102E-5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input_439010!A$2</f>
        <v>439010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IFERROR(VLOOKUP(B105,input_439010!L:R,7,FALSE),VLOOKUP(tables_439010!C105,input_439010!A:H,8,FALSE))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input_439010!A$2</f>
        <v>439010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IFERROR(VLOOKUP(B106,input_439010!L:R,7,FALSE),VLOOKUP(tables_439010!C106,input_439010!A:H,8,FALSE))</f>
        <v>1003119.56731</v>
      </c>
      <c r="P106" s="46">
        <f t="shared" ca="1" si="4"/>
        <v>1.0021174498549343E-2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input_439010!A$2</f>
        <v>439010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IFERROR(VLOOKUP(B107,input_439010!L:R,7,FALSE),VLOOKUP(tables_439010!C107,input_439010!A:H,8,FALSE))</f>
        <v>3380.4326999999998</v>
      </c>
      <c r="P107" s="46">
        <f t="shared" ca="1" si="4"/>
        <v>3.377055644338102E-5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input_439010!A$2</f>
        <v>439010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IFERROR(VLOOKUP(B108,input_439010!L:R,7,FALSE),VLOOKUP(tables_439010!C108,input_439010!A:H,8,FALSE))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input_439010!A$2</f>
        <v>439010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IFERROR(VLOOKUP(B109,input_439010!L:R,7,FALSE),VLOOKUP(tables_439010!C109,input_439010!A:H,8,FALSE))</f>
        <v>1003119.56731</v>
      </c>
      <c r="P109" s="46">
        <f t="shared" ca="1" si="4"/>
        <v>1.0021174498549343E-2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input_439010!A$2</f>
        <v>439010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IFERROR(VLOOKUP(B110,input_439010!L:R,7,FALSE),VLOOKUP(tables_439010!C110,input_439010!A:H,8,FALSE))</f>
        <v>3380.4326999999998</v>
      </c>
      <c r="P110" s="46">
        <f t="shared" ca="1" si="4"/>
        <v>3.377055644338102E-5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input_439010!A$2</f>
        <v>439010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IFERROR(VLOOKUP(B111,input_439010!L:R,7,FALSE),VLOOKUP(tables_439010!C111,input_439010!A:H,8,FALSE))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input_439010!A$2</f>
        <v>439010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IFERROR(VLOOKUP(B112,input_439010!L:R,7,FALSE),VLOOKUP(tables_439010!C112,input_439010!A:H,8,FALSE))</f>
        <v>931012.5</v>
      </c>
      <c r="P112" s="46">
        <f t="shared" ca="1" si="4"/>
        <v>9.3008241757758636E-3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input_439010!A$2</f>
        <v>439010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IFERROR(VLOOKUP(B113,input_439010!L:R,7,FALSE),VLOOKUP(tables_439010!C113,input_439010!A:H,8,FALSE))</f>
        <v>75487.5</v>
      </c>
      <c r="P113" s="46">
        <f t="shared" ca="1" si="4"/>
        <v>7.541208791169619E-4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input_439010!A$2</f>
        <v>439010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IFERROR(VLOOKUP(B114,input_439010!L:R,7,FALSE),VLOOKUP(tables_439010!C114,input_439010!A:H,8,FALSE))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input_439010!A$2</f>
        <v>439010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IFERROR(VLOOKUP(B115,input_439010!L:R,7,FALSE),VLOOKUP(tables_439010!C115,input_439010!A:H,8,FALSE))</f>
        <v>1003119.56731</v>
      </c>
      <c r="P115" s="46">
        <f t="shared" ca="1" si="4"/>
        <v>1.0021174498549343E-2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input_439010!A$2</f>
        <v>439010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IFERROR(VLOOKUP(B116,input_439010!L:R,7,FALSE),VLOOKUP(tables_439010!C116,input_439010!A:H,8,FALSE))</f>
        <v>3380.4326999999998</v>
      </c>
      <c r="P116" s="46">
        <f t="shared" ca="1" si="4"/>
        <v>3.377055644338102E-5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input_439010!A$2</f>
        <v>439010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IFERROR(VLOOKUP(B117,input_439010!L:R,7,FALSE),VLOOKUP(tables_439010!C117,input_439010!A:H,8,FALSE))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input_439010!A$2</f>
        <v>439010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IFERROR(VLOOKUP(B118,input_439010!L:R,7,FALSE),VLOOKUP(tables_439010!C118,input_439010!A:H,8,FALSE))</f>
        <v>1003119.56731</v>
      </c>
      <c r="P118" s="46">
        <f t="shared" ca="1" si="4"/>
        <v>1.0021174498549343E-2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input_439010!A$2</f>
        <v>439010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IFERROR(VLOOKUP(B119,input_439010!L:R,7,FALSE),VLOOKUP(tables_439010!C119,input_439010!A:H,8,FALSE))</f>
        <v>3380.4326999999998</v>
      </c>
      <c r="P119" s="46">
        <f t="shared" ca="1" si="4"/>
        <v>3.377055644338102E-5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input_439010!A$2</f>
        <v>439010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IFERROR(VLOOKUP(B120,input_439010!L:R,7,FALSE),VLOOKUP(tables_439010!C120,input_439010!A:H,8,FALSE))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input_439010!A$2</f>
        <v>439010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IFERROR(VLOOKUP(B121,input_439010!L:R,7,FALSE),VLOOKUP(tables_439010!C121,input_439010!A:H,8,FALSE))</f>
        <v>1003119.56731</v>
      </c>
      <c r="P121" s="46">
        <f t="shared" ca="1" si="4"/>
        <v>1.0021174498549343E-2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input_439010!A$2</f>
        <v>439010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IFERROR(VLOOKUP(B122,input_439010!L:R,7,FALSE),VLOOKUP(tables_439010!C122,input_439010!A:H,8,FALSE))</f>
        <v>3380.4326999999998</v>
      </c>
      <c r="P122" s="46">
        <f t="shared" ca="1" si="4"/>
        <v>3.377055644338102E-5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input_439010!A$2</f>
        <v>439010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IFERROR(VLOOKUP(B123,input_439010!L:R,7,FALSE),VLOOKUP(tables_439010!C123,input_439010!A:H,8,FALSE))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input_439010!A$2</f>
        <v>439010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IFERROR(VLOOKUP(B124,input_439010!L:R,7,FALSE),VLOOKUP(tables_439010!C124,input_439010!A:H,8,FALSE))</f>
        <v>1003119.56731</v>
      </c>
      <c r="P124" s="46">
        <f t="shared" ca="1" si="4"/>
        <v>1.0021174498549343E-2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input_439010!A$2</f>
        <v>439010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IFERROR(VLOOKUP(B125,input_439010!L:R,7,FALSE),VLOOKUP(tables_439010!C125,input_439010!A:H,8,FALSE))</f>
        <v>3380.4326999999998</v>
      </c>
      <c r="P125" s="46">
        <f t="shared" ca="1" si="4"/>
        <v>3.377055644338102E-5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input_439010!A$2</f>
        <v>439010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IFERROR(VLOOKUP(B126,input_439010!L:R,7,FALSE),VLOOKUP(tables_439010!C126,input_439010!A:H,8,FALSE))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input_439010!A$2</f>
        <v>439010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IFERROR(VLOOKUP(B127,input_439010!L:R,7,FALSE),VLOOKUP(tables_439010!C127,input_439010!A:H,8,FALSE))</f>
        <v>1003119.56731</v>
      </c>
      <c r="P127" s="46">
        <f t="shared" ca="1" si="4"/>
        <v>1.0021174498549343E-2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input_439010!A$2</f>
        <v>439010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IFERROR(VLOOKUP(B128,input_439010!L:R,7,FALSE),VLOOKUP(tables_439010!C128,input_439010!A:H,8,FALSE))</f>
        <v>3380.4326999999998</v>
      </c>
      <c r="P128" s="46">
        <f t="shared" ca="1" si="4"/>
        <v>3.377055644338102E-5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input_439010!A$2</f>
        <v>439010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IFERROR(VLOOKUP(B129,input_439010!L:R,7,FALSE),VLOOKUP(tables_439010!C129,input_439010!A:H,8,FALSE))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input_439010!A$2</f>
        <v>439010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IFERROR(VLOOKUP(B130,input_439010!L:R,7,FALSE),VLOOKUP(tables_439010!C130,input_439010!A:H,8,FALSE))</f>
        <v>1003119.56731</v>
      </c>
      <c r="P130" s="46">
        <f t="shared" ref="P130:P193" ca="1" si="7">O130/SUM(O:O)</f>
        <v>1.0021174498549343E-2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input_439010!A$2</f>
        <v>439010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IFERROR(VLOOKUP(B131,input_439010!L:R,7,FALSE),VLOOKUP(tables_439010!C131,input_439010!A:H,8,FALSE))</f>
        <v>3380.4326999999998</v>
      </c>
      <c r="P131" s="46">
        <f t="shared" ca="1" si="7"/>
        <v>3.377055644338102E-5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input_439010!A$2</f>
        <v>439010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IFERROR(VLOOKUP(B132,input_439010!L:R,7,FALSE),VLOOKUP(tables_439010!C132,input_439010!A:H,8,FALSE))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input_439010!A$2</f>
        <v>439010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IFERROR(VLOOKUP(B133,input_439010!L:R,7,FALSE),VLOOKUP(tables_439010!C133,input_439010!A:H,8,FALSE))</f>
        <v>1003119.56731</v>
      </c>
      <c r="P133" s="46">
        <f t="shared" ca="1" si="7"/>
        <v>1.0021174498549343E-2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input_439010!A$2</f>
        <v>439010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IFERROR(VLOOKUP(B134,input_439010!L:R,7,FALSE),VLOOKUP(tables_439010!C134,input_439010!A:H,8,FALSE))</f>
        <v>3380.4326999999998</v>
      </c>
      <c r="P134" s="46">
        <f t="shared" ca="1" si="7"/>
        <v>3.377055644338102E-5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input_439010!A$2</f>
        <v>439010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IFERROR(VLOOKUP(B135,input_439010!L:R,7,FALSE),VLOOKUP(tables_439010!C135,input_439010!A:H,8,FALSE))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input_439010!A$2</f>
        <v>439010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IFERROR(VLOOKUP(B136,input_439010!L:R,7,FALSE),VLOOKUP(tables_439010!C136,input_439010!A:H,8,FALSE))</f>
        <v>1003119.56731</v>
      </c>
      <c r="P136" s="46">
        <f t="shared" ca="1" si="7"/>
        <v>1.0021174498549343E-2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input_439010!A$2</f>
        <v>439010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IFERROR(VLOOKUP(B137,input_439010!L:R,7,FALSE),VLOOKUP(tables_439010!C137,input_439010!A:H,8,FALSE))</f>
        <v>3380.4326999999998</v>
      </c>
      <c r="P137" s="46">
        <f t="shared" ca="1" si="7"/>
        <v>3.377055644338102E-5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input_439010!A$2</f>
        <v>439010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IFERROR(VLOOKUP(B138,input_439010!L:R,7,FALSE),VLOOKUP(tables_439010!C138,input_439010!A:H,8,FALSE))</f>
        <v>109427.5</v>
      </c>
      <c r="P138" s="46">
        <f t="shared" ca="1" si="7"/>
        <v>1.0931818181761398E-3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input_439010!A$2</f>
        <v>439010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IFERROR(VLOOKUP(B139,input_439010!L:R,7,FALSE),VLOOKUP(tables_439010!C139,input_439010!A:H,8,FALSE))</f>
        <v>36172.5</v>
      </c>
      <c r="P139" s="46">
        <f t="shared" ca="1" si="7"/>
        <v>3.6136363636175931E-4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input_439010!A$2</f>
        <v>439010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IFERROR(VLOOKUP(B140,input_439010!L:R,7,FALSE),VLOOKUP(tables_439010!C140,input_439010!A:H,8,FALSE))</f>
        <v>109427.5</v>
      </c>
      <c r="P140" s="46">
        <f t="shared" ca="1" si="7"/>
        <v>1.0931818181761398E-3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input_439010!A$2</f>
        <v>439010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IFERROR(VLOOKUP(B141,input_439010!L:R,7,FALSE),VLOOKUP(tables_439010!C141,input_439010!A:H,8,FALSE))</f>
        <v>36172.5</v>
      </c>
      <c r="P141" s="46">
        <f t="shared" ca="1" si="7"/>
        <v>3.6136363636175931E-4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input_439010!A$2</f>
        <v>439010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IFERROR(VLOOKUP(B142,input_439010!L:R,7,FALSE),VLOOKUP(tables_439010!C142,input_439010!A:H,8,FALSE))</f>
        <v>109427.5</v>
      </c>
      <c r="P142" s="46">
        <f t="shared" ca="1" si="7"/>
        <v>1.0931818181761398E-3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input_439010!A$2</f>
        <v>439010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IFERROR(VLOOKUP(B143,input_439010!L:R,7,FALSE),VLOOKUP(tables_439010!C143,input_439010!A:H,8,FALSE))</f>
        <v>36172.5</v>
      </c>
      <c r="P143" s="46">
        <f t="shared" ca="1" si="7"/>
        <v>3.6136363636175931E-4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input_439010!A$2</f>
        <v>439010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IFERROR(VLOOKUP(B144,input_439010!L:R,7,FALSE),VLOOKUP(tables_439010!C144,input_439010!A:H,8,FALSE))</f>
        <v>109427.5</v>
      </c>
      <c r="P144" s="46">
        <f t="shared" ca="1" si="7"/>
        <v>1.0931818181761398E-3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input_439010!A$2</f>
        <v>439010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IFERROR(VLOOKUP(B145,input_439010!L:R,7,FALSE),VLOOKUP(tables_439010!C145,input_439010!A:H,8,FALSE))</f>
        <v>36172.5</v>
      </c>
      <c r="P145" s="46">
        <f t="shared" ca="1" si="7"/>
        <v>3.6136363636175931E-4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input_439010!A$2</f>
        <v>439010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IFERROR(VLOOKUP(B146,input_439010!L:R,7,FALSE),VLOOKUP(tables_439010!C146,input_439010!A:H,8,FALSE))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input_439010!A$2</f>
        <v>439010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IFERROR(VLOOKUP(B147,input_439010!L:R,7,FALSE),VLOOKUP(tables_439010!C147,input_439010!A:H,8,FALSE))</f>
        <v>1003119.56731</v>
      </c>
      <c r="P147" s="46">
        <f t="shared" ca="1" si="7"/>
        <v>1.0021174498549343E-2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input_439010!A$2</f>
        <v>439010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IFERROR(VLOOKUP(B148,input_439010!L:R,7,FALSE),VLOOKUP(tables_439010!C148,input_439010!A:H,8,FALSE))</f>
        <v>3380.4326999999998</v>
      </c>
      <c r="P148" s="46">
        <f t="shared" ca="1" si="7"/>
        <v>3.377055644338102E-5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input_439010!A$2</f>
        <v>439010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IFERROR(VLOOKUP(B149,input_439010!L:R,7,FALSE),VLOOKUP(tables_439010!C149,input_439010!A:H,8,FALSE))</f>
        <v>109427.5</v>
      </c>
      <c r="P149" s="46">
        <f t="shared" ca="1" si="7"/>
        <v>1.0931818181761398E-3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input_439010!A$2</f>
        <v>439010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IFERROR(VLOOKUP(B150,input_439010!L:R,7,FALSE),VLOOKUP(tables_439010!C150,input_439010!A:H,8,FALSE))</f>
        <v>36172.5</v>
      </c>
      <c r="P150" s="46">
        <f t="shared" ca="1" si="7"/>
        <v>3.6136363636175931E-4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input_439010!A$2</f>
        <v>439010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IFERROR(VLOOKUP(B151,input_439010!L:R,7,FALSE),VLOOKUP(tables_439010!C151,input_439010!A:H,8,FALSE))</f>
        <v>109427.5</v>
      </c>
      <c r="P151" s="46">
        <f t="shared" ca="1" si="7"/>
        <v>1.0931818181761398E-3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input_439010!A$2</f>
        <v>439010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IFERROR(VLOOKUP(B152,input_439010!L:R,7,FALSE),VLOOKUP(tables_439010!C152,input_439010!A:H,8,FALSE))</f>
        <v>36172.5</v>
      </c>
      <c r="P152" s="46">
        <f t="shared" ca="1" si="7"/>
        <v>3.6136363636175931E-4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input_439010!A$2</f>
        <v>439010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IFERROR(VLOOKUP(B153,input_439010!L:R,7,FALSE),VLOOKUP(tables_439010!C153,input_439010!A:H,8,FALSE))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input_439010!A$2</f>
        <v>439010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IFERROR(VLOOKUP(B154,input_439010!L:R,7,FALSE),VLOOKUP(tables_439010!C154,input_439010!A:H,8,FALSE))</f>
        <v>1003119.56731</v>
      </c>
      <c r="P154" s="46">
        <f t="shared" ca="1" si="7"/>
        <v>1.0021174498549343E-2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input_439010!A$2</f>
        <v>439010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IFERROR(VLOOKUP(B155,input_439010!L:R,7,FALSE),VLOOKUP(tables_439010!C155,input_439010!A:H,8,FALSE))</f>
        <v>3380.4326999999998</v>
      </c>
      <c r="P155" s="46">
        <f t="shared" ca="1" si="7"/>
        <v>3.377055644338102E-5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input_439010!A$2</f>
        <v>439010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IFERROR(VLOOKUP(B156,input_439010!L:R,7,FALSE),VLOOKUP(tables_439010!C156,input_439010!A:H,8,FALSE))</f>
        <v>109427.5</v>
      </c>
      <c r="P156" s="46">
        <f t="shared" ca="1" si="7"/>
        <v>1.0931818181761398E-3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input_439010!A$2</f>
        <v>439010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IFERROR(VLOOKUP(B157,input_439010!L:R,7,FALSE),VLOOKUP(tables_439010!C157,input_439010!A:H,8,FALSE))</f>
        <v>36172.5</v>
      </c>
      <c r="P157" s="46">
        <f t="shared" ca="1" si="7"/>
        <v>3.6136363636175931E-4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input_439010!A$2</f>
        <v>439010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IFERROR(VLOOKUP(B158,input_439010!L:R,7,FALSE),VLOOKUP(tables_439010!C158,input_439010!A:H,8,FALSE))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input_439010!A$2</f>
        <v>439010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IFERROR(VLOOKUP(B159,input_439010!L:R,7,FALSE),VLOOKUP(tables_439010!C159,input_439010!A:H,8,FALSE))</f>
        <v>1003119.56731</v>
      </c>
      <c r="P159" s="46">
        <f t="shared" ca="1" si="7"/>
        <v>1.0021174498549343E-2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input_439010!A$2</f>
        <v>439010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IFERROR(VLOOKUP(B160,input_439010!L:R,7,FALSE),VLOOKUP(tables_439010!C160,input_439010!A:H,8,FALSE))</f>
        <v>3380.4326999999998</v>
      </c>
      <c r="P160" s="46">
        <f t="shared" ca="1" si="7"/>
        <v>3.377055644338102E-5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input_439010!A$2</f>
        <v>439010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IFERROR(VLOOKUP(B161,input_439010!L:R,7,FALSE),VLOOKUP(tables_439010!C161,input_439010!A:H,8,FALSE))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input_439010!A$2</f>
        <v>439010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IFERROR(VLOOKUP(B162,input_439010!L:R,7,FALSE),VLOOKUP(tables_439010!C162,input_439010!A:H,8,FALSE))</f>
        <v>1003119.56731</v>
      </c>
      <c r="P162" s="46">
        <f t="shared" ca="1" si="7"/>
        <v>1.0021174498549343E-2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input_439010!A$2</f>
        <v>439010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IFERROR(VLOOKUP(B163,input_439010!L:R,7,FALSE),VLOOKUP(tables_439010!C163,input_439010!A:H,8,FALSE))</f>
        <v>3380.4326999999998</v>
      </c>
      <c r="P163" s="46">
        <f t="shared" ca="1" si="7"/>
        <v>3.377055644338102E-5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input_439010!A$2</f>
        <v>439010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IFERROR(VLOOKUP(B164,input_439010!L:R,7,FALSE),VLOOKUP(tables_439010!C164,input_439010!A:H,8,FALSE))</f>
        <v>109427.5</v>
      </c>
      <c r="P164" s="46">
        <f t="shared" ca="1" si="7"/>
        <v>1.0931818181761398E-3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input_439010!A$2</f>
        <v>439010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IFERROR(VLOOKUP(B165,input_439010!L:R,7,FALSE),VLOOKUP(tables_439010!C165,input_439010!A:H,8,FALSE))</f>
        <v>36172.5</v>
      </c>
      <c r="P165" s="46">
        <f t="shared" ca="1" si="7"/>
        <v>3.6136363636175931E-4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input_439010!A$2</f>
        <v>439010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IFERROR(VLOOKUP(B166,input_439010!L:R,7,FALSE),VLOOKUP(tables_439010!C166,input_439010!A:H,8,FALSE))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input_439010!A$2</f>
        <v>439010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IFERROR(VLOOKUP(B167,input_439010!L:R,7,FALSE),VLOOKUP(tables_439010!C167,input_439010!A:H,8,FALSE))</f>
        <v>1003119.56731</v>
      </c>
      <c r="P167" s="46">
        <f t="shared" ca="1" si="7"/>
        <v>1.0021174498549343E-2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input_439010!A$2</f>
        <v>439010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IFERROR(VLOOKUP(B168,input_439010!L:R,7,FALSE),VLOOKUP(tables_439010!C168,input_439010!A:H,8,FALSE))</f>
        <v>3380.4326999999998</v>
      </c>
      <c r="P168" s="46">
        <f t="shared" ca="1" si="7"/>
        <v>3.377055644338102E-5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input_439010!A$2</f>
        <v>439010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IFERROR(VLOOKUP(B169,input_439010!L:R,7,FALSE),VLOOKUP(tables_439010!C169,input_439010!A:H,8,FALSE))</f>
        <v>109427.5</v>
      </c>
      <c r="P169" s="46">
        <f t="shared" ca="1" si="7"/>
        <v>1.0931818181761398E-3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input_439010!A$2</f>
        <v>439010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IFERROR(VLOOKUP(B170,input_439010!L:R,7,FALSE),VLOOKUP(tables_439010!C170,input_439010!A:H,8,FALSE))</f>
        <v>36172.5</v>
      </c>
      <c r="P170" s="46">
        <f t="shared" ca="1" si="7"/>
        <v>3.6136363636175931E-4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input_439010!A$2</f>
        <v>439010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IFERROR(VLOOKUP(B171,input_439010!L:R,7,FALSE),VLOOKUP(tables_439010!C171,input_439010!A:H,8,FALSE))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input_439010!A$2</f>
        <v>439010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IFERROR(VLOOKUP(B172,input_439010!L:R,7,FALSE),VLOOKUP(tables_439010!C172,input_439010!A:H,8,FALSE))</f>
        <v>1003119.56731</v>
      </c>
      <c r="P172" s="46">
        <f t="shared" ca="1" si="7"/>
        <v>1.0021174498549343E-2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input_439010!A$2</f>
        <v>439010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IFERROR(VLOOKUP(B173,input_439010!L:R,7,FALSE),VLOOKUP(tables_439010!C173,input_439010!A:H,8,FALSE))</f>
        <v>3380.4326999999998</v>
      </c>
      <c r="P173" s="46">
        <f t="shared" ca="1" si="7"/>
        <v>3.377055644338102E-5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input_439010!A$2</f>
        <v>439010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IFERROR(VLOOKUP(B174,input_439010!L:R,7,FALSE),VLOOKUP(tables_439010!C174,input_439010!A:H,8,FALSE))</f>
        <v>109427.5</v>
      </c>
      <c r="P174" s="46">
        <f t="shared" ca="1" si="7"/>
        <v>1.0931818181761398E-3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input_439010!A$2</f>
        <v>439010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IFERROR(VLOOKUP(B175,input_439010!L:R,7,FALSE),VLOOKUP(tables_439010!C175,input_439010!A:H,8,FALSE))</f>
        <v>36172.5</v>
      </c>
      <c r="P175" s="46">
        <f t="shared" ca="1" si="7"/>
        <v>3.6136363636175931E-4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input_439010!A$2</f>
        <v>439010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IFERROR(VLOOKUP(B176,input_439010!L:R,7,FALSE),VLOOKUP(tables_439010!C176,input_439010!A:H,8,FALSE))</f>
        <v>109427.5</v>
      </c>
      <c r="P176" s="46">
        <f t="shared" ca="1" si="7"/>
        <v>1.0931818181761398E-3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input_439010!A$2</f>
        <v>439010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IFERROR(VLOOKUP(B177,input_439010!L:R,7,FALSE),VLOOKUP(tables_439010!C177,input_439010!A:H,8,FALSE))</f>
        <v>36172.5</v>
      </c>
      <c r="P177" s="46">
        <f t="shared" ca="1" si="7"/>
        <v>3.6136363636175931E-4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input_439010!A$2</f>
        <v>439010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IFERROR(VLOOKUP(B178,input_439010!L:R,7,FALSE),VLOOKUP(tables_439010!C178,input_439010!A:H,8,FALSE))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input_439010!A$2</f>
        <v>439010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IFERROR(VLOOKUP(B179,input_439010!L:R,7,FALSE),VLOOKUP(tables_439010!C179,input_439010!A:H,8,FALSE))</f>
        <v>1003119.56731</v>
      </c>
      <c r="P179" s="46">
        <f t="shared" ca="1" si="7"/>
        <v>1.0021174498549343E-2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input_439010!A$2</f>
        <v>439010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IFERROR(VLOOKUP(B180,input_439010!L:R,7,FALSE),VLOOKUP(tables_439010!C180,input_439010!A:H,8,FALSE))</f>
        <v>3380.4326999999998</v>
      </c>
      <c r="P180" s="46">
        <f t="shared" ca="1" si="7"/>
        <v>3.377055644338102E-5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input_439010!A$2</f>
        <v>439010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IFERROR(VLOOKUP(B181,input_439010!L:R,7,FALSE),VLOOKUP(tables_439010!C181,input_439010!A:H,8,FALSE))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input_439010!A$2</f>
        <v>439010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IFERROR(VLOOKUP(B182,input_439010!L:R,7,FALSE),VLOOKUP(tables_439010!C182,input_439010!A:H,8,FALSE))</f>
        <v>1003119.56731</v>
      </c>
      <c r="P182" s="46">
        <f t="shared" ca="1" si="7"/>
        <v>1.0021174498549343E-2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input_439010!A$2</f>
        <v>439010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IFERROR(VLOOKUP(B183,input_439010!L:R,7,FALSE),VLOOKUP(tables_439010!C183,input_439010!A:H,8,FALSE))</f>
        <v>3380.4326999999998</v>
      </c>
      <c r="P183" s="46">
        <f t="shared" ca="1" si="7"/>
        <v>3.377055644338102E-5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input_439010!A$2</f>
        <v>439010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IFERROR(VLOOKUP(B184,input_439010!L:R,7,FALSE),VLOOKUP(tables_439010!C184,input_439010!A:H,8,FALSE))</f>
        <v>109427.5</v>
      </c>
      <c r="P184" s="46">
        <f t="shared" ca="1" si="7"/>
        <v>1.0931818181761398E-3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input_439010!A$2</f>
        <v>439010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IFERROR(VLOOKUP(B185,input_439010!L:R,7,FALSE),VLOOKUP(tables_439010!C185,input_439010!A:H,8,FALSE))</f>
        <v>36172.5</v>
      </c>
      <c r="P185" s="46">
        <f t="shared" ca="1" si="7"/>
        <v>3.6136363636175931E-4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input_439010!A$2</f>
        <v>439010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IFERROR(VLOOKUP(B186,input_439010!L:R,7,FALSE),VLOOKUP(tables_439010!C186,input_439010!A:H,8,FALSE))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input_439010!A$2</f>
        <v>439010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IFERROR(VLOOKUP(B187,input_439010!L:R,7,FALSE),VLOOKUP(tables_439010!C187,input_439010!A:H,8,FALSE))</f>
        <v>1003119.56731</v>
      </c>
      <c r="P187" s="46">
        <f t="shared" ca="1" si="7"/>
        <v>1.0021174498549343E-2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input_439010!A$2</f>
        <v>439010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IFERROR(VLOOKUP(B188,input_439010!L:R,7,FALSE),VLOOKUP(tables_439010!C188,input_439010!A:H,8,FALSE))</f>
        <v>3380.4326999999998</v>
      </c>
      <c r="P188" s="46">
        <f t="shared" ca="1" si="7"/>
        <v>3.377055644338102E-5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input_439010!A$2</f>
        <v>439010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IFERROR(VLOOKUP(B189,input_439010!L:R,7,FALSE),VLOOKUP(tables_439010!C189,input_439010!A:H,8,FALSE))</f>
        <v>109427.5</v>
      </c>
      <c r="P189" s="46">
        <f t="shared" ca="1" si="7"/>
        <v>1.0931818181761398E-3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input_439010!A$2</f>
        <v>439010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IFERROR(VLOOKUP(B190,input_439010!L:R,7,FALSE),VLOOKUP(tables_439010!C190,input_439010!A:H,8,FALSE))</f>
        <v>36172.5</v>
      </c>
      <c r="P190" s="46">
        <f t="shared" ca="1" si="7"/>
        <v>3.6136363636175931E-4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input_439010!A$2</f>
        <v>439010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IFERROR(VLOOKUP(B191,input_439010!L:R,7,FALSE),VLOOKUP(tables_439010!C191,input_439010!A:H,8,FALSE))</f>
        <v>109427.5</v>
      </c>
      <c r="P191" s="46">
        <f t="shared" ca="1" si="7"/>
        <v>1.0931818181761398E-3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input_439010!A$2</f>
        <v>439010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IFERROR(VLOOKUP(B192,input_439010!L:R,7,FALSE),VLOOKUP(tables_439010!C192,input_439010!A:H,8,FALSE))</f>
        <v>36172.5</v>
      </c>
      <c r="P192" s="46">
        <f t="shared" ca="1" si="7"/>
        <v>3.6136363636175931E-4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input_439010!A$2</f>
        <v>439010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IFERROR(VLOOKUP(B193,input_439010!L:R,7,FALSE),VLOOKUP(tables_439010!C193,input_439010!A:H,8,FALSE))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input_439010!A$2</f>
        <v>439010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IFERROR(VLOOKUP(B194,input_439010!L:R,7,FALSE),VLOOKUP(tables_439010!C194,input_439010!A:H,8,FALSE))</f>
        <v>1003119.56731</v>
      </c>
      <c r="P194" s="46">
        <f t="shared" ref="P194:P257" ca="1" si="10">O194/SUM(O:O)</f>
        <v>1.0021174498549343E-2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input_439010!A$2</f>
        <v>439010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IFERROR(VLOOKUP(B195,input_439010!L:R,7,FALSE),VLOOKUP(tables_439010!C195,input_439010!A:H,8,FALSE))</f>
        <v>3380.4326999999998</v>
      </c>
      <c r="P195" s="46">
        <f t="shared" ca="1" si="10"/>
        <v>3.377055644338102E-5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input_439010!A$2</f>
        <v>439010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IFERROR(VLOOKUP(B196,input_439010!L:R,7,FALSE),VLOOKUP(tables_439010!C196,input_439010!A:H,8,FALSE))</f>
        <v>109427.5</v>
      </c>
      <c r="P196" s="46">
        <f t="shared" ca="1" si="10"/>
        <v>1.0931818181761398E-3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input_439010!A$2</f>
        <v>439010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IFERROR(VLOOKUP(B197,input_439010!L:R,7,FALSE),VLOOKUP(tables_439010!C197,input_439010!A:H,8,FALSE))</f>
        <v>36172.5</v>
      </c>
      <c r="P197" s="46">
        <f t="shared" ca="1" si="10"/>
        <v>3.6136363636175931E-4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input_439010!A$2</f>
        <v>439010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IFERROR(VLOOKUP(B198,input_439010!L:R,7,FALSE),VLOOKUP(tables_439010!C198,input_439010!A:H,8,FALSE))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input_439010!A$2</f>
        <v>439010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IFERROR(VLOOKUP(B199,input_439010!L:R,7,FALSE),VLOOKUP(tables_439010!C199,input_439010!A:H,8,FALSE))</f>
        <v>1003119.56731</v>
      </c>
      <c r="P199" s="46">
        <f t="shared" ca="1" si="10"/>
        <v>1.0021174498549343E-2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input_439010!A$2</f>
        <v>439010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IFERROR(VLOOKUP(B200,input_439010!L:R,7,FALSE),VLOOKUP(tables_439010!C200,input_439010!A:H,8,FALSE))</f>
        <v>3380.4326999999998</v>
      </c>
      <c r="P200" s="46">
        <f t="shared" ca="1" si="10"/>
        <v>3.377055644338102E-5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input_439010!A$2</f>
        <v>439010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IFERROR(VLOOKUP(B201,input_439010!L:R,7,FALSE),VLOOKUP(tables_439010!C201,input_439010!A:H,8,FALSE))</f>
        <v>109427.5</v>
      </c>
      <c r="P201" s="46">
        <f t="shared" ca="1" si="10"/>
        <v>1.0931818181761398E-3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input_439010!A$2</f>
        <v>439010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IFERROR(VLOOKUP(B202,input_439010!L:R,7,FALSE),VLOOKUP(tables_439010!C202,input_439010!A:H,8,FALSE))</f>
        <v>36172.5</v>
      </c>
      <c r="P202" s="46">
        <f t="shared" ca="1" si="10"/>
        <v>3.6136363636175931E-4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input_439010!A$2</f>
        <v>439010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IFERROR(VLOOKUP(B203,input_439010!L:R,7,FALSE),VLOOKUP(tables_439010!C203,input_439010!A:H,8,FALSE))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input_439010!A$2</f>
        <v>439010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IFERROR(VLOOKUP(B204,input_439010!L:R,7,FALSE),VLOOKUP(tables_439010!C204,input_439010!A:H,8,FALSE))</f>
        <v>1003119.56731</v>
      </c>
      <c r="P204" s="46">
        <f t="shared" ca="1" si="10"/>
        <v>1.0021174498549343E-2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input_439010!A$2</f>
        <v>439010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IFERROR(VLOOKUP(B205,input_439010!L:R,7,FALSE),VLOOKUP(tables_439010!C205,input_439010!A:H,8,FALSE))</f>
        <v>3380.4326999999998</v>
      </c>
      <c r="P205" s="46">
        <f t="shared" ca="1" si="10"/>
        <v>3.377055644338102E-5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input_439010!A$2</f>
        <v>439010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IFERROR(VLOOKUP(B206,input_439010!L:R,7,FALSE),VLOOKUP(tables_439010!C206,input_439010!A:H,8,FALSE))</f>
        <v>109427.5</v>
      </c>
      <c r="P206" s="46">
        <f t="shared" ca="1" si="10"/>
        <v>1.0931818181761398E-3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input_439010!A$2</f>
        <v>439010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IFERROR(VLOOKUP(B207,input_439010!L:R,7,FALSE),VLOOKUP(tables_439010!C207,input_439010!A:H,8,FALSE))</f>
        <v>36172.5</v>
      </c>
      <c r="P207" s="46">
        <f t="shared" ca="1" si="10"/>
        <v>3.6136363636175931E-4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input_439010!A$2</f>
        <v>439010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IFERROR(VLOOKUP(B208,input_439010!L:R,7,FALSE),VLOOKUP(tables_439010!C208,input_439010!A:H,8,FALSE))</f>
        <v>109427.5</v>
      </c>
      <c r="P208" s="46">
        <f t="shared" ca="1" si="10"/>
        <v>1.0931818181761398E-3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input_439010!A$2</f>
        <v>439010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IFERROR(VLOOKUP(B209,input_439010!L:R,7,FALSE),VLOOKUP(tables_439010!C209,input_439010!A:H,8,FALSE))</f>
        <v>36172.5</v>
      </c>
      <c r="P209" s="46">
        <f t="shared" ca="1" si="10"/>
        <v>3.6136363636175931E-4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input_439010!A$2</f>
        <v>439010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IFERROR(VLOOKUP(B210,input_439010!L:R,7,FALSE),VLOOKUP(tables_439010!C210,input_439010!A:H,8,FALSE))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input_439010!A$2</f>
        <v>439010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IFERROR(VLOOKUP(B211,input_439010!L:R,7,FALSE),VLOOKUP(tables_439010!C211,input_439010!A:H,8,FALSE))</f>
        <v>1003119.56731</v>
      </c>
      <c r="P211" s="46">
        <f t="shared" ca="1" si="10"/>
        <v>1.0021174498549343E-2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input_439010!A$2</f>
        <v>439010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IFERROR(VLOOKUP(B212,input_439010!L:R,7,FALSE),VLOOKUP(tables_439010!C212,input_439010!A:H,8,FALSE))</f>
        <v>3380.4326999999998</v>
      </c>
      <c r="P212" s="46">
        <f t="shared" ca="1" si="10"/>
        <v>3.377055644338102E-5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input_439010!A$2</f>
        <v>439010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IFERROR(VLOOKUP(B213,input_439010!L:R,7,FALSE),VLOOKUP(tables_439010!C213,input_439010!A:H,8,FALSE))</f>
        <v>109427.5</v>
      </c>
      <c r="P213" s="46">
        <f t="shared" ca="1" si="10"/>
        <v>1.0931818181761398E-3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input_439010!A$2</f>
        <v>439010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IFERROR(VLOOKUP(B214,input_439010!L:R,7,FALSE),VLOOKUP(tables_439010!C214,input_439010!A:H,8,FALSE))</f>
        <v>36172.5</v>
      </c>
      <c r="P214" s="46">
        <f t="shared" ca="1" si="10"/>
        <v>3.6136363636175931E-4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input_439010!A$2</f>
        <v>439010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IFERROR(VLOOKUP(B215,input_439010!L:R,7,FALSE),VLOOKUP(tables_439010!C215,input_439010!A:H,8,FALSE))</f>
        <v>75487.5</v>
      </c>
      <c r="P215" s="46">
        <f t="shared" ca="1" si="10"/>
        <v>7.541208791169619E-4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input_439010!A$2</f>
        <v>439010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IFERROR(VLOOKUP(B216,input_439010!L:R,7,FALSE),VLOOKUP(tables_439010!C216,input_439010!A:H,8,FALSE))</f>
        <v>75487.5</v>
      </c>
      <c r="P216" s="46">
        <f t="shared" ca="1" si="10"/>
        <v>7.541208791169619E-4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input_439010!A$2</f>
        <v>439010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IFERROR(VLOOKUP(B217,input_439010!L:R,7,FALSE),VLOOKUP(tables_439010!C217,input_439010!A:H,8,FALSE))</f>
        <v>75487.5</v>
      </c>
      <c r="P217" s="46">
        <f t="shared" ca="1" si="10"/>
        <v>7.541208791169619E-4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input_439010!A$2</f>
        <v>439010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IFERROR(VLOOKUP(B218,input_439010!L:R,7,FALSE),VLOOKUP(tables_439010!C218,input_439010!A:H,8,FALSE))</f>
        <v>75487.5</v>
      </c>
      <c r="P218" s="46">
        <f t="shared" ca="1" si="10"/>
        <v>7.541208791169619E-4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input_439010!A$2</f>
        <v>439010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IFERROR(VLOOKUP(B219,input_439010!L:R,7,FALSE),VLOOKUP(tables_439010!C219,input_439010!A:H,8,FALSE))</f>
        <v>75487.5</v>
      </c>
      <c r="P219" s="46">
        <f t="shared" ca="1" si="10"/>
        <v>7.541208791169619E-4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input_439010!A$2</f>
        <v>439010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IFERROR(VLOOKUP(B220,input_439010!L:R,7,FALSE),VLOOKUP(tables_439010!C220,input_439010!A:H,8,FALSE))</f>
        <v>75487.5</v>
      </c>
      <c r="P220" s="46">
        <f t="shared" ca="1" si="10"/>
        <v>7.541208791169619E-4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input_439010!A$2</f>
        <v>439010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IFERROR(VLOOKUP(B221,input_439010!L:R,7,FALSE),VLOOKUP(tables_439010!C221,input_439010!A:H,8,FALSE))</f>
        <v>109427.5</v>
      </c>
      <c r="P221" s="46">
        <f t="shared" ca="1" si="10"/>
        <v>1.0931818181761398E-3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input_439010!A$2</f>
        <v>439010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IFERROR(VLOOKUP(B222,input_439010!L:R,7,FALSE),VLOOKUP(tables_439010!C222,input_439010!A:H,8,FALSE))</f>
        <v>36172.5</v>
      </c>
      <c r="P222" s="46">
        <f t="shared" ca="1" si="10"/>
        <v>3.6136363636175931E-4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input_439010!A$2</f>
        <v>439010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IFERROR(VLOOKUP(B223,input_439010!L:R,7,FALSE),VLOOKUP(tables_439010!C223,input_439010!A:H,8,FALSE))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input_439010!A$2</f>
        <v>439010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IFERROR(VLOOKUP(B224,input_439010!L:R,7,FALSE),VLOOKUP(tables_439010!C224,input_439010!A:H,8,FALSE))</f>
        <v>1003119.56731</v>
      </c>
      <c r="P224" s="46">
        <f t="shared" ca="1" si="10"/>
        <v>1.0021174498549343E-2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input_439010!A$2</f>
        <v>439010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IFERROR(VLOOKUP(B225,input_439010!L:R,7,FALSE),VLOOKUP(tables_439010!C225,input_439010!A:H,8,FALSE))</f>
        <v>3380.4326999999998</v>
      </c>
      <c r="P225" s="46">
        <f t="shared" ca="1" si="10"/>
        <v>3.377055644338102E-5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input_439010!A$2</f>
        <v>439010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IFERROR(VLOOKUP(B226,input_439010!L:R,7,FALSE),VLOOKUP(tables_439010!C226,input_439010!A:H,8,FALSE))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input_439010!A$2</f>
        <v>439010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IFERROR(VLOOKUP(B227,input_439010!L:R,7,FALSE),VLOOKUP(tables_439010!C227,input_439010!A:H,8,FALSE))</f>
        <v>1003119.56731</v>
      </c>
      <c r="P227" s="46">
        <f t="shared" ca="1" si="10"/>
        <v>1.0021174498549343E-2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input_439010!A$2</f>
        <v>439010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IFERROR(VLOOKUP(B228,input_439010!L:R,7,FALSE),VLOOKUP(tables_439010!C228,input_439010!A:H,8,FALSE))</f>
        <v>3380.4326999999998</v>
      </c>
      <c r="P228" s="46">
        <f t="shared" ca="1" si="10"/>
        <v>3.377055644338102E-5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input_439010!A$2</f>
        <v>439010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IFERROR(VLOOKUP(B229,input_439010!L:R,7,FALSE),VLOOKUP(tables_439010!C229,input_439010!A:H,8,FALSE))</f>
        <v>109427.5</v>
      </c>
      <c r="P229" s="46">
        <f t="shared" ca="1" si="10"/>
        <v>1.0931818181761398E-3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input_439010!A$2</f>
        <v>439010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IFERROR(VLOOKUP(B230,input_439010!L:R,7,FALSE),VLOOKUP(tables_439010!C230,input_439010!A:H,8,FALSE))</f>
        <v>36172.5</v>
      </c>
      <c r="P230" s="46">
        <f t="shared" ca="1" si="10"/>
        <v>3.6136363636175931E-4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input_439010!A$2</f>
        <v>439010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IFERROR(VLOOKUP(B231,input_439010!L:R,7,FALSE),VLOOKUP(tables_439010!C231,input_439010!A:H,8,FALSE))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input_439010!A$2</f>
        <v>439010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IFERROR(VLOOKUP(B232,input_439010!L:R,7,FALSE),VLOOKUP(tables_439010!C232,input_439010!A:H,8,FALSE))</f>
        <v>1003119.56731</v>
      </c>
      <c r="P232" s="46">
        <f t="shared" ca="1" si="10"/>
        <v>1.0021174498549343E-2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input_439010!A$2</f>
        <v>439010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IFERROR(VLOOKUP(B233,input_439010!L:R,7,FALSE),VLOOKUP(tables_439010!C233,input_439010!A:H,8,FALSE))</f>
        <v>3380.4326999999998</v>
      </c>
      <c r="P233" s="46">
        <f t="shared" ca="1" si="10"/>
        <v>3.377055644338102E-5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input_439010!A$2</f>
        <v>439010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IFERROR(VLOOKUP(B234,input_439010!L:R,7,FALSE),VLOOKUP(tables_439010!C234,input_439010!A:H,8,FALSE))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input_439010!A$2</f>
        <v>439010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IFERROR(VLOOKUP(B235,input_439010!L:R,7,FALSE),VLOOKUP(tables_439010!C235,input_439010!A:H,8,FALSE))</f>
        <v>1003119.56731</v>
      </c>
      <c r="P235" s="46">
        <f t="shared" ca="1" si="10"/>
        <v>1.0021174498549343E-2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input_439010!A$2</f>
        <v>439010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IFERROR(VLOOKUP(B236,input_439010!L:R,7,FALSE),VLOOKUP(tables_439010!C236,input_439010!A:H,8,FALSE))</f>
        <v>3380.4326999999998</v>
      </c>
      <c r="P236" s="46">
        <f t="shared" ca="1" si="10"/>
        <v>3.377055644338102E-5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input_439010!A$2</f>
        <v>439010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IFERROR(VLOOKUP(B237,input_439010!L:R,7,FALSE),VLOOKUP(tables_439010!C237,input_439010!A:H,8,FALSE))</f>
        <v>109427.5</v>
      </c>
      <c r="P237" s="46">
        <f t="shared" ca="1" si="10"/>
        <v>1.0931818181761398E-3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input_439010!A$2</f>
        <v>439010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IFERROR(VLOOKUP(B238,input_439010!L:R,7,FALSE),VLOOKUP(tables_439010!C238,input_439010!A:H,8,FALSE))</f>
        <v>36172.5</v>
      </c>
      <c r="P238" s="46">
        <f t="shared" ca="1" si="10"/>
        <v>3.6136363636175931E-4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input_439010!A$2</f>
        <v>439010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IFERROR(VLOOKUP(B239,input_439010!L:R,7,FALSE),VLOOKUP(tables_439010!C239,input_439010!A:H,8,FALSE))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input_439010!A$2</f>
        <v>439010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IFERROR(VLOOKUP(B240,input_439010!L:R,7,FALSE),VLOOKUP(tables_439010!C240,input_439010!A:H,8,FALSE))</f>
        <v>1003119.56731</v>
      </c>
      <c r="P240" s="46">
        <f t="shared" ca="1" si="10"/>
        <v>1.0021174498549343E-2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input_439010!A$2</f>
        <v>439010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IFERROR(VLOOKUP(B241,input_439010!L:R,7,FALSE),VLOOKUP(tables_439010!C241,input_439010!A:H,8,FALSE))</f>
        <v>3380.4326999999998</v>
      </c>
      <c r="P241" s="46">
        <f t="shared" ca="1" si="10"/>
        <v>3.377055644338102E-5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input_439010!A$2</f>
        <v>439010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IFERROR(VLOOKUP(B242,input_439010!L:R,7,FALSE),VLOOKUP(tables_439010!C242,input_439010!A:H,8,FALSE))</f>
        <v>109427.5</v>
      </c>
      <c r="P242" s="46">
        <f t="shared" ca="1" si="10"/>
        <v>1.0931818181761398E-3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input_439010!A$2</f>
        <v>439010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IFERROR(VLOOKUP(B243,input_439010!L:R,7,FALSE),VLOOKUP(tables_439010!C243,input_439010!A:H,8,FALSE))</f>
        <v>36172.5</v>
      </c>
      <c r="P243" s="46">
        <f t="shared" ca="1" si="10"/>
        <v>3.6136363636175931E-4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input_439010!A$2</f>
        <v>439010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IFERROR(VLOOKUP(B244,input_439010!L:R,7,FALSE),VLOOKUP(tables_439010!C244,input_439010!A:H,8,FALSE))</f>
        <v>109427.5</v>
      </c>
      <c r="P244" s="46">
        <f t="shared" ca="1" si="10"/>
        <v>1.0931818181761398E-3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input_439010!A$2</f>
        <v>439010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IFERROR(VLOOKUP(B245,input_439010!L:R,7,FALSE),VLOOKUP(tables_439010!C245,input_439010!A:H,8,FALSE))</f>
        <v>36172.5</v>
      </c>
      <c r="P245" s="46">
        <f t="shared" ca="1" si="10"/>
        <v>3.6136363636175931E-4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input_439010!A$2</f>
        <v>439010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IFERROR(VLOOKUP(B246,input_439010!L:R,7,FALSE),VLOOKUP(tables_439010!C246,input_439010!A:H,8,FALSE))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input_439010!A$2</f>
        <v>439010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IFERROR(VLOOKUP(B247,input_439010!L:R,7,FALSE),VLOOKUP(tables_439010!C247,input_439010!A:H,8,FALSE))</f>
        <v>1003119.56731</v>
      </c>
      <c r="P247" s="46">
        <f t="shared" ca="1" si="10"/>
        <v>1.0021174498549343E-2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input_439010!A$2</f>
        <v>439010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IFERROR(VLOOKUP(B248,input_439010!L:R,7,FALSE),VLOOKUP(tables_439010!C248,input_439010!A:H,8,FALSE))</f>
        <v>3380.4326999999998</v>
      </c>
      <c r="P248" s="46">
        <f t="shared" ca="1" si="10"/>
        <v>3.377055644338102E-5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input_439010!A$2</f>
        <v>439010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IFERROR(VLOOKUP(B249,input_439010!L:R,7,FALSE),VLOOKUP(tables_439010!C249,input_439010!A:H,8,FALSE))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input_439010!A$2</f>
        <v>439010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IFERROR(VLOOKUP(B250,input_439010!L:R,7,FALSE),VLOOKUP(tables_439010!C250,input_439010!A:H,8,FALSE))</f>
        <v>1003119.56731</v>
      </c>
      <c r="P250" s="46">
        <f t="shared" ca="1" si="10"/>
        <v>1.0021174498549343E-2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input_439010!A$2</f>
        <v>439010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IFERROR(VLOOKUP(B251,input_439010!L:R,7,FALSE),VLOOKUP(tables_439010!C251,input_439010!A:H,8,FALSE))</f>
        <v>3380.4326999999998</v>
      </c>
      <c r="P251" s="46">
        <f t="shared" ca="1" si="10"/>
        <v>3.377055644338102E-5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input_439010!A$2</f>
        <v>439010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IFERROR(VLOOKUP(B252,input_439010!L:R,7,FALSE),VLOOKUP(tables_439010!C252,input_439010!A:H,8,FALSE))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input_439010!A$2</f>
        <v>439010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IFERROR(VLOOKUP(B253,input_439010!L:R,7,FALSE),VLOOKUP(tables_439010!C253,input_439010!A:H,8,FALSE))</f>
        <v>1003119.56731</v>
      </c>
      <c r="P253" s="46">
        <f t="shared" ca="1" si="10"/>
        <v>1.0021174498549343E-2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input_439010!A$2</f>
        <v>439010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IFERROR(VLOOKUP(B254,input_439010!L:R,7,FALSE),VLOOKUP(tables_439010!C254,input_439010!A:H,8,FALSE))</f>
        <v>3380.4326999999998</v>
      </c>
      <c r="P254" s="46">
        <f t="shared" ca="1" si="10"/>
        <v>3.377055644338102E-5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input_439010!A$2</f>
        <v>439010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IFERROR(VLOOKUP(B255,input_439010!L:R,7,FALSE),VLOOKUP(tables_439010!C255,input_439010!A:H,8,FALSE))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input_439010!A$2</f>
        <v>439010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IFERROR(VLOOKUP(B256,input_439010!L:R,7,FALSE),VLOOKUP(tables_439010!C256,input_439010!A:H,8,FALSE))</f>
        <v>1003119.56731</v>
      </c>
      <c r="P256" s="46">
        <f t="shared" ca="1" si="10"/>
        <v>1.0021174498549343E-2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input_439010!A$2</f>
        <v>439010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IFERROR(VLOOKUP(B257,input_439010!L:R,7,FALSE),VLOOKUP(tables_439010!C257,input_439010!A:H,8,FALSE))</f>
        <v>3380.4326999999998</v>
      </c>
      <c r="P257" s="46">
        <f t="shared" ca="1" si="10"/>
        <v>3.377055644338102E-5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input_439010!A$2</f>
        <v>439010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IFERROR(VLOOKUP(B258,input_439010!L:R,7,FALSE),VLOOKUP(tables_439010!C258,input_439010!A:H,8,FALSE))</f>
        <v>109427.5</v>
      </c>
      <c r="P258" s="46">
        <f t="shared" ref="P258:P294" ca="1" si="13">O258/SUM(O:O)</f>
        <v>1.0931818181761398E-3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input_439010!A$2</f>
        <v>439010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IFERROR(VLOOKUP(B259,input_439010!L:R,7,FALSE),VLOOKUP(tables_439010!C259,input_439010!A:H,8,FALSE))</f>
        <v>36172.5</v>
      </c>
      <c r="P259" s="46">
        <f t="shared" ca="1" si="13"/>
        <v>3.6136363636175931E-4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input_439010!A$2</f>
        <v>439010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IFERROR(VLOOKUP(B260,input_439010!L:R,7,FALSE),VLOOKUP(tables_439010!C260,input_439010!A:H,8,FALSE))</f>
        <v>109427.5</v>
      </c>
      <c r="P260" s="46">
        <f t="shared" ca="1" si="13"/>
        <v>1.0931818181761398E-3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input_439010!A$2</f>
        <v>439010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IFERROR(VLOOKUP(B261,input_439010!L:R,7,FALSE),VLOOKUP(tables_439010!C261,input_439010!A:H,8,FALSE))</f>
        <v>36172.5</v>
      </c>
      <c r="P261" s="46">
        <f t="shared" ca="1" si="13"/>
        <v>3.6136363636175931E-4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input_439010!A$2</f>
        <v>439010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IFERROR(VLOOKUP(B262,input_439010!L:R,7,FALSE),VLOOKUP(tables_439010!C262,input_439010!A:H,8,FALSE))</f>
        <v>900817.5</v>
      </c>
      <c r="P262" s="46">
        <f t="shared" ca="1" si="13"/>
        <v>8.9991758241290791E-3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input_439010!A$2</f>
        <v>439010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IFERROR(VLOOKUP(B263,input_439010!L:R,7,FALSE),VLOOKUP(tables_439010!C263,input_439010!A:H,8,FALSE))</f>
        <v>75487.5</v>
      </c>
      <c r="P263" s="46">
        <f t="shared" ca="1" si="13"/>
        <v>7.541208791169619E-4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input_439010!A$2</f>
        <v>439010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IFERROR(VLOOKUP(B264,input_439010!L:R,7,FALSE),VLOOKUP(tables_439010!C264,input_439010!A:H,8,FALSE))</f>
        <v>900817.5</v>
      </c>
      <c r="P264" s="46">
        <f t="shared" ca="1" si="13"/>
        <v>8.9991758241290791E-3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input_439010!A$2</f>
        <v>439010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IFERROR(VLOOKUP(B265,input_439010!L:R,7,FALSE),VLOOKUP(tables_439010!C265,input_439010!A:H,8,FALSE))</f>
        <v>75487.5</v>
      </c>
      <c r="P265" s="46">
        <f t="shared" ca="1" si="13"/>
        <v>7.541208791169619E-4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input_439010!A$2</f>
        <v>439010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IFERROR(VLOOKUP(B266,input_439010!L:R,7,FALSE),VLOOKUP(tables_439010!C266,input_439010!A:H,8,FALSE))</f>
        <v>118300</v>
      </c>
      <c r="P266" s="46">
        <f t="shared" ca="1" si="13"/>
        <v>1.1818181818120429E-3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input_439010!A$2</f>
        <v>439010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IFERROR(VLOOKUP(B267,input_439010!L:R,7,FALSE),VLOOKUP(tables_439010!C267,input_439010!A:H,8,FALSE))</f>
        <v>118300</v>
      </c>
      <c r="P267" s="46">
        <f t="shared" ca="1" si="13"/>
        <v>1.1818181818120429E-3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input_439010!A$2</f>
        <v>439010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IFERROR(VLOOKUP(B268,input_439010!L:R,7,FALSE),VLOOKUP(tables_439010!C268,input_439010!A:H,8,FALSE))</f>
        <v>118300</v>
      </c>
      <c r="P268" s="46">
        <f t="shared" ca="1" si="13"/>
        <v>1.1818181818120429E-3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input_439010!A$2</f>
        <v>439010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IFERROR(VLOOKUP(B269,input_439010!L:R,7,FALSE),VLOOKUP(tables_439010!C269,input_439010!A:H,8,FALSE))</f>
        <v>118300</v>
      </c>
      <c r="P269" s="46">
        <f t="shared" ca="1" si="13"/>
        <v>1.1818181818120429E-3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input_439010!A$2</f>
        <v>439010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IFERROR(VLOOKUP(B270,input_439010!L:R,7,FALSE),VLOOKUP(tables_439010!C270,input_439010!A:H,8,FALSE))</f>
        <v>900817.5</v>
      </c>
      <c r="P270" s="46">
        <f t="shared" ca="1" si="13"/>
        <v>8.9991758241290791E-3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input_439010!A$2</f>
        <v>439010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IFERROR(VLOOKUP(B271,input_439010!L:R,7,FALSE),VLOOKUP(tables_439010!C271,input_439010!A:H,8,FALSE))</f>
        <v>75487.5</v>
      </c>
      <c r="P271" s="46">
        <f t="shared" ca="1" si="13"/>
        <v>7.541208791169619E-4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input_439010!A$2</f>
        <v>439010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IFERROR(VLOOKUP(B272,input_439010!L:R,7,FALSE),VLOOKUP(tables_439010!C272,input_439010!A:H,8,FALSE))</f>
        <v>900817.5</v>
      </c>
      <c r="P272" s="46">
        <f t="shared" ca="1" si="13"/>
        <v>8.9991758241290791E-3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input_439010!A$2</f>
        <v>439010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IFERROR(VLOOKUP(B273,input_439010!L:R,7,FALSE),VLOOKUP(tables_439010!C273,input_439010!A:H,8,FALSE))</f>
        <v>75487.5</v>
      </c>
      <c r="P273" s="46">
        <f t="shared" ca="1" si="13"/>
        <v>7.541208791169619E-4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input_439010!A$2</f>
        <v>439010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IFERROR(VLOOKUP(B274,input_439010!L:R,7,FALSE),VLOOKUP(tables_439010!C274,input_439010!A:H,8,FALSE))</f>
        <v>109427.5</v>
      </c>
      <c r="P274" s="46">
        <f t="shared" ca="1" si="13"/>
        <v>1.0931818181761398E-3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input_439010!A$2</f>
        <v>439010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IFERROR(VLOOKUP(B275,input_439010!L:R,7,FALSE),VLOOKUP(tables_439010!C275,input_439010!A:H,8,FALSE))</f>
        <v>36172.5</v>
      </c>
      <c r="P275" s="46">
        <f t="shared" ca="1" si="13"/>
        <v>3.6136363636175931E-4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input_439010!A$2</f>
        <v>439010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IFERROR(VLOOKUP(B276,input_439010!L:R,7,FALSE),VLOOKUP(tables_439010!C276,input_439010!A:H,8,FALSE))</f>
        <v>109427.5</v>
      </c>
      <c r="P276" s="46">
        <f t="shared" ca="1" si="13"/>
        <v>1.0931818181761398E-3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input_439010!A$2</f>
        <v>439010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IFERROR(VLOOKUP(B277,input_439010!L:R,7,FALSE),VLOOKUP(tables_439010!C277,input_439010!A:H,8,FALSE))</f>
        <v>36172.5</v>
      </c>
      <c r="P277" s="46">
        <f t="shared" ca="1" si="13"/>
        <v>3.6136363636175931E-4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input_439010!A$2</f>
        <v>439010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IFERROR(VLOOKUP(B278,input_439010!L:R,7,FALSE),VLOOKUP(tables_439010!C278,input_439010!A:H,8,FALSE))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input_439010!A$2</f>
        <v>439010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IFERROR(VLOOKUP(B279,input_439010!L:R,7,FALSE),VLOOKUP(tables_439010!C279,input_439010!A:H,8,FALSE))</f>
        <v>1003119.56731</v>
      </c>
      <c r="P279" s="46">
        <f t="shared" ca="1" si="13"/>
        <v>1.0021174498549343E-2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input_439010!A$2</f>
        <v>439010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IFERROR(VLOOKUP(B280,input_439010!L:R,7,FALSE),VLOOKUP(tables_439010!C280,input_439010!A:H,8,FALSE))</f>
        <v>3380.4326999999998</v>
      </c>
      <c r="P280" s="46">
        <f t="shared" ca="1" si="13"/>
        <v>3.377055644338102E-5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input_439010!A$2</f>
        <v>439010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IFERROR(VLOOKUP(B281,input_439010!L:R,7,FALSE),VLOOKUP(tables_439010!C281,input_439010!A:H,8,FALSE))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input_439010!A$2</f>
        <v>439010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IFERROR(VLOOKUP(B282,input_439010!L:R,7,FALSE),VLOOKUP(tables_439010!C282,input_439010!A:H,8,FALSE))</f>
        <v>1003119.56731</v>
      </c>
      <c r="P282" s="46">
        <f t="shared" ca="1" si="13"/>
        <v>1.0021174498549343E-2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input_439010!A$2</f>
        <v>439010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IFERROR(VLOOKUP(B283,input_439010!L:R,7,FALSE),VLOOKUP(tables_439010!C283,input_439010!A:H,8,FALSE))</f>
        <v>3380.4326999999998</v>
      </c>
      <c r="P283" s="46">
        <f t="shared" ca="1" si="13"/>
        <v>3.377055644338102E-5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input_439010!A$2</f>
        <v>439010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IFERROR(VLOOKUP(B284,input_439010!L:R,7,FALSE),VLOOKUP(tables_439010!C284,input_439010!A:H,8,FALSE))</f>
        <v>118300</v>
      </c>
      <c r="P284" s="46">
        <f t="shared" ca="1" si="13"/>
        <v>1.1818181818120429E-3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input_439010!A$2</f>
        <v>439010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IFERROR(VLOOKUP(B285,input_439010!L:R,7,FALSE),VLOOKUP(tables_439010!C285,input_439010!A:H,8,FALSE))</f>
        <v>118300</v>
      </c>
      <c r="P285" s="46">
        <f t="shared" ca="1" si="13"/>
        <v>1.1818181818120429E-3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input_439010!A$2</f>
        <v>439010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IFERROR(VLOOKUP(B286,input_439010!L:R,7,FALSE),VLOOKUP(tables_439010!C286,input_439010!A:H,8,FALSE))</f>
        <v>900817.5</v>
      </c>
      <c r="P286" s="46">
        <f t="shared" ca="1" si="13"/>
        <v>8.9991758241290791E-3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input_439010!A$2</f>
        <v>439010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IFERROR(VLOOKUP(B287,input_439010!L:R,7,FALSE),VLOOKUP(tables_439010!C287,input_439010!A:H,8,FALSE))</f>
        <v>75487.5</v>
      </c>
      <c r="P287" s="46">
        <f t="shared" ca="1" si="13"/>
        <v>7.541208791169619E-4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input_439010!A$2</f>
        <v>439010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IFERROR(VLOOKUP(B288,input_439010!L:R,7,FALSE),VLOOKUP(tables_439010!C288,input_439010!A:H,8,FALSE))</f>
        <v>900817.5</v>
      </c>
      <c r="P288" s="46">
        <f t="shared" ca="1" si="13"/>
        <v>8.9991758241290791E-3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input_439010!A$2</f>
        <v>439010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IFERROR(VLOOKUP(B289,input_439010!L:R,7,FALSE),VLOOKUP(tables_439010!C289,input_439010!A:H,8,FALSE))</f>
        <v>75487.5</v>
      </c>
      <c r="P289" s="46">
        <f t="shared" ca="1" si="13"/>
        <v>7.541208791169619E-4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input_439010!A$2</f>
        <v>439010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IFERROR(VLOOKUP(B290,input_439010!L:R,7,FALSE),VLOOKUP(tables_439010!C290,input_439010!A:H,8,FALSE))</f>
        <v>900817.5</v>
      </c>
      <c r="P290" s="46">
        <f t="shared" ca="1" si="13"/>
        <v>8.9991758241290791E-3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input_439010!A$2</f>
        <v>439010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IFERROR(VLOOKUP(B291,input_439010!L:R,7,FALSE),VLOOKUP(tables_439010!C291,input_439010!A:H,8,FALSE))</f>
        <v>75487.5</v>
      </c>
      <c r="P291" s="46">
        <f t="shared" ca="1" si="13"/>
        <v>7.541208791169619E-4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input_439010!A$2</f>
        <v>439010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IFERROR(VLOOKUP(B292,input_439010!L:R,7,FALSE),VLOOKUP(tables_439010!C292,input_439010!A:H,8,FALSE))</f>
        <v>900817.5</v>
      </c>
      <c r="P292" s="46">
        <f t="shared" ca="1" si="13"/>
        <v>8.9991758241290791E-3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input_439010!A$2</f>
        <v>439010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IFERROR(VLOOKUP(B293,input_439010!L:R,7,FALSE),VLOOKUP(tables_439010!C293,input_439010!A:H,8,FALSE))</f>
        <v>75487.5</v>
      </c>
      <c r="P293" s="46">
        <f t="shared" ca="1" si="13"/>
        <v>7.541208791169619E-4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input_439010!A$2</f>
        <v>439010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IFERROR(VLOOKUP(B294,input_439010!L:R,7,FALSE),VLOOKUP(tables_439010!C294,input_439010!A:H,8,FALSE))</f>
        <v>118300</v>
      </c>
      <c r="P294" s="46">
        <f t="shared" ca="1" si="13"/>
        <v>1.1818181818120429E-3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input_439010!A$2</f>
        <v>439010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IFERROR(VLOOKUP(B295,input_439010!L:R,7,FALSE),VLOOKUP(tables_439010!C295,input_439010!A:H,8,FALSE))</f>
        <v>118300</v>
      </c>
      <c r="P295" s="46">
        <f t="shared" ref="P295:P299" ca="1" si="18">O295/SUM(O:O)</f>
        <v>1.1818181818120429E-3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input_439010!A$2</f>
        <v>439010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IFERROR(VLOOKUP(B296,input_439010!L:R,7,FALSE),VLOOKUP(tables_439010!C296,input_439010!A:H,8,FALSE))</f>
        <v>118300</v>
      </c>
      <c r="P296" s="46">
        <f t="shared" ca="1" si="18"/>
        <v>1.1818181818120429E-3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input_439010!A$2</f>
        <v>439010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IFERROR(VLOOKUP(B297,input_439010!L:R,7,FALSE),VLOOKUP(tables_439010!C297,input_439010!A:H,8,FALSE))</f>
        <v>900817.5</v>
      </c>
      <c r="P297" s="46">
        <f t="shared" ca="1" si="18"/>
        <v>8.9991758241290791E-3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input_439010!A$2</f>
        <v>439010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IFERROR(VLOOKUP(B298,input_439010!L:R,7,FALSE),VLOOKUP(tables_439010!C298,input_439010!A:H,8,FALSE))</f>
        <v>75487.5</v>
      </c>
      <c r="P298" s="46">
        <f t="shared" ca="1" si="18"/>
        <v>7.541208791169619E-4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input_439010!A$2</f>
        <v>439010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IFERROR(VLOOKUP(B299,input_439010!L:R,7,FALSE),VLOOKUP(tables_439010!C299,input_439010!A:H,8,FALSE))</f>
        <v>118300</v>
      </c>
      <c r="P299" s="46">
        <f t="shared" ca="1" si="18"/>
        <v>1.1818181818120429E-3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input_439010!A$2</f>
        <v>439010</v>
      </c>
      <c r="B300" s="5">
        <v>943</v>
      </c>
      <c r="C300" s="7" t="str">
        <f t="shared" ref="C300:C304" si="19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IFERROR(VLOOKUP(B300,input_439010!L:R,7,FALSE),VLOOKUP(tables_439010!C300,input_439010!A:H,8,FALSE))</f>
        <v>118300</v>
      </c>
      <c r="P300" s="46">
        <f t="shared" ref="P300:P304" ca="1" si="20">O300/SUM(O:O)</f>
        <v>1.1818181818120429E-3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input_439010!A$2</f>
        <v>439010</v>
      </c>
      <c r="B301" s="5">
        <v>1012</v>
      </c>
      <c r="C301" s="7" t="str">
        <f t="shared" si="19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IFERROR(VLOOKUP(B301,input_439010!L:R,7,FALSE),VLOOKUP(tables_439010!C301,input_439010!A:H,8,FALSE))</f>
        <v>118300</v>
      </c>
      <c r="P301" s="46">
        <f t="shared" ca="1" si="20"/>
        <v>1.1818181818120429E-3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input_439010!A$2</f>
        <v>439010</v>
      </c>
      <c r="B302" s="5">
        <v>1014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IFERROR(VLOOKUP(B302,input_439010!L:R,7,FALSE),VLOOKUP(tables_439010!C302,input_439010!A:H,8,FALSE))</f>
        <v>118300</v>
      </c>
      <c r="P302" s="46">
        <f t="shared" ca="1" si="20"/>
        <v>1.1818181818120429E-3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input_439010!A$2</f>
        <v>439010</v>
      </c>
      <c r="B303" s="5">
        <v>1016</v>
      </c>
      <c r="C303" s="7" t="str">
        <f t="shared" si="19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IFERROR(VLOOKUP(B303,input_439010!L:R,7,FALSE),VLOOKUP(tables_439010!C303,input_439010!A:H,8,FALSE))</f>
        <v>900817.5</v>
      </c>
      <c r="P303" s="46">
        <f t="shared" ca="1" si="20"/>
        <v>8.9991758241290791E-3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input_439010!A$2</f>
        <v>439010</v>
      </c>
      <c r="B304" s="5">
        <v>1017</v>
      </c>
      <c r="C304" s="7" t="str">
        <f t="shared" si="19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IFERROR(VLOOKUP(B304,input_439010!L:R,7,FALSE),VLOOKUP(tables_439010!C304,input_439010!A:H,8,FALSE))</f>
        <v>75487.5</v>
      </c>
      <c r="P304" s="46">
        <f t="shared" ca="1" si="20"/>
        <v>7.541208791169619E-4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input_439010!A$2</f>
        <v>439010</v>
      </c>
      <c r="B305" s="5">
        <v>1018</v>
      </c>
      <c r="C305" s="7" t="str">
        <f t="shared" ref="C305:C309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IFERROR(VLOOKUP(B305,input_439010!L:R,7,FALSE),VLOOKUP(tables_439010!C305,input_439010!A:H,8,FALSE))</f>
        <v>118300</v>
      </c>
      <c r="P305" s="46">
        <f t="shared" ref="P305:P309" ca="1" si="22">O305/SUM(O:O)</f>
        <v>1.1818181818120429E-3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input_439010!A$2</f>
        <v>439010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IFERROR(VLOOKUP(B306,input_439010!L:R,7,FALSE),VLOOKUP(tables_439010!C306,input_439010!A:H,8,FALSE))</f>
        <v>900817.5</v>
      </c>
      <c r="P306" s="46">
        <f t="shared" ca="1" si="22"/>
        <v>8.9991758241290791E-3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input_439010!A$2</f>
        <v>439010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IFERROR(VLOOKUP(B307,input_439010!L:R,7,FALSE),VLOOKUP(tables_439010!C307,input_439010!A:H,8,FALSE))</f>
        <v>75487.5</v>
      </c>
      <c r="P307" s="46">
        <f t="shared" ca="1" si="22"/>
        <v>7.541208791169619E-4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input_439010!A$2</f>
        <v>439010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IFERROR(VLOOKUP(B308,input_439010!L:R,7,FALSE),VLOOKUP(tables_439010!C308,input_439010!A:H,8,FALSE))</f>
        <v>118300</v>
      </c>
      <c r="P308" s="46">
        <f t="shared" ca="1" si="22"/>
        <v>1.1818181818120429E-3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input_439010!A$2</f>
        <v>439010</v>
      </c>
      <c r="B309" s="5">
        <v>1031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IFERROR(VLOOKUP(B309,input_439010!L:R,7,FALSE),VLOOKUP(tables_439010!C309,input_439010!A:H,8,FALSE))</f>
        <v>118300</v>
      </c>
      <c r="P309" s="46">
        <f t="shared" ca="1" si="22"/>
        <v>1.1818181818120429E-3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input_439010!A$2</f>
        <v>439010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IFERROR(VLOOKUP(B310,input_439010!L:R,7,FALSE),VLOOKUP(tables_439010!C310,input_439010!A:H,8,FALSE))</f>
        <v>118300</v>
      </c>
      <c r="P310" s="46">
        <f t="shared" ref="P310:P314" ca="1" si="24">O310/SUM(O:O)</f>
        <v>1.1818181818120429E-3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input_439010!A$2</f>
        <v>439010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IFERROR(VLOOKUP(B311,input_439010!L:R,7,FALSE),VLOOKUP(tables_439010!C311,input_439010!A:H,8,FALSE))</f>
        <v>900817.5</v>
      </c>
      <c r="P311" s="46">
        <f t="shared" ca="1" si="24"/>
        <v>8.9991758241290791E-3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input_439010!A$2</f>
        <v>439010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IFERROR(VLOOKUP(B312,input_439010!L:R,7,FALSE),VLOOKUP(tables_439010!C312,input_439010!A:H,8,FALSE))</f>
        <v>75487.5</v>
      </c>
      <c r="P312" s="46">
        <f t="shared" ca="1" si="24"/>
        <v>7.541208791169619E-4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input_439010!A$2</f>
        <v>439010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IFERROR(VLOOKUP(B313,input_439010!L:R,7,FALSE),VLOOKUP(tables_439010!C313,input_439010!A:H,8,FALSE))</f>
        <v>118300</v>
      </c>
      <c r="P313" s="46">
        <f t="shared" ca="1" si="24"/>
        <v>1.1818181818120429E-3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input_439010!A$2</f>
        <v>439010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IFERROR(VLOOKUP(B314,input_439010!L:R,7,FALSE),VLOOKUP(tables_439010!C314,input_439010!A:H,8,FALSE))</f>
        <v>118300</v>
      </c>
      <c r="P314" s="46">
        <f t="shared" ca="1" si="24"/>
        <v>1.1818181818120429E-3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input_439010!A$2</f>
        <v>439010</v>
      </c>
      <c r="B315" s="5">
        <v>1074</v>
      </c>
      <c r="C315" s="7" t="str">
        <f t="shared" ref="C315:C319" si="25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IFERROR(VLOOKUP(B315,input_439010!L:R,7,FALSE),VLOOKUP(tables_439010!C315,input_439010!A:H,8,FALSE))</f>
        <v>118300</v>
      </c>
      <c r="P315" s="46">
        <f t="shared" ref="P315:P319" ca="1" si="26">O315/SUM(O:O)</f>
        <v>1.1818181818120429E-3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input_439010!A$2</f>
        <v>439010</v>
      </c>
      <c r="B316" s="5">
        <v>1100</v>
      </c>
      <c r="C316" s="7" t="str">
        <f t="shared" si="25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IFERROR(VLOOKUP(B316,input_439010!L:R,7,FALSE),VLOOKUP(tables_439010!C316,input_439010!A:H,8,FALSE))</f>
        <v>118300</v>
      </c>
      <c r="P316" s="46">
        <f t="shared" ca="1" si="26"/>
        <v>1.1818181818120429E-3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input_439010!A$2</f>
        <v>439010</v>
      </c>
      <c r="B317" s="5">
        <v>1102</v>
      </c>
      <c r="C317" s="7" t="str">
        <f t="shared" si="25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IFERROR(VLOOKUP(B317,input_439010!L:R,7,FALSE),VLOOKUP(tables_439010!C317,input_439010!A:H,8,FALSE))</f>
        <v>118300</v>
      </c>
      <c r="P317" s="46">
        <f t="shared" ca="1" si="26"/>
        <v>1.1818181818120429E-3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input_439010!A$2</f>
        <v>439010</v>
      </c>
      <c r="B318" s="5">
        <v>1104</v>
      </c>
      <c r="C318" s="7" t="str">
        <f t="shared" si="25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IFERROR(VLOOKUP(B318,input_439010!L:R,7,FALSE),VLOOKUP(tables_439010!C318,input_439010!A:H,8,FALSE))</f>
        <v>900817.5</v>
      </c>
      <c r="P318" s="46">
        <f t="shared" ca="1" si="26"/>
        <v>8.9991758241290791E-3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input_439010!A$2</f>
        <v>439010</v>
      </c>
      <c r="B319" s="5">
        <v>1105</v>
      </c>
      <c r="C319" s="7" t="str">
        <f t="shared" si="25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IFERROR(VLOOKUP(B319,input_439010!L:R,7,FALSE),VLOOKUP(tables_439010!C319,input_439010!A:H,8,FALSE))</f>
        <v>75487.5</v>
      </c>
      <c r="P319" s="46">
        <f t="shared" ca="1" si="26"/>
        <v>7.541208791169619E-4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input_439010!A$2</f>
        <v>439010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IFERROR(VLOOKUP(B320,input_439010!L:R,7,FALSE),VLOOKUP(tables_439010!C320,input_439010!A:H,8,FALSE))</f>
        <v>118300</v>
      </c>
      <c r="P320" s="46">
        <f t="shared" ref="P320:P324" ca="1" si="28">O320/SUM(O:O)</f>
        <v>1.1818181818120429E-3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input_439010!A$2</f>
        <v>439010</v>
      </c>
      <c r="B321" s="5">
        <v>1137</v>
      </c>
      <c r="C321" s="7" t="str">
        <f t="shared" si="27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IFERROR(VLOOKUP(B321,input_439010!L:R,7,FALSE),VLOOKUP(tables_439010!C321,input_439010!A:H,8,FALSE))</f>
        <v>118300</v>
      </c>
      <c r="P321" s="46">
        <f t="shared" ca="1" si="28"/>
        <v>1.1818181818120429E-3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input_439010!A$2</f>
        <v>439010</v>
      </c>
      <c r="B322" s="5">
        <v>1139</v>
      </c>
      <c r="C322" s="7" t="str">
        <f t="shared" si="27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IFERROR(VLOOKUP(B322,input_439010!L:R,7,FALSE),VLOOKUP(tables_439010!C322,input_439010!A:H,8,FALSE))</f>
        <v>118300</v>
      </c>
      <c r="P322" s="46">
        <f t="shared" ca="1" si="28"/>
        <v>1.1818181818120429E-3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input_439010!A$2</f>
        <v>439010</v>
      </c>
      <c r="B323" s="5">
        <v>1141</v>
      </c>
      <c r="C323" s="7" t="str">
        <f t="shared" si="27"/>
        <v>PremiumSS5R5only</v>
      </c>
      <c r="D323" s="7" t="str">
        <f t="shared" ref="D323:D324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IFERROR(VLOOKUP(B323,input_439010!L:R,7,FALSE),VLOOKUP(tables_439010!C323,input_439010!A:H,8,FALSE))</f>
        <v>118300</v>
      </c>
      <c r="P323" s="46">
        <f t="shared" ca="1" si="28"/>
        <v>1.1818181818120429E-3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input_439010!A$2</f>
        <v>439010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IFERROR(VLOOKUP(B324,input_439010!L:R,7,FALSE),VLOOKUP(tables_439010!C324,input_439010!A:H,8,FALSE))</f>
        <v>900817.5</v>
      </c>
      <c r="P324" s="46">
        <f t="shared" ca="1" si="28"/>
        <v>8.9991758241290791E-3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input_439010!A$2</f>
        <v>439010</v>
      </c>
      <c r="B325" s="2">
        <v>1144</v>
      </c>
      <c r="C325" s="7" t="str">
        <f t="shared" ref="C325:C330" si="30">D325&amp;J325&amp;E325&amp;F325&amp;G325</f>
        <v>Premium5R3less</v>
      </c>
      <c r="D325" s="7" t="str">
        <f t="shared" ref="D325:D330" si="3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IFERROR(VLOOKUP(B325,input_439010!L:R,7,FALSE),VLOOKUP(tables_439010!C325,input_439010!A:H,8,FALSE))</f>
        <v>75487.5</v>
      </c>
      <c r="P325" s="46">
        <f t="shared" ref="P325:P330" ca="1" si="32">O325/SUM(O:O)</f>
        <v>7.541208791169619E-4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input_439010!A$2</f>
        <v>439010</v>
      </c>
      <c r="B326" s="2">
        <v>1151</v>
      </c>
      <c r="C326" s="7" t="str">
        <f t="shared" si="30"/>
        <v>Premium4R3less</v>
      </c>
      <c r="D326" s="7" t="str">
        <f t="shared" si="3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IFERROR(VLOOKUP(B326,input_439010!L:R,7,FALSE),VLOOKUP(tables_439010!C326,input_439010!A:H,8,FALSE))</f>
        <v>900817.5</v>
      </c>
      <c r="P326" s="46">
        <f t="shared" ca="1" si="32"/>
        <v>8.9991758241290791E-3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input_439010!A$2</f>
        <v>439010</v>
      </c>
      <c r="B327" s="2">
        <v>1152</v>
      </c>
      <c r="C327" s="7" t="str">
        <f t="shared" si="30"/>
        <v>Premium5R3less</v>
      </c>
      <c r="D327" s="7" t="str">
        <f t="shared" si="3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IFERROR(VLOOKUP(B327,input_439010!L:R,7,FALSE),VLOOKUP(tables_439010!C327,input_439010!A:H,8,FALSE))</f>
        <v>75487.5</v>
      </c>
      <c r="P327" s="46">
        <f t="shared" ca="1" si="32"/>
        <v>7.541208791169619E-4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input_439010!A$2</f>
        <v>439010</v>
      </c>
      <c r="B328" s="2">
        <v>1153</v>
      </c>
      <c r="C328" s="7" t="str">
        <f t="shared" si="30"/>
        <v>PremiumSS5R5only</v>
      </c>
      <c r="D328" s="7" t="str">
        <f t="shared" si="3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IFERROR(VLOOKUP(B328,input_439010!L:R,7,FALSE),VLOOKUP(tables_439010!C328,input_439010!A:H,8,FALSE))</f>
        <v>118300</v>
      </c>
      <c r="P328" s="46">
        <f t="shared" ca="1" si="32"/>
        <v>1.1818181818120429E-3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input_439010!A$2</f>
        <v>439010</v>
      </c>
      <c r="B329" s="2">
        <v>1155</v>
      </c>
      <c r="C329" s="7" t="str">
        <f t="shared" si="30"/>
        <v>PremiumSS5R5only</v>
      </c>
      <c r="D329" s="7" t="str">
        <f t="shared" si="3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IFERROR(VLOOKUP(B329,input_439010!L:R,7,FALSE),VLOOKUP(tables_439010!C329,input_439010!A:H,8,FALSE))</f>
        <v>118300</v>
      </c>
      <c r="P329" s="46">
        <f t="shared" ca="1" si="32"/>
        <v>1.1818181818120429E-3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input_439010!A$2</f>
        <v>439010</v>
      </c>
      <c r="B330" s="2">
        <v>1157</v>
      </c>
      <c r="C330" s="7" t="str">
        <f t="shared" si="30"/>
        <v>PremiumSS5R5only</v>
      </c>
      <c r="D330" s="7" t="str">
        <f t="shared" si="3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IFERROR(VLOOKUP(B330,input_439010!L:R,7,FALSE),VLOOKUP(tables_439010!C330,input_439010!A:H,8,FALSE))</f>
        <v>118300</v>
      </c>
      <c r="P330" s="46">
        <f t="shared" ca="1" si="32"/>
        <v>1.1818181818120429E-3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input_439010!A$2</f>
        <v>439010</v>
      </c>
      <c r="B331" s="60">
        <v>1159</v>
      </c>
      <c r="C331" s="7" t="str">
        <f t="shared" ref="C331:C332" si="33">D331&amp;J331&amp;E331&amp;F331&amp;G331</f>
        <v>PremiumSSS5R3less</v>
      </c>
      <c r="D331" s="7" t="str">
        <f t="shared" ref="D331:D332" si="34">IF(OR(I331="PremiumSS",I331="PremiumSSw"),"PremiumSS",IF(I331="PremiumSSS",I331,IF(I331="PremiumW",IF(J331=5,"premium",I331),"Premium")))</f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ガロア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green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>IFERROR(VLOOKUP(B331,input_439010!L:R,7,FALSE),VLOOKUP(tables_439010!C331,input_439010!A:H,8,FALSE))</f>
        <v>500500</v>
      </c>
      <c r="P331" s="46">
        <f t="shared" ref="P331:P332" ca="1" si="35">O331/SUM(O:O)</f>
        <v>4.9999999999740278E-3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input_439010!A$2</f>
        <v>439010</v>
      </c>
      <c r="B332" s="60">
        <v>760</v>
      </c>
      <c r="C332" s="7" t="str">
        <f t="shared" si="33"/>
        <v>PremiumSSS5R3less</v>
      </c>
      <c r="D332" s="7" t="str">
        <f t="shared" si="34"/>
        <v>PremiumSSS</v>
      </c>
      <c r="E332" s="7" t="str">
        <f>IF(COUNTIF('R6追加前'!A:A,B332)=0,IF(OR(I332="PremiumSS",I332="PremiumSSw"),"R5only","R3less"),"")</f>
        <v>R3less</v>
      </c>
      <c r="F332" s="7" t="str">
        <f>IF(COUNTIF('R6開放'!A:A,B332)&gt;0,"R6release","")</f>
        <v/>
      </c>
      <c r="G332" s="7"/>
      <c r="H332" s="7" t="str">
        <f>VLOOKUP(B332,[1]characters!$A:$C,3,FALSE)</f>
        <v>限論顕現 クロネッカー</v>
      </c>
      <c r="I332" s="7" t="str">
        <f>VLOOKUP(B332,[1]characters!$A:$J,10,FALSE)</f>
        <v>PremiumSSS</v>
      </c>
      <c r="J332" s="7">
        <f>VLOOKUP(B332,[1]characters!$A:$I,9,FALSE)</f>
        <v>5</v>
      </c>
      <c r="K332" s="7" t="str">
        <f>VLOOKUP(B332,[1]characters!$A:$H,8,FALSE)</f>
        <v>yellow</v>
      </c>
      <c r="L332" s="7" t="str">
        <f>VLOOKUP(B332,[1]characters!$A:$K,11,FALSE)</f>
        <v>balance</v>
      </c>
      <c r="M332" s="7" t="str">
        <f>VLOOKUP(B332,[1]characters!$A:$M,13,FALSE)</f>
        <v>human</v>
      </c>
      <c r="N332" s="7" t="str">
        <f>VLOOKUP(B332,[1]characters!$A:$G,7,FALSE)</f>
        <v>男性</v>
      </c>
      <c r="O332" s="45">
        <f>IFERROR(VLOOKUP(B332,input_439010!L:R,7,FALSE),VLOOKUP(tables_439010!C332,input_439010!A:H,8,FALSE))</f>
        <v>500500</v>
      </c>
      <c r="P332" s="46">
        <f t="shared" ca="1" si="35"/>
        <v>4.9999999999740278E-3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12" sqref="B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1159</v>
      </c>
      <c r="M3" s="37" t="str">
        <f>VLOOKUP(L3,[1]characters!$A:$C,3,FALSE)</f>
        <v>ガロア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VLOOKUP(L3,tables_439100!B:C,2,FALSE)</f>
        <v>PremiumSSS5R3less</v>
      </c>
      <c r="R3" s="62">
        <f t="shared" ref="R3:R20" si="1">N3*A$36</f>
        <v>500500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760</v>
      </c>
      <c r="M4" s="37" t="str">
        <f>VLOOKUP(L4,[1]characters!$A:$C,3,FALSE)</f>
        <v>限論顕現 クロネッカー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VLOOKUP(L4,tables_439100!B:C,2,FALSE)</f>
        <v>PremiumSSS5R3less</v>
      </c>
      <c r="R4" s="62">
        <f t="shared" si="1"/>
        <v>500500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1.1818181818181819E-3</v>
      </c>
      <c r="F5">
        <f>(COUNTIF(tables_439100!C:C,input_439100!A28)+COUNTIF(tables_439100!C:C,input_439100!A29))</f>
        <v>57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VLOOKUP(L5,tables_439100!B:C,2,FALSE)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1.0054945054945055E-2</v>
      </c>
      <c r="F6">
        <f>(COUNTIF(tables_439100!C:C,input_439100!A25)+COUNTIF(tables_439100!C:C,input_439100!A18)+COUNTIF(tables_439100!C:C,input_439100!A20)+COUNTIF(tables_439100!C:C,input_439100!A22))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COUNTIF(tables_439100!C:C,input_439100!A17)-COUNTIF(Q:Q,A17)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0.20109890109890111</v>
      </c>
      <c r="C18" s="85">
        <f t="shared" si="2"/>
        <v>0</v>
      </c>
      <c r="D18" s="74">
        <f t="shared" si="3"/>
        <v>0.20109890109890111</v>
      </c>
      <c r="E18">
        <f>COUNTIF(tables_439100!C:C,input_439100!A18)-COUNTIF(Q:Q,A18)</f>
        <v>20</v>
      </c>
      <c r="F18" s="43">
        <f>IFERROR(B18/E18,0)</f>
        <v>1.0054945054945055E-2</v>
      </c>
      <c r="G18">
        <f t="shared" si="4"/>
        <v>20130000</v>
      </c>
      <c r="H18">
        <f t="shared" si="5"/>
        <v>1006500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COUNTIF(tables_439100!C:C,input_439100!A19)-COUNTIF(Q:Q,A19)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0.52110107392607397</v>
      </c>
      <c r="C20" s="85">
        <f t="shared" si="2"/>
        <v>0</v>
      </c>
      <c r="D20" s="74">
        <f t="shared" si="3"/>
        <v>0.52110107392607397</v>
      </c>
      <c r="E20">
        <f>COUNTIF(tables_439100!C:C,input_439100!A20)-COUNTIF(Q:Q,A20)</f>
        <v>52</v>
      </c>
      <c r="F20" s="43">
        <f t="shared" si="8"/>
        <v>1.0021174498578346E-2</v>
      </c>
      <c r="G20">
        <f t="shared" si="4"/>
        <v>52162217.500000007</v>
      </c>
      <c r="H20">
        <f t="shared" si="5"/>
        <v>1003119.56731</v>
      </c>
      <c r="I20">
        <f t="shared" si="6"/>
        <v>0.56730999995488673</v>
      </c>
      <c r="J20">
        <f t="shared" si="7"/>
        <v>1.7627046942227731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1.756068932717042E-3</v>
      </c>
      <c r="C21" s="85">
        <f t="shared" si="2"/>
        <v>0</v>
      </c>
      <c r="D21" s="74">
        <f t="shared" si="3"/>
        <v>1.756068932717042E-3</v>
      </c>
      <c r="E21">
        <f>COUNTIF(tables_439100!C:C,input_439100!A21)-COUNTIF(Q:Q,A21)</f>
        <v>52</v>
      </c>
      <c r="F21" s="43">
        <f t="shared" si="8"/>
        <v>3.3770556398404655E-5</v>
      </c>
      <c r="G21">
        <f t="shared" si="4"/>
        <v>175782.50016497591</v>
      </c>
      <c r="H21">
        <f t="shared" si="5"/>
        <v>3380.4326999999998</v>
      </c>
      <c r="I21">
        <f t="shared" si="6"/>
        <v>0.43269999999984066</v>
      </c>
      <c r="J21">
        <f t="shared" si="7"/>
        <v>2.3110700254226213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0.13498763736263736</v>
      </c>
      <c r="C22" s="85">
        <f t="shared" si="2"/>
        <v>0</v>
      </c>
      <c r="D22" s="74">
        <f t="shared" si="3"/>
        <v>0.13498763736263736</v>
      </c>
      <c r="E22">
        <f>COUNTIF(tables_439100!C:C,input_439100!A22)-COUNTIF(Q:Q,A22)</f>
        <v>15</v>
      </c>
      <c r="F22" s="43">
        <f t="shared" si="8"/>
        <v>8.9991758241758247E-3</v>
      </c>
      <c r="G22">
        <f t="shared" si="4"/>
        <v>13512262.5</v>
      </c>
      <c r="H22">
        <f t="shared" si="5"/>
        <v>900817.5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1.5836538461538461E-2</v>
      </c>
      <c r="C23" s="85">
        <f t="shared" si="2"/>
        <v>0</v>
      </c>
      <c r="D23" s="74">
        <f t="shared" si="3"/>
        <v>1.5836538461538461E-2</v>
      </c>
      <c r="E23">
        <f>COUNTIF(tables_439100!C:C,input_439100!A23)-COUNTIF(Q:Q,A23)</f>
        <v>21</v>
      </c>
      <c r="F23" s="43">
        <f t="shared" si="8"/>
        <v>7.5412087912087912E-4</v>
      </c>
      <c r="G23">
        <f t="shared" si="4"/>
        <v>1585237.5</v>
      </c>
      <c r="H23">
        <f t="shared" si="5"/>
        <v>75487.5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COUNTIF(tables_439100!C:C,input_439100!A24)-COUNTIF(Q:Q,A24)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3.7203296703296702E-2</v>
      </c>
      <c r="C25" s="85">
        <f t="shared" si="2"/>
        <v>0</v>
      </c>
      <c r="D25" s="74">
        <f t="shared" si="3"/>
        <v>3.7203296703296702E-2</v>
      </c>
      <c r="E25">
        <f>COUNTIF(tables_439100!C:C,input_439100!A25)-COUNTIF(Q:Q,A25)</f>
        <v>4</v>
      </c>
      <c r="F25" s="43">
        <f t="shared" si="8"/>
        <v>9.3008241758241756E-3</v>
      </c>
      <c r="G25">
        <f t="shared" si="4"/>
        <v>3724050</v>
      </c>
      <c r="H25">
        <f t="shared" si="5"/>
        <v>931012.5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3.0164835164835165E-3</v>
      </c>
      <c r="C26" s="85">
        <f t="shared" si="2"/>
        <v>0</v>
      </c>
      <c r="D26" s="74">
        <f t="shared" si="3"/>
        <v>3.0164835164835165E-3</v>
      </c>
      <c r="E26">
        <f>COUNTIF(tables_439100!C:C,input_439100!A26)-COUNTIF(Q:Q,A26)</f>
        <v>4</v>
      </c>
      <c r="F26" s="43">
        <f t="shared" si="8"/>
        <v>7.5412087912087912E-4</v>
      </c>
      <c r="G26">
        <f t="shared" si="4"/>
        <v>301950</v>
      </c>
      <c r="H26">
        <f t="shared" si="5"/>
        <v>75487.5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3.0609090909090912E-2</v>
      </c>
      <c r="C27" s="85">
        <f t="shared" si="2"/>
        <v>0</v>
      </c>
      <c r="D27" s="74">
        <f t="shared" si="3"/>
        <v>3.0609090909090912E-2</v>
      </c>
      <c r="E27">
        <f>COUNTIF(tables_439100!C:C,input_439100!A27)-COUNTIF(Q:Q,A27)</f>
        <v>28</v>
      </c>
      <c r="F27" s="43">
        <f>IFERROR(B27/E27,0)</f>
        <v>1.0931818181818182E-3</v>
      </c>
      <c r="G27">
        <f t="shared" si="4"/>
        <v>3063970.0000000005</v>
      </c>
      <c r="H27">
        <f t="shared" si="5"/>
        <v>109427.5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1.0118181818531673E-2</v>
      </c>
      <c r="C28" s="85">
        <f t="shared" si="2"/>
        <v>0</v>
      </c>
      <c r="D28" s="74">
        <f t="shared" si="3"/>
        <v>1.0118181818531673E-2</v>
      </c>
      <c r="E28">
        <f>COUNTIF(tables_439100!C:C,input_439100!A28)-COUNTIF(Q:Q,A28)</f>
        <v>28</v>
      </c>
      <c r="F28" s="43">
        <f t="shared" si="8"/>
        <v>3.6136363637613117E-4</v>
      </c>
      <c r="G28">
        <f t="shared" si="4"/>
        <v>1012830.0000350205</v>
      </c>
      <c r="H28">
        <f t="shared" si="5"/>
        <v>36172.5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E$5*E29+G50</f>
        <v>3.4272727272727274E-2</v>
      </c>
      <c r="C29" s="85">
        <f t="shared" si="2"/>
        <v>0</v>
      </c>
      <c r="D29" s="74">
        <f t="shared" si="3"/>
        <v>3.4272727272727274E-2</v>
      </c>
      <c r="E29">
        <f>COUNTIF(tables_439100!C:C,input_439100!A29)-COUNTIF(Q:Q,A29)</f>
        <v>29</v>
      </c>
      <c r="F29" s="43">
        <f t="shared" si="8"/>
        <v>1.1818181818181819E-3</v>
      </c>
      <c r="G29">
        <f t="shared" si="4"/>
        <v>3430700</v>
      </c>
      <c r="H29">
        <f t="shared" si="5"/>
        <v>118300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COUNTIF(tables_439100!C:C,input_439100!A30)-COUNTIF(Q:Q,A30)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COUNTIF(tables_439100!C:C,input_439100!A31)-COUNTIF(Q:Q,A31)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0.99000000000199795</v>
      </c>
      <c r="C32" s="41">
        <f>SUM(C19:C31)</f>
        <v>0.01</v>
      </c>
      <c r="D32" s="42">
        <f t="shared" si="3"/>
        <v>0.98000000000199794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3.7458216783216813E-2</v>
      </c>
    </row>
    <row r="35" spans="1:7" x14ac:dyDescent="0.15">
      <c r="A35" t="s">
        <v>73</v>
      </c>
      <c r="E35">
        <v>9.9999999980020376E-3</v>
      </c>
    </row>
    <row r="36" spans="1:7" x14ac:dyDescent="0.15">
      <c r="A36" s="31">
        <f>LCM(F5-I5,F6-I6)*1000*2*2*5</f>
        <v>100100000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SUMIF(tables_439100!C:C,input_439100!A40,tables_439100!O:O)</f>
        <v>0</v>
      </c>
      <c r="C40" s="54">
        <f t="shared" ref="C40:C46" ca="1" si="9">B40/B$47</f>
        <v>0</v>
      </c>
      <c r="E40">
        <v>3</v>
      </c>
      <c r="F40">
        <f ca="1">SUMIF(tables_439100!J:J,input_439100!E40,tables_439100!O:O)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SUMIF(tables_439100!C:C,input_439100!A41,tables_439100!O:O)</f>
        <v>52162217.500119992</v>
      </c>
      <c r="C41" s="54">
        <f t="shared" ca="1" si="9"/>
        <v>0.92461938178703462</v>
      </c>
      <c r="E41">
        <v>4</v>
      </c>
      <c r="F41">
        <f ca="1">SUMIF(tables_439100!J:J,input_439100!E41,tables_439100!O:O)</f>
        <v>92592500.000120014</v>
      </c>
      <c r="G41">
        <f ca="1">F41/A36</f>
        <v>0.92500000000119897</v>
      </c>
    </row>
    <row r="42" spans="1:7" x14ac:dyDescent="0.15">
      <c r="A42" s="33" t="s">
        <v>106</v>
      </c>
      <c r="B42">
        <f ca="1">SUMIF(tables_439100!C:C,input_439100!A42,tables_439100!O:O)</f>
        <v>3063970</v>
      </c>
      <c r="C42" s="54">
        <f t="shared" ca="1" si="9"/>
        <v>5.43114572766678E-2</v>
      </c>
      <c r="E42">
        <v>5</v>
      </c>
      <c r="F42">
        <f ca="1">SUMIF(tables_439100!J:J,input_439100!E42,tables_439100!O:O)</f>
        <v>7507500.0003999993</v>
      </c>
      <c r="G42">
        <f ca="1">F42/A36</f>
        <v>7.5000000003995995E-2</v>
      </c>
    </row>
    <row r="43" spans="1:7" x14ac:dyDescent="0.15">
      <c r="A43" s="33" t="s">
        <v>109</v>
      </c>
      <c r="B43">
        <f>SUMIF(tables_439100!C:C,input_439100!A43,tables_439100!O:O)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SUMIF(tables_439100!C:C,input_439100!A44,tables_439100!O:O)</f>
        <v>175782.50040000014</v>
      </c>
      <c r="C44" s="54">
        <f t="shared" ca="1" si="9"/>
        <v>3.1158933541974784E-3</v>
      </c>
      <c r="E44" t="s">
        <v>54</v>
      </c>
      <c r="F44" s="55"/>
    </row>
    <row r="45" spans="1:7" x14ac:dyDescent="0.15">
      <c r="A45" s="33" t="s">
        <v>107</v>
      </c>
      <c r="B45">
        <f ca="1">SUMIF(tables_439100!C:C,input_439100!A45,tables_439100!O:O)</f>
        <v>1012830</v>
      </c>
      <c r="C45" s="54">
        <f t="shared" ca="1" si="9"/>
        <v>1.7953267582100165E-2</v>
      </c>
      <c r="E45" t="s">
        <v>204</v>
      </c>
      <c r="F45" s="55">
        <f ca="1">SUMIF(tables_439100!I:I,input_439100!E45,tables_439100!P:P)</f>
        <v>0.20562362637255829</v>
      </c>
    </row>
    <row r="46" spans="1:7" x14ac:dyDescent="0.15">
      <c r="A46" s="33" t="s">
        <v>108</v>
      </c>
      <c r="B46">
        <f>SUMIF(tables_439100!C:C,input_439100!A46,tables_439100!O:O)</f>
        <v>0</v>
      </c>
      <c r="C46" s="54">
        <f t="shared" ca="1" si="9"/>
        <v>0</v>
      </c>
      <c r="E46" t="s">
        <v>205</v>
      </c>
      <c r="F46" s="55">
        <f ca="1">SUMIF(tables_439100!I:I,input_439100!E46,tables_439100!P:P)</f>
        <v>0.20109890109955472</v>
      </c>
    </row>
    <row r="47" spans="1:7" x14ac:dyDescent="0.15">
      <c r="A47" s="39" t="s">
        <v>59</v>
      </c>
      <c r="B47">
        <f ca="1">SUM(B40:B46)</f>
        <v>56414800.000519991</v>
      </c>
      <c r="C47" s="55">
        <f ca="1">SUM(C40:C46)</f>
        <v>1</v>
      </c>
      <c r="E47" t="s">
        <v>206</v>
      </c>
      <c r="F47" s="55">
        <f ca="1">SUMIF(tables_439100!I:I,input_439100!E47,tables_439100!P:P)</f>
        <v>0.50827747252832856</v>
      </c>
    </row>
    <row r="48" spans="1:7" x14ac:dyDescent="0.15">
      <c r="E48" t="s">
        <v>207</v>
      </c>
      <c r="F48" s="55">
        <f ca="1">SUMIF(tables_439100!I:I,input_439100!E48,tables_439100!P:P)</f>
        <v>7.0272727272362237E-2</v>
      </c>
    </row>
    <row r="49" spans="7:7" x14ac:dyDescent="0.15">
      <c r="G49">
        <v>7.636363636713492E-3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2"/>
  <sheetViews>
    <sheetView showGridLines="0" zoomScale="75" zoomScaleNormal="75" zoomScalePageLayoutView="75" workbookViewId="0">
      <pane ySplit="1" topLeftCell="A323" activePane="bottomLeft" state="frozen"/>
      <selection activeCell="D34" sqref="D34"/>
      <selection pane="bottomLeft" activeCell="B333" sqref="B3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input_439100!A$2</f>
        <v>439100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IFERROR(VLOOKUP(B2,input_439100!L:R,7,FALSE),VLOOKUP(tables_439100!C2,input_439100!A:H,8,FALSE))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input_439100!A$2</f>
        <v>439100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IFERROR(VLOOKUP(B3,input_439100!L:R,7,FALSE),VLOOKUP(tables_439100!C3,input_439100!A:H,8,FALSE))</f>
        <v>1006500</v>
      </c>
      <c r="P3" s="46">
        <f t="shared" ca="1" si="1"/>
        <v>1.0054945054892826E-2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input_439100!A$2</f>
        <v>439100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IFERROR(VLOOKUP(B4,input_439100!L:R,7,FALSE),VLOOKUP(tables_439100!C4,input_439100!A:H,8,FALSE))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input_439100!A$2</f>
        <v>439100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IFERROR(VLOOKUP(B5,input_439100!L:R,7,FALSE),VLOOKUP(tables_439100!C5,input_439100!A:H,8,FALSE))</f>
        <v>1006500</v>
      </c>
      <c r="P5" s="46">
        <f t="shared" ca="1" si="1"/>
        <v>1.0054945054892826E-2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input_439100!A$2</f>
        <v>439100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IFERROR(VLOOKUP(B6,input_439100!L:R,7,FALSE),VLOOKUP(tables_439100!C6,input_439100!A:H,8,FALSE))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input_439100!A$2</f>
        <v>439100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IFERROR(VLOOKUP(B7,input_439100!L:R,7,FALSE),VLOOKUP(tables_439100!C7,input_439100!A:H,8,FALSE))</f>
        <v>1006500</v>
      </c>
      <c r="P7" s="46">
        <f t="shared" ca="1" si="1"/>
        <v>1.0054945054892826E-2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input_439100!A$2</f>
        <v>439100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IFERROR(VLOOKUP(B8,input_439100!L:R,7,FALSE),VLOOKUP(tables_439100!C8,input_439100!A:H,8,FALSE))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input_439100!A$2</f>
        <v>439100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IFERROR(VLOOKUP(B9,input_439100!L:R,7,FALSE),VLOOKUP(tables_439100!C9,input_439100!A:H,8,FALSE))</f>
        <v>1006500</v>
      </c>
      <c r="P9" s="46">
        <f t="shared" ca="1" si="1"/>
        <v>1.0054945054892826E-2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input_439100!A$2</f>
        <v>439100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IFERROR(VLOOKUP(B10,input_439100!L:R,7,FALSE),VLOOKUP(tables_439100!C10,input_439100!A:H,8,FALSE))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input_439100!A$2</f>
        <v>439100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IFERROR(VLOOKUP(B11,input_439100!L:R,7,FALSE),VLOOKUP(tables_439100!C11,input_439100!A:H,8,FALSE))</f>
        <v>1006500</v>
      </c>
      <c r="P11" s="46">
        <f t="shared" ca="1" si="1"/>
        <v>1.0054945054892826E-2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input_439100!A$2</f>
        <v>439100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IFERROR(VLOOKUP(B12,input_439100!L:R,7,FALSE),VLOOKUP(tables_439100!C12,input_439100!A:H,8,FALSE))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input_439100!A$2</f>
        <v>439100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IFERROR(VLOOKUP(B13,input_439100!L:R,7,FALSE),VLOOKUP(tables_439100!C13,input_439100!A:H,8,FALSE))</f>
        <v>1006500</v>
      </c>
      <c r="P13" s="46">
        <f t="shared" ca="1" si="1"/>
        <v>1.0054945054892826E-2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input_439100!A$2</f>
        <v>439100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IFERROR(VLOOKUP(B14,input_439100!L:R,7,FALSE),VLOOKUP(tables_439100!C14,input_439100!A:H,8,FALSE))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input_439100!A$2</f>
        <v>439100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IFERROR(VLOOKUP(B15,input_439100!L:R,7,FALSE),VLOOKUP(tables_439100!C15,input_439100!A:H,8,FALSE))</f>
        <v>1006500</v>
      </c>
      <c r="P15" s="46">
        <f t="shared" ca="1" si="1"/>
        <v>1.0054945054892826E-2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input_439100!A$2</f>
        <v>439100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IFERROR(VLOOKUP(B16,input_439100!L:R,7,FALSE),VLOOKUP(tables_439100!C16,input_439100!A:H,8,FALSE))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input_439100!A$2</f>
        <v>439100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IFERROR(VLOOKUP(B17,input_439100!L:R,7,FALSE),VLOOKUP(tables_439100!C17,input_439100!A:H,8,FALSE))</f>
        <v>1006500</v>
      </c>
      <c r="P17" s="46">
        <f t="shared" ca="1" si="1"/>
        <v>1.0054945054892826E-2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input_439100!A$2</f>
        <v>439100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IFERROR(VLOOKUP(B18,input_439100!L:R,7,FALSE),VLOOKUP(tables_439100!C18,input_439100!A:H,8,FALSE))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input_439100!A$2</f>
        <v>439100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IFERROR(VLOOKUP(B19,input_439100!L:R,7,FALSE),VLOOKUP(tables_439100!C19,input_439100!A:H,8,FALSE))</f>
        <v>1006500</v>
      </c>
      <c r="P19" s="46">
        <f t="shared" ca="1" si="1"/>
        <v>1.0054945054892826E-2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input_439100!A$2</f>
        <v>439100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IFERROR(VLOOKUP(B20,input_439100!L:R,7,FALSE),VLOOKUP(tables_439100!C20,input_439100!A:H,8,FALSE))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input_439100!A$2</f>
        <v>439100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IFERROR(VLOOKUP(B21,input_439100!L:R,7,FALSE),VLOOKUP(tables_439100!C21,input_439100!A:H,8,FALSE))</f>
        <v>1006500</v>
      </c>
      <c r="P21" s="46">
        <f t="shared" ca="1" si="1"/>
        <v>1.0054945054892826E-2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input_439100!A$2</f>
        <v>439100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IFERROR(VLOOKUP(B22,input_439100!L:R,7,FALSE),VLOOKUP(tables_439100!C22,input_439100!A:H,8,FALSE))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input_439100!A$2</f>
        <v>439100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IFERROR(VLOOKUP(B23,input_439100!L:R,7,FALSE),VLOOKUP(tables_439100!C23,input_439100!A:H,8,FALSE))</f>
        <v>1006500</v>
      </c>
      <c r="P23" s="46">
        <f t="shared" ca="1" si="1"/>
        <v>1.0054945054892826E-2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input_439100!A$2</f>
        <v>439100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IFERROR(VLOOKUP(B24,input_439100!L:R,7,FALSE),VLOOKUP(tables_439100!C24,input_439100!A:H,8,FALSE))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input_439100!A$2</f>
        <v>439100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IFERROR(VLOOKUP(B25,input_439100!L:R,7,FALSE),VLOOKUP(tables_439100!C25,input_439100!A:H,8,FALSE))</f>
        <v>1006500</v>
      </c>
      <c r="P25" s="46">
        <f t="shared" ca="1" si="1"/>
        <v>1.0054945054892826E-2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input_439100!A$2</f>
        <v>439100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IFERROR(VLOOKUP(B26,input_439100!L:R,7,FALSE),VLOOKUP(tables_439100!C26,input_439100!A:H,8,FALSE))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input_439100!A$2</f>
        <v>439100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IFERROR(VLOOKUP(B27,input_439100!L:R,7,FALSE),VLOOKUP(tables_439100!C27,input_439100!A:H,8,FALSE))</f>
        <v>1006500</v>
      </c>
      <c r="P27" s="46">
        <f t="shared" ca="1" si="1"/>
        <v>1.0054945054892826E-2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input_439100!A$2</f>
        <v>439100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IFERROR(VLOOKUP(B28,input_439100!L:R,7,FALSE),VLOOKUP(tables_439100!C28,input_439100!A:H,8,FALSE))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input_439100!A$2</f>
        <v>439100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IFERROR(VLOOKUP(B29,input_439100!L:R,7,FALSE),VLOOKUP(tables_439100!C29,input_439100!A:H,8,FALSE))</f>
        <v>1006500</v>
      </c>
      <c r="P29" s="46">
        <f t="shared" ca="1" si="1"/>
        <v>1.0054945054892826E-2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input_439100!A$2</f>
        <v>439100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IFERROR(VLOOKUP(B30,input_439100!L:R,7,FALSE),VLOOKUP(tables_439100!C30,input_439100!A:H,8,FALSE))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input_439100!A$2</f>
        <v>439100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IFERROR(VLOOKUP(B31,input_439100!L:R,7,FALSE),VLOOKUP(tables_439100!C31,input_439100!A:H,8,FALSE))</f>
        <v>1006500</v>
      </c>
      <c r="P31" s="46">
        <f t="shared" ca="1" si="1"/>
        <v>1.0054945054892826E-2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input_439100!A$2</f>
        <v>439100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IFERROR(VLOOKUP(B32,input_439100!L:R,7,FALSE),VLOOKUP(tables_439100!C32,input_439100!A:H,8,FALSE))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input_439100!A$2</f>
        <v>439100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IFERROR(VLOOKUP(B33,input_439100!L:R,7,FALSE),VLOOKUP(tables_439100!C33,input_439100!A:H,8,FALSE))</f>
        <v>1006500</v>
      </c>
      <c r="P33" s="46">
        <f t="shared" ca="1" si="1"/>
        <v>1.0054945054892826E-2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input_439100!A$2</f>
        <v>439100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IFERROR(VLOOKUP(B34,input_439100!L:R,7,FALSE),VLOOKUP(tables_439100!C34,input_439100!A:H,8,FALSE))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input_439100!A$2</f>
        <v>439100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IFERROR(VLOOKUP(B35,input_439100!L:R,7,FALSE),VLOOKUP(tables_439100!C35,input_439100!A:H,8,FALSE))</f>
        <v>1006500</v>
      </c>
      <c r="P35" s="46">
        <f t="shared" ca="1" si="1"/>
        <v>1.0054945054892826E-2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input_439100!A$2</f>
        <v>439100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IFERROR(VLOOKUP(B36,input_439100!L:R,7,FALSE),VLOOKUP(tables_439100!C36,input_439100!A:H,8,FALSE))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input_439100!A$2</f>
        <v>439100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IFERROR(VLOOKUP(B37,input_439100!L:R,7,FALSE),VLOOKUP(tables_439100!C37,input_439100!A:H,8,FALSE))</f>
        <v>1006500</v>
      </c>
      <c r="P37" s="46">
        <f t="shared" ca="1" si="1"/>
        <v>1.0054945054892826E-2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input_439100!A$2</f>
        <v>439100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IFERROR(VLOOKUP(B38,input_439100!L:R,7,FALSE),VLOOKUP(tables_439100!C38,input_439100!A:H,8,FALSE))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input_439100!A$2</f>
        <v>439100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IFERROR(VLOOKUP(B39,input_439100!L:R,7,FALSE),VLOOKUP(tables_439100!C39,input_439100!A:H,8,FALSE))</f>
        <v>1006500</v>
      </c>
      <c r="P39" s="46">
        <f t="shared" ca="1" si="1"/>
        <v>1.0054945054892826E-2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input_439100!A$2</f>
        <v>439100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IFERROR(VLOOKUP(B40,input_439100!L:R,7,FALSE),VLOOKUP(tables_439100!C40,input_439100!A:H,8,FALSE))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input_439100!A$2</f>
        <v>439100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IFERROR(VLOOKUP(B41,input_439100!L:R,7,FALSE),VLOOKUP(tables_439100!C41,input_439100!A:H,8,FALSE))</f>
        <v>1006500</v>
      </c>
      <c r="P41" s="46">
        <f t="shared" ca="1" si="1"/>
        <v>1.0054945054892826E-2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input_439100!A$2</f>
        <v>439100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IFERROR(VLOOKUP(B42,input_439100!L:R,7,FALSE),VLOOKUP(tables_439100!C42,input_439100!A:H,8,FALSE))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input_439100!A$2</f>
        <v>439100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IFERROR(VLOOKUP(B43,input_439100!L:R,7,FALSE),VLOOKUP(tables_439100!C43,input_439100!A:H,8,FALSE))</f>
        <v>931012.5</v>
      </c>
      <c r="P43" s="46">
        <f t="shared" ca="1" si="1"/>
        <v>9.3008241757758636E-3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input_439100!A$2</f>
        <v>439100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IFERROR(VLOOKUP(B44,input_439100!L:R,7,FALSE),VLOOKUP(tables_439100!C44,input_439100!A:H,8,FALSE))</f>
        <v>75487.5</v>
      </c>
      <c r="P44" s="46">
        <f t="shared" ca="1" si="1"/>
        <v>7.541208791169619E-4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input_439100!A$2</f>
        <v>439100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IFERROR(VLOOKUP(B45,input_439100!L:R,7,FALSE),VLOOKUP(tables_439100!C45,input_439100!A:H,8,FALSE))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input_439100!A$2</f>
        <v>439100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IFERROR(VLOOKUP(B46,input_439100!L:R,7,FALSE),VLOOKUP(tables_439100!C46,input_439100!A:H,8,FALSE))</f>
        <v>931012.5</v>
      </c>
      <c r="P46" s="46">
        <f t="shared" ca="1" si="1"/>
        <v>9.3008241757758636E-3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input_439100!A$2</f>
        <v>439100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IFERROR(VLOOKUP(B47,input_439100!L:R,7,FALSE),VLOOKUP(tables_439100!C47,input_439100!A:H,8,FALSE))</f>
        <v>75487.5</v>
      </c>
      <c r="P47" s="46">
        <f t="shared" ca="1" si="1"/>
        <v>7.541208791169619E-4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input_439100!A$2</f>
        <v>439100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IFERROR(VLOOKUP(B48,input_439100!L:R,7,FALSE),VLOOKUP(tables_439100!C48,input_439100!A:H,8,FALSE))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input_439100!A$2</f>
        <v>439100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IFERROR(VLOOKUP(B49,input_439100!L:R,7,FALSE),VLOOKUP(tables_439100!C49,input_439100!A:H,8,FALSE))</f>
        <v>931012.5</v>
      </c>
      <c r="P49" s="46">
        <f t="shared" ca="1" si="1"/>
        <v>9.3008241757758636E-3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input_439100!A$2</f>
        <v>439100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IFERROR(VLOOKUP(B50,input_439100!L:R,7,FALSE),VLOOKUP(tables_439100!C50,input_439100!A:H,8,FALSE))</f>
        <v>75487.5</v>
      </c>
      <c r="P50" s="46">
        <f t="shared" ca="1" si="1"/>
        <v>7.541208791169619E-4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input_439100!A$2</f>
        <v>439100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IFERROR(VLOOKUP(B51,input_439100!L:R,7,FALSE),VLOOKUP(tables_439100!C51,input_439100!A:H,8,FALSE))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input_439100!A$2</f>
        <v>439100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IFERROR(VLOOKUP(B52,input_439100!L:R,7,FALSE),VLOOKUP(tables_439100!C52,input_439100!A:H,8,FALSE))</f>
        <v>1003119.56731</v>
      </c>
      <c r="P52" s="46">
        <f t="shared" ca="1" si="1"/>
        <v>1.0021174498549343E-2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input_439100!A$2</f>
        <v>439100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IFERROR(VLOOKUP(B53,input_439100!L:R,7,FALSE),VLOOKUP(tables_439100!C53,input_439100!A:H,8,FALSE))</f>
        <v>3380.4326999999998</v>
      </c>
      <c r="P53" s="46">
        <f t="shared" ca="1" si="1"/>
        <v>3.377055644338102E-5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input_439100!A$2</f>
        <v>439100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IFERROR(VLOOKUP(B54,input_439100!L:R,7,FALSE),VLOOKUP(tables_439100!C54,input_439100!A:H,8,FALSE))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input_439100!A$2</f>
        <v>439100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IFERROR(VLOOKUP(B55,input_439100!L:R,7,FALSE),VLOOKUP(tables_439100!C55,input_439100!A:H,8,FALSE))</f>
        <v>1003119.56731</v>
      </c>
      <c r="P55" s="46">
        <f t="shared" ca="1" si="1"/>
        <v>1.0021174498549343E-2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input_439100!A$2</f>
        <v>439100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IFERROR(VLOOKUP(B56,input_439100!L:R,7,FALSE),VLOOKUP(tables_439100!C56,input_439100!A:H,8,FALSE))</f>
        <v>3380.4326999999998</v>
      </c>
      <c r="P56" s="46">
        <f t="shared" ca="1" si="1"/>
        <v>3.377055644338102E-5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input_439100!A$2</f>
        <v>439100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IFERROR(VLOOKUP(B57,input_439100!L:R,7,FALSE),VLOOKUP(tables_439100!C57,input_439100!A:H,8,FALSE))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input_439100!A$2</f>
        <v>439100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IFERROR(VLOOKUP(B58,input_439100!L:R,7,FALSE),VLOOKUP(tables_439100!C58,input_439100!A:H,8,FALSE))</f>
        <v>1003119.56731</v>
      </c>
      <c r="P58" s="46">
        <f t="shared" ca="1" si="1"/>
        <v>1.0021174498549343E-2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input_439100!A$2</f>
        <v>439100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IFERROR(VLOOKUP(B59,input_439100!L:R,7,FALSE),VLOOKUP(tables_439100!C59,input_439100!A:H,8,FALSE))</f>
        <v>3380.4326999999998</v>
      </c>
      <c r="P59" s="46">
        <f t="shared" ca="1" si="1"/>
        <v>3.377055644338102E-5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input_439100!A$2</f>
        <v>439100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IFERROR(VLOOKUP(B60,input_439100!L:R,7,FALSE),VLOOKUP(tables_439100!C60,input_439100!A:H,8,FALSE))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input_439100!A$2</f>
        <v>439100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IFERROR(VLOOKUP(B61,input_439100!L:R,7,FALSE),VLOOKUP(tables_439100!C61,input_439100!A:H,8,FALSE))</f>
        <v>1003119.56731</v>
      </c>
      <c r="P61" s="46">
        <f t="shared" ca="1" si="1"/>
        <v>1.0021174498549343E-2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input_439100!A$2</f>
        <v>439100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IFERROR(VLOOKUP(B62,input_439100!L:R,7,FALSE),VLOOKUP(tables_439100!C62,input_439100!A:H,8,FALSE))</f>
        <v>3380.4326999999998</v>
      </c>
      <c r="P62" s="46">
        <f t="shared" ca="1" si="1"/>
        <v>3.377055644338102E-5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input_439100!A$2</f>
        <v>439100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IFERROR(VLOOKUP(B63,input_439100!L:R,7,FALSE),VLOOKUP(tables_439100!C63,input_439100!A:H,8,FALSE))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input_439100!A$2</f>
        <v>439100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IFERROR(VLOOKUP(B64,input_439100!L:R,7,FALSE),VLOOKUP(tables_439100!C64,input_439100!A:H,8,FALSE))</f>
        <v>1003119.56731</v>
      </c>
      <c r="P64" s="46">
        <f t="shared" ca="1" si="1"/>
        <v>1.0021174498549343E-2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input_439100!A$2</f>
        <v>439100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IFERROR(VLOOKUP(B65,input_439100!L:R,7,FALSE),VLOOKUP(tables_439100!C65,input_439100!A:H,8,FALSE))</f>
        <v>3380.4326999999998</v>
      </c>
      <c r="P65" s="46">
        <f t="shared" ca="1" si="1"/>
        <v>3.377055644338102E-5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input_439100!A$2</f>
        <v>439100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IFERROR(VLOOKUP(B66,input_439100!L:R,7,FALSE),VLOOKUP(tables_439100!C66,input_439100!A:H,8,FALSE))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input_439100!A$2</f>
        <v>439100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IFERROR(VLOOKUP(B67,input_439100!L:R,7,FALSE),VLOOKUP(tables_439100!C67,input_439100!A:H,8,FALSE))</f>
        <v>1003119.56731</v>
      </c>
      <c r="P67" s="46">
        <f t="shared" ca="1" si="4"/>
        <v>1.0021174498549343E-2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input_439100!A$2</f>
        <v>439100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IFERROR(VLOOKUP(B68,input_439100!L:R,7,FALSE),VLOOKUP(tables_439100!C68,input_439100!A:H,8,FALSE))</f>
        <v>3380.4326999999998</v>
      </c>
      <c r="P68" s="46">
        <f t="shared" ca="1" si="4"/>
        <v>3.377055644338102E-5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input_439100!A$2</f>
        <v>439100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IFERROR(VLOOKUP(B69,input_439100!L:R,7,FALSE),VLOOKUP(tables_439100!C69,input_439100!A:H,8,FALSE))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input_439100!A$2</f>
        <v>439100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IFERROR(VLOOKUP(B70,input_439100!L:R,7,FALSE),VLOOKUP(tables_439100!C70,input_439100!A:H,8,FALSE))</f>
        <v>1003119.56731</v>
      </c>
      <c r="P70" s="46">
        <f t="shared" ca="1" si="4"/>
        <v>1.0021174498549343E-2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input_439100!A$2</f>
        <v>439100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IFERROR(VLOOKUP(B71,input_439100!L:R,7,FALSE),VLOOKUP(tables_439100!C71,input_439100!A:H,8,FALSE))</f>
        <v>3380.4326999999998</v>
      </c>
      <c r="P71" s="46">
        <f t="shared" ca="1" si="4"/>
        <v>3.377055644338102E-5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input_439100!A$2</f>
        <v>439100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IFERROR(VLOOKUP(B72,input_439100!L:R,7,FALSE),VLOOKUP(tables_439100!C72,input_439100!A:H,8,FALSE))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input_439100!A$2</f>
        <v>439100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IFERROR(VLOOKUP(B73,input_439100!L:R,7,FALSE),VLOOKUP(tables_439100!C73,input_439100!A:H,8,FALSE))</f>
        <v>1003119.56731</v>
      </c>
      <c r="P73" s="46">
        <f t="shared" ca="1" si="4"/>
        <v>1.0021174498549343E-2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input_439100!A$2</f>
        <v>439100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IFERROR(VLOOKUP(B74,input_439100!L:R,7,FALSE),VLOOKUP(tables_439100!C74,input_439100!A:H,8,FALSE))</f>
        <v>3380.4326999999998</v>
      </c>
      <c r="P74" s="46">
        <f t="shared" ca="1" si="4"/>
        <v>3.377055644338102E-5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input_439100!A$2</f>
        <v>439100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IFERROR(VLOOKUP(B75,input_439100!L:R,7,FALSE),VLOOKUP(tables_439100!C75,input_439100!A:H,8,FALSE))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input_439100!A$2</f>
        <v>439100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IFERROR(VLOOKUP(B76,input_439100!L:R,7,FALSE),VLOOKUP(tables_439100!C76,input_439100!A:H,8,FALSE))</f>
        <v>1003119.56731</v>
      </c>
      <c r="P76" s="46">
        <f t="shared" ca="1" si="4"/>
        <v>1.0021174498549343E-2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input_439100!A$2</f>
        <v>439100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IFERROR(VLOOKUP(B77,input_439100!L:R,7,FALSE),VLOOKUP(tables_439100!C77,input_439100!A:H,8,FALSE))</f>
        <v>3380.4326999999998</v>
      </c>
      <c r="P77" s="46">
        <f t="shared" ca="1" si="4"/>
        <v>3.377055644338102E-5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input_439100!A$2</f>
        <v>439100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IFERROR(VLOOKUP(B78,input_439100!L:R,7,FALSE),VLOOKUP(tables_439100!C78,input_439100!A:H,8,FALSE))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input_439100!A$2</f>
        <v>439100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IFERROR(VLOOKUP(B79,input_439100!L:R,7,FALSE),VLOOKUP(tables_439100!C79,input_439100!A:H,8,FALSE))</f>
        <v>1003119.56731</v>
      </c>
      <c r="P79" s="46">
        <f t="shared" ca="1" si="4"/>
        <v>1.0021174498549343E-2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input_439100!A$2</f>
        <v>439100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IFERROR(VLOOKUP(B80,input_439100!L:R,7,FALSE),VLOOKUP(tables_439100!C80,input_439100!A:H,8,FALSE))</f>
        <v>3380.4326999999998</v>
      </c>
      <c r="P80" s="46">
        <f t="shared" ca="1" si="4"/>
        <v>3.377055644338102E-5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input_439100!A$2</f>
        <v>439100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IFERROR(VLOOKUP(B81,input_439100!L:R,7,FALSE),VLOOKUP(tables_439100!C81,input_439100!A:H,8,FALSE))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input_439100!A$2</f>
        <v>439100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IFERROR(VLOOKUP(B82,input_439100!L:R,7,FALSE),VLOOKUP(tables_439100!C82,input_439100!A:H,8,FALSE))</f>
        <v>1003119.56731</v>
      </c>
      <c r="P82" s="46">
        <f t="shared" ca="1" si="4"/>
        <v>1.0021174498549343E-2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input_439100!A$2</f>
        <v>439100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IFERROR(VLOOKUP(B83,input_439100!L:R,7,FALSE),VLOOKUP(tables_439100!C83,input_439100!A:H,8,FALSE))</f>
        <v>3380.4326999999998</v>
      </c>
      <c r="P83" s="46">
        <f t="shared" ca="1" si="4"/>
        <v>3.377055644338102E-5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input_439100!A$2</f>
        <v>439100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IFERROR(VLOOKUP(B84,input_439100!L:R,7,FALSE),VLOOKUP(tables_439100!C84,input_439100!A:H,8,FALSE))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input_439100!A$2</f>
        <v>439100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IFERROR(VLOOKUP(B85,input_439100!L:R,7,FALSE),VLOOKUP(tables_439100!C85,input_439100!A:H,8,FALSE))</f>
        <v>1003119.56731</v>
      </c>
      <c r="P85" s="46">
        <f t="shared" ca="1" si="4"/>
        <v>1.0021174498549343E-2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input_439100!A$2</f>
        <v>439100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IFERROR(VLOOKUP(B86,input_439100!L:R,7,FALSE),VLOOKUP(tables_439100!C86,input_439100!A:H,8,FALSE))</f>
        <v>3380.4326999999998</v>
      </c>
      <c r="P86" s="46">
        <f t="shared" ca="1" si="4"/>
        <v>3.377055644338102E-5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input_439100!A$2</f>
        <v>439100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IFERROR(VLOOKUP(B87,input_439100!L:R,7,FALSE),VLOOKUP(tables_439100!C87,input_439100!A:H,8,FALSE))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input_439100!A$2</f>
        <v>439100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IFERROR(VLOOKUP(B88,input_439100!L:R,7,FALSE),VLOOKUP(tables_439100!C88,input_439100!A:H,8,FALSE))</f>
        <v>1003119.56731</v>
      </c>
      <c r="P88" s="46">
        <f t="shared" ca="1" si="4"/>
        <v>1.0021174498549343E-2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input_439100!A$2</f>
        <v>439100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IFERROR(VLOOKUP(B89,input_439100!L:R,7,FALSE),VLOOKUP(tables_439100!C89,input_439100!A:H,8,FALSE))</f>
        <v>3380.4326999999998</v>
      </c>
      <c r="P89" s="46">
        <f t="shared" ca="1" si="4"/>
        <v>3.377055644338102E-5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input_439100!A$2</f>
        <v>439100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IFERROR(VLOOKUP(B90,input_439100!L:R,7,FALSE),VLOOKUP(tables_439100!C90,input_439100!A:H,8,FALSE))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input_439100!A$2</f>
        <v>439100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IFERROR(VLOOKUP(B91,input_439100!L:R,7,FALSE),VLOOKUP(tables_439100!C91,input_439100!A:H,8,FALSE))</f>
        <v>1003119.56731</v>
      </c>
      <c r="P91" s="46">
        <f t="shared" ca="1" si="4"/>
        <v>1.0021174498549343E-2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input_439100!A$2</f>
        <v>439100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IFERROR(VLOOKUP(B92,input_439100!L:R,7,FALSE),VLOOKUP(tables_439100!C92,input_439100!A:H,8,FALSE))</f>
        <v>3380.4326999999998</v>
      </c>
      <c r="P92" s="46">
        <f t="shared" ca="1" si="4"/>
        <v>3.377055644338102E-5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input_439100!A$2</f>
        <v>439100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IFERROR(VLOOKUP(B93,input_439100!L:R,7,FALSE),VLOOKUP(tables_439100!C93,input_439100!A:H,8,FALSE))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input_439100!A$2</f>
        <v>439100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IFERROR(VLOOKUP(B94,input_439100!L:R,7,FALSE),VLOOKUP(tables_439100!C94,input_439100!A:H,8,FALSE))</f>
        <v>1003119.56731</v>
      </c>
      <c r="P94" s="46">
        <f t="shared" ca="1" si="4"/>
        <v>1.0021174498549343E-2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input_439100!A$2</f>
        <v>439100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IFERROR(VLOOKUP(B95,input_439100!L:R,7,FALSE),VLOOKUP(tables_439100!C95,input_439100!A:H,8,FALSE))</f>
        <v>3380.4326999999998</v>
      </c>
      <c r="P95" s="46">
        <f t="shared" ca="1" si="4"/>
        <v>3.377055644338102E-5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input_439100!A$2</f>
        <v>439100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IFERROR(VLOOKUP(B96,input_439100!L:R,7,FALSE),VLOOKUP(tables_439100!C96,input_439100!A:H,8,FALSE))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input_439100!A$2</f>
        <v>439100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IFERROR(VLOOKUP(B97,input_439100!L:R,7,FALSE),VLOOKUP(tables_439100!C97,input_439100!A:H,8,FALSE))</f>
        <v>1003119.56731</v>
      </c>
      <c r="P97" s="46">
        <f t="shared" ca="1" si="4"/>
        <v>1.0021174498549343E-2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input_439100!A$2</f>
        <v>439100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IFERROR(VLOOKUP(B98,input_439100!L:R,7,FALSE),VLOOKUP(tables_439100!C98,input_439100!A:H,8,FALSE))</f>
        <v>3380.4326999999998</v>
      </c>
      <c r="P98" s="46">
        <f t="shared" ca="1" si="4"/>
        <v>3.377055644338102E-5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input_439100!A$2</f>
        <v>439100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IFERROR(VLOOKUP(B99,input_439100!L:R,7,FALSE),VLOOKUP(tables_439100!C99,input_439100!A:H,8,FALSE))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input_439100!A$2</f>
        <v>439100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IFERROR(VLOOKUP(B100,input_439100!L:R,7,FALSE),VLOOKUP(tables_439100!C100,input_439100!A:H,8,FALSE))</f>
        <v>1003119.56731</v>
      </c>
      <c r="P100" s="46">
        <f t="shared" ca="1" si="4"/>
        <v>1.0021174498549343E-2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input_439100!A$2</f>
        <v>439100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IFERROR(VLOOKUP(B101,input_439100!L:R,7,FALSE),VLOOKUP(tables_439100!C101,input_439100!A:H,8,FALSE))</f>
        <v>3380.4326999999998</v>
      </c>
      <c r="P101" s="46">
        <f t="shared" ca="1" si="4"/>
        <v>3.377055644338102E-5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input_439100!A$2</f>
        <v>439100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IFERROR(VLOOKUP(B102,input_439100!L:R,7,FALSE),VLOOKUP(tables_439100!C102,input_439100!A:H,8,FALSE))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input_439100!A$2</f>
        <v>439100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IFERROR(VLOOKUP(B103,input_439100!L:R,7,FALSE),VLOOKUP(tables_439100!C103,input_439100!A:H,8,FALSE))</f>
        <v>1003119.56731</v>
      </c>
      <c r="P103" s="46">
        <f t="shared" ca="1" si="4"/>
        <v>1.0021174498549343E-2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input_439100!A$2</f>
        <v>439100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IFERROR(VLOOKUP(B104,input_439100!L:R,7,FALSE),VLOOKUP(tables_439100!C104,input_439100!A:H,8,FALSE))</f>
        <v>3380.4326999999998</v>
      </c>
      <c r="P104" s="46">
        <f t="shared" ca="1" si="4"/>
        <v>3.377055644338102E-5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input_439100!A$2</f>
        <v>439100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IFERROR(VLOOKUP(B105,input_439100!L:R,7,FALSE),VLOOKUP(tables_439100!C105,input_439100!A:H,8,FALSE))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input_439100!A$2</f>
        <v>439100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IFERROR(VLOOKUP(B106,input_439100!L:R,7,FALSE),VLOOKUP(tables_439100!C106,input_439100!A:H,8,FALSE))</f>
        <v>1003119.56731</v>
      </c>
      <c r="P106" s="46">
        <f t="shared" ca="1" si="4"/>
        <v>1.0021174498549343E-2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input_439100!A$2</f>
        <v>439100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IFERROR(VLOOKUP(B107,input_439100!L:R,7,FALSE),VLOOKUP(tables_439100!C107,input_439100!A:H,8,FALSE))</f>
        <v>3380.4326999999998</v>
      </c>
      <c r="P107" s="46">
        <f t="shared" ca="1" si="4"/>
        <v>3.377055644338102E-5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input_439100!A$2</f>
        <v>439100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IFERROR(VLOOKUP(B108,input_439100!L:R,7,FALSE),VLOOKUP(tables_439100!C108,input_439100!A:H,8,FALSE))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input_439100!A$2</f>
        <v>439100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IFERROR(VLOOKUP(B109,input_439100!L:R,7,FALSE),VLOOKUP(tables_439100!C109,input_439100!A:H,8,FALSE))</f>
        <v>1003119.56731</v>
      </c>
      <c r="P109" s="46">
        <f t="shared" ca="1" si="4"/>
        <v>1.0021174498549343E-2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input_439100!A$2</f>
        <v>439100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IFERROR(VLOOKUP(B110,input_439100!L:R,7,FALSE),VLOOKUP(tables_439100!C110,input_439100!A:H,8,FALSE))</f>
        <v>3380.4326999999998</v>
      </c>
      <c r="P110" s="46">
        <f t="shared" ca="1" si="4"/>
        <v>3.377055644338102E-5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input_439100!A$2</f>
        <v>439100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IFERROR(VLOOKUP(B111,input_439100!L:R,7,FALSE),VLOOKUP(tables_439100!C111,input_439100!A:H,8,FALSE))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input_439100!A$2</f>
        <v>439100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IFERROR(VLOOKUP(B112,input_439100!L:R,7,FALSE),VLOOKUP(tables_439100!C112,input_439100!A:H,8,FALSE))</f>
        <v>931012.5</v>
      </c>
      <c r="P112" s="46">
        <f t="shared" ca="1" si="4"/>
        <v>9.3008241757758636E-3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input_439100!A$2</f>
        <v>439100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IFERROR(VLOOKUP(B113,input_439100!L:R,7,FALSE),VLOOKUP(tables_439100!C113,input_439100!A:H,8,FALSE))</f>
        <v>75487.5</v>
      </c>
      <c r="P113" s="46">
        <f t="shared" ca="1" si="4"/>
        <v>7.541208791169619E-4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input_439100!A$2</f>
        <v>439100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IFERROR(VLOOKUP(B114,input_439100!L:R,7,FALSE),VLOOKUP(tables_439100!C114,input_439100!A:H,8,FALSE))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input_439100!A$2</f>
        <v>439100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IFERROR(VLOOKUP(B115,input_439100!L:R,7,FALSE),VLOOKUP(tables_439100!C115,input_439100!A:H,8,FALSE))</f>
        <v>1003119.56731</v>
      </c>
      <c r="P115" s="46">
        <f t="shared" ca="1" si="4"/>
        <v>1.0021174498549343E-2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input_439100!A$2</f>
        <v>439100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IFERROR(VLOOKUP(B116,input_439100!L:R,7,FALSE),VLOOKUP(tables_439100!C116,input_439100!A:H,8,FALSE))</f>
        <v>3380.4326999999998</v>
      </c>
      <c r="P116" s="46">
        <f t="shared" ca="1" si="4"/>
        <v>3.377055644338102E-5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input_439100!A$2</f>
        <v>439100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IFERROR(VLOOKUP(B117,input_439100!L:R,7,FALSE),VLOOKUP(tables_439100!C117,input_439100!A:H,8,FALSE))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input_439100!A$2</f>
        <v>439100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IFERROR(VLOOKUP(B118,input_439100!L:R,7,FALSE),VLOOKUP(tables_439100!C118,input_439100!A:H,8,FALSE))</f>
        <v>1003119.56731</v>
      </c>
      <c r="P118" s="46">
        <f t="shared" ca="1" si="4"/>
        <v>1.0021174498549343E-2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input_439100!A$2</f>
        <v>439100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IFERROR(VLOOKUP(B119,input_439100!L:R,7,FALSE),VLOOKUP(tables_439100!C119,input_439100!A:H,8,FALSE))</f>
        <v>3380.4326999999998</v>
      </c>
      <c r="P119" s="46">
        <f t="shared" ca="1" si="4"/>
        <v>3.377055644338102E-5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input_439100!A$2</f>
        <v>439100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IFERROR(VLOOKUP(B120,input_439100!L:R,7,FALSE),VLOOKUP(tables_439100!C120,input_439100!A:H,8,FALSE))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input_439100!A$2</f>
        <v>439100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IFERROR(VLOOKUP(B121,input_439100!L:R,7,FALSE),VLOOKUP(tables_439100!C121,input_439100!A:H,8,FALSE))</f>
        <v>1003119.56731</v>
      </c>
      <c r="P121" s="46">
        <f t="shared" ca="1" si="4"/>
        <v>1.0021174498549343E-2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input_439100!A$2</f>
        <v>439100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IFERROR(VLOOKUP(B122,input_439100!L:R,7,FALSE),VLOOKUP(tables_439100!C122,input_439100!A:H,8,FALSE))</f>
        <v>3380.4326999999998</v>
      </c>
      <c r="P122" s="46">
        <f t="shared" ca="1" si="4"/>
        <v>3.377055644338102E-5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input_439100!A$2</f>
        <v>439100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IFERROR(VLOOKUP(B123,input_439100!L:R,7,FALSE),VLOOKUP(tables_439100!C123,input_439100!A:H,8,FALSE))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input_439100!A$2</f>
        <v>439100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IFERROR(VLOOKUP(B124,input_439100!L:R,7,FALSE),VLOOKUP(tables_439100!C124,input_439100!A:H,8,FALSE))</f>
        <v>1003119.56731</v>
      </c>
      <c r="P124" s="46">
        <f t="shared" ca="1" si="4"/>
        <v>1.0021174498549343E-2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input_439100!A$2</f>
        <v>439100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IFERROR(VLOOKUP(B125,input_439100!L:R,7,FALSE),VLOOKUP(tables_439100!C125,input_439100!A:H,8,FALSE))</f>
        <v>3380.4326999999998</v>
      </c>
      <c r="P125" s="46">
        <f t="shared" ca="1" si="4"/>
        <v>3.377055644338102E-5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input_439100!A$2</f>
        <v>439100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IFERROR(VLOOKUP(B126,input_439100!L:R,7,FALSE),VLOOKUP(tables_439100!C126,input_439100!A:H,8,FALSE))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input_439100!A$2</f>
        <v>439100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IFERROR(VLOOKUP(B127,input_439100!L:R,7,FALSE),VLOOKUP(tables_439100!C127,input_439100!A:H,8,FALSE))</f>
        <v>1003119.56731</v>
      </c>
      <c r="P127" s="46">
        <f t="shared" ca="1" si="4"/>
        <v>1.0021174498549343E-2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input_439100!A$2</f>
        <v>439100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IFERROR(VLOOKUP(B128,input_439100!L:R,7,FALSE),VLOOKUP(tables_439100!C128,input_439100!A:H,8,FALSE))</f>
        <v>3380.4326999999998</v>
      </c>
      <c r="P128" s="46">
        <f t="shared" ca="1" si="4"/>
        <v>3.377055644338102E-5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input_439100!A$2</f>
        <v>439100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IFERROR(VLOOKUP(B129,input_439100!L:R,7,FALSE),VLOOKUP(tables_439100!C129,input_439100!A:H,8,FALSE))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input_439100!A$2</f>
        <v>439100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IFERROR(VLOOKUP(B130,input_439100!L:R,7,FALSE),VLOOKUP(tables_439100!C130,input_439100!A:H,8,FALSE))</f>
        <v>1003119.56731</v>
      </c>
      <c r="P130" s="46">
        <f t="shared" ref="P130:P193" ca="1" si="7">O130/SUM(O:O)</f>
        <v>1.0021174498549343E-2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input_439100!A$2</f>
        <v>439100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IFERROR(VLOOKUP(B131,input_439100!L:R,7,FALSE),VLOOKUP(tables_439100!C131,input_439100!A:H,8,FALSE))</f>
        <v>3380.4326999999998</v>
      </c>
      <c r="P131" s="46">
        <f t="shared" ca="1" si="7"/>
        <v>3.377055644338102E-5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input_439100!A$2</f>
        <v>439100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IFERROR(VLOOKUP(B132,input_439100!L:R,7,FALSE),VLOOKUP(tables_439100!C132,input_439100!A:H,8,FALSE))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input_439100!A$2</f>
        <v>439100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IFERROR(VLOOKUP(B133,input_439100!L:R,7,FALSE),VLOOKUP(tables_439100!C133,input_439100!A:H,8,FALSE))</f>
        <v>1003119.56731</v>
      </c>
      <c r="P133" s="46">
        <f t="shared" ca="1" si="7"/>
        <v>1.0021174498549343E-2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input_439100!A$2</f>
        <v>439100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IFERROR(VLOOKUP(B134,input_439100!L:R,7,FALSE),VLOOKUP(tables_439100!C134,input_439100!A:H,8,FALSE))</f>
        <v>3380.4326999999998</v>
      </c>
      <c r="P134" s="46">
        <f t="shared" ca="1" si="7"/>
        <v>3.377055644338102E-5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input_439100!A$2</f>
        <v>439100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IFERROR(VLOOKUP(B135,input_439100!L:R,7,FALSE),VLOOKUP(tables_439100!C135,input_439100!A:H,8,FALSE))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input_439100!A$2</f>
        <v>439100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IFERROR(VLOOKUP(B136,input_439100!L:R,7,FALSE),VLOOKUP(tables_439100!C136,input_439100!A:H,8,FALSE))</f>
        <v>1003119.56731</v>
      </c>
      <c r="P136" s="46">
        <f t="shared" ca="1" si="7"/>
        <v>1.0021174498549343E-2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input_439100!A$2</f>
        <v>439100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IFERROR(VLOOKUP(B137,input_439100!L:R,7,FALSE),VLOOKUP(tables_439100!C137,input_439100!A:H,8,FALSE))</f>
        <v>3380.4326999999998</v>
      </c>
      <c r="P137" s="46">
        <f t="shared" ca="1" si="7"/>
        <v>3.377055644338102E-5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input_439100!A$2</f>
        <v>439100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IFERROR(VLOOKUP(B138,input_439100!L:R,7,FALSE),VLOOKUP(tables_439100!C138,input_439100!A:H,8,FALSE))</f>
        <v>109427.5</v>
      </c>
      <c r="P138" s="46">
        <f t="shared" ca="1" si="7"/>
        <v>1.0931818181761398E-3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input_439100!A$2</f>
        <v>439100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IFERROR(VLOOKUP(B139,input_439100!L:R,7,FALSE),VLOOKUP(tables_439100!C139,input_439100!A:H,8,FALSE))</f>
        <v>36172.5</v>
      </c>
      <c r="P139" s="46">
        <f t="shared" ca="1" si="7"/>
        <v>3.6136363636175931E-4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input_439100!A$2</f>
        <v>439100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IFERROR(VLOOKUP(B140,input_439100!L:R,7,FALSE),VLOOKUP(tables_439100!C140,input_439100!A:H,8,FALSE))</f>
        <v>109427.5</v>
      </c>
      <c r="P140" s="46">
        <f t="shared" ca="1" si="7"/>
        <v>1.0931818181761398E-3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input_439100!A$2</f>
        <v>439100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IFERROR(VLOOKUP(B141,input_439100!L:R,7,FALSE),VLOOKUP(tables_439100!C141,input_439100!A:H,8,FALSE))</f>
        <v>36172.5</v>
      </c>
      <c r="P141" s="46">
        <f t="shared" ca="1" si="7"/>
        <v>3.6136363636175931E-4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input_439100!A$2</f>
        <v>439100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IFERROR(VLOOKUP(B142,input_439100!L:R,7,FALSE),VLOOKUP(tables_439100!C142,input_439100!A:H,8,FALSE))</f>
        <v>109427.5</v>
      </c>
      <c r="P142" s="46">
        <f t="shared" ca="1" si="7"/>
        <v>1.0931818181761398E-3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input_439100!A$2</f>
        <v>439100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IFERROR(VLOOKUP(B143,input_439100!L:R,7,FALSE),VLOOKUP(tables_439100!C143,input_439100!A:H,8,FALSE))</f>
        <v>36172.5</v>
      </c>
      <c r="P143" s="46">
        <f t="shared" ca="1" si="7"/>
        <v>3.6136363636175931E-4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input_439100!A$2</f>
        <v>439100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IFERROR(VLOOKUP(B144,input_439100!L:R,7,FALSE),VLOOKUP(tables_439100!C144,input_439100!A:H,8,FALSE))</f>
        <v>109427.5</v>
      </c>
      <c r="P144" s="46">
        <f t="shared" ca="1" si="7"/>
        <v>1.0931818181761398E-3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input_439100!A$2</f>
        <v>439100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IFERROR(VLOOKUP(B145,input_439100!L:R,7,FALSE),VLOOKUP(tables_439100!C145,input_439100!A:H,8,FALSE))</f>
        <v>36172.5</v>
      </c>
      <c r="P145" s="46">
        <f t="shared" ca="1" si="7"/>
        <v>3.6136363636175931E-4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input_439100!A$2</f>
        <v>439100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IFERROR(VLOOKUP(B146,input_439100!L:R,7,FALSE),VLOOKUP(tables_439100!C146,input_439100!A:H,8,FALSE))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input_439100!A$2</f>
        <v>439100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IFERROR(VLOOKUP(B147,input_439100!L:R,7,FALSE),VLOOKUP(tables_439100!C147,input_439100!A:H,8,FALSE))</f>
        <v>1003119.56731</v>
      </c>
      <c r="P147" s="46">
        <f t="shared" ca="1" si="7"/>
        <v>1.0021174498549343E-2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input_439100!A$2</f>
        <v>439100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IFERROR(VLOOKUP(B148,input_439100!L:R,7,FALSE),VLOOKUP(tables_439100!C148,input_439100!A:H,8,FALSE))</f>
        <v>3380.4326999999998</v>
      </c>
      <c r="P148" s="46">
        <f t="shared" ca="1" si="7"/>
        <v>3.377055644338102E-5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input_439100!A$2</f>
        <v>439100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IFERROR(VLOOKUP(B149,input_439100!L:R,7,FALSE),VLOOKUP(tables_439100!C149,input_439100!A:H,8,FALSE))</f>
        <v>109427.5</v>
      </c>
      <c r="P149" s="46">
        <f t="shared" ca="1" si="7"/>
        <v>1.0931818181761398E-3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input_439100!A$2</f>
        <v>439100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IFERROR(VLOOKUP(B150,input_439100!L:R,7,FALSE),VLOOKUP(tables_439100!C150,input_439100!A:H,8,FALSE))</f>
        <v>36172.5</v>
      </c>
      <c r="P150" s="46">
        <f t="shared" ca="1" si="7"/>
        <v>3.6136363636175931E-4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input_439100!A$2</f>
        <v>439100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IFERROR(VLOOKUP(B151,input_439100!L:R,7,FALSE),VLOOKUP(tables_439100!C151,input_439100!A:H,8,FALSE))</f>
        <v>109427.5</v>
      </c>
      <c r="P151" s="46">
        <f t="shared" ca="1" si="7"/>
        <v>1.0931818181761398E-3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input_439100!A$2</f>
        <v>439100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IFERROR(VLOOKUP(B152,input_439100!L:R,7,FALSE),VLOOKUP(tables_439100!C152,input_439100!A:H,8,FALSE))</f>
        <v>36172.5</v>
      </c>
      <c r="P152" s="46">
        <f t="shared" ca="1" si="7"/>
        <v>3.6136363636175931E-4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input_439100!A$2</f>
        <v>439100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IFERROR(VLOOKUP(B153,input_439100!L:R,7,FALSE),VLOOKUP(tables_439100!C153,input_439100!A:H,8,FALSE))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input_439100!A$2</f>
        <v>439100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IFERROR(VLOOKUP(B154,input_439100!L:R,7,FALSE),VLOOKUP(tables_439100!C154,input_439100!A:H,8,FALSE))</f>
        <v>1003119.56731</v>
      </c>
      <c r="P154" s="46">
        <f t="shared" ca="1" si="7"/>
        <v>1.0021174498549343E-2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input_439100!A$2</f>
        <v>439100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IFERROR(VLOOKUP(B155,input_439100!L:R,7,FALSE),VLOOKUP(tables_439100!C155,input_439100!A:H,8,FALSE))</f>
        <v>3380.4326999999998</v>
      </c>
      <c r="P155" s="46">
        <f t="shared" ca="1" si="7"/>
        <v>3.377055644338102E-5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input_439100!A$2</f>
        <v>439100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IFERROR(VLOOKUP(B156,input_439100!L:R,7,FALSE),VLOOKUP(tables_439100!C156,input_439100!A:H,8,FALSE))</f>
        <v>109427.5</v>
      </c>
      <c r="P156" s="46">
        <f t="shared" ca="1" si="7"/>
        <v>1.0931818181761398E-3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input_439100!A$2</f>
        <v>439100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IFERROR(VLOOKUP(B157,input_439100!L:R,7,FALSE),VLOOKUP(tables_439100!C157,input_439100!A:H,8,FALSE))</f>
        <v>36172.5</v>
      </c>
      <c r="P157" s="46">
        <f t="shared" ca="1" si="7"/>
        <v>3.6136363636175931E-4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input_439100!A$2</f>
        <v>439100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IFERROR(VLOOKUP(B158,input_439100!L:R,7,FALSE),VLOOKUP(tables_439100!C158,input_439100!A:H,8,FALSE))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input_439100!A$2</f>
        <v>439100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IFERROR(VLOOKUP(B159,input_439100!L:R,7,FALSE),VLOOKUP(tables_439100!C159,input_439100!A:H,8,FALSE))</f>
        <v>1003119.56731</v>
      </c>
      <c r="P159" s="46">
        <f t="shared" ca="1" si="7"/>
        <v>1.0021174498549343E-2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input_439100!A$2</f>
        <v>439100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IFERROR(VLOOKUP(B160,input_439100!L:R,7,FALSE),VLOOKUP(tables_439100!C160,input_439100!A:H,8,FALSE))</f>
        <v>3380.4326999999998</v>
      </c>
      <c r="P160" s="46">
        <f t="shared" ca="1" si="7"/>
        <v>3.377055644338102E-5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input_439100!A$2</f>
        <v>439100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IFERROR(VLOOKUP(B161,input_439100!L:R,7,FALSE),VLOOKUP(tables_439100!C161,input_439100!A:H,8,FALSE))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input_439100!A$2</f>
        <v>439100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IFERROR(VLOOKUP(B162,input_439100!L:R,7,FALSE),VLOOKUP(tables_439100!C162,input_439100!A:H,8,FALSE))</f>
        <v>1003119.56731</v>
      </c>
      <c r="P162" s="46">
        <f t="shared" ca="1" si="7"/>
        <v>1.0021174498549343E-2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input_439100!A$2</f>
        <v>439100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IFERROR(VLOOKUP(B163,input_439100!L:R,7,FALSE),VLOOKUP(tables_439100!C163,input_439100!A:H,8,FALSE))</f>
        <v>3380.4326999999998</v>
      </c>
      <c r="P163" s="46">
        <f t="shared" ca="1" si="7"/>
        <v>3.377055644338102E-5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input_439100!A$2</f>
        <v>439100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IFERROR(VLOOKUP(B164,input_439100!L:R,7,FALSE),VLOOKUP(tables_439100!C164,input_439100!A:H,8,FALSE))</f>
        <v>109427.5</v>
      </c>
      <c r="P164" s="46">
        <f t="shared" ca="1" si="7"/>
        <v>1.0931818181761398E-3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input_439100!A$2</f>
        <v>439100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IFERROR(VLOOKUP(B165,input_439100!L:R,7,FALSE),VLOOKUP(tables_439100!C165,input_439100!A:H,8,FALSE))</f>
        <v>36172.5</v>
      </c>
      <c r="P165" s="46">
        <f t="shared" ca="1" si="7"/>
        <v>3.6136363636175931E-4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input_439100!A$2</f>
        <v>439100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IFERROR(VLOOKUP(B166,input_439100!L:R,7,FALSE),VLOOKUP(tables_439100!C166,input_439100!A:H,8,FALSE))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input_439100!A$2</f>
        <v>439100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IFERROR(VLOOKUP(B167,input_439100!L:R,7,FALSE),VLOOKUP(tables_439100!C167,input_439100!A:H,8,FALSE))</f>
        <v>1003119.56731</v>
      </c>
      <c r="P167" s="46">
        <f t="shared" ca="1" si="7"/>
        <v>1.0021174498549343E-2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input_439100!A$2</f>
        <v>439100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IFERROR(VLOOKUP(B168,input_439100!L:R,7,FALSE),VLOOKUP(tables_439100!C168,input_439100!A:H,8,FALSE))</f>
        <v>3380.4326999999998</v>
      </c>
      <c r="P168" s="46">
        <f t="shared" ca="1" si="7"/>
        <v>3.377055644338102E-5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input_439100!A$2</f>
        <v>439100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IFERROR(VLOOKUP(B169,input_439100!L:R,7,FALSE),VLOOKUP(tables_439100!C169,input_439100!A:H,8,FALSE))</f>
        <v>109427.5</v>
      </c>
      <c r="P169" s="46">
        <f t="shared" ca="1" si="7"/>
        <v>1.0931818181761398E-3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input_439100!A$2</f>
        <v>439100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IFERROR(VLOOKUP(B170,input_439100!L:R,7,FALSE),VLOOKUP(tables_439100!C170,input_439100!A:H,8,FALSE))</f>
        <v>36172.5</v>
      </c>
      <c r="P170" s="46">
        <f t="shared" ca="1" si="7"/>
        <v>3.6136363636175931E-4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input_439100!A$2</f>
        <v>439100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IFERROR(VLOOKUP(B171,input_439100!L:R,7,FALSE),VLOOKUP(tables_439100!C171,input_439100!A:H,8,FALSE))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input_439100!A$2</f>
        <v>439100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IFERROR(VLOOKUP(B172,input_439100!L:R,7,FALSE),VLOOKUP(tables_439100!C172,input_439100!A:H,8,FALSE))</f>
        <v>1003119.56731</v>
      </c>
      <c r="P172" s="46">
        <f t="shared" ca="1" si="7"/>
        <v>1.0021174498549343E-2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input_439100!A$2</f>
        <v>439100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IFERROR(VLOOKUP(B173,input_439100!L:R,7,FALSE),VLOOKUP(tables_439100!C173,input_439100!A:H,8,FALSE))</f>
        <v>3380.4326999999998</v>
      </c>
      <c r="P173" s="46">
        <f t="shared" ca="1" si="7"/>
        <v>3.377055644338102E-5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input_439100!A$2</f>
        <v>439100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IFERROR(VLOOKUP(B174,input_439100!L:R,7,FALSE),VLOOKUP(tables_439100!C174,input_439100!A:H,8,FALSE))</f>
        <v>109427.5</v>
      </c>
      <c r="P174" s="46">
        <f t="shared" ca="1" si="7"/>
        <v>1.0931818181761398E-3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input_439100!A$2</f>
        <v>439100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IFERROR(VLOOKUP(B175,input_439100!L:R,7,FALSE),VLOOKUP(tables_439100!C175,input_439100!A:H,8,FALSE))</f>
        <v>36172.5</v>
      </c>
      <c r="P175" s="46">
        <f t="shared" ca="1" si="7"/>
        <v>3.6136363636175931E-4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input_439100!A$2</f>
        <v>439100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IFERROR(VLOOKUP(B176,input_439100!L:R,7,FALSE),VLOOKUP(tables_439100!C176,input_439100!A:H,8,FALSE))</f>
        <v>109427.5</v>
      </c>
      <c r="P176" s="46">
        <f t="shared" ca="1" si="7"/>
        <v>1.0931818181761398E-3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input_439100!A$2</f>
        <v>439100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IFERROR(VLOOKUP(B177,input_439100!L:R,7,FALSE),VLOOKUP(tables_439100!C177,input_439100!A:H,8,FALSE))</f>
        <v>36172.5</v>
      </c>
      <c r="P177" s="46">
        <f t="shared" ca="1" si="7"/>
        <v>3.6136363636175931E-4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input_439100!A$2</f>
        <v>439100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IFERROR(VLOOKUP(B178,input_439100!L:R,7,FALSE),VLOOKUP(tables_439100!C178,input_439100!A:H,8,FALSE))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input_439100!A$2</f>
        <v>439100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IFERROR(VLOOKUP(B179,input_439100!L:R,7,FALSE),VLOOKUP(tables_439100!C179,input_439100!A:H,8,FALSE))</f>
        <v>1003119.56731</v>
      </c>
      <c r="P179" s="46">
        <f t="shared" ca="1" si="7"/>
        <v>1.0021174498549343E-2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input_439100!A$2</f>
        <v>439100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IFERROR(VLOOKUP(B180,input_439100!L:R,7,FALSE),VLOOKUP(tables_439100!C180,input_439100!A:H,8,FALSE))</f>
        <v>3380.4326999999998</v>
      </c>
      <c r="P180" s="46">
        <f t="shared" ca="1" si="7"/>
        <v>3.377055644338102E-5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input_439100!A$2</f>
        <v>439100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IFERROR(VLOOKUP(B181,input_439100!L:R,7,FALSE),VLOOKUP(tables_439100!C181,input_439100!A:H,8,FALSE))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input_439100!A$2</f>
        <v>439100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IFERROR(VLOOKUP(B182,input_439100!L:R,7,FALSE),VLOOKUP(tables_439100!C182,input_439100!A:H,8,FALSE))</f>
        <v>1003119.56731</v>
      </c>
      <c r="P182" s="46">
        <f t="shared" ca="1" si="7"/>
        <v>1.0021174498549343E-2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input_439100!A$2</f>
        <v>439100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IFERROR(VLOOKUP(B183,input_439100!L:R,7,FALSE),VLOOKUP(tables_439100!C183,input_439100!A:H,8,FALSE))</f>
        <v>3380.4326999999998</v>
      </c>
      <c r="P183" s="46">
        <f t="shared" ca="1" si="7"/>
        <v>3.377055644338102E-5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input_439100!A$2</f>
        <v>439100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IFERROR(VLOOKUP(B184,input_439100!L:R,7,FALSE),VLOOKUP(tables_439100!C184,input_439100!A:H,8,FALSE))</f>
        <v>109427.5</v>
      </c>
      <c r="P184" s="46">
        <f t="shared" ca="1" si="7"/>
        <v>1.0931818181761398E-3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input_439100!A$2</f>
        <v>439100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IFERROR(VLOOKUP(B185,input_439100!L:R,7,FALSE),VLOOKUP(tables_439100!C185,input_439100!A:H,8,FALSE))</f>
        <v>36172.5</v>
      </c>
      <c r="P185" s="46">
        <f t="shared" ca="1" si="7"/>
        <v>3.6136363636175931E-4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input_439100!A$2</f>
        <v>439100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IFERROR(VLOOKUP(B186,input_439100!L:R,7,FALSE),VLOOKUP(tables_439100!C186,input_439100!A:H,8,FALSE))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input_439100!A$2</f>
        <v>439100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IFERROR(VLOOKUP(B187,input_439100!L:R,7,FALSE),VLOOKUP(tables_439100!C187,input_439100!A:H,8,FALSE))</f>
        <v>1003119.56731</v>
      </c>
      <c r="P187" s="46">
        <f t="shared" ca="1" si="7"/>
        <v>1.0021174498549343E-2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input_439100!A$2</f>
        <v>439100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IFERROR(VLOOKUP(B188,input_439100!L:R,7,FALSE),VLOOKUP(tables_439100!C188,input_439100!A:H,8,FALSE))</f>
        <v>3380.4326999999998</v>
      </c>
      <c r="P188" s="46">
        <f t="shared" ca="1" si="7"/>
        <v>3.377055644338102E-5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input_439100!A$2</f>
        <v>439100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IFERROR(VLOOKUP(B189,input_439100!L:R,7,FALSE),VLOOKUP(tables_439100!C189,input_439100!A:H,8,FALSE))</f>
        <v>109427.5</v>
      </c>
      <c r="P189" s="46">
        <f t="shared" ca="1" si="7"/>
        <v>1.0931818181761398E-3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input_439100!A$2</f>
        <v>439100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IFERROR(VLOOKUP(B190,input_439100!L:R,7,FALSE),VLOOKUP(tables_439100!C190,input_439100!A:H,8,FALSE))</f>
        <v>36172.5</v>
      </c>
      <c r="P190" s="46">
        <f t="shared" ca="1" si="7"/>
        <v>3.6136363636175931E-4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input_439100!A$2</f>
        <v>439100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IFERROR(VLOOKUP(B191,input_439100!L:R,7,FALSE),VLOOKUP(tables_439100!C191,input_439100!A:H,8,FALSE))</f>
        <v>109427.5</v>
      </c>
      <c r="P191" s="46">
        <f t="shared" ca="1" si="7"/>
        <v>1.0931818181761398E-3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input_439100!A$2</f>
        <v>439100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IFERROR(VLOOKUP(B192,input_439100!L:R,7,FALSE),VLOOKUP(tables_439100!C192,input_439100!A:H,8,FALSE))</f>
        <v>36172.5</v>
      </c>
      <c r="P192" s="46">
        <f t="shared" ca="1" si="7"/>
        <v>3.6136363636175931E-4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input_439100!A$2</f>
        <v>439100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IFERROR(VLOOKUP(B193,input_439100!L:R,7,FALSE),VLOOKUP(tables_439100!C193,input_439100!A:H,8,FALSE))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input_439100!A$2</f>
        <v>439100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IFERROR(VLOOKUP(B194,input_439100!L:R,7,FALSE),VLOOKUP(tables_439100!C194,input_439100!A:H,8,FALSE))</f>
        <v>1003119.56731</v>
      </c>
      <c r="P194" s="46">
        <f t="shared" ref="P194:P257" ca="1" si="10">O194/SUM(O:O)</f>
        <v>1.0021174498549343E-2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input_439100!A$2</f>
        <v>439100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IFERROR(VLOOKUP(B195,input_439100!L:R,7,FALSE),VLOOKUP(tables_439100!C195,input_439100!A:H,8,FALSE))</f>
        <v>3380.4326999999998</v>
      </c>
      <c r="P195" s="46">
        <f t="shared" ca="1" si="10"/>
        <v>3.377055644338102E-5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input_439100!A$2</f>
        <v>439100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IFERROR(VLOOKUP(B196,input_439100!L:R,7,FALSE),VLOOKUP(tables_439100!C196,input_439100!A:H,8,FALSE))</f>
        <v>109427.5</v>
      </c>
      <c r="P196" s="46">
        <f t="shared" ca="1" si="10"/>
        <v>1.0931818181761398E-3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input_439100!A$2</f>
        <v>439100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IFERROR(VLOOKUP(B197,input_439100!L:R,7,FALSE),VLOOKUP(tables_439100!C197,input_439100!A:H,8,FALSE))</f>
        <v>36172.5</v>
      </c>
      <c r="P197" s="46">
        <f t="shared" ca="1" si="10"/>
        <v>3.6136363636175931E-4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input_439100!A$2</f>
        <v>439100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IFERROR(VLOOKUP(B198,input_439100!L:R,7,FALSE),VLOOKUP(tables_439100!C198,input_439100!A:H,8,FALSE))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input_439100!A$2</f>
        <v>439100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IFERROR(VLOOKUP(B199,input_439100!L:R,7,FALSE),VLOOKUP(tables_439100!C199,input_439100!A:H,8,FALSE))</f>
        <v>1003119.56731</v>
      </c>
      <c r="P199" s="46">
        <f t="shared" ca="1" si="10"/>
        <v>1.0021174498549343E-2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input_439100!A$2</f>
        <v>439100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IFERROR(VLOOKUP(B200,input_439100!L:R,7,FALSE),VLOOKUP(tables_439100!C200,input_439100!A:H,8,FALSE))</f>
        <v>3380.4326999999998</v>
      </c>
      <c r="P200" s="46">
        <f t="shared" ca="1" si="10"/>
        <v>3.377055644338102E-5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input_439100!A$2</f>
        <v>439100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IFERROR(VLOOKUP(B201,input_439100!L:R,7,FALSE),VLOOKUP(tables_439100!C201,input_439100!A:H,8,FALSE))</f>
        <v>109427.5</v>
      </c>
      <c r="P201" s="46">
        <f t="shared" ca="1" si="10"/>
        <v>1.0931818181761398E-3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input_439100!A$2</f>
        <v>439100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IFERROR(VLOOKUP(B202,input_439100!L:R,7,FALSE),VLOOKUP(tables_439100!C202,input_439100!A:H,8,FALSE))</f>
        <v>36172.5</v>
      </c>
      <c r="P202" s="46">
        <f t="shared" ca="1" si="10"/>
        <v>3.6136363636175931E-4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input_439100!A$2</f>
        <v>439100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IFERROR(VLOOKUP(B203,input_439100!L:R,7,FALSE),VLOOKUP(tables_439100!C203,input_439100!A:H,8,FALSE))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input_439100!A$2</f>
        <v>439100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IFERROR(VLOOKUP(B204,input_439100!L:R,7,FALSE),VLOOKUP(tables_439100!C204,input_439100!A:H,8,FALSE))</f>
        <v>1003119.56731</v>
      </c>
      <c r="P204" s="46">
        <f t="shared" ca="1" si="10"/>
        <v>1.0021174498549343E-2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input_439100!A$2</f>
        <v>439100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IFERROR(VLOOKUP(B205,input_439100!L:R,7,FALSE),VLOOKUP(tables_439100!C205,input_439100!A:H,8,FALSE))</f>
        <v>3380.4326999999998</v>
      </c>
      <c r="P205" s="46">
        <f t="shared" ca="1" si="10"/>
        <v>3.377055644338102E-5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input_439100!A$2</f>
        <v>439100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IFERROR(VLOOKUP(B206,input_439100!L:R,7,FALSE),VLOOKUP(tables_439100!C206,input_439100!A:H,8,FALSE))</f>
        <v>109427.5</v>
      </c>
      <c r="P206" s="46">
        <f t="shared" ca="1" si="10"/>
        <v>1.0931818181761398E-3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input_439100!A$2</f>
        <v>439100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IFERROR(VLOOKUP(B207,input_439100!L:R,7,FALSE),VLOOKUP(tables_439100!C207,input_439100!A:H,8,FALSE))</f>
        <v>36172.5</v>
      </c>
      <c r="P207" s="46">
        <f t="shared" ca="1" si="10"/>
        <v>3.6136363636175931E-4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input_439100!A$2</f>
        <v>439100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IFERROR(VLOOKUP(B208,input_439100!L:R,7,FALSE),VLOOKUP(tables_439100!C208,input_439100!A:H,8,FALSE))</f>
        <v>109427.5</v>
      </c>
      <c r="P208" s="46">
        <f t="shared" ca="1" si="10"/>
        <v>1.0931818181761398E-3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input_439100!A$2</f>
        <v>439100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IFERROR(VLOOKUP(B209,input_439100!L:R,7,FALSE),VLOOKUP(tables_439100!C209,input_439100!A:H,8,FALSE))</f>
        <v>36172.5</v>
      </c>
      <c r="P209" s="46">
        <f t="shared" ca="1" si="10"/>
        <v>3.6136363636175931E-4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input_439100!A$2</f>
        <v>439100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IFERROR(VLOOKUP(B210,input_439100!L:R,7,FALSE),VLOOKUP(tables_439100!C210,input_439100!A:H,8,FALSE))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input_439100!A$2</f>
        <v>439100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IFERROR(VLOOKUP(B211,input_439100!L:R,7,FALSE),VLOOKUP(tables_439100!C211,input_439100!A:H,8,FALSE))</f>
        <v>1003119.56731</v>
      </c>
      <c r="P211" s="46">
        <f t="shared" ca="1" si="10"/>
        <v>1.0021174498549343E-2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input_439100!A$2</f>
        <v>439100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IFERROR(VLOOKUP(B212,input_439100!L:R,7,FALSE),VLOOKUP(tables_439100!C212,input_439100!A:H,8,FALSE))</f>
        <v>3380.4326999999998</v>
      </c>
      <c r="P212" s="46">
        <f t="shared" ca="1" si="10"/>
        <v>3.377055644338102E-5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input_439100!A$2</f>
        <v>439100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IFERROR(VLOOKUP(B213,input_439100!L:R,7,FALSE),VLOOKUP(tables_439100!C213,input_439100!A:H,8,FALSE))</f>
        <v>109427.5</v>
      </c>
      <c r="P213" s="46">
        <f t="shared" ca="1" si="10"/>
        <v>1.0931818181761398E-3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input_439100!A$2</f>
        <v>439100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IFERROR(VLOOKUP(B214,input_439100!L:R,7,FALSE),VLOOKUP(tables_439100!C214,input_439100!A:H,8,FALSE))</f>
        <v>36172.5</v>
      </c>
      <c r="P214" s="46">
        <f t="shared" ca="1" si="10"/>
        <v>3.6136363636175931E-4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input_439100!A$2</f>
        <v>439100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IFERROR(VLOOKUP(B215,input_439100!L:R,7,FALSE),VLOOKUP(tables_439100!C215,input_439100!A:H,8,FALSE))</f>
        <v>75487.5</v>
      </c>
      <c r="P215" s="46">
        <f t="shared" ca="1" si="10"/>
        <v>7.541208791169619E-4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input_439100!A$2</f>
        <v>439100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IFERROR(VLOOKUP(B216,input_439100!L:R,7,FALSE),VLOOKUP(tables_439100!C216,input_439100!A:H,8,FALSE))</f>
        <v>75487.5</v>
      </c>
      <c r="P216" s="46">
        <f t="shared" ca="1" si="10"/>
        <v>7.541208791169619E-4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input_439100!A$2</f>
        <v>439100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IFERROR(VLOOKUP(B217,input_439100!L:R,7,FALSE),VLOOKUP(tables_439100!C217,input_439100!A:H,8,FALSE))</f>
        <v>75487.5</v>
      </c>
      <c r="P217" s="46">
        <f t="shared" ca="1" si="10"/>
        <v>7.541208791169619E-4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input_439100!A$2</f>
        <v>439100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IFERROR(VLOOKUP(B218,input_439100!L:R,7,FALSE),VLOOKUP(tables_439100!C218,input_439100!A:H,8,FALSE))</f>
        <v>75487.5</v>
      </c>
      <c r="P218" s="46">
        <f t="shared" ca="1" si="10"/>
        <v>7.541208791169619E-4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input_439100!A$2</f>
        <v>439100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IFERROR(VLOOKUP(B219,input_439100!L:R,7,FALSE),VLOOKUP(tables_439100!C219,input_439100!A:H,8,FALSE))</f>
        <v>75487.5</v>
      </c>
      <c r="P219" s="46">
        <f t="shared" ca="1" si="10"/>
        <v>7.541208791169619E-4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input_439100!A$2</f>
        <v>439100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IFERROR(VLOOKUP(B220,input_439100!L:R,7,FALSE),VLOOKUP(tables_439100!C220,input_439100!A:H,8,FALSE))</f>
        <v>75487.5</v>
      </c>
      <c r="P220" s="46">
        <f t="shared" ca="1" si="10"/>
        <v>7.541208791169619E-4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input_439100!A$2</f>
        <v>439100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IFERROR(VLOOKUP(B221,input_439100!L:R,7,FALSE),VLOOKUP(tables_439100!C221,input_439100!A:H,8,FALSE))</f>
        <v>109427.5</v>
      </c>
      <c r="P221" s="46">
        <f t="shared" ca="1" si="10"/>
        <v>1.0931818181761398E-3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input_439100!A$2</f>
        <v>439100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IFERROR(VLOOKUP(B222,input_439100!L:R,7,FALSE),VLOOKUP(tables_439100!C222,input_439100!A:H,8,FALSE))</f>
        <v>36172.5</v>
      </c>
      <c r="P222" s="46">
        <f t="shared" ca="1" si="10"/>
        <v>3.6136363636175931E-4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input_439100!A$2</f>
        <v>439100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IFERROR(VLOOKUP(B223,input_439100!L:R,7,FALSE),VLOOKUP(tables_439100!C223,input_439100!A:H,8,FALSE))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input_439100!A$2</f>
        <v>439100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IFERROR(VLOOKUP(B224,input_439100!L:R,7,FALSE),VLOOKUP(tables_439100!C224,input_439100!A:H,8,FALSE))</f>
        <v>1003119.56731</v>
      </c>
      <c r="P224" s="46">
        <f t="shared" ca="1" si="10"/>
        <v>1.0021174498549343E-2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input_439100!A$2</f>
        <v>439100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IFERROR(VLOOKUP(B225,input_439100!L:R,7,FALSE),VLOOKUP(tables_439100!C225,input_439100!A:H,8,FALSE))</f>
        <v>3380.4326999999998</v>
      </c>
      <c r="P225" s="46">
        <f t="shared" ca="1" si="10"/>
        <v>3.377055644338102E-5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input_439100!A$2</f>
        <v>439100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IFERROR(VLOOKUP(B226,input_439100!L:R,7,FALSE),VLOOKUP(tables_439100!C226,input_439100!A:H,8,FALSE))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input_439100!A$2</f>
        <v>439100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IFERROR(VLOOKUP(B227,input_439100!L:R,7,FALSE),VLOOKUP(tables_439100!C227,input_439100!A:H,8,FALSE))</f>
        <v>1003119.56731</v>
      </c>
      <c r="P227" s="46">
        <f t="shared" ca="1" si="10"/>
        <v>1.0021174498549343E-2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input_439100!A$2</f>
        <v>439100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IFERROR(VLOOKUP(B228,input_439100!L:R,7,FALSE),VLOOKUP(tables_439100!C228,input_439100!A:H,8,FALSE))</f>
        <v>3380.4326999999998</v>
      </c>
      <c r="P228" s="46">
        <f t="shared" ca="1" si="10"/>
        <v>3.377055644338102E-5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input_439100!A$2</f>
        <v>439100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IFERROR(VLOOKUP(B229,input_439100!L:R,7,FALSE),VLOOKUP(tables_439100!C229,input_439100!A:H,8,FALSE))</f>
        <v>109427.5</v>
      </c>
      <c r="P229" s="46">
        <f t="shared" ca="1" si="10"/>
        <v>1.0931818181761398E-3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input_439100!A$2</f>
        <v>439100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IFERROR(VLOOKUP(B230,input_439100!L:R,7,FALSE),VLOOKUP(tables_439100!C230,input_439100!A:H,8,FALSE))</f>
        <v>36172.5</v>
      </c>
      <c r="P230" s="46">
        <f t="shared" ca="1" si="10"/>
        <v>3.6136363636175931E-4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input_439100!A$2</f>
        <v>439100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IFERROR(VLOOKUP(B231,input_439100!L:R,7,FALSE),VLOOKUP(tables_439100!C231,input_439100!A:H,8,FALSE))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input_439100!A$2</f>
        <v>439100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IFERROR(VLOOKUP(B232,input_439100!L:R,7,FALSE),VLOOKUP(tables_439100!C232,input_439100!A:H,8,FALSE))</f>
        <v>1003119.56731</v>
      </c>
      <c r="P232" s="46">
        <f t="shared" ca="1" si="10"/>
        <v>1.0021174498549343E-2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input_439100!A$2</f>
        <v>439100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IFERROR(VLOOKUP(B233,input_439100!L:R,7,FALSE),VLOOKUP(tables_439100!C233,input_439100!A:H,8,FALSE))</f>
        <v>3380.4326999999998</v>
      </c>
      <c r="P233" s="46">
        <f t="shared" ca="1" si="10"/>
        <v>3.377055644338102E-5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input_439100!A$2</f>
        <v>439100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IFERROR(VLOOKUP(B234,input_439100!L:R,7,FALSE),VLOOKUP(tables_439100!C234,input_439100!A:H,8,FALSE))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input_439100!A$2</f>
        <v>439100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IFERROR(VLOOKUP(B235,input_439100!L:R,7,FALSE),VLOOKUP(tables_439100!C235,input_439100!A:H,8,FALSE))</f>
        <v>1003119.56731</v>
      </c>
      <c r="P235" s="46">
        <f t="shared" ca="1" si="10"/>
        <v>1.0021174498549343E-2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input_439100!A$2</f>
        <v>439100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IFERROR(VLOOKUP(B236,input_439100!L:R,7,FALSE),VLOOKUP(tables_439100!C236,input_439100!A:H,8,FALSE))</f>
        <v>3380.4326999999998</v>
      </c>
      <c r="P236" s="46">
        <f t="shared" ca="1" si="10"/>
        <v>3.377055644338102E-5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input_439100!A$2</f>
        <v>439100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IFERROR(VLOOKUP(B237,input_439100!L:R,7,FALSE),VLOOKUP(tables_439100!C237,input_439100!A:H,8,FALSE))</f>
        <v>109427.5</v>
      </c>
      <c r="P237" s="46">
        <f t="shared" ca="1" si="10"/>
        <v>1.0931818181761398E-3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input_439100!A$2</f>
        <v>439100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IFERROR(VLOOKUP(B238,input_439100!L:R,7,FALSE),VLOOKUP(tables_439100!C238,input_439100!A:H,8,FALSE))</f>
        <v>36172.5</v>
      </c>
      <c r="P238" s="46">
        <f t="shared" ca="1" si="10"/>
        <v>3.6136363636175931E-4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input_439100!A$2</f>
        <v>439100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IFERROR(VLOOKUP(B239,input_439100!L:R,7,FALSE),VLOOKUP(tables_439100!C239,input_439100!A:H,8,FALSE))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input_439100!A$2</f>
        <v>439100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IFERROR(VLOOKUP(B240,input_439100!L:R,7,FALSE),VLOOKUP(tables_439100!C240,input_439100!A:H,8,FALSE))</f>
        <v>1003119.56731</v>
      </c>
      <c r="P240" s="46">
        <f t="shared" ca="1" si="10"/>
        <v>1.0021174498549343E-2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input_439100!A$2</f>
        <v>439100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IFERROR(VLOOKUP(B241,input_439100!L:R,7,FALSE),VLOOKUP(tables_439100!C241,input_439100!A:H,8,FALSE))</f>
        <v>3380.4326999999998</v>
      </c>
      <c r="P241" s="46">
        <f t="shared" ca="1" si="10"/>
        <v>3.377055644338102E-5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input_439100!A$2</f>
        <v>439100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IFERROR(VLOOKUP(B242,input_439100!L:R,7,FALSE),VLOOKUP(tables_439100!C242,input_439100!A:H,8,FALSE))</f>
        <v>109427.5</v>
      </c>
      <c r="P242" s="46">
        <f t="shared" ca="1" si="10"/>
        <v>1.0931818181761398E-3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input_439100!A$2</f>
        <v>439100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IFERROR(VLOOKUP(B243,input_439100!L:R,7,FALSE),VLOOKUP(tables_439100!C243,input_439100!A:H,8,FALSE))</f>
        <v>36172.5</v>
      </c>
      <c r="P243" s="46">
        <f t="shared" ca="1" si="10"/>
        <v>3.6136363636175931E-4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input_439100!A$2</f>
        <v>439100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IFERROR(VLOOKUP(B244,input_439100!L:R,7,FALSE),VLOOKUP(tables_439100!C244,input_439100!A:H,8,FALSE))</f>
        <v>109427.5</v>
      </c>
      <c r="P244" s="46">
        <f t="shared" ca="1" si="10"/>
        <v>1.0931818181761398E-3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input_439100!A$2</f>
        <v>439100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IFERROR(VLOOKUP(B245,input_439100!L:R,7,FALSE),VLOOKUP(tables_439100!C245,input_439100!A:H,8,FALSE))</f>
        <v>36172.5</v>
      </c>
      <c r="P245" s="46">
        <f t="shared" ca="1" si="10"/>
        <v>3.6136363636175931E-4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input_439100!A$2</f>
        <v>439100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IFERROR(VLOOKUP(B246,input_439100!L:R,7,FALSE),VLOOKUP(tables_439100!C246,input_439100!A:H,8,FALSE))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input_439100!A$2</f>
        <v>439100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IFERROR(VLOOKUP(B247,input_439100!L:R,7,FALSE),VLOOKUP(tables_439100!C247,input_439100!A:H,8,FALSE))</f>
        <v>1003119.56731</v>
      </c>
      <c r="P247" s="46">
        <f t="shared" ca="1" si="10"/>
        <v>1.0021174498549343E-2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input_439100!A$2</f>
        <v>439100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IFERROR(VLOOKUP(B248,input_439100!L:R,7,FALSE),VLOOKUP(tables_439100!C248,input_439100!A:H,8,FALSE))</f>
        <v>3380.4326999999998</v>
      </c>
      <c r="P248" s="46">
        <f t="shared" ca="1" si="10"/>
        <v>3.377055644338102E-5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input_439100!A$2</f>
        <v>439100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IFERROR(VLOOKUP(B249,input_439100!L:R,7,FALSE),VLOOKUP(tables_439100!C249,input_439100!A:H,8,FALSE))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input_439100!A$2</f>
        <v>439100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IFERROR(VLOOKUP(B250,input_439100!L:R,7,FALSE),VLOOKUP(tables_439100!C250,input_439100!A:H,8,FALSE))</f>
        <v>1003119.56731</v>
      </c>
      <c r="P250" s="46">
        <f t="shared" ca="1" si="10"/>
        <v>1.0021174498549343E-2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input_439100!A$2</f>
        <v>439100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IFERROR(VLOOKUP(B251,input_439100!L:R,7,FALSE),VLOOKUP(tables_439100!C251,input_439100!A:H,8,FALSE))</f>
        <v>3380.4326999999998</v>
      </c>
      <c r="P251" s="46">
        <f t="shared" ca="1" si="10"/>
        <v>3.377055644338102E-5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input_439100!A$2</f>
        <v>439100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IFERROR(VLOOKUP(B252,input_439100!L:R,7,FALSE),VLOOKUP(tables_439100!C252,input_439100!A:H,8,FALSE))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input_439100!A$2</f>
        <v>439100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IFERROR(VLOOKUP(B253,input_439100!L:R,7,FALSE),VLOOKUP(tables_439100!C253,input_439100!A:H,8,FALSE))</f>
        <v>1003119.56731</v>
      </c>
      <c r="P253" s="46">
        <f t="shared" ca="1" si="10"/>
        <v>1.0021174498549343E-2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input_439100!A$2</f>
        <v>439100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IFERROR(VLOOKUP(B254,input_439100!L:R,7,FALSE),VLOOKUP(tables_439100!C254,input_439100!A:H,8,FALSE))</f>
        <v>3380.4326999999998</v>
      </c>
      <c r="P254" s="46">
        <f t="shared" ca="1" si="10"/>
        <v>3.377055644338102E-5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input_439100!A$2</f>
        <v>439100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IFERROR(VLOOKUP(B255,input_439100!L:R,7,FALSE),VLOOKUP(tables_439100!C255,input_439100!A:H,8,FALSE))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input_439100!A$2</f>
        <v>439100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IFERROR(VLOOKUP(B256,input_439100!L:R,7,FALSE),VLOOKUP(tables_439100!C256,input_439100!A:H,8,FALSE))</f>
        <v>1003119.56731</v>
      </c>
      <c r="P256" s="46">
        <f t="shared" ca="1" si="10"/>
        <v>1.0021174498549343E-2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input_439100!A$2</f>
        <v>439100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IFERROR(VLOOKUP(B257,input_439100!L:R,7,FALSE),VLOOKUP(tables_439100!C257,input_439100!A:H,8,FALSE))</f>
        <v>3380.4326999999998</v>
      </c>
      <c r="P257" s="46">
        <f t="shared" ca="1" si="10"/>
        <v>3.377055644338102E-5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input_439100!A$2</f>
        <v>439100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IFERROR(VLOOKUP(B258,input_439100!L:R,7,FALSE),VLOOKUP(tables_439100!C258,input_439100!A:H,8,FALSE))</f>
        <v>109427.5</v>
      </c>
      <c r="P258" s="46">
        <f t="shared" ref="P258:P294" ca="1" si="13">O258/SUM(O:O)</f>
        <v>1.0931818181761398E-3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input_439100!A$2</f>
        <v>439100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IFERROR(VLOOKUP(B259,input_439100!L:R,7,FALSE),VLOOKUP(tables_439100!C259,input_439100!A:H,8,FALSE))</f>
        <v>36172.5</v>
      </c>
      <c r="P259" s="46">
        <f t="shared" ca="1" si="13"/>
        <v>3.6136363636175931E-4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input_439100!A$2</f>
        <v>439100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IFERROR(VLOOKUP(B260,input_439100!L:R,7,FALSE),VLOOKUP(tables_439100!C260,input_439100!A:H,8,FALSE))</f>
        <v>109427.5</v>
      </c>
      <c r="P260" s="46">
        <f t="shared" ca="1" si="13"/>
        <v>1.0931818181761398E-3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input_439100!A$2</f>
        <v>439100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IFERROR(VLOOKUP(B261,input_439100!L:R,7,FALSE),VLOOKUP(tables_439100!C261,input_439100!A:H,8,FALSE))</f>
        <v>36172.5</v>
      </c>
      <c r="P261" s="46">
        <f t="shared" ca="1" si="13"/>
        <v>3.6136363636175931E-4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input_439100!A$2</f>
        <v>439100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IFERROR(VLOOKUP(B262,input_439100!L:R,7,FALSE),VLOOKUP(tables_439100!C262,input_439100!A:H,8,FALSE))</f>
        <v>900817.5</v>
      </c>
      <c r="P262" s="46">
        <f t="shared" ca="1" si="13"/>
        <v>8.9991758241290791E-3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input_439100!A$2</f>
        <v>439100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IFERROR(VLOOKUP(B263,input_439100!L:R,7,FALSE),VLOOKUP(tables_439100!C263,input_439100!A:H,8,FALSE))</f>
        <v>75487.5</v>
      </c>
      <c r="P263" s="46">
        <f t="shared" ca="1" si="13"/>
        <v>7.541208791169619E-4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input_439100!A$2</f>
        <v>439100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IFERROR(VLOOKUP(B264,input_439100!L:R,7,FALSE),VLOOKUP(tables_439100!C264,input_439100!A:H,8,FALSE))</f>
        <v>900817.5</v>
      </c>
      <c r="P264" s="46">
        <f t="shared" ca="1" si="13"/>
        <v>8.9991758241290791E-3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input_439100!A$2</f>
        <v>439100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IFERROR(VLOOKUP(B265,input_439100!L:R,7,FALSE),VLOOKUP(tables_439100!C265,input_439100!A:H,8,FALSE))</f>
        <v>75487.5</v>
      </c>
      <c r="P265" s="46">
        <f t="shared" ca="1" si="13"/>
        <v>7.541208791169619E-4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input_439100!A$2</f>
        <v>439100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IFERROR(VLOOKUP(B266,input_439100!L:R,7,FALSE),VLOOKUP(tables_439100!C266,input_439100!A:H,8,FALSE))</f>
        <v>118300</v>
      </c>
      <c r="P266" s="46">
        <f t="shared" ca="1" si="13"/>
        <v>1.1818181818120429E-3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input_439100!A$2</f>
        <v>439100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IFERROR(VLOOKUP(B267,input_439100!L:R,7,FALSE),VLOOKUP(tables_439100!C267,input_439100!A:H,8,FALSE))</f>
        <v>118300</v>
      </c>
      <c r="P267" s="46">
        <f t="shared" ca="1" si="13"/>
        <v>1.1818181818120429E-3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input_439100!A$2</f>
        <v>439100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IFERROR(VLOOKUP(B268,input_439100!L:R,7,FALSE),VLOOKUP(tables_439100!C268,input_439100!A:H,8,FALSE))</f>
        <v>118300</v>
      </c>
      <c r="P268" s="46">
        <f t="shared" ca="1" si="13"/>
        <v>1.1818181818120429E-3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input_439100!A$2</f>
        <v>439100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IFERROR(VLOOKUP(B269,input_439100!L:R,7,FALSE),VLOOKUP(tables_439100!C269,input_439100!A:H,8,FALSE))</f>
        <v>118300</v>
      </c>
      <c r="P269" s="46">
        <f t="shared" ca="1" si="13"/>
        <v>1.1818181818120429E-3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input_439100!A$2</f>
        <v>439100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IFERROR(VLOOKUP(B270,input_439100!L:R,7,FALSE),VLOOKUP(tables_439100!C270,input_439100!A:H,8,FALSE))</f>
        <v>900817.5</v>
      </c>
      <c r="P270" s="46">
        <f t="shared" ca="1" si="13"/>
        <v>8.9991758241290791E-3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input_439100!A$2</f>
        <v>439100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IFERROR(VLOOKUP(B271,input_439100!L:R,7,FALSE),VLOOKUP(tables_439100!C271,input_439100!A:H,8,FALSE))</f>
        <v>75487.5</v>
      </c>
      <c r="P271" s="46">
        <f t="shared" ca="1" si="13"/>
        <v>7.541208791169619E-4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input_439100!A$2</f>
        <v>439100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IFERROR(VLOOKUP(B272,input_439100!L:R,7,FALSE),VLOOKUP(tables_439100!C272,input_439100!A:H,8,FALSE))</f>
        <v>900817.5</v>
      </c>
      <c r="P272" s="46">
        <f t="shared" ca="1" si="13"/>
        <v>8.9991758241290791E-3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input_439100!A$2</f>
        <v>439100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IFERROR(VLOOKUP(B273,input_439100!L:R,7,FALSE),VLOOKUP(tables_439100!C273,input_439100!A:H,8,FALSE))</f>
        <v>75487.5</v>
      </c>
      <c r="P273" s="46">
        <f t="shared" ca="1" si="13"/>
        <v>7.541208791169619E-4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input_439100!A$2</f>
        <v>439100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IFERROR(VLOOKUP(B274,input_439100!L:R,7,FALSE),VLOOKUP(tables_439100!C274,input_439100!A:H,8,FALSE))</f>
        <v>109427.5</v>
      </c>
      <c r="P274" s="46">
        <f t="shared" ca="1" si="13"/>
        <v>1.0931818181761398E-3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input_439100!A$2</f>
        <v>439100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IFERROR(VLOOKUP(B275,input_439100!L:R,7,FALSE),VLOOKUP(tables_439100!C275,input_439100!A:H,8,FALSE))</f>
        <v>36172.5</v>
      </c>
      <c r="P275" s="46">
        <f t="shared" ca="1" si="13"/>
        <v>3.6136363636175931E-4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input_439100!A$2</f>
        <v>439100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IFERROR(VLOOKUP(B276,input_439100!L:R,7,FALSE),VLOOKUP(tables_439100!C276,input_439100!A:H,8,FALSE))</f>
        <v>109427.5</v>
      </c>
      <c r="P276" s="46">
        <f t="shared" ca="1" si="13"/>
        <v>1.0931818181761398E-3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input_439100!A$2</f>
        <v>439100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IFERROR(VLOOKUP(B277,input_439100!L:R,7,FALSE),VLOOKUP(tables_439100!C277,input_439100!A:H,8,FALSE))</f>
        <v>36172.5</v>
      </c>
      <c r="P277" s="46">
        <f t="shared" ca="1" si="13"/>
        <v>3.6136363636175931E-4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input_439100!A$2</f>
        <v>439100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IFERROR(VLOOKUP(B278,input_439100!L:R,7,FALSE),VLOOKUP(tables_439100!C278,input_439100!A:H,8,FALSE))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input_439100!A$2</f>
        <v>439100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IFERROR(VLOOKUP(B279,input_439100!L:R,7,FALSE),VLOOKUP(tables_439100!C279,input_439100!A:H,8,FALSE))</f>
        <v>1003119.56731</v>
      </c>
      <c r="P279" s="46">
        <f t="shared" ca="1" si="13"/>
        <v>1.0021174498549343E-2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input_439100!A$2</f>
        <v>439100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IFERROR(VLOOKUP(B280,input_439100!L:R,7,FALSE),VLOOKUP(tables_439100!C280,input_439100!A:H,8,FALSE))</f>
        <v>3380.4326999999998</v>
      </c>
      <c r="P280" s="46">
        <f t="shared" ca="1" si="13"/>
        <v>3.377055644338102E-5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input_439100!A$2</f>
        <v>439100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IFERROR(VLOOKUP(B281,input_439100!L:R,7,FALSE),VLOOKUP(tables_439100!C281,input_439100!A:H,8,FALSE))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input_439100!A$2</f>
        <v>439100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IFERROR(VLOOKUP(B282,input_439100!L:R,7,FALSE),VLOOKUP(tables_439100!C282,input_439100!A:H,8,FALSE))</f>
        <v>1003119.56731</v>
      </c>
      <c r="P282" s="46">
        <f t="shared" ca="1" si="13"/>
        <v>1.0021174498549343E-2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input_439100!A$2</f>
        <v>439100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IFERROR(VLOOKUP(B283,input_439100!L:R,7,FALSE),VLOOKUP(tables_439100!C283,input_439100!A:H,8,FALSE))</f>
        <v>3380.4326999999998</v>
      </c>
      <c r="P283" s="46">
        <f t="shared" ca="1" si="13"/>
        <v>3.377055644338102E-5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input_439100!A$2</f>
        <v>439100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IFERROR(VLOOKUP(B284,input_439100!L:R,7,FALSE),VLOOKUP(tables_439100!C284,input_439100!A:H,8,FALSE))</f>
        <v>118300</v>
      </c>
      <c r="P284" s="46">
        <f t="shared" ca="1" si="13"/>
        <v>1.1818181818120429E-3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input_439100!A$2</f>
        <v>439100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IFERROR(VLOOKUP(B285,input_439100!L:R,7,FALSE),VLOOKUP(tables_439100!C285,input_439100!A:H,8,FALSE))</f>
        <v>118300</v>
      </c>
      <c r="P285" s="46">
        <f t="shared" ca="1" si="13"/>
        <v>1.1818181818120429E-3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input_439100!A$2</f>
        <v>439100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IFERROR(VLOOKUP(B286,input_439100!L:R,7,FALSE),VLOOKUP(tables_439100!C286,input_439100!A:H,8,FALSE))</f>
        <v>900817.5</v>
      </c>
      <c r="P286" s="46">
        <f t="shared" ca="1" si="13"/>
        <v>8.9991758241290791E-3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input_439100!A$2</f>
        <v>439100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IFERROR(VLOOKUP(B287,input_439100!L:R,7,FALSE),VLOOKUP(tables_439100!C287,input_439100!A:H,8,FALSE))</f>
        <v>75487.5</v>
      </c>
      <c r="P287" s="46">
        <f t="shared" ca="1" si="13"/>
        <v>7.541208791169619E-4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input_439100!A$2</f>
        <v>439100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IFERROR(VLOOKUP(B288,input_439100!L:R,7,FALSE),VLOOKUP(tables_439100!C288,input_439100!A:H,8,FALSE))</f>
        <v>900817.5</v>
      </c>
      <c r="P288" s="46">
        <f t="shared" ca="1" si="13"/>
        <v>8.9991758241290791E-3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input_439100!A$2</f>
        <v>439100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IFERROR(VLOOKUP(B289,input_439100!L:R,7,FALSE),VLOOKUP(tables_439100!C289,input_439100!A:H,8,FALSE))</f>
        <v>75487.5</v>
      </c>
      <c r="P289" s="46">
        <f t="shared" ca="1" si="13"/>
        <v>7.541208791169619E-4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input_439100!A$2</f>
        <v>439100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IFERROR(VLOOKUP(B290,input_439100!L:R,7,FALSE),VLOOKUP(tables_439100!C290,input_439100!A:H,8,FALSE))</f>
        <v>900817.5</v>
      </c>
      <c r="P290" s="46">
        <f t="shared" ca="1" si="13"/>
        <v>8.9991758241290791E-3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input_439100!A$2</f>
        <v>439100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IFERROR(VLOOKUP(B291,input_439100!L:R,7,FALSE),VLOOKUP(tables_439100!C291,input_439100!A:H,8,FALSE))</f>
        <v>75487.5</v>
      </c>
      <c r="P291" s="46">
        <f t="shared" ca="1" si="13"/>
        <v>7.541208791169619E-4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input_439100!A$2</f>
        <v>439100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IFERROR(VLOOKUP(B292,input_439100!L:R,7,FALSE),VLOOKUP(tables_439100!C292,input_439100!A:H,8,FALSE))</f>
        <v>900817.5</v>
      </c>
      <c r="P292" s="46">
        <f t="shared" ca="1" si="13"/>
        <v>8.9991758241290791E-3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input_439100!A$2</f>
        <v>439100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IFERROR(VLOOKUP(B293,input_439100!L:R,7,FALSE),VLOOKUP(tables_439100!C293,input_439100!A:H,8,FALSE))</f>
        <v>75487.5</v>
      </c>
      <c r="P293" s="46">
        <f t="shared" ca="1" si="13"/>
        <v>7.541208791169619E-4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input_439100!A$2</f>
        <v>439100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IFERROR(VLOOKUP(B294,input_439100!L:R,7,FALSE),VLOOKUP(tables_439100!C294,input_439100!A:H,8,FALSE))</f>
        <v>118300</v>
      </c>
      <c r="P294" s="46">
        <f t="shared" ca="1" si="13"/>
        <v>1.1818181818120429E-3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input_439100!A$2</f>
        <v>439100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IFERROR(VLOOKUP(B295,input_439100!L:R,7,FALSE),VLOOKUP(tables_439100!C295,input_439100!A:H,8,FALSE))</f>
        <v>118300</v>
      </c>
      <c r="P295" s="46">
        <f t="shared" ref="P295:P299" ca="1" si="20">O295/SUM(O:O)</f>
        <v>1.1818181818120429E-3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input_439100!A$2</f>
        <v>439100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IFERROR(VLOOKUP(B296,input_439100!L:R,7,FALSE),VLOOKUP(tables_439100!C296,input_439100!A:H,8,FALSE))</f>
        <v>118300</v>
      </c>
      <c r="P296" s="46">
        <f t="shared" ca="1" si="20"/>
        <v>1.1818181818120429E-3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input_439100!A$2</f>
        <v>439100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IFERROR(VLOOKUP(B297,input_439100!L:R,7,FALSE),VLOOKUP(tables_439100!C297,input_439100!A:H,8,FALSE))</f>
        <v>900817.5</v>
      </c>
      <c r="P297" s="46">
        <f t="shared" ca="1" si="20"/>
        <v>8.9991758241290791E-3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input_439100!A$2</f>
        <v>439100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IFERROR(VLOOKUP(B298,input_439100!L:R,7,FALSE),VLOOKUP(tables_439100!C298,input_439100!A:H,8,FALSE))</f>
        <v>75487.5</v>
      </c>
      <c r="P298" s="46">
        <f t="shared" ca="1" si="20"/>
        <v>7.541208791169619E-4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input_439100!A$2</f>
        <v>439100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IFERROR(VLOOKUP(B299,input_439100!L:R,7,FALSE),VLOOKUP(tables_439100!C299,input_439100!A:H,8,FALSE))</f>
        <v>118300</v>
      </c>
      <c r="P299" s="46">
        <f t="shared" ca="1" si="20"/>
        <v>1.1818181818120429E-3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input_439100!A$2</f>
        <v>439100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IFERROR(VLOOKUP(B300,input_439100!L:R,7,FALSE),VLOOKUP(tables_439100!C300,input_439100!A:H,8,FALSE))</f>
        <v>118300</v>
      </c>
      <c r="P300" s="46">
        <f t="shared" ref="P300:P304" ca="1" si="22">O300/SUM(O:O)</f>
        <v>1.1818181818120429E-3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input_439100!A$2</f>
        <v>439100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IFERROR(VLOOKUP(B301,input_439100!L:R,7,FALSE),VLOOKUP(tables_439100!C301,input_439100!A:H,8,FALSE))</f>
        <v>118300</v>
      </c>
      <c r="P301" s="46">
        <f t="shared" ca="1" si="22"/>
        <v>1.1818181818120429E-3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input_439100!A$2</f>
        <v>439100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IFERROR(VLOOKUP(B302,input_439100!L:R,7,FALSE),VLOOKUP(tables_439100!C302,input_439100!A:H,8,FALSE))</f>
        <v>118300</v>
      </c>
      <c r="P302" s="46">
        <f t="shared" ca="1" si="22"/>
        <v>1.1818181818120429E-3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input_439100!A$2</f>
        <v>439100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IFERROR(VLOOKUP(B303,input_439100!L:R,7,FALSE),VLOOKUP(tables_439100!C303,input_439100!A:H,8,FALSE))</f>
        <v>900817.5</v>
      </c>
      <c r="P303" s="46">
        <f t="shared" ca="1" si="22"/>
        <v>8.9991758241290791E-3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input_439100!A$2</f>
        <v>439100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IFERROR(VLOOKUP(B304,input_439100!L:R,7,FALSE),VLOOKUP(tables_439100!C304,input_439100!A:H,8,FALSE))</f>
        <v>75487.5</v>
      </c>
      <c r="P304" s="46">
        <f t="shared" ca="1" si="22"/>
        <v>7.541208791169619E-4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input_439100!A$2</f>
        <v>439100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IFERROR(VLOOKUP(B305,input_439100!L:R,7,FALSE),VLOOKUP(tables_439100!C305,input_439100!A:H,8,FALSE))</f>
        <v>118300</v>
      </c>
      <c r="P305" s="46">
        <f t="shared" ref="P305:P308" ca="1" si="24">O305/SUM(O:O)</f>
        <v>1.1818181818120429E-3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input_439100!A$2</f>
        <v>439100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IFERROR(VLOOKUP(B306,input_439100!L:R,7,FALSE),VLOOKUP(tables_439100!C306,input_439100!A:H,8,FALSE))</f>
        <v>900817.5</v>
      </c>
      <c r="P306" s="46">
        <f t="shared" ca="1" si="24"/>
        <v>8.9991758241290791E-3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input_439100!A$2</f>
        <v>439100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IFERROR(VLOOKUP(B307,input_439100!L:R,7,FALSE),VLOOKUP(tables_439100!C307,input_439100!A:H,8,FALSE))</f>
        <v>75487.5</v>
      </c>
      <c r="P307" s="46">
        <f t="shared" ca="1" si="24"/>
        <v>7.541208791169619E-4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input_439100!A$2</f>
        <v>439100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IFERROR(VLOOKUP(B308,input_439100!L:R,7,FALSE),VLOOKUP(tables_439100!C308,input_439100!A:H,8,FALSE))</f>
        <v>118300</v>
      </c>
      <c r="P308" s="46">
        <f t="shared" ca="1" si="24"/>
        <v>1.1818181818120429E-3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input_439100!A$2</f>
        <v>439100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IFERROR(VLOOKUP(B309,input_439100!L:R,7,FALSE),VLOOKUP(tables_439100!C309,input_439100!A:H,8,FALSE))</f>
        <v>118300</v>
      </c>
      <c r="P309" s="46">
        <f t="shared" ref="P309" ca="1" si="26">O309/SUM(O:O)</f>
        <v>1.1818181818120429E-3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input_439100!A$2</f>
        <v>439100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IFERROR(VLOOKUP(B310,input_439100!L:R,7,FALSE),VLOOKUP(tables_439100!C310,input_439100!A:H,8,FALSE))</f>
        <v>118300</v>
      </c>
      <c r="P310" s="46">
        <f t="shared" ref="P310:P314" ca="1" si="28">O310/SUM(O:O)</f>
        <v>1.1818181818120429E-3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input_439100!A$2</f>
        <v>439100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IFERROR(VLOOKUP(B311,input_439100!L:R,7,FALSE),VLOOKUP(tables_439100!C311,input_439100!A:H,8,FALSE))</f>
        <v>900817.5</v>
      </c>
      <c r="P311" s="46">
        <f t="shared" ca="1" si="28"/>
        <v>8.9991758241290791E-3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input_439100!A$2</f>
        <v>439100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IFERROR(VLOOKUP(B312,input_439100!L:R,7,FALSE),VLOOKUP(tables_439100!C312,input_439100!A:H,8,FALSE))</f>
        <v>75487.5</v>
      </c>
      <c r="P312" s="46">
        <f t="shared" ca="1" si="28"/>
        <v>7.541208791169619E-4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input_439100!A$2</f>
        <v>439100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IFERROR(VLOOKUP(B313,input_439100!L:R,7,FALSE),VLOOKUP(tables_439100!C313,input_439100!A:H,8,FALSE))</f>
        <v>118300</v>
      </c>
      <c r="P313" s="46">
        <f t="shared" ca="1" si="28"/>
        <v>1.1818181818120429E-3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input_439100!A$2</f>
        <v>439100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IFERROR(VLOOKUP(B314,input_439100!L:R,7,FALSE),VLOOKUP(tables_439100!C314,input_439100!A:H,8,FALSE))</f>
        <v>118300</v>
      </c>
      <c r="P314" s="46">
        <f t="shared" ca="1" si="28"/>
        <v>1.1818181818120429E-3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input_439100!A$2</f>
        <v>439100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IFERROR(VLOOKUP(B315,input_439100!L:R,7,FALSE),VLOOKUP(tables_439100!C315,input_439100!A:H,8,FALSE))</f>
        <v>118300</v>
      </c>
      <c r="P315" s="46">
        <f t="shared" ref="P315:P319" ca="1" si="30">O315/SUM(O:O)</f>
        <v>1.1818181818120429E-3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input_439100!A$2</f>
        <v>439100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IFERROR(VLOOKUP(B316,input_439100!L:R,7,FALSE),VLOOKUP(tables_439100!C316,input_439100!A:H,8,FALSE))</f>
        <v>118300</v>
      </c>
      <c r="P316" s="46">
        <f t="shared" ca="1" si="30"/>
        <v>1.1818181818120429E-3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input_439100!A$2</f>
        <v>439100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IFERROR(VLOOKUP(B317,input_439100!L:R,7,FALSE),VLOOKUP(tables_439100!C317,input_439100!A:H,8,FALSE))</f>
        <v>118300</v>
      </c>
      <c r="P317" s="46">
        <f t="shared" ca="1" si="30"/>
        <v>1.1818181818120429E-3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input_439100!A$2</f>
        <v>439100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IFERROR(VLOOKUP(B318,input_439100!L:R,7,FALSE),VLOOKUP(tables_439100!C318,input_439100!A:H,8,FALSE))</f>
        <v>900817.5</v>
      </c>
      <c r="P318" s="46">
        <f t="shared" ca="1" si="30"/>
        <v>8.9991758241290791E-3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input_439100!A$2</f>
        <v>439100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IFERROR(VLOOKUP(B319,input_439100!L:R,7,FALSE),VLOOKUP(tables_439100!C319,input_439100!A:H,8,FALSE))</f>
        <v>75487.5</v>
      </c>
      <c r="P319" s="46">
        <f t="shared" ca="1" si="30"/>
        <v>7.541208791169619E-4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input_439100!A$2</f>
        <v>439100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IFERROR(VLOOKUP(B320,input_439100!L:R,7,FALSE),VLOOKUP(tables_439100!C320,input_439100!A:H,8,FALSE))</f>
        <v>118300</v>
      </c>
      <c r="P320" s="46">
        <f t="shared" ref="P320:P324" ca="1" si="32">O320/SUM(O:O)</f>
        <v>1.1818181818120429E-3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input_439100!A$2</f>
        <v>439100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IFERROR(VLOOKUP(B321,input_439100!L:R,7,FALSE),VLOOKUP(tables_439100!C321,input_439100!A:H,8,FALSE))</f>
        <v>118300</v>
      </c>
      <c r="P321" s="46">
        <f t="shared" ca="1" si="32"/>
        <v>1.1818181818120429E-3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input_439100!A$2</f>
        <v>439100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IFERROR(VLOOKUP(B322,input_439100!L:R,7,FALSE),VLOOKUP(tables_439100!C322,input_439100!A:H,8,FALSE))</f>
        <v>118300</v>
      </c>
      <c r="P322" s="46">
        <f t="shared" ca="1" si="32"/>
        <v>1.1818181818120429E-3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input_439100!A$2</f>
        <v>439100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IFERROR(VLOOKUP(B323,input_439100!L:R,7,FALSE),VLOOKUP(tables_439100!C323,input_439100!A:H,8,FALSE))</f>
        <v>118300</v>
      </c>
      <c r="P323" s="46">
        <f t="shared" ca="1" si="32"/>
        <v>1.1818181818120429E-3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input_439100!A$2</f>
        <v>439100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IFERROR(VLOOKUP(B324,input_439100!L:R,7,FALSE),VLOOKUP(tables_439100!C324,input_439100!A:H,8,FALSE))</f>
        <v>900817.5</v>
      </c>
      <c r="P324" s="46">
        <f t="shared" ca="1" si="32"/>
        <v>8.9991758241290791E-3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input_439100!A$2</f>
        <v>439100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IFERROR(VLOOKUP(B325,input_439100!L:R,7,FALSE),VLOOKUP(tables_439100!C325,input_439100!A:H,8,FALSE))</f>
        <v>75487.5</v>
      </c>
      <c r="P325" s="46">
        <f t="shared" ref="P325:P330" ca="1" si="35">O325/SUM(O:O)</f>
        <v>7.541208791169619E-4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input_439100!A$2</f>
        <v>439100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IFERROR(VLOOKUP(B326,input_439100!L:R,7,FALSE),VLOOKUP(tables_439100!C326,input_439100!A:H,8,FALSE))</f>
        <v>900817.5</v>
      </c>
      <c r="P326" s="46">
        <f t="shared" ca="1" si="35"/>
        <v>8.9991758241290791E-3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input_439100!A$2</f>
        <v>439100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IFERROR(VLOOKUP(B327,input_439100!L:R,7,FALSE),VLOOKUP(tables_439100!C327,input_439100!A:H,8,FALSE))</f>
        <v>75487.5</v>
      </c>
      <c r="P327" s="46">
        <f t="shared" ca="1" si="35"/>
        <v>7.541208791169619E-4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input_439100!A$2</f>
        <v>439100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IFERROR(VLOOKUP(B328,input_439100!L:R,7,FALSE),VLOOKUP(tables_439100!C328,input_439100!A:H,8,FALSE))</f>
        <v>118300</v>
      </c>
      <c r="P328" s="46">
        <f t="shared" ca="1" si="35"/>
        <v>1.1818181818120429E-3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input_439100!A$2</f>
        <v>439100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IFERROR(VLOOKUP(B329,input_439100!L:R,7,FALSE),VLOOKUP(tables_439100!C329,input_439100!A:H,8,FALSE))</f>
        <v>118300</v>
      </c>
      <c r="P329" s="46">
        <f t="shared" ca="1" si="35"/>
        <v>1.1818181818120429E-3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input_439100!A$2</f>
        <v>439100</v>
      </c>
      <c r="B330" s="2">
        <v>1157</v>
      </c>
      <c r="C330" s="7" t="str">
        <f t="shared" si="34"/>
        <v>PremiumSS5R5only</v>
      </c>
      <c r="D330" s="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IFERROR(VLOOKUP(B330,input_439100!L:R,7,FALSE),VLOOKUP(tables_439100!C330,input_439100!A:H,8,FALSE))</f>
        <v>118300</v>
      </c>
      <c r="P330" s="46">
        <f t="shared" ca="1" si="35"/>
        <v>1.1818181818120429E-3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input_439100!A$2</f>
        <v>439100</v>
      </c>
      <c r="B331" s="60">
        <v>1159</v>
      </c>
      <c r="C331" s="7" t="str">
        <f t="shared" ref="C331:C332" si="36">D331&amp;J331&amp;E331&amp;F331&amp;G331</f>
        <v>PremiumSSS5R3less</v>
      </c>
      <c r="D331" s="7" t="str">
        <f t="shared" ref="D331:D332" si="37">IF(OR(I331="PremiumSS",I331="PremiumSSw"),"PremiumSS",IF(I331="PremiumSSS",I331,IF(I331="PremiumW",IF(J331=5,"premium",I331),"Premium")))</f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ガロア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green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>IFERROR(VLOOKUP(B331,input_439100!L:R,7,FALSE),VLOOKUP(tables_439100!C331,input_439100!A:H,8,FALSE))</f>
        <v>500500</v>
      </c>
      <c r="P331" s="46">
        <f t="shared" ref="P331:P332" ca="1" si="38">O331/SUM(O:O)</f>
        <v>4.9999999999740278E-3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input_439100!A$2</f>
        <v>439100</v>
      </c>
      <c r="B332" s="60">
        <v>760</v>
      </c>
      <c r="C332" s="7" t="str">
        <f t="shared" si="36"/>
        <v>PremiumSSS5R3less</v>
      </c>
      <c r="D332" s="7" t="str">
        <f t="shared" si="37"/>
        <v>PremiumSSS</v>
      </c>
      <c r="E332" s="7" t="str">
        <f>IF(COUNTIF('R6追加前'!A:A,B332)=0,IF(OR(I332="PremiumSS",I332="PremiumSSw"),"R5only","R3less"),"")</f>
        <v>R3less</v>
      </c>
      <c r="F332" s="7" t="str">
        <f>IF(COUNTIF('R6開放'!A:A,B332)&gt;0,"R6release","")</f>
        <v/>
      </c>
      <c r="G332" s="7"/>
      <c r="H332" s="7" t="str">
        <f>VLOOKUP(B332,[1]characters!$A:$C,3,FALSE)</f>
        <v>限論顕現 クロネッカー</v>
      </c>
      <c r="I332" s="7" t="str">
        <f>VLOOKUP(B332,[1]characters!$A:$J,10,FALSE)</f>
        <v>PremiumSSS</v>
      </c>
      <c r="J332" s="7">
        <f>VLOOKUP(B332,[1]characters!$A:$I,9,FALSE)</f>
        <v>5</v>
      </c>
      <c r="K332" s="7" t="str">
        <f>VLOOKUP(B332,[1]characters!$A:$H,8,FALSE)</f>
        <v>yellow</v>
      </c>
      <c r="L332" s="7" t="str">
        <f>VLOOKUP(B332,[1]characters!$A:$K,11,FALSE)</f>
        <v>balance</v>
      </c>
      <c r="M332" s="7" t="str">
        <f>VLOOKUP(B332,[1]characters!$A:$M,13,FALSE)</f>
        <v>human</v>
      </c>
      <c r="N332" s="7" t="str">
        <f>VLOOKUP(B332,[1]characters!$A:$G,7,FALSE)</f>
        <v>男性</v>
      </c>
      <c r="O332" s="45">
        <f>IFERROR(VLOOKUP(B332,input_439100!L:R,7,FALSE),VLOOKUP(tables_439100!C332,input_439100!A:H,8,FALSE))</f>
        <v>500500</v>
      </c>
      <c r="P332" s="46">
        <f t="shared" ca="1" si="38"/>
        <v>4.9999999999740278E-3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7"/>
  <sheetViews>
    <sheetView showGridLines="0" tabSelected="1" zoomScale="75" zoomScaleNormal="75" zoomScalePageLayoutView="75" workbookViewId="0">
      <pane ySplit="1" topLeftCell="A111" activePane="bottomLeft" state="frozen"/>
      <selection activeCell="D34" sqref="D34"/>
      <selection pane="bottomLeft" activeCell="N140" sqref="N1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input_439100!A$2</f>
        <v>439100</v>
      </c>
      <c r="B2" s="5">
        <v>168</v>
      </c>
      <c r="C2" s="7" t="str">
        <f t="shared" ref="C2:C6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2">
        <v>3477</v>
      </c>
      <c r="P2" s="46">
        <f t="shared" ref="P2:P33" si="1">O2/SUM(O:O)</f>
        <v>1.1883116883116883E-2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input_439100!A$2</f>
        <v>439100</v>
      </c>
      <c r="B3" s="5">
        <v>171</v>
      </c>
      <c r="C3" s="7" t="str">
        <f t="shared" si="0"/>
        <v>Premium5R6release</v>
      </c>
      <c r="D3" s="7" t="str">
        <f t="shared" ref="D3:D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2">
        <v>3477</v>
      </c>
      <c r="P3" s="46">
        <f t="shared" si="1"/>
        <v>1.1883116883116883E-2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input_439100!A$2</f>
        <v>439100</v>
      </c>
      <c r="B4" s="5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2">
        <v>3477</v>
      </c>
      <c r="P4" s="46">
        <f t="shared" si="1"/>
        <v>1.1883116883116883E-2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input_439100!A$2</f>
        <v>439100</v>
      </c>
      <c r="B5" s="5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2">
        <v>3477</v>
      </c>
      <c r="P5" s="46">
        <f t="shared" si="1"/>
        <v>1.1883116883116883E-2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input_439100!A$2</f>
        <v>439100</v>
      </c>
      <c r="B6" s="5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2">
        <v>3477</v>
      </c>
      <c r="P6" s="46">
        <f t="shared" si="1"/>
        <v>1.1883116883116883E-2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input_439100!A$2</f>
        <v>439100</v>
      </c>
      <c r="B7" s="2">
        <v>183</v>
      </c>
      <c r="C7" s="7" t="str">
        <f t="shared" ref="C7:C69" si="3">D7&amp;J7&amp;E7&amp;F7&amp;G7</f>
        <v>Premium5</v>
      </c>
      <c r="D7" s="7" t="str">
        <f t="shared" ref="D7:D69" si="4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2">
        <v>3477</v>
      </c>
      <c r="P7" s="46">
        <f t="shared" si="1"/>
        <v>1.1883116883116883E-2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input_439100!A$2</f>
        <v>439100</v>
      </c>
      <c r="B8" s="2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2">
        <v>3477</v>
      </c>
      <c r="P8" s="46">
        <f t="shared" si="1"/>
        <v>1.1883116883116883E-2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input_439100!A$2</f>
        <v>439100</v>
      </c>
      <c r="B9" s="2">
        <v>189</v>
      </c>
      <c r="C9" s="7" t="str">
        <f t="shared" si="3"/>
        <v>Premium5</v>
      </c>
      <c r="D9" s="7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2">
        <v>3477</v>
      </c>
      <c r="P9" s="46">
        <f t="shared" si="1"/>
        <v>1.1883116883116883E-2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input_439100!A$2</f>
        <v>439100</v>
      </c>
      <c r="B10" s="2">
        <v>192</v>
      </c>
      <c r="C10" s="7" t="str">
        <f t="shared" si="3"/>
        <v>Premium5</v>
      </c>
      <c r="D10" s="7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2">
        <v>3477</v>
      </c>
      <c r="P10" s="46">
        <f t="shared" si="1"/>
        <v>1.1883116883116883E-2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input_439100!A$2</f>
        <v>439100</v>
      </c>
      <c r="B11" s="2">
        <v>195</v>
      </c>
      <c r="C11" s="7" t="str">
        <f t="shared" si="3"/>
        <v>Premium5</v>
      </c>
      <c r="D11" s="7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2">
        <v>3477</v>
      </c>
      <c r="P11" s="46">
        <f t="shared" si="1"/>
        <v>1.1883116883116883E-2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input_439100!A$2</f>
        <v>439100</v>
      </c>
      <c r="B12" s="2">
        <v>198</v>
      </c>
      <c r="C12" s="7" t="str">
        <f t="shared" si="3"/>
        <v>Premium5</v>
      </c>
      <c r="D12" s="7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2">
        <v>3477</v>
      </c>
      <c r="P12" s="46">
        <f t="shared" si="1"/>
        <v>1.1883116883116883E-2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input_439100!A$2</f>
        <v>439100</v>
      </c>
      <c r="B13" s="2">
        <v>201</v>
      </c>
      <c r="C13" s="7" t="str">
        <f t="shared" si="3"/>
        <v>Premium5</v>
      </c>
      <c r="D13" s="7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2">
        <v>3477</v>
      </c>
      <c r="P13" s="46">
        <f t="shared" si="1"/>
        <v>1.1883116883116883E-2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input_439100!A$2</f>
        <v>439100</v>
      </c>
      <c r="B14" s="2">
        <v>204</v>
      </c>
      <c r="C14" s="7" t="str">
        <f t="shared" si="3"/>
        <v>Premium5</v>
      </c>
      <c r="D14" s="7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2">
        <v>3477</v>
      </c>
      <c r="P14" s="46">
        <f t="shared" si="1"/>
        <v>1.1883116883116883E-2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input_439100!A$2</f>
        <v>439100</v>
      </c>
      <c r="B15" s="2">
        <v>207</v>
      </c>
      <c r="C15" s="7" t="str">
        <f t="shared" si="3"/>
        <v>Premium5</v>
      </c>
      <c r="D15" s="7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2">
        <v>3477</v>
      </c>
      <c r="P15" s="46">
        <f t="shared" si="1"/>
        <v>1.1883116883116883E-2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input_439100!A$2</f>
        <v>439100</v>
      </c>
      <c r="B16" s="2">
        <v>210</v>
      </c>
      <c r="C16" s="7" t="str">
        <f t="shared" si="3"/>
        <v>Premium5</v>
      </c>
      <c r="D16" s="7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2">
        <v>3477</v>
      </c>
      <c r="P16" s="46">
        <f t="shared" si="1"/>
        <v>1.1883116883116883E-2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input_439100!A$2</f>
        <v>439100</v>
      </c>
      <c r="B17" s="2">
        <v>213</v>
      </c>
      <c r="C17" s="7" t="str">
        <f t="shared" si="3"/>
        <v>Premium5</v>
      </c>
      <c r="D17" s="7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2">
        <v>3477</v>
      </c>
      <c r="P17" s="46">
        <f t="shared" si="1"/>
        <v>1.1883116883116883E-2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input_439100!A$2</f>
        <v>439100</v>
      </c>
      <c r="B18" s="2">
        <v>216</v>
      </c>
      <c r="C18" s="7" t="str">
        <f t="shared" si="3"/>
        <v>Premium5</v>
      </c>
      <c r="D18" s="7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2">
        <v>3477</v>
      </c>
      <c r="P18" s="46">
        <f t="shared" si="1"/>
        <v>1.1883116883116883E-2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input_439100!A$2</f>
        <v>439100</v>
      </c>
      <c r="B19" s="2">
        <v>219</v>
      </c>
      <c r="C19" s="7" t="str">
        <f t="shared" si="3"/>
        <v>Premium5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2">
        <v>3477</v>
      </c>
      <c r="P19" s="46">
        <f t="shared" si="1"/>
        <v>1.1883116883116883E-2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input_439100!A$2</f>
        <v>439100</v>
      </c>
      <c r="B20" s="2">
        <v>222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2">
        <v>3477</v>
      </c>
      <c r="P20" s="46">
        <f t="shared" si="1"/>
        <v>1.1883116883116883E-2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input_439100!A$2</f>
        <v>439100</v>
      </c>
      <c r="B21" s="2">
        <v>225</v>
      </c>
      <c r="C21" s="7" t="str">
        <f t="shared" si="3"/>
        <v>Premium5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">
        <v>3477</v>
      </c>
      <c r="P21" s="46">
        <f t="shared" si="1"/>
        <v>1.1883116883116883E-2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input_439100!A$2</f>
        <v>439100</v>
      </c>
      <c r="B22" s="2">
        <v>228</v>
      </c>
      <c r="C22" s="7" t="str">
        <f t="shared" si="3"/>
        <v>Premium5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2">
        <v>3477</v>
      </c>
      <c r="P22" s="46">
        <f t="shared" si="1"/>
        <v>1.1883116883116883E-2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input_439100!A$2</f>
        <v>439100</v>
      </c>
      <c r="B23" s="2">
        <v>231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2">
        <v>3477</v>
      </c>
      <c r="P23" s="46">
        <f t="shared" si="1"/>
        <v>1.1883116883116883E-2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input_439100!A$2</f>
        <v>439100</v>
      </c>
      <c r="B24" s="2">
        <v>234</v>
      </c>
      <c r="C24" s="7" t="str">
        <f t="shared" si="3"/>
        <v>Premium5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2">
        <v>3477</v>
      </c>
      <c r="P24" s="46">
        <f t="shared" si="1"/>
        <v>1.1883116883116883E-2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input_439100!A$2</f>
        <v>439100</v>
      </c>
      <c r="B25" s="2">
        <v>237</v>
      </c>
      <c r="C25" s="7" t="str">
        <f t="shared" si="3"/>
        <v>Premium5R6release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2">
        <v>3477</v>
      </c>
      <c r="P25" s="46">
        <f t="shared" si="1"/>
        <v>1.1883116883116883E-2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input_439100!A$2</f>
        <v>439100</v>
      </c>
      <c r="B26" s="2">
        <v>240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2">
        <v>3477</v>
      </c>
      <c r="P26" s="46">
        <f t="shared" si="1"/>
        <v>1.1883116883116883E-2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input_439100!A$2</f>
        <v>439100</v>
      </c>
      <c r="B27" s="2">
        <v>243</v>
      </c>
      <c r="C27" s="7" t="str">
        <f t="shared" si="3"/>
        <v>Premium5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2">
        <v>3477</v>
      </c>
      <c r="P27" s="46">
        <f t="shared" si="1"/>
        <v>1.1883116883116883E-2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input_439100!A$2</f>
        <v>439100</v>
      </c>
      <c r="B28" s="2">
        <v>246</v>
      </c>
      <c r="C28" s="7" t="str">
        <f t="shared" si="3"/>
        <v>Premium5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2">
        <v>3477</v>
      </c>
      <c r="P28" s="46">
        <f t="shared" si="1"/>
        <v>1.1883116883116883E-2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input_439100!A$2</f>
        <v>439100</v>
      </c>
      <c r="B29" s="2">
        <v>249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2">
        <v>3477</v>
      </c>
      <c r="P29" s="46">
        <f t="shared" si="1"/>
        <v>1.1883116883116883E-2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input_439100!A$2</f>
        <v>439100</v>
      </c>
      <c r="B30" s="2">
        <v>252</v>
      </c>
      <c r="C30" s="7" t="str">
        <f t="shared" si="3"/>
        <v>Premium5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2">
        <v>3477</v>
      </c>
      <c r="P30" s="46">
        <f t="shared" si="1"/>
        <v>1.1883116883116883E-2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input_439100!A$2</f>
        <v>439100</v>
      </c>
      <c r="B31" s="2">
        <v>255</v>
      </c>
      <c r="C31" s="7" t="str">
        <f t="shared" si="3"/>
        <v>Premium5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2">
        <v>3477</v>
      </c>
      <c r="P31" s="46">
        <f t="shared" si="1"/>
        <v>1.1883116883116883E-2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input_439100!A$2</f>
        <v>439100</v>
      </c>
      <c r="B32" s="2">
        <v>258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2">
        <v>3477</v>
      </c>
      <c r="P32" s="46">
        <f t="shared" si="1"/>
        <v>1.1883116883116883E-2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input_439100!A$2</f>
        <v>439100</v>
      </c>
      <c r="B33" s="2">
        <v>261</v>
      </c>
      <c r="C33" s="7" t="str">
        <f t="shared" si="3"/>
        <v>Premium5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2">
        <v>3477</v>
      </c>
      <c r="P33" s="46">
        <f t="shared" si="1"/>
        <v>1.1883116883116883E-2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input_439100!A$2</f>
        <v>439100</v>
      </c>
      <c r="B34" s="2">
        <v>321</v>
      </c>
      <c r="C34" s="7" t="str">
        <f t="shared" si="3"/>
        <v>PremiumSS5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2">
        <v>385</v>
      </c>
      <c r="P34" s="46">
        <f t="shared" ref="P34:P65" si="5">O34/SUM(O:O)</f>
        <v>1.3157894736842105E-3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input_439100!A$2</f>
        <v>439100</v>
      </c>
      <c r="B35" s="2">
        <v>323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2">
        <v>385</v>
      </c>
      <c r="P35" s="46">
        <f t="shared" si="5"/>
        <v>1.3157894736842105E-3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input_439100!A$2</f>
        <v>439100</v>
      </c>
      <c r="B36" s="2">
        <v>325</v>
      </c>
      <c r="C36" s="7" t="str">
        <f t="shared" si="3"/>
        <v>PremiumSS5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2">
        <v>385</v>
      </c>
      <c r="P36" s="46">
        <f t="shared" si="5"/>
        <v>1.3157894736842105E-3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input_439100!A$2</f>
        <v>439100</v>
      </c>
      <c r="B37" s="2">
        <v>327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2">
        <v>385</v>
      </c>
      <c r="P37" s="46">
        <f t="shared" si="5"/>
        <v>1.3157894736842105E-3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input_439100!A$2</f>
        <v>439100</v>
      </c>
      <c r="B38" s="2">
        <v>382</v>
      </c>
      <c r="C38" s="7" t="str">
        <f t="shared" si="3"/>
        <v>Premium5</v>
      </c>
      <c r="D38" s="7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2">
        <v>3477</v>
      </c>
      <c r="P38" s="46">
        <f t="shared" si="5"/>
        <v>1.1883116883116883E-2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input_439100!A$2</f>
        <v>439100</v>
      </c>
      <c r="B39" s="2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2">
        <v>385</v>
      </c>
      <c r="P39" s="46">
        <f t="shared" si="5"/>
        <v>1.3157894736842105E-3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input_439100!A$2</f>
        <v>439100</v>
      </c>
      <c r="B40" s="2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2">
        <v>385</v>
      </c>
      <c r="P40" s="46">
        <f t="shared" si="5"/>
        <v>1.3157894736842105E-3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input_439100!A$2</f>
        <v>439100</v>
      </c>
      <c r="B41" s="2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2">
        <v>3477</v>
      </c>
      <c r="P41" s="46">
        <f t="shared" si="5"/>
        <v>1.1883116883116883E-2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input_439100!A$2</f>
        <v>439100</v>
      </c>
      <c r="B42" s="2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2">
        <v>385</v>
      </c>
      <c r="P42" s="46">
        <f t="shared" si="5"/>
        <v>1.3157894736842105E-3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input_439100!A$2</f>
        <v>439100</v>
      </c>
      <c r="B43" s="2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2">
        <v>3477</v>
      </c>
      <c r="P43" s="46">
        <f t="shared" si="5"/>
        <v>1.1883116883116883E-2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input_439100!A$2</f>
        <v>439100</v>
      </c>
      <c r="B44" s="2">
        <v>397</v>
      </c>
      <c r="C44" s="7" t="str">
        <f t="shared" si="3"/>
        <v>Premium5</v>
      </c>
      <c r="D44" s="7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2">
        <v>3477</v>
      </c>
      <c r="P44" s="46">
        <f t="shared" si="5"/>
        <v>1.1883116883116883E-2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input_439100!A$2</f>
        <v>439100</v>
      </c>
      <c r="B45" s="2">
        <v>399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2">
        <v>385</v>
      </c>
      <c r="P45" s="46">
        <f t="shared" si="5"/>
        <v>1.3157894736842105E-3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input_439100!A$2</f>
        <v>439100</v>
      </c>
      <c r="B46" s="2">
        <v>402</v>
      </c>
      <c r="C46" s="7" t="str">
        <f t="shared" si="3"/>
        <v>Premium5</v>
      </c>
      <c r="D46" s="7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2">
        <v>3477</v>
      </c>
      <c r="P46" s="46">
        <f t="shared" si="5"/>
        <v>1.1883116883116883E-2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input_439100!A$2</f>
        <v>439100</v>
      </c>
      <c r="B47" s="2">
        <v>404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2">
        <v>385</v>
      </c>
      <c r="P47" s="46">
        <f t="shared" si="5"/>
        <v>1.3157894736842105E-3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input_439100!A$2</f>
        <v>439100</v>
      </c>
      <c r="B48" s="2">
        <v>407</v>
      </c>
      <c r="C48" s="7" t="str">
        <f t="shared" si="3"/>
        <v>Premium5</v>
      </c>
      <c r="D48" s="7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2">
        <v>3477</v>
      </c>
      <c r="P48" s="46">
        <f t="shared" si="5"/>
        <v>1.1883116883116883E-2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input_439100!A$2</f>
        <v>439100</v>
      </c>
      <c r="B49" s="2">
        <v>409</v>
      </c>
      <c r="C49" s="7" t="str">
        <f t="shared" si="3"/>
        <v>PremiumSS5</v>
      </c>
      <c r="D49" s="7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2">
        <v>385</v>
      </c>
      <c r="P49" s="46">
        <f t="shared" si="5"/>
        <v>1.3157894736842105E-3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input_439100!A$2</f>
        <v>439100</v>
      </c>
      <c r="B50" s="2">
        <v>435</v>
      </c>
      <c r="C50" s="7" t="str">
        <f t="shared" si="3"/>
        <v>PremiumSS5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2">
        <v>385</v>
      </c>
      <c r="P50" s="46">
        <f t="shared" si="5"/>
        <v>1.3157894736842105E-3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input_439100!A$2</f>
        <v>439100</v>
      </c>
      <c r="B51" s="2">
        <v>438</v>
      </c>
      <c r="C51" s="7" t="str">
        <f t="shared" si="3"/>
        <v>Premium5</v>
      </c>
      <c r="D51" s="7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2">
        <v>3477</v>
      </c>
      <c r="P51" s="46">
        <f t="shared" si="5"/>
        <v>1.1883116883116883E-2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input_439100!A$2</f>
        <v>439100</v>
      </c>
      <c r="B52" s="2">
        <v>441</v>
      </c>
      <c r="C52" s="7" t="str">
        <f t="shared" si="3"/>
        <v>Premium5</v>
      </c>
      <c r="D52" s="7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2">
        <v>3477</v>
      </c>
      <c r="P52" s="46">
        <f t="shared" si="5"/>
        <v>1.1883116883116883E-2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input_439100!A$2</f>
        <v>439100</v>
      </c>
      <c r="B53" s="2">
        <v>443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2">
        <v>385</v>
      </c>
      <c r="P53" s="46">
        <f t="shared" si="5"/>
        <v>1.3157894736842105E-3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input_439100!A$2</f>
        <v>439100</v>
      </c>
      <c r="B54" s="2">
        <v>464</v>
      </c>
      <c r="C54" s="7" t="str">
        <f t="shared" si="3"/>
        <v>Premium5</v>
      </c>
      <c r="D54" s="7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2">
        <v>3477</v>
      </c>
      <c r="P54" s="46">
        <f t="shared" si="5"/>
        <v>1.1883116883116883E-2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input_439100!A$2</f>
        <v>439100</v>
      </c>
      <c r="B55" s="2">
        <v>466</v>
      </c>
      <c r="C55" s="7" t="str">
        <f t="shared" si="3"/>
        <v>PremiumSS5</v>
      </c>
      <c r="D55" s="7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2">
        <v>385</v>
      </c>
      <c r="P55" s="46">
        <f t="shared" si="5"/>
        <v>1.3157894736842105E-3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input_439100!A$2</f>
        <v>439100</v>
      </c>
      <c r="B56" s="2">
        <v>468</v>
      </c>
      <c r="C56" s="7" t="str">
        <f t="shared" si="3"/>
        <v>PremiumSS5</v>
      </c>
      <c r="D56" s="7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2">
        <v>385</v>
      </c>
      <c r="P56" s="46">
        <f t="shared" si="5"/>
        <v>1.3157894736842105E-3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input_439100!A$2</f>
        <v>439100</v>
      </c>
      <c r="B57" s="2">
        <v>471</v>
      </c>
      <c r="C57" s="7" t="str">
        <f t="shared" si="3"/>
        <v>Premium5</v>
      </c>
      <c r="D57" s="7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2">
        <v>3477</v>
      </c>
      <c r="P57" s="46">
        <f t="shared" si="5"/>
        <v>1.1883116883116883E-2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input_439100!A$2</f>
        <v>439100</v>
      </c>
      <c r="B58" s="2">
        <v>475</v>
      </c>
      <c r="C58" s="7" t="str">
        <f t="shared" si="3"/>
        <v>PremiumSS5</v>
      </c>
      <c r="D58" s="7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2">
        <v>385</v>
      </c>
      <c r="P58" s="46">
        <f t="shared" si="5"/>
        <v>1.3157894736842105E-3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input_439100!A$2</f>
        <v>439100</v>
      </c>
      <c r="B59" s="2">
        <v>478</v>
      </c>
      <c r="C59" s="7" t="str">
        <f t="shared" si="3"/>
        <v>Premium5</v>
      </c>
      <c r="D59" s="7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2">
        <v>3477</v>
      </c>
      <c r="P59" s="46">
        <f t="shared" si="5"/>
        <v>1.1883116883116883E-2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input_439100!A$2</f>
        <v>439100</v>
      </c>
      <c r="B60" s="2">
        <v>480</v>
      </c>
      <c r="C60" s="7" t="str">
        <f t="shared" si="3"/>
        <v>PremiumSS5</v>
      </c>
      <c r="D60" s="7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2">
        <v>385</v>
      </c>
      <c r="P60" s="46">
        <f t="shared" si="5"/>
        <v>1.3157894736842105E-3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input_439100!A$2</f>
        <v>439100</v>
      </c>
      <c r="B61" s="2">
        <v>483</v>
      </c>
      <c r="C61" s="7" t="str">
        <f t="shared" si="3"/>
        <v>Premium5</v>
      </c>
      <c r="D61" s="7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2">
        <v>3477</v>
      </c>
      <c r="P61" s="46">
        <f t="shared" si="5"/>
        <v>1.1883116883116883E-2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input_439100!A$2</f>
        <v>439100</v>
      </c>
      <c r="B62" s="2">
        <v>493</v>
      </c>
      <c r="C62" s="7" t="str">
        <f t="shared" si="3"/>
        <v>PremiumSS5</v>
      </c>
      <c r="D62" s="7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2">
        <v>385</v>
      </c>
      <c r="P62" s="46">
        <f t="shared" si="5"/>
        <v>1.3157894736842105E-3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input_439100!A$2</f>
        <v>439100</v>
      </c>
      <c r="B63" s="2">
        <v>495</v>
      </c>
      <c r="C63" s="7" t="str">
        <f t="shared" si="3"/>
        <v>PremiumSS5</v>
      </c>
      <c r="D63" s="7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2">
        <v>385</v>
      </c>
      <c r="P63" s="46">
        <f t="shared" si="5"/>
        <v>1.3157894736842105E-3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input_439100!A$2</f>
        <v>439100</v>
      </c>
      <c r="B64" s="2">
        <v>498</v>
      </c>
      <c r="C64" s="7" t="str">
        <f t="shared" si="3"/>
        <v>Premium5</v>
      </c>
      <c r="D64" s="7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2">
        <v>3477</v>
      </c>
      <c r="P64" s="46">
        <f t="shared" si="5"/>
        <v>1.1883116883116883E-2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input_439100!A$2</f>
        <v>439100</v>
      </c>
      <c r="B65" s="2">
        <v>500</v>
      </c>
      <c r="C65" s="7" t="str">
        <f t="shared" si="3"/>
        <v>PremiumSS5</v>
      </c>
      <c r="D65" s="7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2">
        <v>385</v>
      </c>
      <c r="P65" s="46">
        <f t="shared" si="5"/>
        <v>1.3157894736842105E-3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input_439100!A$2</f>
        <v>439100</v>
      </c>
      <c r="B66" s="2">
        <v>560</v>
      </c>
      <c r="C66" s="7" t="str">
        <f t="shared" si="3"/>
        <v>PremiumW5R3less</v>
      </c>
      <c r="D66" s="7" t="str">
        <f t="shared" si="4"/>
        <v>PremiumW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2">
        <v>3477</v>
      </c>
      <c r="P66" s="46">
        <f t="shared" ref="P66:P97" si="6">O66/SUM(O:O)</f>
        <v>1.1883116883116883E-2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input_439100!A$2</f>
        <v>439100</v>
      </c>
      <c r="B67" s="2">
        <v>561</v>
      </c>
      <c r="C67" s="7" t="str">
        <f t="shared" si="3"/>
        <v>PremiumW5R3less</v>
      </c>
      <c r="D67" s="7" t="str">
        <f t="shared" si="4"/>
        <v>PremiumW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2">
        <v>3477</v>
      </c>
      <c r="P67" s="46">
        <f t="shared" si="6"/>
        <v>1.1883116883116883E-2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input_439100!A$2</f>
        <v>439100</v>
      </c>
      <c r="B68" s="2">
        <v>562</v>
      </c>
      <c r="C68" s="7" t="str">
        <f t="shared" si="3"/>
        <v>PremiumW5R3less</v>
      </c>
      <c r="D68" s="7" t="str">
        <f t="shared" si="4"/>
        <v>PremiumW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2">
        <v>3477</v>
      </c>
      <c r="P68" s="46">
        <f t="shared" si="6"/>
        <v>1.1883116883116883E-2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input_439100!A$2</f>
        <v>439100</v>
      </c>
      <c r="B69" s="2">
        <v>563</v>
      </c>
      <c r="C69" s="7" t="str">
        <f t="shared" si="3"/>
        <v>PremiumW5R3less</v>
      </c>
      <c r="D69" s="7" t="str">
        <f t="shared" si="4"/>
        <v>PremiumW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2">
        <v>3477</v>
      </c>
      <c r="P69" s="46">
        <f t="shared" si="6"/>
        <v>1.1883116883116883E-2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input_439100!A$2</f>
        <v>439100</v>
      </c>
      <c r="B70" s="2">
        <v>566</v>
      </c>
      <c r="C70" s="7" t="str">
        <f t="shared" ref="C70:C133" si="7">D70&amp;J70&amp;E70&amp;F70&amp;G70</f>
        <v>PremiumW5R3less</v>
      </c>
      <c r="D70" s="7" t="str">
        <f t="shared" ref="D70:D133" si="8">IF(OR(I70="PremiumSS",I70="PremiumSSw"),"PremiumSS",IF(I70="PremiumSSS",I70,IF(I70="PremiumW",I70,"Premium")))</f>
        <v>PremiumW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2">
        <v>3477</v>
      </c>
      <c r="P70" s="46">
        <f t="shared" si="6"/>
        <v>1.1883116883116883E-2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input_439100!A$2</f>
        <v>439100</v>
      </c>
      <c r="B71" s="2">
        <v>567</v>
      </c>
      <c r="C71" s="7" t="str">
        <f t="shared" si="7"/>
        <v>PremiumW5R3less</v>
      </c>
      <c r="D71" s="7" t="str">
        <f t="shared" si="8"/>
        <v>PremiumW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2">
        <v>3477</v>
      </c>
      <c r="P71" s="46">
        <f t="shared" si="6"/>
        <v>1.1883116883116883E-2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input_439100!A$2</f>
        <v>439100</v>
      </c>
      <c r="B72" s="2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2">
        <v>385</v>
      </c>
      <c r="P72" s="46">
        <f t="shared" si="6"/>
        <v>1.3157894736842105E-3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input_439100!A$2</f>
        <v>439100</v>
      </c>
      <c r="B73" s="2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2">
        <v>3477</v>
      </c>
      <c r="P73" s="46">
        <f t="shared" si="6"/>
        <v>1.1883116883116883E-2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input_439100!A$2</f>
        <v>439100</v>
      </c>
      <c r="B74" s="2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2">
        <v>3477</v>
      </c>
      <c r="P74" s="46">
        <f t="shared" si="6"/>
        <v>1.1883116883116883E-2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input_439100!A$2</f>
        <v>439100</v>
      </c>
      <c r="B75" s="2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2">
        <v>385</v>
      </c>
      <c r="P75" s="46">
        <f t="shared" si="6"/>
        <v>1.3157894736842105E-3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input_439100!A$2</f>
        <v>439100</v>
      </c>
      <c r="B76" s="2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2">
        <v>3477</v>
      </c>
      <c r="P76" s="46">
        <f t="shared" si="6"/>
        <v>1.1883116883116883E-2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input_439100!A$2</f>
        <v>439100</v>
      </c>
      <c r="B77" s="2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2">
        <v>3477</v>
      </c>
      <c r="P77" s="46">
        <f t="shared" si="6"/>
        <v>1.1883116883116883E-2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input_439100!A$2</f>
        <v>439100</v>
      </c>
      <c r="B78" s="2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2">
        <v>385</v>
      </c>
      <c r="P78" s="46">
        <f t="shared" si="6"/>
        <v>1.3157894736842105E-3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input_439100!A$2</f>
        <v>439100</v>
      </c>
      <c r="B79" s="2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2">
        <v>3477</v>
      </c>
      <c r="P79" s="46">
        <f t="shared" si="6"/>
        <v>1.1883116883116883E-2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input_439100!A$2</f>
        <v>439100</v>
      </c>
      <c r="B80" s="2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2">
        <v>385</v>
      </c>
      <c r="P80" s="46">
        <f t="shared" si="6"/>
        <v>1.3157894736842105E-3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input_439100!A$2</f>
        <v>439100</v>
      </c>
      <c r="B81" s="2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2">
        <v>385</v>
      </c>
      <c r="P81" s="46">
        <f t="shared" si="6"/>
        <v>1.3157894736842105E-3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input_439100!A$2</f>
        <v>439100</v>
      </c>
      <c r="B82" s="2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2">
        <v>3477</v>
      </c>
      <c r="P82" s="46">
        <f t="shared" si="6"/>
        <v>1.1883116883116883E-2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input_439100!A$2</f>
        <v>439100</v>
      </c>
      <c r="B83" s="2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2">
        <v>3477</v>
      </c>
      <c r="P83" s="46">
        <f t="shared" si="6"/>
        <v>1.1883116883116883E-2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input_439100!A$2</f>
        <v>439100</v>
      </c>
      <c r="B84" s="2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2">
        <v>3477</v>
      </c>
      <c r="P84" s="46">
        <f t="shared" si="6"/>
        <v>1.1883116883116883E-2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input_439100!A$2</f>
        <v>439100</v>
      </c>
      <c r="B85" s="2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2">
        <v>3477</v>
      </c>
      <c r="P85" s="46">
        <f t="shared" si="6"/>
        <v>1.1883116883116883E-2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input_439100!A$2</f>
        <v>439100</v>
      </c>
      <c r="B86" s="2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2">
        <v>385</v>
      </c>
      <c r="P86" s="46">
        <f t="shared" si="6"/>
        <v>1.3157894736842105E-3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input_439100!A$2</f>
        <v>439100</v>
      </c>
      <c r="B87" s="2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2">
        <v>385</v>
      </c>
      <c r="P87" s="46">
        <f t="shared" si="6"/>
        <v>1.3157894736842105E-3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input_439100!A$2</f>
        <v>439100</v>
      </c>
      <c r="B88" s="2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2">
        <v>3477</v>
      </c>
      <c r="P88" s="46">
        <f t="shared" si="6"/>
        <v>1.1883116883116883E-2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input_439100!A$2</f>
        <v>439100</v>
      </c>
      <c r="B89" s="2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2">
        <v>3477</v>
      </c>
      <c r="P89" s="46">
        <f t="shared" si="6"/>
        <v>1.1883116883116883E-2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input_439100!A$2</f>
        <v>439100</v>
      </c>
      <c r="B90" s="2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2">
        <v>385</v>
      </c>
      <c r="P90" s="46">
        <f t="shared" si="6"/>
        <v>1.3157894736842105E-3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input_439100!A$2</f>
        <v>439100</v>
      </c>
      <c r="B91" s="2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2">
        <v>385</v>
      </c>
      <c r="P91" s="46">
        <f t="shared" si="6"/>
        <v>1.3157894736842105E-3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input_439100!A$2</f>
        <v>439100</v>
      </c>
      <c r="B92" s="2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2">
        <v>385</v>
      </c>
      <c r="P92" s="46">
        <f t="shared" si="6"/>
        <v>1.3157894736842105E-3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input_439100!A$2</f>
        <v>439100</v>
      </c>
      <c r="B93" s="2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2">
        <v>385</v>
      </c>
      <c r="P93" s="46">
        <f t="shared" si="6"/>
        <v>1.3157894736842105E-3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input_439100!A$2</f>
        <v>439100</v>
      </c>
      <c r="B94" s="2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2">
        <v>3477</v>
      </c>
      <c r="P94" s="46">
        <f t="shared" si="6"/>
        <v>1.1883116883116883E-2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input_439100!A$2</f>
        <v>439100</v>
      </c>
      <c r="B95" s="2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2">
        <v>3477</v>
      </c>
      <c r="P95" s="46">
        <f t="shared" si="6"/>
        <v>1.1883116883116883E-2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input_439100!A$2</f>
        <v>439100</v>
      </c>
      <c r="B96" s="2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2">
        <v>385</v>
      </c>
      <c r="P96" s="46">
        <f t="shared" si="6"/>
        <v>1.3157894736842105E-3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input_439100!A$2</f>
        <v>439100</v>
      </c>
      <c r="B97" s="2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2">
        <v>385</v>
      </c>
      <c r="P97" s="46">
        <f t="shared" si="6"/>
        <v>1.3157894736842105E-3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input_439100!A$2</f>
        <v>439100</v>
      </c>
      <c r="B98" s="2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2">
        <v>3477</v>
      </c>
      <c r="P98" s="46">
        <f t="shared" ref="P98:P129" si="9">O98/SUM(O:O)</f>
        <v>1.1883116883116883E-2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input_439100!A$2</f>
        <v>439100</v>
      </c>
      <c r="B99" s="2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2">
        <v>3477</v>
      </c>
      <c r="P99" s="46">
        <f t="shared" si="9"/>
        <v>1.1883116883116883E-2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input_439100!A$2</f>
        <v>439100</v>
      </c>
      <c r="B100" s="2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2">
        <v>385</v>
      </c>
      <c r="P100" s="46">
        <f t="shared" si="9"/>
        <v>1.3157894736842105E-3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input_439100!A$2</f>
        <v>439100</v>
      </c>
      <c r="B101" s="2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2">
        <v>385</v>
      </c>
      <c r="P101" s="46">
        <f t="shared" si="9"/>
        <v>1.3157894736842105E-3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input_439100!A$2</f>
        <v>439100</v>
      </c>
      <c r="B102" s="2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2">
        <v>3477</v>
      </c>
      <c r="P102" s="46">
        <f t="shared" si="9"/>
        <v>1.1883116883116883E-2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input_439100!A$2</f>
        <v>439100</v>
      </c>
      <c r="B103" s="2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2">
        <v>3477</v>
      </c>
      <c r="P103" s="46">
        <f t="shared" si="9"/>
        <v>1.1883116883116883E-2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input_439100!A$2</f>
        <v>439100</v>
      </c>
      <c r="B104" s="2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2">
        <v>3477</v>
      </c>
      <c r="P104" s="46">
        <f t="shared" si="9"/>
        <v>1.1883116883116883E-2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input_439100!A$2</f>
        <v>439100</v>
      </c>
      <c r="B105" s="2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2">
        <v>3477</v>
      </c>
      <c r="P105" s="46">
        <f t="shared" si="9"/>
        <v>1.1883116883116883E-2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input_439100!A$2</f>
        <v>439100</v>
      </c>
      <c r="B106" s="2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2">
        <v>385</v>
      </c>
      <c r="P106" s="46">
        <f t="shared" si="9"/>
        <v>1.3157894736842105E-3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input_439100!A$2</f>
        <v>439100</v>
      </c>
      <c r="B107" s="2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2">
        <v>385</v>
      </c>
      <c r="P107" s="46">
        <f t="shared" si="9"/>
        <v>1.3157894736842105E-3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input_439100!A$2</f>
        <v>439100</v>
      </c>
      <c r="B108" s="2">
        <v>937</v>
      </c>
      <c r="C108" s="7" t="str">
        <f t="shared" si="7"/>
        <v>PremiumSS5R5only</v>
      </c>
      <c r="D108" s="7" t="str">
        <f t="shared" si="8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2">
        <v>385</v>
      </c>
      <c r="P108" s="46">
        <f t="shared" si="9"/>
        <v>1.3157894736842105E-3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input_439100!A$2</f>
        <v>439100</v>
      </c>
      <c r="B109" s="2">
        <v>940</v>
      </c>
      <c r="C109" s="7" t="str">
        <f t="shared" si="7"/>
        <v>Premium5R3less</v>
      </c>
      <c r="D109" s="7" t="str">
        <f t="shared" si="8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2">
        <v>3477</v>
      </c>
      <c r="P109" s="46">
        <f t="shared" si="9"/>
        <v>1.1883116883116883E-2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input_439100!A$2</f>
        <v>439100</v>
      </c>
      <c r="B110" s="2">
        <v>941</v>
      </c>
      <c r="C110" s="7" t="str">
        <f t="shared" si="7"/>
        <v>PremiumSS5R5only</v>
      </c>
      <c r="D110" s="7" t="str">
        <f t="shared" si="8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2">
        <v>385</v>
      </c>
      <c r="P110" s="46">
        <f t="shared" si="9"/>
        <v>1.3157894736842105E-3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input_439100!A$2</f>
        <v>439100</v>
      </c>
      <c r="B111" s="2">
        <v>943</v>
      </c>
      <c r="C111" s="7" t="str">
        <f t="shared" si="7"/>
        <v>PremiumSS5R5only</v>
      </c>
      <c r="D111" s="7" t="str">
        <f t="shared" si="8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2">
        <v>385</v>
      </c>
      <c r="P111" s="46">
        <f t="shared" si="9"/>
        <v>1.3157894736842105E-3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input_439100!A$2</f>
        <v>439100</v>
      </c>
      <c r="B112" s="2">
        <v>1012</v>
      </c>
      <c r="C112" s="7" t="str">
        <f t="shared" si="7"/>
        <v>PremiumSS5R5only</v>
      </c>
      <c r="D112" s="7" t="str">
        <f t="shared" si="8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2">
        <v>385</v>
      </c>
      <c r="P112" s="46">
        <f t="shared" si="9"/>
        <v>1.3157894736842105E-3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input_439100!A$2</f>
        <v>439100</v>
      </c>
      <c r="B113" s="2">
        <v>1014</v>
      </c>
      <c r="C113" s="7" t="str">
        <f t="shared" si="7"/>
        <v>PremiumSS5R5only</v>
      </c>
      <c r="D113" s="7" t="str">
        <f t="shared" si="8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2">
        <v>385</v>
      </c>
      <c r="P113" s="46">
        <f t="shared" si="9"/>
        <v>1.3157894736842105E-3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input_439100!A$2</f>
        <v>439100</v>
      </c>
      <c r="B114" s="2">
        <v>1017</v>
      </c>
      <c r="C114" s="7" t="str">
        <f t="shared" si="7"/>
        <v>Premium5R3less</v>
      </c>
      <c r="D114" s="7" t="str">
        <f t="shared" si="8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2">
        <v>3477</v>
      </c>
      <c r="P114" s="46">
        <f t="shared" si="9"/>
        <v>1.1883116883116883E-2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input_439100!A$2</f>
        <v>439100</v>
      </c>
      <c r="B115" s="2">
        <v>1018</v>
      </c>
      <c r="C115" s="7" t="str">
        <f t="shared" si="7"/>
        <v>PremiumSS5R5only</v>
      </c>
      <c r="D115" s="7" t="str">
        <f t="shared" si="8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2">
        <v>385</v>
      </c>
      <c r="P115" s="46">
        <f t="shared" si="9"/>
        <v>1.3157894736842105E-3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input_439100!A$2</f>
        <v>439100</v>
      </c>
      <c r="B116" s="2">
        <v>1027</v>
      </c>
      <c r="C116" s="7" t="str">
        <f t="shared" si="7"/>
        <v>Premium5R3less</v>
      </c>
      <c r="D116" s="7" t="str">
        <f t="shared" si="8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2">
        <v>3477</v>
      </c>
      <c r="P116" s="46">
        <f t="shared" si="9"/>
        <v>1.1883116883116883E-2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input_439100!A$2</f>
        <v>439100</v>
      </c>
      <c r="B117" s="2">
        <v>1028</v>
      </c>
      <c r="C117" s="7" t="str">
        <f t="shared" si="7"/>
        <v>PremiumSS5R5only</v>
      </c>
      <c r="D117" s="7" t="str">
        <f t="shared" si="8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2">
        <v>385</v>
      </c>
      <c r="P117" s="46">
        <f t="shared" si="9"/>
        <v>1.3157894736842105E-3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input_439100!A$2</f>
        <v>439100</v>
      </c>
      <c r="B118" s="2">
        <v>1031</v>
      </c>
      <c r="C118" s="7" t="str">
        <f t="shared" si="7"/>
        <v>PremiumSS5R5only</v>
      </c>
      <c r="D118" s="7" t="str">
        <f t="shared" si="8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2">
        <v>385</v>
      </c>
      <c r="P118" s="46">
        <f t="shared" si="9"/>
        <v>1.3157894736842105E-3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input_439100!A$2</f>
        <v>439100</v>
      </c>
      <c r="B119" s="2">
        <v>1033</v>
      </c>
      <c r="C119" s="7" t="str">
        <f t="shared" si="7"/>
        <v>PremiumSS5R5only</v>
      </c>
      <c r="D119" s="7" t="str">
        <f t="shared" si="8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2">
        <v>385</v>
      </c>
      <c r="P119" s="46">
        <f t="shared" si="9"/>
        <v>1.3157894736842105E-3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input_439100!A$2</f>
        <v>439100</v>
      </c>
      <c r="B120" s="2">
        <v>1068</v>
      </c>
      <c r="C120" s="7" t="str">
        <f t="shared" si="7"/>
        <v>Premium5R3less</v>
      </c>
      <c r="D120" s="7" t="str">
        <f t="shared" si="8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2">
        <v>3477</v>
      </c>
      <c r="P120" s="46">
        <f t="shared" si="9"/>
        <v>1.1883116883116883E-2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input_439100!A$2</f>
        <v>439100</v>
      </c>
      <c r="B121" s="2">
        <v>1069</v>
      </c>
      <c r="C121" s="7" t="str">
        <f t="shared" si="7"/>
        <v>PremiumSS5R5only</v>
      </c>
      <c r="D121" s="7" t="str">
        <f t="shared" si="8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2">
        <v>385</v>
      </c>
      <c r="P121" s="46">
        <f t="shared" si="9"/>
        <v>1.3157894736842105E-3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input_439100!A$2</f>
        <v>439100</v>
      </c>
      <c r="B122" s="2">
        <v>1072</v>
      </c>
      <c r="C122" s="7" t="str">
        <f t="shared" si="7"/>
        <v>PremiumSS5R5only</v>
      </c>
      <c r="D122" s="7" t="str">
        <f t="shared" si="8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2">
        <v>385</v>
      </c>
      <c r="P122" s="46">
        <f t="shared" si="9"/>
        <v>1.3157894736842105E-3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input_439100!A$2</f>
        <v>439100</v>
      </c>
      <c r="B123" s="2">
        <v>1074</v>
      </c>
      <c r="C123" s="7" t="str">
        <f t="shared" si="7"/>
        <v>PremiumSS5R5only</v>
      </c>
      <c r="D123" s="7" t="str">
        <f t="shared" si="8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2">
        <v>385</v>
      </c>
      <c r="P123" s="46">
        <f t="shared" si="9"/>
        <v>1.3157894736842105E-3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input_439100!A$2</f>
        <v>439100</v>
      </c>
      <c r="B124" s="2">
        <v>1100</v>
      </c>
      <c r="C124" s="7" t="str">
        <f t="shared" si="7"/>
        <v>PremiumSS5R5only</v>
      </c>
      <c r="D124" s="7" t="str">
        <f t="shared" si="8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2">
        <v>385</v>
      </c>
      <c r="P124" s="46">
        <f t="shared" si="9"/>
        <v>1.3157894736842105E-3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input_439100!A$2</f>
        <v>439100</v>
      </c>
      <c r="B125" s="2">
        <v>1102</v>
      </c>
      <c r="C125" s="7" t="str">
        <f t="shared" si="7"/>
        <v>PremiumSS5R5only</v>
      </c>
      <c r="D125" s="7" t="str">
        <f t="shared" si="8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2">
        <v>385</v>
      </c>
      <c r="P125" s="46">
        <f t="shared" si="9"/>
        <v>1.3157894736842105E-3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input_439100!A$2</f>
        <v>439100</v>
      </c>
      <c r="B126" s="2">
        <v>1105</v>
      </c>
      <c r="C126" s="7" t="str">
        <f t="shared" si="7"/>
        <v>Premium5R3less</v>
      </c>
      <c r="D126" s="7" t="str">
        <f t="shared" si="8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2">
        <v>3477</v>
      </c>
      <c r="P126" s="46">
        <f t="shared" si="9"/>
        <v>1.1883116883116883E-2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input_439100!A$2</f>
        <v>439100</v>
      </c>
      <c r="B127" s="2">
        <v>1106</v>
      </c>
      <c r="C127" s="7" t="str">
        <f t="shared" si="7"/>
        <v>PremiumSS5R5only</v>
      </c>
      <c r="D127" s="7" t="str">
        <f t="shared" si="8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2">
        <v>385</v>
      </c>
      <c r="P127" s="46">
        <f t="shared" si="9"/>
        <v>1.3157894736842105E-3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input_439100!A$2</f>
        <v>439100</v>
      </c>
      <c r="B128" s="2">
        <v>1137</v>
      </c>
      <c r="C128" s="7" t="str">
        <f t="shared" si="7"/>
        <v>PremiumSS5R5only</v>
      </c>
      <c r="D128" s="7" t="str">
        <f t="shared" si="8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2">
        <v>385</v>
      </c>
      <c r="P128" s="46">
        <f t="shared" si="9"/>
        <v>1.3157894736842105E-3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input_439100!A$2</f>
        <v>439100</v>
      </c>
      <c r="B129" s="2">
        <v>1139</v>
      </c>
      <c r="C129" s="7" t="str">
        <f t="shared" si="7"/>
        <v>PremiumSS5R5only</v>
      </c>
      <c r="D129" s="7" t="str">
        <f t="shared" si="8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2">
        <v>385</v>
      </c>
      <c r="P129" s="46">
        <f t="shared" si="9"/>
        <v>1.3157894736842105E-3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input_439100!A$2</f>
        <v>439100</v>
      </c>
      <c r="B130" s="2">
        <v>1141</v>
      </c>
      <c r="C130" s="7" t="str">
        <f t="shared" si="7"/>
        <v>PremiumSS5R5only</v>
      </c>
      <c r="D130" s="7" t="str">
        <f t="shared" si="8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2">
        <v>385</v>
      </c>
      <c r="P130" s="46">
        <f t="shared" ref="P130:P137" si="10">O130/SUM(O:O)</f>
        <v>1.3157894736842105E-3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input_439100!A$2</f>
        <v>439100</v>
      </c>
      <c r="B131" s="2">
        <v>1144</v>
      </c>
      <c r="C131" s="7" t="str">
        <f t="shared" si="7"/>
        <v>Premium5R3less</v>
      </c>
      <c r="D131" s="7" t="str">
        <f t="shared" si="8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2">
        <v>3477</v>
      </c>
      <c r="P131" s="46">
        <f t="shared" si="10"/>
        <v>1.1883116883116883E-2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input_439100!A$2</f>
        <v>439100</v>
      </c>
      <c r="B132" s="2">
        <v>1152</v>
      </c>
      <c r="C132" s="7" t="str">
        <f t="shared" si="7"/>
        <v>Premium5R3less</v>
      </c>
      <c r="D132" s="7" t="str">
        <f t="shared" si="8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2">
        <v>3477</v>
      </c>
      <c r="P132" s="46">
        <f t="shared" si="10"/>
        <v>1.1883116883116883E-2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input_439100!A$2</f>
        <v>439100</v>
      </c>
      <c r="B133" s="2">
        <v>1153</v>
      </c>
      <c r="C133" s="7" t="str">
        <f t="shared" si="7"/>
        <v>PremiumSS5R5only</v>
      </c>
      <c r="D133" s="7" t="str">
        <f t="shared" si="8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2">
        <v>385</v>
      </c>
      <c r="P133" s="46">
        <f t="shared" si="10"/>
        <v>1.3157894736842105E-3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input_439100!A$2</f>
        <v>439100</v>
      </c>
      <c r="B134" s="2">
        <v>1155</v>
      </c>
      <c r="C134" s="7" t="str">
        <f t="shared" ref="C134:C135" si="11">D134&amp;J134&amp;E134&amp;F134&amp;G134</f>
        <v>PremiumSS5R5only</v>
      </c>
      <c r="D134" s="7" t="str">
        <f t="shared" ref="D134:D135" si="12">IF(OR(I134="PremiumSS",I134="PremiumSSw"),"PremiumSS",IF(I134="PremiumSSS",I134,IF(I134="PremiumW",I134,"Premium")))</f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2">
        <v>385</v>
      </c>
      <c r="P134" s="46">
        <f t="shared" si="10"/>
        <v>1.3157894736842105E-3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input_439100!A$2</f>
        <v>439100</v>
      </c>
      <c r="B135" s="2">
        <v>1157</v>
      </c>
      <c r="C135" s="7" t="str">
        <f t="shared" si="11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2">
        <v>385</v>
      </c>
      <c r="P135" s="46">
        <f t="shared" si="10"/>
        <v>1.3157894736842105E-3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input_439100!A$2</f>
        <v>439100</v>
      </c>
      <c r="B136" s="60">
        <v>1159</v>
      </c>
      <c r="C136" s="7" t="str">
        <f t="shared" ref="C136:C137" si="13">D136&amp;J136&amp;E136&amp;F136&amp;G136</f>
        <v>PremiumSSS5R3less</v>
      </c>
      <c r="D136" s="7" t="str">
        <f t="shared" ref="D136:D137" si="14">IF(OR(I136="PremiumSS",I136="PremiumSSw"),"PremiumSS",IF(I136="PremiumSSS",I136,IF(I136="PremiumW",I136,"Premium")))</f>
        <v>PremiumSSS</v>
      </c>
      <c r="E136" s="7" t="str">
        <f>IF(COUNTIF('R6追加前'!A:A,B136)=0,IF(OR(I136="PremiumSS",I136="PremiumSSw"),"R5only","R3less"),"")</f>
        <v>R3less</v>
      </c>
      <c r="F136" s="7" t="str">
        <f>IF(COUNTIF('R6開放'!A:A,B136)&gt;0,"R6release","")</f>
        <v/>
      </c>
      <c r="G136" s="7"/>
      <c r="H136" s="7" t="str">
        <f>VLOOKUP(B136,[1]characters!$A:$C,3,FALSE)</f>
        <v>ガロア</v>
      </c>
      <c r="I136" s="7" t="str">
        <f>VLOOKUP(B136,[1]characters!$A:$J,10,FALSE)</f>
        <v>PremiumSSS</v>
      </c>
      <c r="J136" s="7">
        <f>VLOOKUP(B136,[1]characters!$A:$I,9,FALSE)</f>
        <v>5</v>
      </c>
      <c r="K136" s="7" t="str">
        <f>VLOOKUP(B136,[1]characters!$A:$H,8,FALSE)</f>
        <v>green</v>
      </c>
      <c r="L136" s="7" t="str">
        <f>VLOOKUP(B136,[1]characters!$A:$K,11,FALSE)</f>
        <v>attack</v>
      </c>
      <c r="M136" s="7" t="str">
        <f>VLOOKUP(B136,[1]characters!$A:$M,13,FALSE)</f>
        <v>academia</v>
      </c>
      <c r="N136" s="7" t="str">
        <f>VLOOKUP(B136,[1]characters!$A:$G,7,FALSE)</f>
        <v>不明</v>
      </c>
      <c r="O136" s="2">
        <v>1463</v>
      </c>
      <c r="P136" s="46">
        <f t="shared" si="10"/>
        <v>5.0000000000000001E-3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input_439100!A$2</f>
        <v>439100</v>
      </c>
      <c r="B137" s="60">
        <v>760</v>
      </c>
      <c r="C137" s="7" t="str">
        <f t="shared" si="13"/>
        <v>PremiumSSS5R3less</v>
      </c>
      <c r="D137" s="7" t="str">
        <f t="shared" si="14"/>
        <v>PremiumSSS</v>
      </c>
      <c r="E137" s="7" t="str">
        <f>IF(COUNTIF('R6追加前'!A:A,B137)=0,IF(OR(I137="PremiumSS",I137="PremiumSSw"),"R5only","R3less"),"")</f>
        <v>R3less</v>
      </c>
      <c r="F137" s="7" t="str">
        <f>IF(COUNTIF('R6開放'!A:A,B137)&gt;0,"R6release","")</f>
        <v/>
      </c>
      <c r="G137" s="7"/>
      <c r="H137" s="7" t="str">
        <f>VLOOKUP(B137,[1]characters!$A:$C,3,FALSE)</f>
        <v>限論顕現 クロネッカー</v>
      </c>
      <c r="I137" s="7" t="str">
        <f>VLOOKUP(B137,[1]characters!$A:$J,10,FALSE)</f>
        <v>PremiumSSS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2">
        <v>1463</v>
      </c>
      <c r="P137" s="46">
        <f t="shared" si="10"/>
        <v>5.0000000000000001E-3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input_439010</vt:lpstr>
      <vt:lpstr>tables_439010</vt:lpstr>
      <vt:lpstr>input_439100</vt:lpstr>
      <vt:lpstr>tables_439100</vt:lpstr>
      <vt:lpstr>tables_settle_439100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2016-10-28T03:26:30Z</dcterms:modified>
</cp:coreProperties>
</file>