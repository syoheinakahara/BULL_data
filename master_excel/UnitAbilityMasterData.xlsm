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610" codeName="{00000000-0000-0000-0000-000000000000}"/>
  <workbookPr codeName="ThisWorkbook" autoCompressPictures="0"/>
  <mc:AlternateContent xmlns:mc="http://schemas.openxmlformats.org/markup-compatibility/2006">
    <mc:Choice Requires="x15">
      <x15ac:absPath xmlns:x15ac="http://schemas.microsoft.com/office/spreadsheetml/2010/11/ac" url="/Users/tamura.r/BULL_data/master_excel/"/>
    </mc:Choice>
  </mc:AlternateContent>
  <bookViews>
    <workbookView xWindow="1100" yWindow="460" windowWidth="27700" windowHeight="15940" tabRatio="740" activeTab="1"/>
  </bookViews>
  <sheets>
    <sheet name="output" sheetId="16" r:id="rId1"/>
    <sheet name="abilities" sheetId="2" r:id="rId2"/>
    <sheet name="ability_基礎設計" sheetId="20" r:id="rId3"/>
    <sheet name="unit_abilities" sheetId="19" r:id="rId4"/>
    <sheet name="文言管理シート" sheetId="21" r:id="rId5"/>
    <sheet name="Sheet1" sheetId="22" r:id="rId6"/>
    <sheet name="アビリティ分類分け" sheetId="23" r:id="rId7"/>
  </sheets>
  <definedNames>
    <definedName name="_xlnm._FilterDatabase" localSheetId="1" hidden="1">abilities!$A$1:$K$335</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I171" i="2" l="1"/>
  <c r="I206" i="2"/>
  <c r="I308" i="2"/>
  <c r="I220" i="2"/>
  <c r="I214" i="2"/>
  <c r="I213" i="2"/>
  <c r="I324" i="2"/>
  <c r="I323" i="2"/>
  <c r="I322" i="2"/>
  <c r="I307" i="2"/>
  <c r="I170" i="2"/>
  <c r="I290" i="2"/>
  <c r="I289" i="2"/>
  <c r="I321" i="2"/>
  <c r="I248" i="2"/>
  <c r="I266" i="2"/>
  <c r="I306" i="2"/>
  <c r="I205" i="2"/>
  <c r="I265" i="2"/>
  <c r="I279" i="2"/>
  <c r="I169" i="2"/>
  <c r="I320" i="2"/>
  <c r="I278" i="2"/>
  <c r="I212" i="2"/>
  <c r="I211" i="2"/>
  <c r="I319" i="2"/>
  <c r="I191" i="2"/>
  <c r="I210" i="2"/>
  <c r="I277" i="2"/>
  <c r="I288" i="2"/>
  <c r="I287" i="2"/>
  <c r="I305" i="2"/>
  <c r="I304" i="2"/>
  <c r="I133" i="2"/>
  <c r="I209" i="2"/>
  <c r="I276" i="2"/>
  <c r="I264" i="2"/>
  <c r="I208" i="2"/>
  <c r="I295" i="2"/>
  <c r="I294" i="2"/>
  <c r="I293" i="2"/>
  <c r="I292" i="2"/>
  <c r="I219" i="2"/>
  <c r="I218" i="2"/>
  <c r="I286" i="2"/>
  <c r="I318" i="2"/>
  <c r="I317" i="2"/>
  <c r="I316" i="2"/>
  <c r="I303" i="2"/>
  <c r="I302" i="2"/>
  <c r="I301" i="2"/>
  <c r="I263" i="2"/>
  <c r="I168" i="2"/>
  <c r="I136" i="2"/>
  <c r="I132" i="2"/>
  <c r="I315" i="2"/>
  <c r="I314" i="2"/>
  <c r="I190" i="2"/>
  <c r="I247" i="2"/>
  <c r="I167" i="2"/>
  <c r="I166" i="2"/>
  <c r="I192" i="2"/>
  <c r="I165" i="2"/>
  <c r="I69" i="2"/>
  <c r="I335" i="2"/>
  <c r="I333" i="2"/>
  <c r="I332" i="2"/>
  <c r="I334" i="2"/>
  <c r="I275" i="2"/>
  <c r="I217" i="2"/>
  <c r="I258" i="2"/>
  <c r="I274" i="2"/>
  <c r="I204" i="2"/>
  <c r="I68" i="2"/>
  <c r="I189" i="2"/>
  <c r="I300" i="2"/>
  <c r="I163" i="2"/>
  <c r="I331" i="2"/>
  <c r="I162" i="2"/>
  <c r="I216" i="2"/>
  <c r="I313" i="2"/>
  <c r="I312" i="2"/>
  <c r="I107" i="2"/>
  <c r="I246" i="2"/>
  <c r="I245" i="2"/>
  <c r="I225" i="2"/>
  <c r="I244" i="2"/>
  <c r="I243" i="2"/>
  <c r="I262" i="2"/>
  <c r="I299" i="2"/>
  <c r="I298" i="2"/>
  <c r="I296" i="2"/>
  <c r="I297"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8" i="2"/>
  <c r="I109" i="2"/>
  <c r="I110" i="2"/>
  <c r="I111" i="2"/>
  <c r="I112" i="2"/>
  <c r="I113" i="2"/>
  <c r="I114" i="2"/>
  <c r="I115" i="2"/>
  <c r="I116" i="2"/>
  <c r="I117" i="2"/>
  <c r="I118" i="2"/>
  <c r="I119" i="2"/>
  <c r="I120" i="2"/>
  <c r="I121" i="2"/>
  <c r="I122" i="2"/>
  <c r="I123" i="2"/>
  <c r="I124" i="2"/>
  <c r="I125" i="2"/>
  <c r="I126" i="2"/>
  <c r="I127" i="2"/>
  <c r="I128" i="2"/>
  <c r="I129" i="2"/>
  <c r="I130" i="2"/>
  <c r="I131" i="2"/>
  <c r="I134" i="2"/>
  <c r="I135"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4" i="2"/>
  <c r="I172" i="2"/>
  <c r="I173" i="2"/>
  <c r="I174" i="2"/>
  <c r="I175" i="2"/>
  <c r="I176" i="2"/>
  <c r="I177" i="2"/>
  <c r="I178" i="2"/>
  <c r="I179" i="2"/>
  <c r="I180" i="2"/>
  <c r="I181" i="2"/>
  <c r="I182" i="2"/>
  <c r="I183" i="2"/>
  <c r="I184" i="2"/>
  <c r="I185" i="2"/>
  <c r="I186" i="2"/>
  <c r="I187" i="2"/>
  <c r="I188" i="2"/>
  <c r="I193" i="2"/>
  <c r="I194" i="2"/>
  <c r="I195" i="2"/>
  <c r="I196" i="2"/>
  <c r="I197" i="2"/>
  <c r="I198" i="2"/>
  <c r="I199" i="2"/>
  <c r="I200" i="2"/>
  <c r="I201" i="2"/>
  <c r="I202" i="2"/>
  <c r="I203" i="2"/>
  <c r="I207" i="2"/>
  <c r="I215" i="2"/>
  <c r="I221" i="2"/>
  <c r="I222" i="2"/>
  <c r="I223" i="2"/>
  <c r="I224" i="2"/>
  <c r="I226" i="2"/>
  <c r="I227" i="2"/>
  <c r="I228" i="2"/>
  <c r="I229" i="2"/>
  <c r="I230" i="2"/>
  <c r="I231" i="2"/>
  <c r="I232" i="2"/>
  <c r="I233" i="2"/>
  <c r="I234" i="2"/>
  <c r="I235" i="2"/>
  <c r="I236" i="2"/>
  <c r="I237" i="2"/>
  <c r="I238" i="2"/>
  <c r="I239" i="2"/>
  <c r="I240" i="2"/>
  <c r="I241" i="2"/>
  <c r="I242" i="2"/>
  <c r="I249" i="2"/>
  <c r="I250" i="2"/>
  <c r="I251" i="2"/>
  <c r="I252" i="2"/>
  <c r="I253" i="2"/>
  <c r="I254" i="2"/>
  <c r="I255" i="2"/>
  <c r="I256" i="2"/>
  <c r="I257" i="2"/>
  <c r="I259" i="2"/>
  <c r="I260" i="2"/>
  <c r="I261" i="2"/>
  <c r="I267" i="2"/>
  <c r="I268" i="2"/>
  <c r="I269" i="2"/>
  <c r="I270" i="2"/>
  <c r="I271" i="2"/>
  <c r="I272" i="2"/>
  <c r="I273" i="2"/>
  <c r="I280" i="2"/>
  <c r="I281" i="2"/>
  <c r="I282" i="2"/>
  <c r="I283" i="2"/>
  <c r="I284" i="2"/>
  <c r="I285" i="2"/>
  <c r="I291" i="2"/>
  <c r="I309" i="2"/>
  <c r="I310" i="2"/>
  <c r="I311" i="2"/>
  <c r="I325" i="2"/>
  <c r="I326" i="2"/>
  <c r="I327" i="2"/>
  <c r="I328" i="2"/>
  <c r="I329" i="2"/>
  <c r="I330" i="2"/>
  <c r="I2" i="2"/>
  <c r="C34" i="20"/>
  <c r="C36" i="20"/>
  <c r="C35" i="20"/>
  <c r="C33" i="20"/>
  <c r="C32" i="20"/>
  <c r="C21" i="20"/>
  <c r="C22" i="20"/>
  <c r="C23" i="20"/>
  <c r="C24" i="20"/>
  <c r="C20" i="20"/>
  <c r="E4" i="16"/>
  <c r="E3" i="16"/>
  <c r="E2" i="16"/>
  <c r="C9" i="20"/>
  <c r="C10" i="20"/>
  <c r="C11" i="20"/>
  <c r="C12" i="20"/>
  <c r="C8" i="20"/>
</calcChain>
</file>

<file path=xl/sharedStrings.xml><?xml version="1.0" encoding="utf-8"?>
<sst xmlns="http://schemas.openxmlformats.org/spreadsheetml/2006/main" count="3043" uniqueCount="1185">
  <si>
    <t>接頭語</t>
    <rPh sb="0" eb="3">
      <t>セットウゴ</t>
    </rPh>
    <phoneticPr fontId="5"/>
  </si>
  <si>
    <t>識別子</t>
    <rPh sb="0" eb="3">
      <t>シキベツシ</t>
    </rPh>
    <phoneticPr fontId="5"/>
  </si>
  <si>
    <t>形式</t>
    <rPh sb="0" eb="2">
      <t>ケイシキ</t>
    </rPh>
    <phoneticPr fontId="5"/>
  </si>
  <si>
    <t>出力ファイル名</t>
    <rPh sb="0" eb="2">
      <t>シュツリョク</t>
    </rPh>
    <rPh sb="6" eb="7">
      <t>メイ</t>
    </rPh>
    <phoneticPr fontId="5"/>
  </si>
  <si>
    <t>入力シート名</t>
    <rPh sb="0" eb="2">
      <t>ニュウリョク</t>
    </rPh>
    <rPh sb="5" eb="6">
      <t>メイ</t>
    </rPh>
    <phoneticPr fontId="5"/>
  </si>
  <si>
    <t>出力データ</t>
    <rPh sb="0" eb="2">
      <t>シュツリョク</t>
    </rPh>
    <phoneticPr fontId="5"/>
  </si>
  <si>
    <t>出力flg</t>
    <rPh sb="0" eb="2">
      <t>シュツリョク</t>
    </rPh>
    <phoneticPr fontId="5"/>
  </si>
  <si>
    <t>ja</t>
    <phoneticPr fontId="5"/>
  </si>
  <si>
    <t>ability_id</t>
    <phoneticPr fontId="5"/>
  </si>
  <si>
    <t>language</t>
    <phoneticPr fontId="5"/>
  </si>
  <si>
    <t>name</t>
    <phoneticPr fontId="19"/>
  </si>
  <si>
    <t>comment</t>
    <phoneticPr fontId="19"/>
  </si>
  <si>
    <t>character_id</t>
    <phoneticPr fontId="5"/>
  </si>
  <si>
    <t>ability_slot</t>
    <phoneticPr fontId="5"/>
  </si>
  <si>
    <t>ability_id</t>
    <phoneticPr fontId="19"/>
  </si>
  <si>
    <t>unlock_type</t>
    <phoneticPr fontId="19"/>
  </si>
  <si>
    <t>unlock_value</t>
    <phoneticPr fontId="5"/>
  </si>
  <si>
    <t>abilities</t>
    <phoneticPr fontId="5"/>
  </si>
  <si>
    <t>abilities</t>
    <phoneticPr fontId="5"/>
  </si>
  <si>
    <t>unit_abilities</t>
    <phoneticPr fontId="5"/>
  </si>
  <si>
    <t>ability_id</t>
    <phoneticPr fontId="5"/>
  </si>
  <si>
    <t>ability_param</t>
    <phoneticPr fontId="5"/>
  </si>
  <si>
    <t>ability_id</t>
    <phoneticPr fontId="5"/>
  </si>
  <si>
    <t>language</t>
    <phoneticPr fontId="5"/>
  </si>
  <si>
    <t>name</t>
    <phoneticPr fontId="5"/>
  </si>
  <si>
    <t>comment</t>
    <phoneticPr fontId="5"/>
  </si>
  <si>
    <t>効果</t>
    <rPh sb="0" eb="2">
      <t>コウk</t>
    </rPh>
    <phoneticPr fontId="5"/>
  </si>
  <si>
    <t>名前</t>
    <rPh sb="0" eb="2">
      <t>ナマ</t>
    </rPh>
    <phoneticPr fontId="5"/>
  </si>
  <si>
    <t>　アビリティ名</t>
    <phoneticPr fontId="5"/>
  </si>
  <si>
    <t>お邪魔ブレイク</t>
    <phoneticPr fontId="5"/>
  </si>
  <si>
    <t>ウィルス無効</t>
    <rPh sb="4" eb="6">
      <t>ムコ</t>
    </rPh>
    <phoneticPr fontId="5"/>
  </si>
  <si>
    <t>スキルバインド無効</t>
    <rPh sb="7" eb="9">
      <t>ムコ</t>
    </rPh>
    <phoneticPr fontId="5"/>
  </si>
  <si>
    <t>スリープ無効</t>
    <phoneticPr fontId="5"/>
  </si>
  <si>
    <t>爆風軽減無効</t>
    <rPh sb="0" eb="2">
      <t>バクh</t>
    </rPh>
    <rPh sb="2" eb="4">
      <t>ケ</t>
    </rPh>
    <rPh sb="4" eb="6">
      <t>ムコ</t>
    </rPh>
    <phoneticPr fontId="5"/>
  </si>
  <si>
    <t>自身にかかるウィルスを無効化する</t>
    <rPh sb="0" eb="2">
      <t>ジシn</t>
    </rPh>
    <rPh sb="11" eb="14">
      <t>ムコ</t>
    </rPh>
    <phoneticPr fontId="5"/>
  </si>
  <si>
    <t>自身にかかるスキルバインドを無効化する</t>
    <rPh sb="0" eb="2">
      <t>ジシn</t>
    </rPh>
    <rPh sb="14" eb="17">
      <t>ムコ</t>
    </rPh>
    <phoneticPr fontId="5"/>
  </si>
  <si>
    <t>自身にかかるスリープを無効化する</t>
    <rPh sb="0" eb="2">
      <t>ジシn</t>
    </rPh>
    <rPh sb="11" eb="14">
      <t>ムコ</t>
    </rPh>
    <phoneticPr fontId="5"/>
  </si>
  <si>
    <t>時限式ブレイク</t>
    <phoneticPr fontId="5"/>
  </si>
  <si>
    <t>ja</t>
    <phoneticPr fontId="5"/>
  </si>
  <si>
    <t>攻撃タイプキラー</t>
    <phoneticPr fontId="5"/>
  </si>
  <si>
    <t>攻撃対象が攻撃タイプの場合威力UP</t>
    <rPh sb="13" eb="15">
      <t>イリョk</t>
    </rPh>
    <phoneticPr fontId="5"/>
  </si>
  <si>
    <t>爆風強化</t>
    <rPh sb="0" eb="2">
      <t>バクh</t>
    </rPh>
    <phoneticPr fontId="5"/>
  </si>
  <si>
    <t>プロテクトブレイクS(仮)</t>
    <phoneticPr fontId="5"/>
  </si>
  <si>
    <t>バランスタイプキラー</t>
    <phoneticPr fontId="5"/>
  </si>
  <si>
    <t>体力タイプキラー</t>
    <phoneticPr fontId="5"/>
  </si>
  <si>
    <t>テクニカルタイプキラー</t>
    <phoneticPr fontId="5"/>
  </si>
  <si>
    <t>回復タイプキラー</t>
    <phoneticPr fontId="5"/>
  </si>
  <si>
    <t>強化素材タイプキラー</t>
    <phoneticPr fontId="5"/>
  </si>
  <si>
    <t>コインタイプキラー</t>
    <phoneticPr fontId="5"/>
  </si>
  <si>
    <t>限界突破素材タイプキラー</t>
    <phoneticPr fontId="5"/>
  </si>
  <si>
    <t>スキルレベル素材タイプキラー</t>
    <phoneticPr fontId="5"/>
  </si>
  <si>
    <t>倍率</t>
    <phoneticPr fontId="5"/>
  </si>
  <si>
    <t>(通常攻撃力*属性倍率*攻撃評価係数-防御力)*キラー倍率</t>
    <phoneticPr fontId="5"/>
  </si>
  <si>
    <t>小</t>
    <phoneticPr fontId="5"/>
  </si>
  <si>
    <t>中</t>
    <phoneticPr fontId="5"/>
  </si>
  <si>
    <t>大</t>
    <phoneticPr fontId="5"/>
  </si>
  <si>
    <t>特大</t>
    <phoneticPr fontId="5"/>
  </si>
  <si>
    <t>表記</t>
    <phoneticPr fontId="5"/>
  </si>
  <si>
    <t>ability設定仕様</t>
    <phoneticPr fontId="5"/>
  </si>
  <si>
    <t>■キラー威力</t>
    <phoneticPr fontId="5"/>
  </si>
  <si>
    <t>なし</t>
    <phoneticPr fontId="5"/>
  </si>
  <si>
    <t>攻撃が3500の場合</t>
    <phoneticPr fontId="5"/>
  </si>
  <si>
    <t>valid_flg</t>
    <phoneticPr fontId="5"/>
  </si>
  <si>
    <t>valid_flg</t>
    <phoneticPr fontId="5"/>
  </si>
  <si>
    <t>abilities_i18n_</t>
    <phoneticPr fontId="5"/>
  </si>
  <si>
    <t>base</t>
    <phoneticPr fontId="5"/>
  </si>
  <si>
    <t>.tmp</t>
    <phoneticPr fontId="5"/>
  </si>
  <si>
    <t>unit_abilities_</t>
    <phoneticPr fontId="5"/>
  </si>
  <si>
    <t>abilities_tmp_</t>
    <phoneticPr fontId="5"/>
  </si>
  <si>
    <t>old</t>
    <phoneticPr fontId="5"/>
  </si>
  <si>
    <t>対ゴッド ダメージUP</t>
    <phoneticPr fontId="5"/>
  </si>
  <si>
    <t>対ヒューマン ダメージUP</t>
    <phoneticPr fontId="5"/>
  </si>
  <si>
    <t>対アニマル ダメージUP</t>
    <phoneticPr fontId="5"/>
  </si>
  <si>
    <t>対ドラゴン ダメージUP</t>
    <phoneticPr fontId="5"/>
  </si>
  <si>
    <t>対Unknown ダメージUP</t>
    <phoneticPr fontId="5"/>
  </si>
  <si>
    <t>対Unknown ダメージUP</t>
    <phoneticPr fontId="5"/>
  </si>
  <si>
    <t>対サムライ ダメージUP</t>
    <phoneticPr fontId="5"/>
  </si>
  <si>
    <t>対ゴッド ダメージ大UP</t>
    <phoneticPr fontId="5"/>
  </si>
  <si>
    <t>対ゴッド ダメージ特大UP</t>
    <phoneticPr fontId="5"/>
  </si>
  <si>
    <t>対ゴッド ダメージ超大UP</t>
    <phoneticPr fontId="5"/>
  </si>
  <si>
    <t>対ウェポン ダメージUP</t>
    <phoneticPr fontId="5"/>
  </si>
  <si>
    <t>対アカデミア ダメージUP</t>
    <phoneticPr fontId="5"/>
  </si>
  <si>
    <t>対タイタン ダメージUP</t>
    <phoneticPr fontId="5"/>
  </si>
  <si>
    <t>■攻撃エンハンス</t>
    <phoneticPr fontId="5"/>
  </si>
  <si>
    <t>小UP</t>
    <phoneticPr fontId="5"/>
  </si>
  <si>
    <t>UP</t>
    <phoneticPr fontId="5"/>
  </si>
  <si>
    <t>大UP</t>
    <phoneticPr fontId="5"/>
  </si>
  <si>
    <t>特大UP</t>
    <phoneticPr fontId="5"/>
  </si>
  <si>
    <t>(通常攻撃力*エンハンス効果+攻撃力)</t>
    <phoneticPr fontId="5"/>
  </si>
  <si>
    <t>■回復力エンハンス</t>
    <phoneticPr fontId="5"/>
  </si>
  <si>
    <t>回復が3500の場合</t>
    <phoneticPr fontId="5"/>
  </si>
  <si>
    <t>(通常回復力*エンハンス効果+回復力)</t>
    <phoneticPr fontId="5"/>
  </si>
  <si>
    <t>自身に対する赤属性の敵からの攻撃を25％軽減</t>
    <phoneticPr fontId="5"/>
  </si>
  <si>
    <t>自身に対する青属性の敵からの攻撃を25％軽減</t>
    <phoneticPr fontId="5"/>
  </si>
  <si>
    <t>myself</t>
    <phoneticPr fontId="5"/>
  </si>
  <si>
    <t>attacker</t>
  </si>
  <si>
    <t>unit_right</t>
  </si>
  <si>
    <t>unit_left</t>
  </si>
  <si>
    <t>unit_both</t>
  </si>
  <si>
    <t>unit_one</t>
  </si>
  <si>
    <t>unit_all</t>
  </si>
  <si>
    <t>unit_red</t>
  </si>
  <si>
    <t>unit_green</t>
  </si>
  <si>
    <t>unit_blue</t>
  </si>
  <si>
    <t>unit_yellow</t>
  </si>
  <si>
    <t>unit_attack</t>
  </si>
  <si>
    <t>unit_balance</t>
  </si>
  <si>
    <t>unit_hp</t>
  </si>
  <si>
    <t>unit_heal</t>
  </si>
  <si>
    <t>unit_technical</t>
  </si>
  <si>
    <t>unit_coin</t>
  </si>
  <si>
    <t>unit_evolution</t>
  </si>
  <si>
    <t>unit_exp</t>
  </si>
  <si>
    <t>unit_limitbreak</t>
  </si>
  <si>
    <t>unit_skilllevel</t>
  </si>
  <si>
    <t>unit_dr</t>
  </si>
  <si>
    <t>unit_ra</t>
  </si>
  <si>
    <t>unit_human</t>
  </si>
  <si>
    <t>unit_dragon</t>
  </si>
  <si>
    <t>unit_animal</t>
  </si>
  <si>
    <t>unit_machine</t>
  </si>
  <si>
    <t>unit_god</t>
  </si>
  <si>
    <t>unit_unknown</t>
  </si>
  <si>
    <t>unit_academia</t>
  </si>
  <si>
    <t>unit_weapon</t>
  </si>
  <si>
    <t>unit_samurai</t>
  </si>
  <si>
    <t>unit_ss</t>
  </si>
  <si>
    <t>unit_insect</t>
  </si>
  <si>
    <t>unit_hero</t>
  </si>
  <si>
    <t>unit_none</t>
  </si>
  <si>
    <t>enemy_one</t>
  </si>
  <si>
    <t>enemy_all</t>
  </si>
  <si>
    <t>enemy_red</t>
  </si>
  <si>
    <t>enemy_green</t>
  </si>
  <si>
    <t>enemy_blue</t>
  </si>
  <si>
    <t>enemy_yellow</t>
  </si>
  <si>
    <t>enemy_attack</t>
  </si>
  <si>
    <t>enemy_balance</t>
  </si>
  <si>
    <t>enemy_hp</t>
  </si>
  <si>
    <t>enemy_heal</t>
  </si>
  <si>
    <t>enemy_technical</t>
  </si>
  <si>
    <t>enemy_coin</t>
  </si>
  <si>
    <t>enemy_evolution</t>
  </si>
  <si>
    <t>enemy_exp</t>
  </si>
  <si>
    <t>enemy_limitbreak</t>
  </si>
  <si>
    <t>enemy_skilllevel</t>
  </si>
  <si>
    <t>enemy_dr</t>
  </si>
  <si>
    <t>enemy_ra</t>
  </si>
  <si>
    <t>enemy_human</t>
  </si>
  <si>
    <t>enemy_dragon</t>
  </si>
  <si>
    <t>enemy_animal</t>
  </si>
  <si>
    <t>enemy_machine</t>
  </si>
  <si>
    <t>enemy_god</t>
  </si>
  <si>
    <t>enemy_unknown</t>
  </si>
  <si>
    <t>enemy_academia</t>
  </si>
  <si>
    <t>enemy_weapon</t>
  </si>
  <si>
    <t>enemy_samurai</t>
  </si>
  <si>
    <t>enemy_ss</t>
  </si>
  <si>
    <t>enemy_insect</t>
  </si>
  <si>
    <t>enemy_hero</t>
  </si>
  <si>
    <t>enemy_none</t>
  </si>
  <si>
    <t>自身</t>
    <phoneticPr fontId="5"/>
  </si>
  <si>
    <t>target</t>
    <phoneticPr fontId="5"/>
  </si>
  <si>
    <t>効果</t>
    <phoneticPr fontId="5"/>
  </si>
  <si>
    <t>condition</t>
    <phoneticPr fontId="5"/>
  </si>
  <si>
    <t>active_unit</t>
  </si>
  <si>
    <t>自身が先頭の時</t>
    <phoneticPr fontId="5"/>
  </si>
  <si>
    <t>always</t>
    <phoneticPr fontId="5"/>
  </si>
  <si>
    <t>ver</t>
    <phoneticPr fontId="5"/>
  </si>
  <si>
    <t>conditions</t>
    <phoneticPr fontId="5"/>
  </si>
  <si>
    <t>priority</t>
    <phoneticPr fontId="5"/>
  </si>
  <si>
    <t>1.7.0</t>
    <phoneticPr fontId="5"/>
  </si>
  <si>
    <t>0</t>
    <phoneticPr fontId="5"/>
  </si>
  <si>
    <t>[condition:always]</t>
  </si>
  <si>
    <t>ability_param</t>
  </si>
  <si>
    <t>[effect:panel_break, target:myself, block_type:jammer, turn:-1]</t>
  </si>
  <si>
    <t>[effect:tolerance, target:myself, turn:-1, tolerance_effect:hungup, count:-1, animation:prevent_abnormal_Unit04]</t>
  </si>
  <si>
    <t>[effect:tolerance, target:myself, turn:-1, tolerance_effect:sleep, count:-1, animation:prevent_abnormal_Unit04]</t>
  </si>
  <si>
    <t>[effect:tolerance, target:myself, turn:-1, tolerance_effect:bomb_small, count:-1, animation:prevent_abnormal_Unit04]</t>
  </si>
  <si>
    <t>[effect:damage_up, target:myself, val:1.5, turn:1, type01:all,option:killer]</t>
  </si>
  <si>
    <t>[effect:reduction, target:myself, turn:-1, color:red, val:0.25, animation:reduction_one01]</t>
  </si>
  <si>
    <t>[effect:reduction, target:myself, turn:-1, color:blue, val:0.25, animation:reduction_one01]</t>
  </si>
  <si>
    <t>[effect:reduction, target:myself, turn:-1, color:green, val:0.25, animation:reduction_one01]</t>
  </si>
  <si>
    <t>[effect:reduction, target:myself, turn:-1, color:yellow, val:0.25, animation:reduction_one01]</t>
  </si>
  <si>
    <t>[condition:unit_attack_target,tribe:god]</t>
    <phoneticPr fontId="5"/>
  </si>
  <si>
    <t>[condition:unit_attack_target,tribe:human]</t>
    <phoneticPr fontId="5"/>
  </si>
  <si>
    <t>[condition:unit_attack_target,tribe:human]</t>
    <phoneticPr fontId="5"/>
  </si>
  <si>
    <t>[condition:unit_attack_target,tribe:animal]</t>
    <phoneticPr fontId="5"/>
  </si>
  <si>
    <t>[condition:unit_attack_target,tribe:dragon]</t>
    <phoneticPr fontId="5"/>
  </si>
  <si>
    <t>[condition:unit_attack_target,tribe:unknown]</t>
    <phoneticPr fontId="5"/>
  </si>
  <si>
    <t>[condition:unit_attack_target,tribe:samurai]</t>
    <phoneticPr fontId="5"/>
  </si>
  <si>
    <t>[condition:unit_attack_target,tribe:weapon]</t>
    <phoneticPr fontId="5"/>
  </si>
  <si>
    <t>[condition:unit_attack_target,tribe:academia]</t>
    <phoneticPr fontId="5"/>
  </si>
  <si>
    <t>[condition:unit_attack_target,tribe:ti]</t>
    <phoneticPr fontId="5"/>
  </si>
  <si>
    <t>1.7.0</t>
  </si>
  <si>
    <t>0</t>
  </si>
  <si>
    <t>対マシン ダメージUP</t>
    <phoneticPr fontId="5"/>
  </si>
  <si>
    <t>[condition:unit_attack_target,tribe:machine]</t>
    <phoneticPr fontId="5"/>
  </si>
  <si>
    <t>プロテクトブレイク</t>
    <phoneticPr fontId="5"/>
  </si>
  <si>
    <t>自身に対する全属性の敵からの攻撃を10％軽減</t>
    <phoneticPr fontId="5"/>
  </si>
  <si>
    <t>[effect:reduction, target:myself, turn:-1, color:all, val:0.10, animation:reduction_one01]</t>
    <phoneticPr fontId="5"/>
  </si>
  <si>
    <t>全属性耐性10</t>
    <phoneticPr fontId="5"/>
  </si>
  <si>
    <t>赤属性耐性25</t>
    <phoneticPr fontId="5"/>
  </si>
  <si>
    <t>青属性耐性25</t>
    <phoneticPr fontId="5"/>
  </si>
  <si>
    <t>緑属性耐性25</t>
    <phoneticPr fontId="5"/>
  </si>
  <si>
    <t>黄属性耐性25</t>
    <phoneticPr fontId="5"/>
  </si>
  <si>
    <t>[effect:panel_break, target:myself, block_type:freeze, turn:-1]</t>
    <phoneticPr fontId="5"/>
  </si>
  <si>
    <t>[effect:panel_break, target:myself, block_type:freeze, turn:-1]</t>
    <phoneticPr fontId="5"/>
  </si>
  <si>
    <t>自身が先頭の時、爆風軽減を無効化する</t>
    <rPh sb="8" eb="10">
      <t>バクフ</t>
    </rPh>
    <rPh sb="10" eb="12">
      <t>ケイゲn</t>
    </rPh>
    <rPh sb="13" eb="16">
      <t>ムコ</t>
    </rPh>
    <phoneticPr fontId="5"/>
  </si>
  <si>
    <t>[effect:damage_up, target:myself, val:1.3, turn:1, type01:all,option:killer]</t>
  </si>
  <si>
    <t>自身が先頭の時、プロテクトを無視してパネル破壊できる</t>
    <rPh sb="14" eb="16">
      <t>ムs</t>
    </rPh>
    <rPh sb="21" eb="23">
      <t>ハカ</t>
    </rPh>
    <phoneticPr fontId="5"/>
  </si>
  <si>
    <t>自身の攻撃対象が種族ゴッドの場合全ての攻撃の威力をUP</t>
    <phoneticPr fontId="5"/>
  </si>
  <si>
    <t>自身の攻撃対象が種族ヒューマンの場合全ての攻撃の威力をUP</t>
    <phoneticPr fontId="5"/>
  </si>
  <si>
    <t>自身の攻撃対象が種族アニマルの場合全ての攻撃の威力をUP</t>
    <phoneticPr fontId="5"/>
  </si>
  <si>
    <t>自身の攻撃対象が種族ドラゴンの場合全ての攻撃の威力をUP</t>
    <phoneticPr fontId="5"/>
  </si>
  <si>
    <t>自身の攻撃対象が種族Unknownの場合全ての攻撃の威力をUP</t>
    <phoneticPr fontId="5"/>
  </si>
  <si>
    <t>自身の攻撃対象が種族サムライの場合全ての攻撃の威力をUP</t>
    <phoneticPr fontId="5"/>
  </si>
  <si>
    <t>自身の攻撃対象が種族ウェポンの場合全ての攻撃の威力をUP</t>
    <phoneticPr fontId="5"/>
  </si>
  <si>
    <t>自身の攻撃対象が種族アカデミアの場合全ての攻撃の威力をUP</t>
    <phoneticPr fontId="5"/>
  </si>
  <si>
    <t>自身の攻撃対象が種族タイタンの場合全ての攻撃の威力をUP</t>
    <phoneticPr fontId="5"/>
  </si>
  <si>
    <t>自身の攻撃対象が種族マシンの場合全ての攻撃の威力をUP</t>
    <phoneticPr fontId="5"/>
  </si>
  <si>
    <t>自身の攻撃対象が種族タイタンの場合全ての攻撃の威力をUP</t>
    <phoneticPr fontId="5"/>
  </si>
  <si>
    <t xml:space="preserve">[condition:always]    </t>
    <phoneticPr fontId="5"/>
  </si>
  <si>
    <t>[effect:damage_up, target:myself, val:1.3, turn:1, type01:all,option:killer]</t>
    <phoneticPr fontId="5"/>
  </si>
  <si>
    <t>[effect:damage_up, target:myself, val:1.3, turn:1, type01:all,option:killer]</t>
    <phoneticPr fontId="5"/>
  </si>
  <si>
    <t>自身に対する緑属性の敵からの攻撃を25％軽減</t>
    <phoneticPr fontId="5"/>
  </si>
  <si>
    <t>自身に対する黄属性の敵からの攻撃を25％軽減</t>
    <phoneticPr fontId="5"/>
  </si>
  <si>
    <t>フロア 回復</t>
    <phoneticPr fontId="5"/>
  </si>
  <si>
    <t>[condition:every_floor]</t>
    <phoneticPr fontId="5"/>
  </si>
  <si>
    <t>自身が先頭の時、ボムの爆風を強化する</t>
    <phoneticPr fontId="5"/>
  </si>
  <si>
    <t>[effect:change_bomb_range, turn:-1, target:myself, val:1.2, rate:1, animation:bomb_small]</t>
    <phoneticPr fontId="5"/>
  </si>
  <si>
    <t>aaa</t>
    <phoneticPr fontId="5"/>
  </si>
  <si>
    <t>ja</t>
    <phoneticPr fontId="5"/>
  </si>
  <si>
    <t>パネルブレイク30 攻撃力UP</t>
    <phoneticPr fontId="5"/>
  </si>
  <si>
    <t>自身が先頭の時、1ターンの間に合計30個以上パネルを破壊した場合に攻撃力UP</t>
    <phoneticPr fontId="5"/>
  </si>
  <si>
    <t>1.7.0</t>
    <phoneticPr fontId="5"/>
  </si>
  <si>
    <t>[condition:enclose,[condition:active_unit],[condition:panel_total,count:30],logic:and]</t>
    <phoneticPr fontId="5"/>
  </si>
  <si>
    <t>[condition:unit_attack_target,tribe:god]</t>
    <phoneticPr fontId="5"/>
  </si>
  <si>
    <t>[effect:enhance_unit, target:myself, turn:1, status:attack, val:0.2, calc:mul, animation:enhance_unit_all_attack03]</t>
    <phoneticPr fontId="5"/>
  </si>
  <si>
    <t>チェイン12 攻撃力UP</t>
    <phoneticPr fontId="5"/>
  </si>
  <si>
    <t>自身が先頭の時、お邪魔パネルを破壊できる</t>
    <rPh sb="15" eb="17">
      <t>ハカ</t>
    </rPh>
    <phoneticPr fontId="5"/>
  </si>
  <si>
    <t>[effect:regenerate, turn:-1, target:unit_all, val:0.2, type:hp_ratio, animation:heal01_unit01]</t>
    <phoneticPr fontId="5"/>
  </si>
  <si>
    <t>ダメージパネルブレイク</t>
    <phoneticPr fontId="5"/>
  </si>
  <si>
    <t>[effect:panel_break, target:myself, block_type:damage, turn:-1]</t>
    <phoneticPr fontId="5"/>
  </si>
  <si>
    <t>Cパネル生成短縮</t>
    <phoneticPr fontId="5"/>
  </si>
  <si>
    <t xml:space="preserve">[effect:crash_condition, target:myself, turn:-1, val:-1, animation:crash_panel_reduce03]    </t>
    <phoneticPr fontId="5"/>
  </si>
  <si>
    <t>[condition:fever_start]</t>
    <phoneticPr fontId="5"/>
  </si>
  <si>
    <t>[effect:enhance_unit, target:unit_green, turn:1, status:attack, val:0.2125, calc:mul, animation:enhance_unit_all_attack02],[effect:enhance_unit, target:unit_green, turn:1, status:heal, val:0.42, calc:mul, animation:enhance_unit_all_heal02_unit02]</t>
    <phoneticPr fontId="5"/>
  </si>
  <si>
    <t>自身が先頭の時、フィーバー発動時に緑属性の攻撃力と回復力UP</t>
    <phoneticPr fontId="5"/>
  </si>
  <si>
    <t>チェイン12 HP回復</t>
    <phoneticPr fontId="5"/>
  </si>
  <si>
    <t>パネルブレイク30 回復力UP</t>
    <phoneticPr fontId="5"/>
  </si>
  <si>
    <t>[effect:heal_fix, val:2000, animation:heal03]</t>
    <phoneticPr fontId="5"/>
  </si>
  <si>
    <t>チェイン12 回復力UP</t>
    <phoneticPr fontId="5"/>
  </si>
  <si>
    <t>[effect:enhance_unit, target:myself, turn:1, status:heal, val:0.4, calc:mul, animation:enhance_unit_all_heal02_unit01]</t>
    <phoneticPr fontId="5"/>
  </si>
  <si>
    <t>自身が先頭の時、1ターンの間に合計30個以上パネルを破壊した場合に回復力UP</t>
    <phoneticPr fontId="5"/>
  </si>
  <si>
    <t>自身が先頭の時、ダメージを受けずにダメージパネルを破壊できる</t>
    <rPh sb="25" eb="27">
      <t>ハカ</t>
    </rPh>
    <phoneticPr fontId="5"/>
  </si>
  <si>
    <t>[condition:enclose,[condition:active_unit],[condition:panel_chain,count:12],logic:and]</t>
    <phoneticPr fontId="5"/>
  </si>
  <si>
    <t>[condition:enclose,[condition:active_unit] ,[condition:panel_chain,count:12],logic:and]</t>
    <phoneticPr fontId="5"/>
  </si>
  <si>
    <t>[condition:enclose,[condition:active_unit] ,[condition:panel_chain,count:12],logic:and]</t>
    <phoneticPr fontId="5"/>
  </si>
  <si>
    <t>バリア</t>
    <phoneticPr fontId="5"/>
  </si>
  <si>
    <t>[effect:damage_barrier, target:myself, turn:-1, val:50000, animation:activate_shield]</t>
    <phoneticPr fontId="5"/>
  </si>
  <si>
    <t>戦闘開始時に、ダメージを50000まで防ぐバリアを一度だけ展開</t>
    <phoneticPr fontId="5"/>
  </si>
  <si>
    <t>青属性耐性10</t>
    <phoneticPr fontId="5"/>
  </si>
  <si>
    <t>緑属性耐性10</t>
    <phoneticPr fontId="5"/>
  </si>
  <si>
    <t>自身に対する青属性の敵からの攻撃を10％軽減</t>
    <phoneticPr fontId="5"/>
  </si>
  <si>
    <t>黄属性耐性10</t>
    <phoneticPr fontId="5"/>
  </si>
  <si>
    <t>自身に対する黄属性の敵からの攻撃を10％軽減</t>
    <phoneticPr fontId="5"/>
  </si>
  <si>
    <t>[effect:reduction, target:myself, turn:-1, color:blue, val:0.1, animation:reduction_one01]</t>
    <phoneticPr fontId="5"/>
  </si>
  <si>
    <t>[effect:reduction, target:myself, turn:-1, color:green, val:0.1, animation:reduction_one01]</t>
    <phoneticPr fontId="5"/>
  </si>
  <si>
    <t>[effect:reduction, target:myself, turn:-1, color:yellow, val:0.1, animation:reduction_one01]</t>
    <phoneticPr fontId="5"/>
  </si>
  <si>
    <t>戦闘開始時に、ダメージを25000まで防ぐバリアを一度だけ展開</t>
    <phoneticPr fontId="5"/>
  </si>
  <si>
    <t>[effect:damage_barrier, target:myself, turn:-1, val:15000, animation:activate_shield]</t>
    <phoneticPr fontId="5"/>
  </si>
  <si>
    <t>[effect:damage_barrier, target:myself, turn:-1, val:25000, animation:activate_shield]</t>
    <phoneticPr fontId="5"/>
  </si>
  <si>
    <t>[effect:enhance_unit, target:myself, turn:1, status:attack, val:0.2, calc:mul, animation:enhance_unit_all_attack03]</t>
    <phoneticPr fontId="5"/>
  </si>
  <si>
    <t>攻撃力・回復力UP</t>
    <phoneticPr fontId="5"/>
  </si>
  <si>
    <t>カウンター威力UP</t>
    <phoneticPr fontId="5"/>
  </si>
  <si>
    <t>自身の攻撃力と回復力をUP</t>
    <phoneticPr fontId="5"/>
  </si>
  <si>
    <t>Cパネル生成短縮(大)</t>
    <rPh sb="9" eb="10">
      <t>ダ</t>
    </rPh>
    <phoneticPr fontId="5"/>
  </si>
  <si>
    <t>バリア15000</t>
  </si>
  <si>
    <t>戦闘開始時に、自身への直接ダメージを15000まで防ぐバリアを一度だけ展開(バリアは破壊されると復活しない)</t>
  </si>
  <si>
    <t>[condition:active_unit]</t>
    <phoneticPr fontId="5"/>
  </si>
  <si>
    <t>自身が先頭の時、1タップで12個以上パネルを繋げた場合にHPを2000回復(1ターンに1度だけ発動)</t>
    <phoneticPr fontId="5"/>
  </si>
  <si>
    <t xml:space="preserve">[condition:always]    </t>
    <phoneticPr fontId="5"/>
  </si>
  <si>
    <t>[effect:panel_break, target:myself, block_type:jammer, turn:-1]</t>
    <phoneticPr fontId="5"/>
  </si>
  <si>
    <t>チェイン12 タップ回数UP</t>
    <phoneticPr fontId="5"/>
  </si>
  <si>
    <t>[condition:enclose,[condition:active_unit] ,[condition:panel_chain,count:12],logic:and]</t>
    <phoneticPr fontId="5"/>
  </si>
  <si>
    <t>[effect:enhance_unit, target:myself, turn:1, status:action, val:1, calc:mul, animation:enhance_unit_one_action01]</t>
    <phoneticPr fontId="5"/>
  </si>
  <si>
    <t>プロテクトブレイク</t>
    <phoneticPr fontId="5"/>
  </si>
  <si>
    <t xml:space="preserve">[condition:always]    </t>
    <phoneticPr fontId="5"/>
  </si>
  <si>
    <t>[effect:panel_break, target:myself, block_type:freeze, turn:-1]</t>
    <phoneticPr fontId="5"/>
  </si>
  <si>
    <t xml:space="preserve">[condition:always]    </t>
    <phoneticPr fontId="5"/>
  </si>
  <si>
    <t>[effect:tolerance, target:myself, turn:-1, tolerance_effect:virus, count:-1, animation:prevent_abnormal_Unit04]</t>
    <phoneticPr fontId="5"/>
  </si>
  <si>
    <t>お邪魔ブレイク</t>
    <phoneticPr fontId="5"/>
  </si>
  <si>
    <t>[effect:panel_break, target:myself, block_type:jammer, turn:-1]</t>
    <phoneticPr fontId="5"/>
  </si>
  <si>
    <t>赤属性耐性10</t>
    <phoneticPr fontId="5"/>
  </si>
  <si>
    <t>自身に対する赤属性の敵からの攻撃を10％軽減</t>
    <phoneticPr fontId="5"/>
  </si>
  <si>
    <t>[effect:reduction, target:myself, turn:-1, color:red, val:0.1, animation:reduction_one01]</t>
    <phoneticPr fontId="5"/>
  </si>
  <si>
    <t>ハロウィンナイトパニック！ 威力UP</t>
    <phoneticPr fontId="5"/>
  </si>
  <si>
    <t>ハロウィンナイトパニック！内で自身の全ての攻撃の威力を究極UP</t>
    <phoneticPr fontId="5"/>
  </si>
  <si>
    <t>[condition:enclose,[condition:quest_id,quest:47003],[condition:unit_attack_target],logic:and]</t>
    <phoneticPr fontId="5"/>
  </si>
  <si>
    <t>[effect:damage_up, target:myself, val:2.9, turn:1, type01:all, option:killer]</t>
    <phoneticPr fontId="5"/>
  </si>
  <si>
    <t>フィーバー時自身の攻撃力、回復力を特大UP</t>
    <phoneticPr fontId="5"/>
  </si>
  <si>
    <t>[effect:enhance_unit, target:myself, turn:1, status:attack, val:0.255, calc:mul, animation:enhance_unit_all_attack03],[effect:enhance_unit, target:myself, turn:1, status:heal, val:0.45, calc:mul, animation:enhance_unit_all_heal04_unit01]</t>
    <phoneticPr fontId="5"/>
  </si>
  <si>
    <t>[effect:damage_barrier, target:myself, turn:-1, val:8000, animation:activate_shield]</t>
    <phoneticPr fontId="5"/>
  </si>
  <si>
    <t>フィーバー強化</t>
    <rPh sb="5" eb="7">
      <t>キョ</t>
    </rPh>
    <phoneticPr fontId="5"/>
  </si>
  <si>
    <t>ハート出現率UP</t>
    <phoneticPr fontId="5"/>
  </si>
  <si>
    <t>自身が先頭の時、ハートパネルの出現率UP</t>
    <phoneticPr fontId="5"/>
  </si>
  <si>
    <t>ゴッド種族耐性10</t>
    <rPh sb="3" eb="5">
      <t>シュゾk</t>
    </rPh>
    <phoneticPr fontId="5"/>
  </si>
  <si>
    <t>自身に対するゴッド種族の敵からの攻撃を25％軽減</t>
    <phoneticPr fontId="5"/>
  </si>
  <si>
    <t>[effect:reduction, target:myself, turn:-1, tribe:god, val:0.25, animation:reduction_one01]</t>
    <phoneticPr fontId="5"/>
  </si>
  <si>
    <t>ハート無効化耐性</t>
    <rPh sb="6" eb="8">
      <t>タイセ</t>
    </rPh>
    <phoneticPr fontId="5"/>
  </si>
  <si>
    <t>自身が先頭の時、ハート無効化の影響を受けない</t>
    <phoneticPr fontId="5"/>
  </si>
  <si>
    <t>パネルブレイク30 防御力小UP</t>
    <rPh sb="10" eb="13">
      <t>ボ</t>
    </rPh>
    <rPh sb="13" eb="14">
      <t>ショウ</t>
    </rPh>
    <phoneticPr fontId="5"/>
  </si>
  <si>
    <t>自身が先頭の時、1ターンの間に合計30個以上パネルを破壊した場合に防御力小UP</t>
    <rPh sb="33" eb="36">
      <t>ボ</t>
    </rPh>
    <rPh sb="36" eb="37">
      <t>ショ</t>
    </rPh>
    <phoneticPr fontId="5"/>
  </si>
  <si>
    <t>パネルブレイク30 防御力UP</t>
    <rPh sb="10" eb="13">
      <t>ボ</t>
    </rPh>
    <phoneticPr fontId="5"/>
  </si>
  <si>
    <t>パネルブレイク30 防御力大UP</t>
    <rPh sb="10" eb="13">
      <t>ボ</t>
    </rPh>
    <rPh sb="13" eb="14">
      <t>ダ</t>
    </rPh>
    <phoneticPr fontId="5"/>
  </si>
  <si>
    <t>パネルブレイク30 防御力特大UP</t>
    <rPh sb="10" eb="13">
      <t>ボ</t>
    </rPh>
    <rPh sb="13" eb="15">
      <t>トクダ</t>
    </rPh>
    <phoneticPr fontId="5"/>
  </si>
  <si>
    <t>自身が先頭の時、1ターンの間に合計30個以上パネルを破壊した場合に防御力UP</t>
    <rPh sb="33" eb="36">
      <t>ボ</t>
    </rPh>
    <phoneticPr fontId="5"/>
  </si>
  <si>
    <t>自身が先頭の時、1ターンの間に合計30個以上パネルを破壊した場合に防御力大UP</t>
    <rPh sb="33" eb="36">
      <t>ボ</t>
    </rPh>
    <rPh sb="36" eb="37">
      <t>ダ</t>
    </rPh>
    <phoneticPr fontId="5"/>
  </si>
  <si>
    <t>自身が先頭の時、1ターンの間に合計30個以上パネルを破壊した場合に防御力特大UP</t>
    <rPh sb="33" eb="36">
      <t>ボ</t>
    </rPh>
    <rPh sb="36" eb="38">
      <t>トクダ</t>
    </rPh>
    <phoneticPr fontId="5"/>
  </si>
  <si>
    <t>[effect:enhance_unit, target:myself, turn:1, status:defense, val:720, calc:add, animation:enhance_unit_all_defense02_unit01]</t>
    <phoneticPr fontId="5"/>
  </si>
  <si>
    <t>[effect:enhance_unit, target:myself, turn:1, status:defense, val:360, calc:add, animation:enhance_unit_all_defense01_unit01]</t>
    <phoneticPr fontId="5"/>
  </si>
  <si>
    <t>[effect:enhance_unit, target:myself, turn:1, status:defense, val:1080, calc:add, animation:enhance_unit_all_defense03_unit01]</t>
    <phoneticPr fontId="5"/>
  </si>
  <si>
    <t>[effect:enhance_unit, target:myself, turn:1, status:defense, val:1440, calc:add, animation:enhance_unit_all_defense04_unit01]</t>
    <phoneticPr fontId="5"/>
  </si>
  <si>
    <t>赤パネル出現率UP</t>
    <rPh sb="0" eb="1">
      <t>アカパn</t>
    </rPh>
    <phoneticPr fontId="5"/>
  </si>
  <si>
    <t>自身が先頭の時、赤パネルの出現率UP</t>
    <phoneticPr fontId="5"/>
  </si>
  <si>
    <t>自身が先頭の時、青パネルの出現率UP</t>
    <rPh sb="8" eb="9">
      <t>ア</t>
    </rPh>
    <phoneticPr fontId="5"/>
  </si>
  <si>
    <t>青パネル出現率UP</t>
    <rPh sb="0" eb="1">
      <t>ア</t>
    </rPh>
    <phoneticPr fontId="5"/>
  </si>
  <si>
    <t>[effect:change_panel_ratio, turn:-1, block_type:blue, val:0.3, animation:block_incidence04]</t>
    <phoneticPr fontId="5"/>
  </si>
  <si>
    <t>緑パネル出現率UP</t>
    <rPh sb="0" eb="1">
      <t>ミドr</t>
    </rPh>
    <phoneticPr fontId="5"/>
  </si>
  <si>
    <t>自身が先頭の時、緑パネルの出現率UP</t>
    <rPh sb="8" eb="9">
      <t>ミドr</t>
    </rPh>
    <phoneticPr fontId="5"/>
  </si>
  <si>
    <t>[effect:change_panel_ratio, turn:-1, block_type:green, val:0.3, animation:block_incidence04]</t>
    <phoneticPr fontId="5"/>
  </si>
  <si>
    <t>黄パネル出現率UP</t>
    <rPh sb="0" eb="1">
      <t>キイr</t>
    </rPh>
    <phoneticPr fontId="5"/>
  </si>
  <si>
    <t>自身が先頭の時、黄パネルの出現率UP</t>
    <rPh sb="8" eb="9">
      <t>キイr</t>
    </rPh>
    <phoneticPr fontId="5"/>
  </si>
  <si>
    <t>[effect:reduction, target:myself, turn:-1, color:yellow, val:0.25, animation:reduction_one01]</t>
    <phoneticPr fontId="5"/>
  </si>
  <si>
    <t>[effect:change_panel_ratio, turn:-1, block_type:yellow, val:0.3, animation:block_incidence04]</t>
    <phoneticPr fontId="5"/>
  </si>
  <si>
    <t xml:space="preserve">[condition:always]    </t>
  </si>
  <si>
    <t>自身が先頭の時、赤・緑パネル無効化の影響を受けない</t>
    <rPh sb="10" eb="11">
      <t>ミドr</t>
    </rPh>
    <phoneticPr fontId="5"/>
  </si>
  <si>
    <t>[effect:invalidate_dis_panel, target:myself, block_type:block_heart, turn:-1]</t>
    <phoneticPr fontId="5"/>
  </si>
  <si>
    <t>赤・緑パネル無効化耐性</t>
    <rPh sb="2" eb="3">
      <t>ミドr</t>
    </rPh>
    <phoneticPr fontId="5"/>
  </si>
  <si>
    <t>[effect:invalidate_dis_panel, target:myself, block_type:block_red, turn:-1],[effect:invalidate_dis_panel, target:myself, block_type:block_green, turn:-1]</t>
    <phoneticPr fontId="5"/>
  </si>
  <si>
    <t>パネルブレイク30 ターンHP小回復</t>
    <phoneticPr fontId="5"/>
  </si>
  <si>
    <t>自身が先頭の時、1ターンの間に合計30個以上パネルを破壊した場合に1ターン HP小回復</t>
    <phoneticPr fontId="5"/>
  </si>
  <si>
    <t>[effect:regenerate, turn:1, val:0.405, animation:heal01_unit01]</t>
    <phoneticPr fontId="5"/>
  </si>
  <si>
    <t>自身が先頭の時、ハートパネルを確率でハートボムパネルに変換しドロップ</t>
    <phoneticPr fontId="5"/>
  </si>
  <si>
    <t>[effect:drop_block, block_type:crack_bomb, block_color:block_heart, color:block_heart, val:12, rate:0.5, turn:-1, animation:crash_influence04]</t>
    <phoneticPr fontId="5"/>
  </si>
  <si>
    <t>ハートボムパネルドロップ</t>
    <phoneticPr fontId="5"/>
  </si>
  <si>
    <t>赤・青パネル無効化耐性</t>
    <rPh sb="2" eb="3">
      <t>ア</t>
    </rPh>
    <phoneticPr fontId="5"/>
  </si>
  <si>
    <t>自身が先頭の時、赤・青パネル無効化の影響を受けない</t>
    <rPh sb="10" eb="11">
      <t>ア</t>
    </rPh>
    <phoneticPr fontId="5"/>
  </si>
  <si>
    <t>[effect:invalidate_dis_panel, target:myself, block_type:block_red, turn:-1],[effect:invalidate_dis_panel, target:myself, block_type:block_blue, turn:-1]</t>
    <phoneticPr fontId="5"/>
  </si>
  <si>
    <t>黄・緑パネル無効化耐性</t>
    <rPh sb="0" eb="1">
      <t>キ</t>
    </rPh>
    <rPh sb="2" eb="3">
      <t>ミドr</t>
    </rPh>
    <phoneticPr fontId="5"/>
  </si>
  <si>
    <t>自身が先頭の時、黄・緑パネル無効化の影響を受けない</t>
    <rPh sb="8" eb="9">
      <t>キ</t>
    </rPh>
    <rPh sb="10" eb="11">
      <t>ミドr</t>
    </rPh>
    <phoneticPr fontId="5"/>
  </si>
  <si>
    <t>[effect:invalidate_dis_panel, target:myself, block_type:block_yellow, turn:-1],[effect:invalidate_dis_panel, target:myself, block_type:block_green, turn:-1]</t>
    <phoneticPr fontId="5"/>
  </si>
  <si>
    <t>黄・ハートパネル無効化耐性</t>
    <rPh sb="0" eb="1">
      <t>キ</t>
    </rPh>
    <phoneticPr fontId="5"/>
  </si>
  <si>
    <t>自身が先頭の時、黄・ハートパネル無効化の影響を受けない</t>
    <rPh sb="8" eb="9">
      <t>キ</t>
    </rPh>
    <phoneticPr fontId="5"/>
  </si>
  <si>
    <t>[effect:invalidate_dis_panel, target:myself, block_type:block_yellow, turn:-1],[effect:invalidate_dis_panel, target:myself, block_type:block_heart, turn:-1]</t>
    <phoneticPr fontId="5"/>
  </si>
  <si>
    <t>緑・赤・青・黄パネル無効化耐性</t>
    <rPh sb="0" eb="1">
      <t>ミドr</t>
    </rPh>
    <rPh sb="2" eb="3">
      <t>アk</t>
    </rPh>
    <rPh sb="4" eb="5">
      <t>ア</t>
    </rPh>
    <rPh sb="6" eb="7">
      <t>キ</t>
    </rPh>
    <phoneticPr fontId="5"/>
  </si>
  <si>
    <t>全パネル無効化耐性</t>
    <rPh sb="0" eb="1">
      <t>ゼn</t>
    </rPh>
    <phoneticPr fontId="5"/>
  </si>
  <si>
    <t>自身が先頭の時、全てのパネル無効化の影響を受けない</t>
    <rPh sb="8" eb="9">
      <t>スベt</t>
    </rPh>
    <phoneticPr fontId="5"/>
  </si>
  <si>
    <t>自身が先頭の時、緑・赤・青・黄パネル無効化の影響を受けない</t>
    <rPh sb="8" eb="9">
      <t>ミドr</t>
    </rPh>
    <rPh sb="10" eb="11">
      <t>アk</t>
    </rPh>
    <rPh sb="12" eb="13">
      <t>ア</t>
    </rPh>
    <rPh sb="14" eb="15">
      <t>キ</t>
    </rPh>
    <phoneticPr fontId="5"/>
  </si>
  <si>
    <t>[effect:invalidate_dis_panel, target:myself, block_type:block_yellow, turn:-1],[effect:invalidate_dis_panel, target:myself, block_type:block_green, turn:-1],[effect:invalidate_dis_panel, target:myself, block_type:block_red, turn:-1],[effect:invalidate_dis_panel, target:myself, block_type:block_blue, turn:-1]</t>
    <phoneticPr fontId="5"/>
  </si>
  <si>
    <t>[effect:invalidate_dis_panel, target:myself, block_type:block_yellow, turn:-1],[effect:invalidate_dis_panel, target:myself, block_type:block_green, turn:-1],[effect:invalidate_dis_panel, target:myself, block_type:block_red, turn:-1],[effect:invalidate_dis_panel, target:myself, block_type:block_blue, turn:-1],[effect:invalidate_dis_panel, target:myself, block_type:block_heart, turn:-1]</t>
    <phoneticPr fontId="5"/>
  </si>
  <si>
    <t>バリア10000</t>
    <phoneticPr fontId="5"/>
  </si>
  <si>
    <t>戦闘開始時に、自身への直接ダメージを10000まで防ぐバリアを一度だけ展開(バリアは破壊されると復活しない)</t>
    <phoneticPr fontId="5"/>
  </si>
  <si>
    <t>[effect:damage_barrier, target:myself, turn:-1, val:10000, animation:activate_shield]</t>
    <phoneticPr fontId="5"/>
  </si>
  <si>
    <t>ボムブレイク10 防御力UP</t>
    <phoneticPr fontId="5"/>
  </si>
  <si>
    <t>[condition:panel_total,count:10,type:crack_bomb]</t>
    <phoneticPr fontId="5"/>
  </si>
  <si>
    <t>自身または味方が1ターンの間に合計10個以上ボムパネルを破壊した場合に防御力UP</t>
    <rPh sb="35" eb="38">
      <t>ボ</t>
    </rPh>
    <phoneticPr fontId="5"/>
  </si>
  <si>
    <t>[effect:enhance_unit, target:unit_all, turn:1, status:defense, val:300, calc:add, animation:enhance_unit_all_defense02_unit01]</t>
    <phoneticPr fontId="5"/>
  </si>
  <si>
    <t>自身が先頭の時、緑パネルを確率で青パネルに変換しドロップ</t>
    <rPh sb="8" eb="9">
      <t>ミドr</t>
    </rPh>
    <rPh sb="16" eb="17">
      <t>ア</t>
    </rPh>
    <phoneticPr fontId="5"/>
  </si>
  <si>
    <t>青パネルドロップ</t>
    <rPh sb="0" eb="1">
      <t>ア</t>
    </rPh>
    <phoneticPr fontId="5"/>
  </si>
  <si>
    <t xml:space="preserve">[effect:drop_block, block_type:normal, block_color:block_blue, color:block_green, val:0, rate:0.5, turn:-1]    </t>
    <phoneticPr fontId="5"/>
  </si>
  <si>
    <t>[condition:always]</t>
    <phoneticPr fontId="5"/>
  </si>
  <si>
    <t>[effect:enhance_unit, target:myself, turn:-1, status:heal, val:400, calc:add, animation:enhance_unit_all_heal01_unit01]</t>
    <phoneticPr fontId="5"/>
  </si>
  <si>
    <t>回復力400UP</t>
    <phoneticPr fontId="5"/>
  </si>
  <si>
    <t>自身の回復力を400UP</t>
    <phoneticPr fontId="5"/>
  </si>
  <si>
    <t>自身が先頭の時、1ターンの間に合計18個以上パネルを破壊した場合にフィーバーゲージ上昇</t>
    <rPh sb="41" eb="43">
      <t>ジョ</t>
    </rPh>
    <phoneticPr fontId="5"/>
  </si>
  <si>
    <t>[condition:enclose,[condition:active_unit],[condition:panel_total,count:18],logic:and]</t>
    <phoneticPr fontId="5"/>
  </si>
  <si>
    <t>[effect:enhance_fever_status, val:50, animation:fevergauge_up04_next]</t>
    <phoneticPr fontId="5"/>
  </si>
  <si>
    <t>自身の攻撃力を300UP</t>
    <rPh sb="3" eb="5">
      <t>コウゲk</t>
    </rPh>
    <phoneticPr fontId="5"/>
  </si>
  <si>
    <t>[effect:enhance_unit, target:myself, turn:-1, status:attack, val:300, calc:add, animation:enhance_unit_all_attack01_unit01]</t>
    <phoneticPr fontId="5"/>
  </si>
  <si>
    <t>攻撃力UP</t>
    <rPh sb="0" eb="2">
      <t>コウゲk</t>
    </rPh>
    <phoneticPr fontId="5"/>
  </si>
  <si>
    <t>パネルブレイク40 防御力UP</t>
    <rPh sb="10" eb="13">
      <t>ボ</t>
    </rPh>
    <phoneticPr fontId="5"/>
  </si>
  <si>
    <t>自身が先頭の時、1ターンの間に合計40個以上パネルを破壊した場合に青属性ユニットの防御力を400UP</t>
    <rPh sb="33" eb="36">
      <t>アオゾk</t>
    </rPh>
    <rPh sb="41" eb="44">
      <t>ボウgy</t>
    </rPh>
    <phoneticPr fontId="5"/>
  </si>
  <si>
    <t>[effect:enhance_unit, target:unit_blue, turn:1, status:defense, val:400, calc:add, animation:enhance_unit_all_defense01_unit01]</t>
    <phoneticPr fontId="5"/>
  </si>
  <si>
    <t>[condition:enclose,[condition:active_unit],[condition:panel_total,count:40],logic:and]</t>
    <phoneticPr fontId="5"/>
  </si>
  <si>
    <t>黄パネルドロップ</t>
    <rPh sb="0" eb="1">
      <t>キ</t>
    </rPh>
    <phoneticPr fontId="5"/>
  </si>
  <si>
    <t>自身が先頭の時、青パネルを確率で黄パネルに変換しドロップ</t>
    <rPh sb="8" eb="9">
      <t>ア</t>
    </rPh>
    <rPh sb="16" eb="17">
      <t>キ</t>
    </rPh>
    <phoneticPr fontId="5"/>
  </si>
  <si>
    <t>赤パネルドロップ</t>
    <rPh sb="0" eb="1">
      <t>アカ</t>
    </rPh>
    <phoneticPr fontId="5"/>
  </si>
  <si>
    <t>自身が先頭の時、黄パネルを確率で赤パネルに変換しドロップ</t>
    <rPh sb="8" eb="9">
      <t>キ</t>
    </rPh>
    <rPh sb="16" eb="17">
      <t>アカ</t>
    </rPh>
    <phoneticPr fontId="5"/>
  </si>
  <si>
    <t xml:space="preserve">[effect:drop_block, block_type:normal, block_color:block_red, color:block_yellow, val:0, rate:0.5, turn:-1]    </t>
    <phoneticPr fontId="5"/>
  </si>
  <si>
    <t>パネルブレイク40 攻撃力UP</t>
    <phoneticPr fontId="5"/>
  </si>
  <si>
    <t>自身が先頭の時、1ターンの間に合計40個以上パネルを破壊した場合に攻撃力UP</t>
    <phoneticPr fontId="5"/>
  </si>
  <si>
    <t>[condition:enclose,[condition:active_unit],[condition:panel_total,count:40],logic:and]</t>
    <phoneticPr fontId="5"/>
  </si>
  <si>
    <t>パネルブレイク40 攻撃力小UP</t>
    <rPh sb="13" eb="14">
      <t>ショウ</t>
    </rPh>
    <phoneticPr fontId="5"/>
  </si>
  <si>
    <t>[condition:enclose,[condition:active_unit],[condition:panel_total,count:40],logic:and]</t>
    <phoneticPr fontId="5"/>
  </si>
  <si>
    <t>[effect:enhance_unit, target:myself, turn:1, status:attack, val:0.1, calc:mul, animation:enhance_unit_all_attack02]</t>
    <phoneticPr fontId="5"/>
  </si>
  <si>
    <t>防御力UP</t>
    <rPh sb="0" eb="2">
      <t>ボ</t>
    </rPh>
    <phoneticPr fontId="5"/>
  </si>
  <si>
    <t>自身の防御力を250UP</t>
    <rPh sb="3" eb="5">
      <t>b</t>
    </rPh>
    <phoneticPr fontId="5"/>
  </si>
  <si>
    <t>[condition:always]</t>
    <phoneticPr fontId="5"/>
  </si>
  <si>
    <t>[effect:enhance_unit, target:myself, turn:-1, status:defense, val:250, calc:add, animation:enhance_unit_all_defense01_unit01]</t>
    <phoneticPr fontId="5"/>
  </si>
  <si>
    <t>[condition:enclose,[condition:active_unit] ,[condition:panel_chain,count:18],logic:and]</t>
    <phoneticPr fontId="5"/>
  </si>
  <si>
    <t>[effect:enhance_sp_boost, target:myself, count:1]</t>
    <phoneticPr fontId="5"/>
  </si>
  <si>
    <t>自身が先頭の時、赤パネルを確率で黄パネルに変換しドロップ</t>
    <rPh sb="8" eb="9">
      <t>アk</t>
    </rPh>
    <rPh sb="16" eb="17">
      <t>キ</t>
    </rPh>
    <phoneticPr fontId="5"/>
  </si>
  <si>
    <t>ja</t>
    <phoneticPr fontId="5"/>
  </si>
  <si>
    <t>チェイン17 回復力UP</t>
    <rPh sb="7" eb="10">
      <t>カイフクリョク</t>
    </rPh>
    <phoneticPr fontId="5"/>
  </si>
  <si>
    <t>1.7.0</t>
    <phoneticPr fontId="5"/>
  </si>
  <si>
    <t>[condition:enclose,[condition:active_unit] ,[condition:panel_chain,count:17],logic:and]</t>
    <phoneticPr fontId="5"/>
  </si>
  <si>
    <t>0</t>
    <phoneticPr fontId="5"/>
  </si>
  <si>
    <t>チェイン12 攻撃力小UP</t>
    <rPh sb="10" eb="11">
      <t>ショウ</t>
    </rPh>
    <phoneticPr fontId="5"/>
  </si>
  <si>
    <t>フィーバー50 攻撃力小UP</t>
    <rPh sb="11" eb="12">
      <t>ショ</t>
    </rPh>
    <phoneticPr fontId="5"/>
  </si>
  <si>
    <t>フィーバーゲージが50％以上の時、自身の攻撃力小UP</t>
    <rPh sb="23" eb="24">
      <t>ショ</t>
    </rPh>
    <phoneticPr fontId="5"/>
  </si>
  <si>
    <t>[condition:fever_gauge,lower:50]</t>
    <phoneticPr fontId="5"/>
  </si>
  <si>
    <t>[effect:enhance_unit, target:myself, turn:1, status:attack, val:0.1, calc:mul, animation:enhance_unit_all_attack01]</t>
    <phoneticPr fontId="5"/>
  </si>
  <si>
    <t xml:space="preserve">[effect:drop_block, block_type:normal, block_color:block_yellow, color:block_red, val:0, rate:0.4, turn:-1]    </t>
    <phoneticPr fontId="5"/>
  </si>
  <si>
    <t>パネルブレイク30 攻撃力小UP</t>
    <rPh sb="13" eb="14">
      <t>ショウ</t>
    </rPh>
    <phoneticPr fontId="5"/>
  </si>
  <si>
    <t>パネルブレイク40 HP小回復</t>
    <rPh sb="12" eb="13">
      <t>sh</t>
    </rPh>
    <phoneticPr fontId="5"/>
  </si>
  <si>
    <t>自身が先頭の時、1ターンの間に合計40個以上パネルを破壊した場合にターン終了時HP小回復</t>
    <rPh sb="41" eb="42">
      <t>ショ</t>
    </rPh>
    <phoneticPr fontId="5"/>
  </si>
  <si>
    <t>[condition:enclose,[condition:active_unit],[condition:panel_total,count:40],logic:and]</t>
    <phoneticPr fontId="5"/>
  </si>
  <si>
    <t>[effect:regenerate, target:unit_all, turn:1, val:0.09, type:hp_ratio, animation:heal01]</t>
    <phoneticPr fontId="5"/>
  </si>
  <si>
    <t>回復力300UP</t>
    <phoneticPr fontId="5"/>
  </si>
  <si>
    <t>自身の回復力を300UP</t>
    <phoneticPr fontId="5"/>
  </si>
  <si>
    <t>[effect:enhance_unit, target:myself, turn:-1, status:heal, val:300, calc:add, animation:enhance_unit_all_heal01_unit01]</t>
    <phoneticPr fontId="5"/>
  </si>
  <si>
    <t>チェイン14 回復力小UP</t>
    <rPh sb="10" eb="11">
      <t>ショ</t>
    </rPh>
    <phoneticPr fontId="5"/>
  </si>
  <si>
    <t>[condition:enclose,[condition:active_unit] ,[condition:panel_chain,count:14],logic:and]</t>
    <phoneticPr fontId="5"/>
  </si>
  <si>
    <t>バリア3939</t>
    <phoneticPr fontId="5"/>
  </si>
  <si>
    <t>戦闘開始時に、自身への直接ダメージを3939まで防ぐバリアを一度だけ展開(バリアは破壊されると復活しない)</t>
    <phoneticPr fontId="5"/>
  </si>
  <si>
    <t>[effect:damage_barrier, target:myself, turn:-1, val:3939, animation:activate_shield]</t>
    <phoneticPr fontId="5"/>
  </si>
  <si>
    <t>自身の防御力を350UP</t>
    <rPh sb="3" eb="5">
      <t>b</t>
    </rPh>
    <phoneticPr fontId="5"/>
  </si>
  <si>
    <t>[effect:enhance_unit, target:myself, turn:-1, status:defense, val:350, calc:add, animation:enhance_unit_all_defense01_unit01]</t>
    <phoneticPr fontId="5"/>
  </si>
  <si>
    <t>自身が先頭の時、緑パネルを確率でSCパネルに変換しドロップ</t>
    <rPh sb="8" eb="9">
      <t>ミドr</t>
    </rPh>
    <phoneticPr fontId="5"/>
  </si>
  <si>
    <t>SCパネルドロップ</t>
    <phoneticPr fontId="5"/>
  </si>
  <si>
    <t>[effect:drop_block, block_type:crash, color:block_green, val:12, rate:0.05, turn:-1]</t>
    <phoneticPr fontId="5"/>
  </si>
  <si>
    <t>フィーバー40 攻撃力UP</t>
    <phoneticPr fontId="5"/>
  </si>
  <si>
    <t>フィーバーゲージが40％以上の時、自身の攻撃力UP</t>
    <phoneticPr fontId="5"/>
  </si>
  <si>
    <t>[condition:fever_gauge,lower:40]</t>
    <phoneticPr fontId="5"/>
  </si>
  <si>
    <t>[effect:enhance_unit, target:myself, turn:1, status:attack, val:0.1, calc:mul, animation:enhance_unit_all_attack02]</t>
    <phoneticPr fontId="5"/>
  </si>
  <si>
    <t>[effect:enhance_unit, target:myself, turn:1, status:heal, val:2017, calc:add, animation:enhance_unit_all_heal02_unit01]</t>
    <phoneticPr fontId="5"/>
  </si>
  <si>
    <t>チェイン14 攻撃力UP</t>
    <phoneticPr fontId="5"/>
  </si>
  <si>
    <t>[condition:enclose,[condition:active_unit] ,[condition:panel_chain,count:14],logic:and]</t>
    <phoneticPr fontId="5"/>
  </si>
  <si>
    <t>[effect:enhance_unit, target:myself, turn:1, status:heal, val:0.3, calc:mul, animation:enhance_unit_all_heal01_unit01]</t>
    <phoneticPr fontId="5"/>
  </si>
  <si>
    <t>自身の攻撃力を500UP</t>
    <rPh sb="3" eb="5">
      <t>コウゲk</t>
    </rPh>
    <phoneticPr fontId="5"/>
  </si>
  <si>
    <t>ハップルチャレンジ ダメージUP</t>
    <phoneticPr fontId="5"/>
  </si>
  <si>
    <t>ハップルチャレンジ内で自身の全ての攻撃の威力をUP</t>
    <phoneticPr fontId="5"/>
  </si>
  <si>
    <t>[condition:enclose,[condition:quest_id,quest:60026],[condition:unit_attack_target],logic:and]</t>
    <phoneticPr fontId="5"/>
  </si>
  <si>
    <t>自身が先頭の時、1ターンの間に合計30個以上パネルを破壊した場合に攻撃力小UP</t>
    <rPh sb="36" eb="37">
      <t>ショ</t>
    </rPh>
    <phoneticPr fontId="5"/>
  </si>
  <si>
    <t>自身が先頭の時、1ターンの間に合計40個以上パネルを破壊した場合に攻撃力小UP</t>
    <rPh sb="36" eb="37">
      <t>sy</t>
    </rPh>
    <phoneticPr fontId="5"/>
  </si>
  <si>
    <t>緑ボムパネル(大)ドロップ</t>
    <rPh sb="0" eb="1">
      <t>ミドr</t>
    </rPh>
    <phoneticPr fontId="5"/>
  </si>
  <si>
    <t>自身が先頭の時、低確率で緑ボムパネル(大)をドロップ</t>
    <rPh sb="8" eb="9">
      <t>ヒk</t>
    </rPh>
    <rPh sb="12" eb="13">
      <t>ミドr</t>
    </rPh>
    <phoneticPr fontId="5"/>
  </si>
  <si>
    <t>[effect:drop_block, block_type:crack_bomb, block_color:block_green, color:block_all, val:24, rate:0.03, turn:-1, animation:bomb_influence04]</t>
    <phoneticPr fontId="5"/>
  </si>
  <si>
    <t>青属性耐性8</t>
    <phoneticPr fontId="5"/>
  </si>
  <si>
    <t>緑属性耐性8</t>
    <phoneticPr fontId="5"/>
  </si>
  <si>
    <t>黄属性耐性8</t>
    <phoneticPr fontId="5"/>
  </si>
  <si>
    <t>[effect:reduction, target:myself, turn:-1, color:red, val:0.08, animation:reduction_one01]</t>
    <phoneticPr fontId="5"/>
  </si>
  <si>
    <t>[effect:reduction, target:myself, turn:-1, color:blue, val:0.08, animation:reduction_one01]</t>
    <phoneticPr fontId="5"/>
  </si>
  <si>
    <t>[effect:reduction, target:myself, turn:-1, color:green, val:0.08, animation:reduction_one01]</t>
    <phoneticPr fontId="5"/>
  </si>
  <si>
    <t>[effect:reduction, target:myself, turn:-1, color:yellow, val:0.08, animation:reduction_one01]</t>
    <phoneticPr fontId="5"/>
  </si>
  <si>
    <t>自身に対する緑属性の敵からの攻撃を10％軽減</t>
    <phoneticPr fontId="5"/>
  </si>
  <si>
    <t>赤属性耐性8</t>
    <phoneticPr fontId="5"/>
  </si>
  <si>
    <t>自身に対する赤属性の敵からの攻撃を8%軽減</t>
    <phoneticPr fontId="5"/>
  </si>
  <si>
    <t>自身に対する青属性の敵からの攻撃を8%軽減</t>
    <phoneticPr fontId="5"/>
  </si>
  <si>
    <t>自身に対する緑属性の敵からの攻撃を8%軽減</t>
    <phoneticPr fontId="5"/>
  </si>
  <si>
    <t>自身に対する黄属性の敵からの攻撃を8%軽減</t>
    <phoneticPr fontId="5"/>
  </si>
  <si>
    <t>[condition:active_unit]</t>
    <phoneticPr fontId="5"/>
  </si>
  <si>
    <t>[effect:change_panel_ratio, turn:-1, block_type:heal, val:0.3, animation:block_incidence04]</t>
    <phoneticPr fontId="5"/>
  </si>
  <si>
    <t xml:space="preserve">[effect:drop_block, block_type:normal, block_color:block_yellow, color:block_blue, val:0, rate:0.4, turn:-1]    </t>
    <phoneticPr fontId="5"/>
  </si>
  <si>
    <t>Cパネルドロップ</t>
    <phoneticPr fontId="5"/>
  </si>
  <si>
    <t>自身が先頭の時、低確率でCパネルをドロップ</t>
    <phoneticPr fontId="5"/>
  </si>
  <si>
    <t>赤ボムパネルドロップ</t>
    <rPh sb="0" eb="1">
      <t>アカ</t>
    </rPh>
    <phoneticPr fontId="5"/>
  </si>
  <si>
    <t>緑ボムパネルドロップ</t>
    <rPh sb="0" eb="1">
      <t>ミドリ</t>
    </rPh>
    <phoneticPr fontId="5"/>
  </si>
  <si>
    <t>自身が先頭の時、赤パネルを低確率で赤ボムパネルに変換しドロップ</t>
    <rPh sb="8" eb="9">
      <t>アカ</t>
    </rPh>
    <rPh sb="13" eb="14">
      <t>テイ</t>
    </rPh>
    <rPh sb="17" eb="18">
      <t>アカ</t>
    </rPh>
    <phoneticPr fontId="5"/>
  </si>
  <si>
    <t>自身が先頭の時、緑パネルを低確率で緑ボムパネルに変換しドロップ</t>
    <rPh sb="8" eb="9">
      <t>ミドリ</t>
    </rPh>
    <rPh sb="13" eb="14">
      <t>テイ</t>
    </rPh>
    <rPh sb="17" eb="18">
      <t>ミドリ</t>
    </rPh>
    <phoneticPr fontId="5"/>
  </si>
  <si>
    <t>[effect:drop_block, block_type:crack_bomb, block_color:block_green, color:block_green, val:12, rate:0.25, turn:-1, animation:crash_influence04]</t>
    <phoneticPr fontId="5"/>
  </si>
  <si>
    <t>[effect:drop_block, block_type:crack_bomb, block_color:block_red, color:block_red, val:12, rate:0.25, turn:-1, animation:crash_influence04]</t>
    <phoneticPr fontId="5"/>
  </si>
  <si>
    <t>パネルブレイク100 攻撃力UP</t>
    <rPh sb="11" eb="14">
      <t>コウゲキリョク</t>
    </rPh>
    <phoneticPr fontId="5"/>
  </si>
  <si>
    <t>自身が先頭の時、1ターンの間に合計100個以上パネルを破壊した場合に攻撃力2140UP</t>
    <rPh sb="34" eb="37">
      <t>コウゲキリョク</t>
    </rPh>
    <phoneticPr fontId="5"/>
  </si>
  <si>
    <t>[condition:enclose,[condition:active_unit],[condition:panel_total,count:100],logic:and]</t>
    <phoneticPr fontId="5"/>
  </si>
  <si>
    <t>[effect:enhance_unit, target:myself, turn:1, status:attack, val:2140, calc:add, animation:enhance_unit_one_attack03]</t>
    <phoneticPr fontId="5"/>
  </si>
  <si>
    <t>[effect:change_panel_ratio, turn:-1, block_type:red, val:0.45, animation:block_incidence04]</t>
    <phoneticPr fontId="5"/>
  </si>
  <si>
    <t>[effect:drop_block, block_type:crash, color:block_all, val:8, rate:0.05, turn:-1]</t>
    <phoneticPr fontId="5"/>
  </si>
  <si>
    <t>ハートボムパネル(大)ドロップ</t>
    <phoneticPr fontId="5"/>
  </si>
  <si>
    <t>[condition:enclose,[condition:active_unit],[condition:panel_total,count:50],logic:and]</t>
    <phoneticPr fontId="5"/>
  </si>
  <si>
    <t>[effect:enhance_unit, target:myself, turn:1, status:action, val:1, calc:add, animation:enhance_unit_one_action01]</t>
    <phoneticPr fontId="5"/>
  </si>
  <si>
    <t>自身が先頭の時、1ターンの間に合計50個以上パネルを破壊した場合にターン終了時HP回復</t>
    <phoneticPr fontId="5"/>
  </si>
  <si>
    <t>[effect:regenerate, target:unit_all, turn:1, val:0.22, type:hp_ratio, animation:heal01]</t>
    <phoneticPr fontId="5"/>
  </si>
  <si>
    <t>自身の防御力を300UP</t>
    <rPh sb="3" eb="5">
      <t>b</t>
    </rPh>
    <phoneticPr fontId="5"/>
  </si>
  <si>
    <t>[effect:enhance_unit, target:myself, turn:-1, status:defense, val:300, calc:add, animation:enhance_unit_all_defense01_unit01]</t>
    <phoneticPr fontId="5"/>
  </si>
  <si>
    <t>[condition:enclose,[condition:active_unit],[condition:panel_total,count:30],logic:and]</t>
    <phoneticPr fontId="5"/>
  </si>
  <si>
    <t>チェイン16 黄属性防御力UP</t>
    <phoneticPr fontId="5"/>
  </si>
  <si>
    <t>[effect:enhance_unit, target:unit_yellow, turn:1, status:defense, val:300, calc:add, animation:enhance_unit_all_defense01_unit01]</t>
    <phoneticPr fontId="5"/>
  </si>
  <si>
    <t>[condition:enclose,[condition:active_unit] ,[condition:panel_chain,count:16],logic:and]</t>
    <phoneticPr fontId="5"/>
  </si>
  <si>
    <t>自身が先頭の時、低確率でハートボムパネル(大)をドロップ</t>
    <phoneticPr fontId="5"/>
  </si>
  <si>
    <t>青ボムパネルドロップ</t>
    <rPh sb="0" eb="1">
      <t>ア</t>
    </rPh>
    <phoneticPr fontId="5"/>
  </si>
  <si>
    <t>自身が先頭の時、青パネルを確率で青ボムパネルに変換しドロップ</t>
    <rPh sb="8" eb="9">
      <t>ア</t>
    </rPh>
    <rPh sb="16" eb="17">
      <t>ア</t>
    </rPh>
    <phoneticPr fontId="5"/>
  </si>
  <si>
    <t>[effect:drop_block, block_type:crack_bomb, block_color:block_blue, color:block_blue, val:12, rate:0.5, turn:-1, animation:crash_influence04]</t>
    <phoneticPr fontId="5"/>
  </si>
  <si>
    <t>自身の防御力を400UP</t>
    <rPh sb="3" eb="5">
      <t>b</t>
    </rPh>
    <phoneticPr fontId="5"/>
  </si>
  <si>
    <t>対ゴッド&amp;ヒーロー ダメージUP</t>
    <phoneticPr fontId="5"/>
  </si>
  <si>
    <t>自身の攻撃対象が種族ゴッド、ヒーローの場合全ての攻撃の威力をUP</t>
    <phoneticPr fontId="5"/>
  </si>
  <si>
    <t>[condition:enclose,[condition:unit_attack_target,tribe:god],[condition:unit_attack_target,tribe:hero],logic:or]</t>
    <phoneticPr fontId="5"/>
  </si>
  <si>
    <t>ボムブレイク10 黄属性攻撃力UP</t>
    <rPh sb="9" eb="10">
      <t>キイr</t>
    </rPh>
    <rPh sb="10" eb="12">
      <t>キゾk</t>
    </rPh>
    <rPh sb="12" eb="15">
      <t>コウゲk</t>
    </rPh>
    <phoneticPr fontId="5"/>
  </si>
  <si>
    <t>自身または味方が1ターンの間に合計10個以上ボムパネルを破壊した場合に黄属性ユニットの攻撃力UP</t>
    <rPh sb="35" eb="36">
      <t>キイr</t>
    </rPh>
    <rPh sb="36" eb="38">
      <t>キゾk</t>
    </rPh>
    <rPh sb="43" eb="46">
      <t>コウゲk</t>
    </rPh>
    <phoneticPr fontId="5"/>
  </si>
  <si>
    <t>対ドラゴン&amp;アニマルダメージUP</t>
    <phoneticPr fontId="5"/>
  </si>
  <si>
    <t>自身の攻撃対象が種族ドラゴン、アニマルの場合全ての攻撃の威力をUP</t>
    <phoneticPr fontId="5"/>
  </si>
  <si>
    <t>[effect:enhance_unit, target:unit_yellow, turn:1, status:attack, val:500, calc:add, animation:enhance_unit_all_attack02_unit01]</t>
    <phoneticPr fontId="5"/>
  </si>
  <si>
    <t>4ターン毎に自身のカウンタースキルの威力が1ターンの間UP</t>
    <phoneticPr fontId="5"/>
  </si>
  <si>
    <t>[condition:save_every_turn,each:4,count_type:normal]</t>
    <phoneticPr fontId="5"/>
  </si>
  <si>
    <t>[effect:attack_command, turn:1, target:myself, val:1.0, animation:unit_all_attack_command05]</t>
    <phoneticPr fontId="5"/>
  </si>
  <si>
    <t>[condition:save_every_turn,each:7,count_type:normal]</t>
    <phoneticPr fontId="5"/>
  </si>
  <si>
    <t>最初の1ターン目と、その後7ターン毎に自身が先頭以外でも通常攻撃に参加する</t>
    <phoneticPr fontId="5"/>
  </si>
  <si>
    <t>[effect:change_panel_ratio, turn:-1, block_type:blue, val:0.45, animation:block_incidence04]</t>
    <phoneticPr fontId="5"/>
  </si>
  <si>
    <t>フロア 防御力アップ</t>
    <phoneticPr fontId="5"/>
  </si>
  <si>
    <t>全フロアの1ターン目終了時に全ユニットの防御力を1ターン400UP</t>
    <phoneticPr fontId="5"/>
  </si>
  <si>
    <t>[effect:enhance_unit, target:myself, turn:-1, status:defense, val:400, calc:add, animation:enhance_unit_all_defense01_unit01]</t>
    <phoneticPr fontId="5"/>
  </si>
  <si>
    <t>[effect:enhance_unit, target:all, turn:-1, status:defense, val:400, calc:add, animation:enhance_unit_all_defense01_unit01]</t>
    <phoneticPr fontId="5"/>
  </si>
  <si>
    <t>パネルブレイク50 生成短縮激烈</t>
    <phoneticPr fontId="5"/>
  </si>
  <si>
    <t>自身が先頭の時、Cパネル生成に必要なチェイン数を2短縮する</t>
    <phoneticPr fontId="5"/>
  </si>
  <si>
    <t xml:space="preserve">[effect:crash_condition, target:myself, turn:-1, val:-2, animation:crash_panel_reduce03]    </t>
    <phoneticPr fontId="5"/>
  </si>
  <si>
    <t xml:space="preserve">[effect:crash_condition, target:myself, turn:1, val:-12, animation:crash_panel_reduce05] </t>
    <phoneticPr fontId="5"/>
  </si>
  <si>
    <t>[condition:unit_attack_target,tribe:human]</t>
    <phoneticPr fontId="5"/>
  </si>
  <si>
    <t>[condition:enclose,[condition:active_unit] ,[condition:panel_chain,count:30],logic:and]</t>
    <phoneticPr fontId="5"/>
  </si>
  <si>
    <t>チェイン30 Cパネル生成短縮(激烈)</t>
    <phoneticPr fontId="5"/>
  </si>
  <si>
    <t>自身が先頭の時、緑パネルを確率で黄パネルに変換しドロップ</t>
    <rPh sb="16" eb="17">
      <t>キ</t>
    </rPh>
    <phoneticPr fontId="5"/>
  </si>
  <si>
    <t>[effect:panel_break, target:myself, block_type01:time_bomb, break_type:all, turn:-1]</t>
    <phoneticPr fontId="5"/>
  </si>
  <si>
    <t>チェイン18 HP回復</t>
    <phoneticPr fontId="5"/>
  </si>
  <si>
    <t>パネルブレイク25 回復力UP</t>
    <phoneticPr fontId="5"/>
  </si>
  <si>
    <t>自身が先頭の時、1ターンの間に合計25個以上パネルを破壊した場合に回復力UP</t>
    <phoneticPr fontId="5"/>
  </si>
  <si>
    <t>[condition:enclose,[condition:active_unit],[condition:panel_total,count:25],logic:and]</t>
    <phoneticPr fontId="5"/>
  </si>
  <si>
    <t>自身が先頭の時、1ターンの間に合計33個以上パネルを破壊した場合に赤・緑属性の防御力を330UP</t>
    <phoneticPr fontId="5"/>
  </si>
  <si>
    <t>[condition:enclose,[condition:active_unit],[condition:panel_total,count:33],logic:and]</t>
    <phoneticPr fontId="5"/>
  </si>
  <si>
    <t>[effect:enhance_unit, target:unit_red/unit_green/or, turn:1, status:defense, val:330, calc:add, animation:enhance_unit_all_defense01_unit01]</t>
    <phoneticPr fontId="5"/>
  </si>
  <si>
    <t>[effect:regenerate, turn:1, val:2500, type:fix, animation:heal01_unit01]</t>
    <phoneticPr fontId="5"/>
  </si>
  <si>
    <t>パネルブレイク33 赤･緑属性防御UP</t>
    <phoneticPr fontId="5"/>
  </si>
  <si>
    <t>パネルブレイク90 タップ回数UP</t>
    <phoneticPr fontId="5"/>
  </si>
  <si>
    <t>[condition:enclose,[condition:active_unit],[condition:panel_total,count:90],logic:and]</t>
    <phoneticPr fontId="5"/>
  </si>
  <si>
    <t>自身が先頭の時、時限式ダメージパネルを直接破壊できる</t>
    <phoneticPr fontId="5"/>
  </si>
  <si>
    <t>自身が先頭の時、時限式ダメージパネルを直接破壊できる</t>
    <phoneticPr fontId="5"/>
  </si>
  <si>
    <t>自身が先頭の時、時限式ダメージパネルを直接破壊できる</t>
    <phoneticPr fontId="5"/>
  </si>
  <si>
    <t>自身が先頭の時、1タップで12個以上パネルを繋げた場合に攻撃力UP(1ターンに1度だけ発動)</t>
    <phoneticPr fontId="5"/>
  </si>
  <si>
    <t>自身が先頭の時、1タップで12個以上パネルを繋げた場合に回復力UP(1ターンに1度だけ発動)</t>
    <phoneticPr fontId="5"/>
  </si>
  <si>
    <t>自身が先頭の時、1タップで12個以上パネルを繋げた場合にタップ回数を1回増やす(1ターンに1度だけ発動)</t>
    <phoneticPr fontId="5"/>
  </si>
  <si>
    <t>自身が先頭の時、1タップで17個以上パネルを繋げた場合に自身の回復力を2017UP(1ターンに1度だけ発動)</t>
    <rPh sb="28" eb="30">
      <t>ジシn</t>
    </rPh>
    <rPh sb="31" eb="34">
      <t>カイフクリョク</t>
    </rPh>
    <phoneticPr fontId="5"/>
  </si>
  <si>
    <t>自身が先頭の時、1タップで12個以上パネルを繋げた場合に攻撃力小UP(1ターンに1度だけ発動)</t>
    <rPh sb="31" eb="32">
      <t>ショ</t>
    </rPh>
    <phoneticPr fontId="5"/>
  </si>
  <si>
    <t>自身が先頭の時、1タップで14個以上パネルを繋げた場合に回復力小UP(1ターンに1度だけ発動)</t>
    <rPh sb="31" eb="32">
      <t>ショ</t>
    </rPh>
    <phoneticPr fontId="5"/>
  </si>
  <si>
    <t>自身が先頭の時、1タップで14個以上パネルを繋げた場合に攻撃力UP(1ターンに1度だけ発動)</t>
    <phoneticPr fontId="5"/>
  </si>
  <si>
    <t>自身が先頭の時、1タップで16個以上パネルを繋げた場合に黄属性ユニットの防御力UP(1ターンに1度だけ発動)</t>
    <rPh sb="28" eb="29">
      <t>キイr</t>
    </rPh>
    <rPh sb="29" eb="31">
      <t>ゾクセ</t>
    </rPh>
    <rPh sb="36" eb="38">
      <t>ボ</t>
    </rPh>
    <rPh sb="38" eb="39">
      <t>リョk</t>
    </rPh>
    <phoneticPr fontId="5"/>
  </si>
  <si>
    <t>自身が先頭の時、1タップで30個以上パネルを繋げた場合にCパネル生成短縮(効果激烈)(1ターンに1度だけ発動)</t>
    <phoneticPr fontId="5"/>
  </si>
  <si>
    <t>バリア8000</t>
    <phoneticPr fontId="5"/>
  </si>
  <si>
    <t>全フロアの1ターン目終了時にパーティの合計HPの20％を回復する</t>
    <phoneticPr fontId="5"/>
  </si>
  <si>
    <t>自身が先頭の時、Cパネル生成に必要なチェイン数を1短縮する</t>
    <phoneticPr fontId="5"/>
  </si>
  <si>
    <t>戦闘開始時に、自身への直接ダメージを8000まで防ぐバリアを一度だけ展開(バリアは破壊されると復活しない)</t>
  </si>
  <si>
    <t>[condition:boss_floor]</t>
  </si>
  <si>
    <t>[condition:boss_floor]</t>
    <phoneticPr fontId="5"/>
  </si>
  <si>
    <t>[condition:boss_floor]</t>
    <phoneticPr fontId="5"/>
  </si>
  <si>
    <t>[effect:damage_up, target:myself, val:1.3, turn:1, type01:crash_skill,option:killer]</t>
    <phoneticPr fontId="5"/>
  </si>
  <si>
    <t>自身が先頭の時、1タップで18個以上パネルを繋げた場合にHPを2500回復(1ターンに1度だけ発動)</t>
    <phoneticPr fontId="5"/>
  </si>
  <si>
    <t>自身が先頭の時、1タップで24個以上パネルを繋げた場合に敵からのダメージを15％軽減(1ターンに1度だけ発動)</t>
    <phoneticPr fontId="5"/>
  </si>
  <si>
    <t>[condition:enclose,[condition:active_unit] ,[condition:panel_chain,count:24],logic:and]</t>
    <phoneticPr fontId="5"/>
  </si>
  <si>
    <t>[effect:reduction, target:unit_all, color:all, turn:1, val:0.15, animation:reduction_one01]</t>
    <phoneticPr fontId="5"/>
  </si>
  <si>
    <t>HP33%以下 攻撃力UP</t>
    <phoneticPr fontId="5"/>
  </si>
  <si>
    <t>[condition:enclose,[condition:active_unit],[condition:hp_rate,upper:33],logic:and]</t>
    <phoneticPr fontId="5"/>
  </si>
  <si>
    <t>[effect:enhance_unit, target:myself, turn:1, status:attack, val:0.4, calc:mul, animation:enhance_unit_all_attack03]</t>
    <phoneticPr fontId="5"/>
  </si>
  <si>
    <t>[effect:damage_up, target:myself, val:1.5, turn:1, type01:all, option:killer]</t>
    <phoneticPr fontId="5"/>
  </si>
  <si>
    <t>クロネッカーチャレンジ ダメージUP</t>
    <phoneticPr fontId="5"/>
  </si>
  <si>
    <t>クロネッカーチャレンジ内で自身の全ての攻撃の威力をUP</t>
    <phoneticPr fontId="5"/>
  </si>
  <si>
    <t>[condition:enclose,[condition:quest_id,quest:60028],[condition:unit_attack_target],logic:and]</t>
    <phoneticPr fontId="5"/>
  </si>
  <si>
    <t>青属性キラー</t>
    <rPh sb="0" eb="3">
      <t>アオゾk</t>
    </rPh>
    <phoneticPr fontId="5"/>
  </si>
  <si>
    <t>攻撃対象が青属性の場合威力UP</t>
    <rPh sb="5" eb="8">
      <t>ア</t>
    </rPh>
    <rPh sb="11" eb="13">
      <t>イリョk</t>
    </rPh>
    <phoneticPr fontId="5"/>
  </si>
  <si>
    <t xml:space="preserve">[effect:crash_condition, target:myself, turn:-1, val:-4, animation:crash_panel_reduce03]    </t>
    <phoneticPr fontId="5"/>
  </si>
  <si>
    <t>effects</t>
    <phoneticPr fontId="5"/>
  </si>
  <si>
    <t>自身の防御力を280UP</t>
    <rPh sb="3" eb="5">
      <t>b</t>
    </rPh>
    <phoneticPr fontId="5"/>
  </si>
  <si>
    <t>[effect:enhance_unit, target:myself, turn:-1, status:defense, val:280, calc:add, animation:enhance_unit_all_defense01_unit01]</t>
    <phoneticPr fontId="5"/>
  </si>
  <si>
    <t>[condition:enclose,[condition:active_unit] ,[condition:panel_chain,count:22],logic:and]</t>
    <phoneticPr fontId="5"/>
  </si>
  <si>
    <t>[effect:damage_up, target:myself, turn:1, val:1.5, type01:all, type02:counter, option:killer]</t>
    <phoneticPr fontId="5"/>
  </si>
  <si>
    <t>category</t>
    <phoneticPr fontId="5"/>
  </si>
  <si>
    <t>category</t>
    <phoneticPr fontId="5"/>
  </si>
  <si>
    <t>クロネッカーチャレンジ内で自身の全ての攻撃+カウンターの威力をUP</t>
    <phoneticPr fontId="5"/>
  </si>
  <si>
    <t>[effect:enhance_unit, target:myself, turn:1, status:attack, val:0.3, calc:mul, animation:enhance_unit_all_attack03]</t>
    <phoneticPr fontId="5"/>
  </si>
  <si>
    <t>HP35%以下 回復力UP</t>
    <rPh sb="8" eb="11">
      <t>カイフクリョ</t>
    </rPh>
    <phoneticPr fontId="5"/>
  </si>
  <si>
    <t>自身が先頭の時、残りHPが35%以下で回復力40%UP</t>
    <rPh sb="19" eb="22">
      <t>カイフk</t>
    </rPh>
    <phoneticPr fontId="5"/>
  </si>
  <si>
    <t>[condition:enclose,[condition:active_unit],[condition:hp_rate,upper:35],logic:and]</t>
    <phoneticPr fontId="5"/>
  </si>
  <si>
    <t>[effect:enhance_unit, target:myself, turn:1, status:heal, val:0.4, calc:mul, animation:enhance_unit_all_heal03_unit01]</t>
    <phoneticPr fontId="5"/>
  </si>
  <si>
    <t>[condition:enclose,[condition:active_unit],[condition:panel_total,count:35],logic:and]</t>
    <phoneticPr fontId="5"/>
  </si>
  <si>
    <t>パネルブレイク35 攻撃力小UP</t>
    <rPh sb="13" eb="14">
      <t>ショウ</t>
    </rPh>
    <phoneticPr fontId="5"/>
  </si>
  <si>
    <t>自身が先頭の時、1ターンの間に合計35個以上パネルを破壊した場合に攻撃力小UP</t>
    <rPh sb="36" eb="37">
      <t>ショ</t>
    </rPh>
    <phoneticPr fontId="5"/>
  </si>
  <si>
    <t>[effect:enhance_unit, target:myself, turn:1, status:attack, val:0.1, calc:mul, animation:enhance_unit_all_attack02]</t>
    <phoneticPr fontId="5"/>
  </si>
  <si>
    <t>フィーバー80 攻撃力大UP</t>
    <rPh sb="11" eb="12">
      <t>ダ</t>
    </rPh>
    <phoneticPr fontId="5"/>
  </si>
  <si>
    <t>フィーバーゲージが80％以上の時、自身の攻撃力大UP</t>
    <rPh sb="23" eb="24">
      <t>ダ</t>
    </rPh>
    <phoneticPr fontId="5"/>
  </si>
  <si>
    <t>[condition:fever_gauge,lower:80]</t>
    <phoneticPr fontId="5"/>
  </si>
  <si>
    <t>赤・青属性耐性15</t>
    <phoneticPr fontId="5"/>
  </si>
  <si>
    <t>自身に対する赤・青属性の敵からの攻撃を15%軽減</t>
    <phoneticPr fontId="5"/>
  </si>
  <si>
    <t>[effect:enhance_unit, target:myself, turn:-1, status:attack, val:700, calc:add, animation:enhance_unit_all_attack01_unit01]</t>
    <phoneticPr fontId="5"/>
  </si>
  <si>
    <t>[effect:reduction, target:myself, turn:-1, color:red, val:0.15, animation:reduction_one01],[effect:reduction, target:myself, turn:-1, color:blue, val:0.15, animation:reduction_one01]</t>
    <phoneticPr fontId="5"/>
  </si>
  <si>
    <t>最初の1ターン目と、その後6ターン毎に自身が先頭以外でも通常攻撃に参加する</t>
    <phoneticPr fontId="5"/>
  </si>
  <si>
    <t>[condition:save_every_turn,each:6,count_type:normal]</t>
    <phoneticPr fontId="5"/>
  </si>
  <si>
    <t>[effect:reduction, target:unit_all, turn:-1, color:all, val:0.15, animation:reduction_one01]</t>
    <phoneticPr fontId="5"/>
  </si>
  <si>
    <t>最初の1ターン目と、その後9ターン毎に自身が先頭以外でも通常攻撃に参加する</t>
    <phoneticPr fontId="5"/>
  </si>
  <si>
    <t>[condition:save_every_turn,each:9,count_type:normal]</t>
    <phoneticPr fontId="5"/>
  </si>
  <si>
    <t>HP90%以上 全属性耐性15</t>
    <rPh sb="5" eb="7">
      <t>イジョ</t>
    </rPh>
    <phoneticPr fontId="5"/>
  </si>
  <si>
    <t>自身が先頭の時、残りHPが90%以上で全ユニットに対する全属性の敵からの攻撃を15％軽減</t>
    <rPh sb="16" eb="18">
      <t>イジョ</t>
    </rPh>
    <rPh sb="19" eb="20">
      <t>ゼンユn</t>
    </rPh>
    <phoneticPr fontId="5"/>
  </si>
  <si>
    <t>[condition:hp_rate,lower:90]</t>
    <phoneticPr fontId="5"/>
  </si>
  <si>
    <t>パネルブレイク80 攻撃力特大UP</t>
    <rPh sb="10" eb="13">
      <t>コウゲk</t>
    </rPh>
    <rPh sb="13" eb="15">
      <t>トクダ</t>
    </rPh>
    <phoneticPr fontId="5"/>
  </si>
  <si>
    <t>自身が先頭の時、1ターンの間に合計80個以上パネルを破壊した場合に攻撃力特大UP</t>
    <rPh sb="36" eb="38">
      <t>トクダ</t>
    </rPh>
    <phoneticPr fontId="5"/>
  </si>
  <si>
    <t>[condition:enclose,[condition:active_unit],[condition:panel_total,count:80],logic:and]</t>
    <phoneticPr fontId="5"/>
  </si>
  <si>
    <t>[condition:enclose,[condition:unit_attack_target,tribe:dragon],[condition:unit_attack_target,tribe:animal],logic:or]</t>
    <phoneticPr fontId="5"/>
  </si>
  <si>
    <t xml:space="preserve">[effect:crash_condition, target:unit_all, turn:1, val:-4, animation:crash_panel_reduce04] </t>
    <phoneticPr fontId="5"/>
  </si>
  <si>
    <t>自身または、味方が1タップで26個以上パネルを繋げた場合に先頭ユニットのCパネル生成短縮(効果特大)(1ターンに1度だけ発動)</t>
    <phoneticPr fontId="5"/>
  </si>
  <si>
    <t>チェイン26 Cパネル生成短縮(特大)</t>
    <rPh sb="16" eb="18">
      <t>トクダ</t>
    </rPh>
    <phoneticPr fontId="5"/>
  </si>
  <si>
    <t>プロテクトブレイク</t>
    <phoneticPr fontId="5"/>
  </si>
  <si>
    <t>プロテクトブレイク</t>
    <phoneticPr fontId="5"/>
  </si>
  <si>
    <t>プロテクトブレイク</t>
    <phoneticPr fontId="5"/>
  </si>
  <si>
    <t>お邪魔ブレイク</t>
    <phoneticPr fontId="5"/>
  </si>
  <si>
    <t>お邪魔ブレイク</t>
    <phoneticPr fontId="5"/>
  </si>
  <si>
    <t>お邪魔ブレイク</t>
    <phoneticPr fontId="5"/>
  </si>
  <si>
    <t>その他</t>
  </si>
  <si>
    <t>その他</t>
    <phoneticPr fontId="5"/>
  </si>
  <si>
    <t>その他</t>
    <phoneticPr fontId="5"/>
  </si>
  <si>
    <t>その他</t>
    <phoneticPr fontId="5"/>
  </si>
  <si>
    <t>ダメージパネルブレイク</t>
    <phoneticPr fontId="5"/>
  </si>
  <si>
    <t>スキルバインド無効</t>
  </si>
  <si>
    <t>ウィルス無効</t>
    <phoneticPr fontId="5"/>
  </si>
  <si>
    <t>爆風軽減無効</t>
  </si>
  <si>
    <t>爆風強化</t>
  </si>
  <si>
    <t>キラー</t>
  </si>
  <si>
    <t>HP回復</t>
  </si>
  <si>
    <t>防御力UP</t>
  </si>
  <si>
    <t>攻撃力UP</t>
  </si>
  <si>
    <t>回復力UP</t>
  </si>
  <si>
    <t>パネルドロップ</t>
  </si>
  <si>
    <t>パネルドロップ</t>
    <phoneticPr fontId="5"/>
  </si>
  <si>
    <t>クエスト特攻</t>
  </si>
  <si>
    <t>Cパネル生成短縮</t>
  </si>
  <si>
    <t>チェイン24 ダメージ軽減</t>
    <phoneticPr fontId="5"/>
  </si>
  <si>
    <t>パネル18 破壊フィーバーゲージ上昇</t>
    <phoneticPr fontId="5"/>
  </si>
  <si>
    <t>フィーバー攻撃UP</t>
    <phoneticPr fontId="5"/>
  </si>
  <si>
    <t>チェイン14 スキルバインド解除</t>
    <rPh sb="14" eb="16">
      <t>カイj</t>
    </rPh>
    <phoneticPr fontId="5"/>
  </si>
  <si>
    <t>自身が先頭の時、1タップで14個以上パネルを繋げた場合にスキルバインドを解除する</t>
    <rPh sb="36" eb="38">
      <t>カ</t>
    </rPh>
    <phoneticPr fontId="5"/>
  </si>
  <si>
    <t>HP50%以下 防御力UP</t>
    <rPh sb="8" eb="10">
      <t>ボ</t>
    </rPh>
    <rPh sb="10" eb="11">
      <t>カイフクリョ</t>
    </rPh>
    <phoneticPr fontId="5"/>
  </si>
  <si>
    <t>[condition:enclose,[condition:active_unit],[condition:hp_rate,upper:50],logic:and]</t>
    <phoneticPr fontId="5"/>
  </si>
  <si>
    <t>自身が先頭の時、残りHPが50%以下で防御力398UP</t>
    <rPh sb="19" eb="22">
      <t>ボ</t>
    </rPh>
    <phoneticPr fontId="5"/>
  </si>
  <si>
    <t>[effect:enhance_unit, target:myself, turn:-1, status:defense, val:398, calc:add, animation:enhance_unit_all_defense01_unit01]</t>
    <phoneticPr fontId="5"/>
  </si>
  <si>
    <t>[effect:remove_enhancement, target:unit_all, target_effect:hungup]</t>
    <phoneticPr fontId="5"/>
  </si>
  <si>
    <t xml:space="preserve">[effect:crash_condition, target:unit_all, turn:1, val:-4, animation:crash_panel_reduce04] </t>
  </si>
  <si>
    <t>自身が先頭の時、1ターンの間に合計50個以上パネルを破壊した場合にCパネル生成に必要なチェイン数を12短縮する</t>
    <phoneticPr fontId="5"/>
  </si>
  <si>
    <t>[condition:panel_chain,count:26]</t>
    <phoneticPr fontId="5"/>
  </si>
  <si>
    <t>[condition:enclose,[condition:active_unit],[condition:panel_total,count:50],logic:and]</t>
    <phoneticPr fontId="5"/>
  </si>
  <si>
    <t>自身が先頭の時、残りHPが33%以下で攻撃力特大UP</t>
    <phoneticPr fontId="5"/>
  </si>
  <si>
    <t>自身が先頭の時、1ターンの間に合計90個以上パネルを破壊した場合にタップ回数を1回増やす</t>
    <phoneticPr fontId="5"/>
  </si>
  <si>
    <t>パネルブレイク50 タップ回数UP</t>
    <phoneticPr fontId="5"/>
  </si>
  <si>
    <t>[condition:enclose,[condition:active_unit],[condition:hp_rate,upper:30],logic:and]</t>
    <phoneticPr fontId="5"/>
  </si>
  <si>
    <t>[effect:enhance_unit, target:myself, turn:1, status:attack, val:0.3, calc:mul, animation:enhance_unit_all_attack03]</t>
    <phoneticPr fontId="5"/>
  </si>
  <si>
    <t>被ダメージ時 HP回復</t>
    <rPh sb="0" eb="1">
      <t>ヒダm</t>
    </rPh>
    <rPh sb="5" eb="6">
      <t>ジ</t>
    </rPh>
    <rPh sb="9" eb="11">
      <t>カイフk</t>
    </rPh>
    <phoneticPr fontId="5"/>
  </si>
  <si>
    <t>[effect:regenerate, turn:1, val:500, type:fix, animation:heal01_unit01]</t>
    <phoneticPr fontId="5"/>
  </si>
  <si>
    <t>[condition:enemy_attack_damage,extra_turn:1]</t>
    <phoneticPr fontId="5"/>
  </si>
  <si>
    <t>HP30%以下 攻撃力大UP</t>
    <rPh sb="11" eb="12">
      <t>ダ</t>
    </rPh>
    <phoneticPr fontId="5"/>
  </si>
  <si>
    <t>自身が先頭の時、残りHPが30%以下で攻撃力大UP</t>
    <rPh sb="22" eb="23">
      <t>ダ</t>
    </rPh>
    <phoneticPr fontId="5"/>
  </si>
  <si>
    <t>フィーバー100 プロテクトブレイク</t>
    <phoneticPr fontId="5"/>
  </si>
  <si>
    <t>フィーバー100 お邪魔ブレイク</t>
    <phoneticPr fontId="5"/>
  </si>
  <si>
    <t>[condition:fever_gauge,lower:100]</t>
    <phoneticPr fontId="5"/>
  </si>
  <si>
    <t>フィーバーゲージが100％以上の時、1ターンプロテクトブレイク</t>
    <phoneticPr fontId="5"/>
  </si>
  <si>
    <t>フィーバーゲージが100％以上の時、1ターンお邪魔ブレイク</t>
    <phoneticPr fontId="5"/>
  </si>
  <si>
    <t>自身が攻撃を受けた場合、次のターンの開始時にHP500回復する</t>
    <phoneticPr fontId="5"/>
  </si>
  <si>
    <t>プロテクトブレイク</t>
  </si>
  <si>
    <t>お邪魔ブレイク</t>
  </si>
  <si>
    <t>[condition:fever_gauge,lower:90]</t>
    <phoneticPr fontId="5"/>
  </si>
  <si>
    <t>自身が先頭でフィーバーゲージが90％以上の時、プロテクトを無視してパネル破壊できる</t>
    <phoneticPr fontId="5"/>
  </si>
  <si>
    <t>自身が先頭でフィーバーゲージが20％以下の時、お邪魔パネルを破壊できる</t>
    <phoneticPr fontId="5"/>
  </si>
  <si>
    <t>[condition:fever_gauge,upper:20]</t>
  </si>
  <si>
    <t>自身が先頭の時、1ターンの間に合計50個以上パネルを破壊した場合にタップ回数を1回増やす</t>
    <phoneticPr fontId="5"/>
  </si>
  <si>
    <t>フィーバー20以下 お邪魔ブレイク</t>
    <phoneticPr fontId="5"/>
  </si>
  <si>
    <t>チェイン14 黄属性防御力UP</t>
    <phoneticPr fontId="5"/>
  </si>
  <si>
    <t>自身が先頭の時、1タップで14個以上パネルを繋げた場合に黄属性ユニットの防御力UP(1ターンに1度だけ発動)</t>
    <rPh sb="28" eb="29">
      <t>キイr</t>
    </rPh>
    <rPh sb="29" eb="31">
      <t>ゾクセ</t>
    </rPh>
    <rPh sb="36" eb="38">
      <t>ボ</t>
    </rPh>
    <rPh sb="38" eb="39">
      <t>リョk</t>
    </rPh>
    <phoneticPr fontId="5"/>
  </si>
  <si>
    <t>パネルブレイク100 タップ回数UP</t>
    <phoneticPr fontId="5"/>
  </si>
  <si>
    <t>自身が先頭の時、1ターンの間に合計100個以上パネルを破壊した場合にタップ回数を1回増やす</t>
    <phoneticPr fontId="5"/>
  </si>
  <si>
    <t>パネルブレイク35 CP生成短縮(特大)</t>
    <phoneticPr fontId="5"/>
  </si>
  <si>
    <t>自身または、味方が1ターンの間に合計35個以上パネルを破壊した場合に先頭ユニットのCパネル生成短縮(効果特大)(1ターンに1度だけ発動)</t>
    <phoneticPr fontId="5"/>
  </si>
  <si>
    <t>[condition:panel_total,count:35]</t>
    <phoneticPr fontId="5"/>
  </si>
  <si>
    <t>パネルブレイク40 CP生成短縮(特大)</t>
    <phoneticPr fontId="5"/>
  </si>
  <si>
    <t>[condition:panel_total,count:40]</t>
    <phoneticPr fontId="5"/>
  </si>
  <si>
    <t>バリア3500</t>
    <phoneticPr fontId="5"/>
  </si>
  <si>
    <t>戦闘開始時に、自身への直接ダメージを3500まで防ぐバリアを一度だけ展開(バリアは破壊されると復活しない)</t>
    <phoneticPr fontId="5"/>
  </si>
  <si>
    <t>[effect:damage_barrier, target:myself, turn:-1, val:3500, animation:activate_shield]</t>
    <phoneticPr fontId="5"/>
  </si>
  <si>
    <t>赤ボムパネル(大)ドロップ</t>
    <rPh sb="0" eb="1">
      <t>アカ</t>
    </rPh>
    <phoneticPr fontId="5"/>
  </si>
  <si>
    <t>自身が先頭の時、低確率で赤ボムパネル(大)をドロップ</t>
    <rPh sb="8" eb="9">
      <t>ヒk</t>
    </rPh>
    <rPh sb="12" eb="13">
      <t>アk</t>
    </rPh>
    <phoneticPr fontId="5"/>
  </si>
  <si>
    <t>[effect:drop_block, block_type:crack_bomb, block_color:block_red, color:block_all, val:24, rate:0.05, turn:-1, animation:bomb_influence04]</t>
    <phoneticPr fontId="5"/>
  </si>
  <si>
    <t>フィーバー90 プロテクトブレイク</t>
    <phoneticPr fontId="5"/>
  </si>
  <si>
    <t>HP90%以上 ダメージ軽減</t>
    <rPh sb="5" eb="7">
      <t>イジョ</t>
    </rPh>
    <phoneticPr fontId="5"/>
  </si>
  <si>
    <t>[effect:reduction, target:unit_all, color:all, turn:-1, val:0.15, animation:reduction_one01]</t>
    <phoneticPr fontId="5"/>
  </si>
  <si>
    <t>自身または、味方が1ターンの間に合計40個以上パネル破壊した場合に先頭ユニットのCP生成短縮(特大)(1ターンに1度だけ発動)</t>
    <phoneticPr fontId="5"/>
  </si>
  <si>
    <t>パネルブレイク40 ウィルス解除</t>
    <phoneticPr fontId="5"/>
  </si>
  <si>
    <t>その他</t>
    <phoneticPr fontId="5"/>
  </si>
  <si>
    <t>その他</t>
    <phoneticPr fontId="5"/>
  </si>
  <si>
    <t>残りHPが90%以上の時、全ユニットが敵からの攻撃を15％軽減</t>
    <phoneticPr fontId="5"/>
  </si>
  <si>
    <t>HP50%以上 お邪魔ブレイク</t>
    <rPh sb="5" eb="7">
      <t>イジョ</t>
    </rPh>
    <phoneticPr fontId="5"/>
  </si>
  <si>
    <t>自身が先頭の時、残りHPが50%以上でお邪魔パネルを破壊できる</t>
    <rPh sb="16" eb="18">
      <t>イジョ</t>
    </rPh>
    <phoneticPr fontId="5"/>
  </si>
  <si>
    <t>[condition:hp_rate,lower:50]</t>
    <phoneticPr fontId="5"/>
  </si>
  <si>
    <t>[effect:counter_new, target:unit_all, invoke_condition:enemy_all, counter_target:attacker, turn:1, val:1, animation:counter_buff03]</t>
    <phoneticPr fontId="5"/>
  </si>
  <si>
    <t>敵に青属性がいる場合 小カウンター</t>
    <rPh sb="0" eb="1">
      <t>テk</t>
    </rPh>
    <rPh sb="2" eb="3">
      <t>ア</t>
    </rPh>
    <rPh sb="3" eb="5">
      <t>アカゾk</t>
    </rPh>
    <rPh sb="8" eb="10">
      <t>バア</t>
    </rPh>
    <rPh sb="11" eb="12">
      <t>ショウ</t>
    </rPh>
    <phoneticPr fontId="5"/>
  </si>
  <si>
    <t>敵に青属性がいる場合、小カウンター</t>
    <rPh sb="0" eb="1">
      <t>テキn</t>
    </rPh>
    <rPh sb="2" eb="3">
      <t>ア</t>
    </rPh>
    <rPh sb="11" eb="12">
      <t>ショ</t>
    </rPh>
    <phoneticPr fontId="5"/>
  </si>
  <si>
    <t>[condition:with_enemy,color:blue]</t>
    <phoneticPr fontId="5"/>
  </si>
  <si>
    <t>ユニットが一番右にいるとき 攻撃力UP</t>
    <rPh sb="5" eb="7">
      <t>イチバn</t>
    </rPh>
    <rPh sb="7" eb="8">
      <t>ミギニ</t>
    </rPh>
    <rPh sb="14" eb="17">
      <t>コウゲk</t>
    </rPh>
    <phoneticPr fontId="5"/>
  </si>
  <si>
    <t>自身が一番右にいる場合、全ユニットの攻撃力UP</t>
    <rPh sb="0" eb="2">
      <t>ジシn</t>
    </rPh>
    <rPh sb="3" eb="6">
      <t>イチバn</t>
    </rPh>
    <rPh sb="12" eb="13">
      <t>ゼンユn</t>
    </rPh>
    <phoneticPr fontId="5"/>
  </si>
  <si>
    <t>[condition:index,index:4]</t>
    <phoneticPr fontId="5"/>
  </si>
  <si>
    <t>[effect:enhance_unit, target:unit_all, turn:-1, status:attack, val:0.2, calc:mul, animation:enhance_unit_all_attack03]</t>
    <phoneticPr fontId="5"/>
  </si>
  <si>
    <t>テスト</t>
    <phoneticPr fontId="5"/>
  </si>
  <si>
    <t>フロアスタート時、1ターン全ユニットの攻撃力UP</t>
    <rPh sb="13" eb="14">
      <t>ゼンユn</t>
    </rPh>
    <rPh sb="19" eb="22">
      <t>コウゲk</t>
    </rPh>
    <phoneticPr fontId="5"/>
  </si>
  <si>
    <t>[effect:enhance_unit, target:unit_all, turn:1, status:attack, val:0.2, calc:mul, animation:enhance_unit_all_attack03]</t>
    <phoneticPr fontId="5"/>
  </si>
  <si>
    <t>ｌ</t>
    <phoneticPr fontId="43"/>
  </si>
  <si>
    <t>分類</t>
    <rPh sb="0" eb="2">
      <t>ブンルイ</t>
    </rPh>
    <phoneticPr fontId="43"/>
  </si>
  <si>
    <t>アビリティ</t>
    <phoneticPr fontId="43"/>
  </si>
  <si>
    <t>フィルタソート仕様時の分類の並び</t>
    <rPh sb="7" eb="9">
      <t>シヨウ</t>
    </rPh>
    <rPh sb="9" eb="10">
      <t>ジ</t>
    </rPh>
    <rPh sb="11" eb="13">
      <t>ブンルイ</t>
    </rPh>
    <rPh sb="14" eb="15">
      <t>ナラ</t>
    </rPh>
    <phoneticPr fontId="43"/>
  </si>
  <si>
    <t>Cパネル生成短縮(大)</t>
  </si>
  <si>
    <t>ウィルス無効</t>
    <rPh sb="4" eb="6">
      <t>ムコウ</t>
    </rPh>
    <phoneticPr fontId="43"/>
  </si>
  <si>
    <t>プロテクトブレイク</t>
    <phoneticPr fontId="43"/>
  </si>
  <si>
    <t>チェイン26Cパネル生成短縮(特大)</t>
  </si>
  <si>
    <t>お邪魔ブレイク</t>
    <rPh sb="1" eb="3">
      <t>ジャマ</t>
    </rPh>
    <phoneticPr fontId="43"/>
  </si>
  <si>
    <t>チェイン30Cパネル生成短縮(激烈)</t>
  </si>
  <si>
    <t>爆風強化</t>
    <rPh sb="0" eb="2">
      <t>バクフウ</t>
    </rPh>
    <rPh sb="2" eb="4">
      <t>キョウカ</t>
    </rPh>
    <phoneticPr fontId="43"/>
  </si>
  <si>
    <t>爆風軽減無効</t>
    <rPh sb="0" eb="2">
      <t>バクフウ</t>
    </rPh>
    <rPh sb="2" eb="4">
      <t>ケイゲン</t>
    </rPh>
    <rPh sb="4" eb="6">
      <t>ムコウ</t>
    </rPh>
    <phoneticPr fontId="43"/>
  </si>
  <si>
    <t>パネルブレイク50 生成短縮激烈</t>
  </si>
  <si>
    <t>キラー</t>
    <phoneticPr fontId="43"/>
  </si>
  <si>
    <t>クエスト特攻</t>
    <rPh sb="4" eb="6">
      <t>トッコウ</t>
    </rPh>
    <phoneticPr fontId="43"/>
  </si>
  <si>
    <t>ボスフロア Cパネル生成短縮(特大)</t>
  </si>
  <si>
    <t>パネルドロップ</t>
    <phoneticPr fontId="43"/>
  </si>
  <si>
    <t>スキルバインド無効</t>
    <rPh sb="7" eb="9">
      <t>ムコウ</t>
    </rPh>
    <phoneticPr fontId="43"/>
  </si>
  <si>
    <t>Cパネルブレイク10 攻撃力UP</t>
  </si>
  <si>
    <t>HP回復</t>
    <rPh sb="2" eb="4">
      <t>カイフク</t>
    </rPh>
    <phoneticPr fontId="43"/>
  </si>
  <si>
    <t>Cパネル生成短縮</t>
    <rPh sb="4" eb="6">
      <t>セイセイ</t>
    </rPh>
    <rPh sb="6" eb="8">
      <t>タンシュク</t>
    </rPh>
    <phoneticPr fontId="43"/>
  </si>
  <si>
    <t>HP33%以下 攻撃力UP</t>
  </si>
  <si>
    <t>回復力UP</t>
    <rPh sb="0" eb="3">
      <t>カイフクリョク</t>
    </rPh>
    <phoneticPr fontId="43"/>
  </si>
  <si>
    <t>HP70%以上 攻撃力UP</t>
  </si>
  <si>
    <t>その他</t>
    <rPh sb="2" eb="3">
      <t>タ</t>
    </rPh>
    <phoneticPr fontId="43"/>
  </si>
  <si>
    <t>チェイン12攻撃力UP</t>
  </si>
  <si>
    <t>チェイン12攻撃力小UP</t>
  </si>
  <si>
    <t>チェイン14攻撃力UP</t>
  </si>
  <si>
    <t>パネルブレイク100攻撃力UP</t>
  </si>
  <si>
    <t>パネルブレイク20攻撃力UP</t>
  </si>
  <si>
    <t>パネルブレイク30 攻撃力UP</t>
  </si>
  <si>
    <t>パネルブレイク30 攻撃力小UP</t>
  </si>
  <si>
    <t>パネルブレイク35 攻撃力小UP</t>
  </si>
  <si>
    <t>パネルブレイク40 攻撃力UP</t>
  </si>
  <si>
    <t>パネルブレイク40 攻撃力小UP</t>
  </si>
  <si>
    <t>パネルブレイク80 攻撃力特大UP</t>
  </si>
  <si>
    <t>ボスフロア 攻撃力UP</t>
  </si>
  <si>
    <t>ボムブレイク10 黄属性攻撃力UP</t>
  </si>
  <si>
    <t>ボムブレイク10 赤属性攻撃力UP</t>
  </si>
  <si>
    <t>攻撃力・回復力UP</t>
  </si>
  <si>
    <t>同一のアビリティだが、2つの分類にまたがっている(C28とC39)</t>
    <rPh sb="0" eb="2">
      <t>ドウイツ</t>
    </rPh>
    <rPh sb="14" eb="16">
      <t>ブンルイ</t>
    </rPh>
    <phoneticPr fontId="43"/>
  </si>
  <si>
    <t>カテゴリ指定は1つの為、こちらに入れる</t>
    <rPh sb="4" eb="6">
      <t>シテイ</t>
    </rPh>
    <rPh sb="10" eb="11">
      <t>タメ</t>
    </rPh>
    <rPh sb="16" eb="17">
      <t>イ</t>
    </rPh>
    <phoneticPr fontId="43"/>
  </si>
  <si>
    <t>攻撃力小UP</t>
  </si>
  <si>
    <t>HP35%以下 回復力UP</t>
  </si>
  <si>
    <t>チェイン12回復力UP</t>
  </si>
  <si>
    <t>チェイン14回復力小UP</t>
  </si>
  <si>
    <t>チェイン17回復力UP</t>
  </si>
  <si>
    <t>パネルブレイク25回復力UP</t>
  </si>
  <si>
    <t>パネルブレイク30 回復力UP</t>
  </si>
  <si>
    <t>回復力300UP</t>
  </si>
  <si>
    <t>回復力400UP</t>
  </si>
  <si>
    <t>チェイン16黄属性防御力UP</t>
  </si>
  <si>
    <t>カテゴリ指定は1つの為、攻撃力UPに入れる。</t>
    <rPh sb="4" eb="6">
      <t>シテイ</t>
    </rPh>
    <rPh sb="10" eb="11">
      <t>タメ</t>
    </rPh>
    <rPh sb="12" eb="15">
      <t>コウゲキリョク</t>
    </rPh>
    <rPh sb="18" eb="19">
      <t>イ</t>
    </rPh>
    <phoneticPr fontId="43"/>
  </si>
  <si>
    <t>パネルブレイク30 防御力UP</t>
  </si>
  <si>
    <t>パネルブレイク30 防御力小UP</t>
  </si>
  <si>
    <t>パネルブレイク30 防御力大UP</t>
  </si>
  <si>
    <t>パネルブレイク30 防御力特大UP</t>
  </si>
  <si>
    <t>パネルブレイク33 赤･緑属性防御UP</t>
  </si>
  <si>
    <t>パネルブレイク40 防御力UP</t>
  </si>
  <si>
    <t>フロア 防御力アップ</t>
  </si>
  <si>
    <t>ボムブレイク10 防御力UP</t>
  </si>
  <si>
    <t>ウィルス無効</t>
  </si>
  <si>
    <t>オイラーチャレンジ ダメージ究極UP</t>
  </si>
  <si>
    <t>クリスマスクエストダメージUP</t>
  </si>
  <si>
    <t>クロネッカーチャレンジダメージUP</t>
  </si>
  <si>
    <t>シュレディンガーチャレンジダメージ究極UP</t>
  </si>
  <si>
    <t>チューリングチャレンジダメージUP</t>
  </si>
  <si>
    <t>ハップルチャレンジダメージUP</t>
  </si>
  <si>
    <t>ハップルチャレンジダメージ究極UP</t>
  </si>
  <si>
    <t>バレンタインクエスト ダメージUP</t>
  </si>
  <si>
    <t>ハロウィンナイトパニック！ 威力UP</t>
  </si>
  <si>
    <t>ヘンペルチャレンジ ダメージ究極UP</t>
  </si>
  <si>
    <t>ホワイトデークエスト ダメージUP</t>
  </si>
  <si>
    <t>マリアチャレンジ ダメージUP</t>
  </si>
  <si>
    <t>ユークリッドチャレンジ ダメージUP</t>
  </si>
  <si>
    <t>ラグランジュチャレンジ ダメージUP</t>
  </si>
  <si>
    <t>対Unknown ダメージUP</t>
  </si>
  <si>
    <t>対アカデミア ダメージUP</t>
  </si>
  <si>
    <t>対アニマル ダメージUP</t>
  </si>
  <si>
    <t>対ウェポン ダメージUP</t>
  </si>
  <si>
    <t>対ゴッド ダメージUP</t>
  </si>
  <si>
    <t>対ゴッド ダメージ大UP</t>
  </si>
  <si>
    <t>対ゴッド ダメージ超大UP</t>
  </si>
  <si>
    <t>対ゴッド ダメージ特大UP</t>
  </si>
  <si>
    <t>対ゴッド&amp;ヒーロー ダメージUP</t>
  </si>
  <si>
    <t>対サムライ ダメージUP</t>
  </si>
  <si>
    <t>対タイタン ダメージUP</t>
  </si>
  <si>
    <t>対ドラゴン ダメージUP</t>
  </si>
  <si>
    <t>対ドラゴン&amp;アニマルダメージUP</t>
  </si>
  <si>
    <t>対ヒューマン ダメージUP</t>
  </si>
  <si>
    <t>対ヒューマン・ドラゴン ダメージUP</t>
  </si>
  <si>
    <t>対マシン ダメージUP</t>
    <phoneticPr fontId="43"/>
  </si>
  <si>
    <t>対種族マシン･アニマル　ダメージUP</t>
  </si>
  <si>
    <t>対種族マシン・ゴッド　ダメージUP</t>
  </si>
  <si>
    <t>コインタイプキラー</t>
  </si>
  <si>
    <t>スキルレベル素材タイプキラー</t>
  </si>
  <si>
    <t>テクニカルタイプキラー</t>
  </si>
  <si>
    <t>バランスタイプキラー</t>
  </si>
  <si>
    <t>回復タイプキラー</t>
  </si>
  <si>
    <t>強化素材タイプキラー</t>
  </si>
  <si>
    <t>限界突破素材タイプキラー</t>
  </si>
  <si>
    <t>攻撃タイプキラー</t>
  </si>
  <si>
    <t>青属性キラー</t>
  </si>
  <si>
    <t>体力タイプキラー</t>
  </si>
  <si>
    <t>ダメージパネルブレイク</t>
  </si>
  <si>
    <t>プロテクトブレイクS(仮)</t>
  </si>
  <si>
    <t>チェイン12HP回復</t>
  </si>
  <si>
    <t>チェイン12HP小回復</t>
  </si>
  <si>
    <t>チェイン18HP回復</t>
  </si>
  <si>
    <t>パネルブレイク30 ターンHP小回復</t>
  </si>
  <si>
    <t>パネルブレイク40 HP回復</t>
  </si>
  <si>
    <t>パネルブレイク40 HP小回復</t>
  </si>
  <si>
    <t>パネルブレイク50 HP回復</t>
  </si>
  <si>
    <t>フロア 回復</t>
  </si>
  <si>
    <t>ハートボムパネル(大)ドロップ</t>
  </si>
  <si>
    <t>ハートボムパネルドロップ</t>
  </si>
  <si>
    <t>黄パネルドロップ</t>
  </si>
  <si>
    <t>青パネルドロップ</t>
  </si>
  <si>
    <t>青ボムパネルドロップ</t>
  </si>
  <si>
    <t>赤パネルドロップ</t>
  </si>
  <si>
    <t>赤ボムパネルドロップ</t>
  </si>
  <si>
    <t>緑ボムパネル(大)ドロップ</t>
  </si>
  <si>
    <t>緑ボムパネルドロップ</t>
  </si>
  <si>
    <t>Cパネルドロップ</t>
  </si>
  <si>
    <t>SCパネルドロップ</t>
  </si>
  <si>
    <t>黄パネル出現率UP</t>
  </si>
  <si>
    <t>青パネル出現率UP</t>
  </si>
  <si>
    <t>赤パネル出現率UP</t>
  </si>
  <si>
    <t>緑パネル出現率UP</t>
  </si>
  <si>
    <t>ハート出現率UP</t>
  </si>
  <si>
    <t>チェイン24ダメージ軽減</t>
  </si>
  <si>
    <t>カウンター威力UP</t>
  </si>
  <si>
    <t>パネル18破壊フィーバーゲージ上昇</t>
  </si>
  <si>
    <t>攻撃参加</t>
  </si>
  <si>
    <t>Cスキル威力UP</t>
  </si>
  <si>
    <t>ボスフロア時 Cスキル威力UP</t>
  </si>
  <si>
    <t>HP90%以上 全属性耐性15</t>
  </si>
  <si>
    <t>ゴッド種族耐性10</t>
  </si>
  <si>
    <t>黄属性耐性10</t>
  </si>
  <si>
    <t>黄属性耐性25</t>
  </si>
  <si>
    <t>黄属性耐性8</t>
  </si>
  <si>
    <t>青属性耐性10</t>
  </si>
  <si>
    <t>青属性耐性25</t>
  </si>
  <si>
    <t>青属性耐性8</t>
  </si>
  <si>
    <t>赤・青属性耐性10</t>
  </si>
  <si>
    <t>赤・青属性耐性15</t>
  </si>
  <si>
    <t>赤属性耐性10</t>
  </si>
  <si>
    <t>赤属性耐性25</t>
  </si>
  <si>
    <t>赤属性耐性8</t>
  </si>
  <si>
    <t>全属性耐性10</t>
  </si>
  <si>
    <t>緑属性耐性10</t>
  </si>
  <si>
    <t>緑属性耐性25</t>
  </si>
  <si>
    <t>緑属性耐性8</t>
  </si>
  <si>
    <t>ハート無効化耐性</t>
  </si>
  <si>
    <t>黄・ハートパネル無効化耐性</t>
  </si>
  <si>
    <t>黄・緑パネル無効化耐性</t>
  </si>
  <si>
    <t>赤・青パネル無効化耐性</t>
  </si>
  <si>
    <t>赤・緑パネル無効化耐性</t>
  </si>
  <si>
    <t>全パネル無効化耐性</t>
  </si>
  <si>
    <t>緑・赤・青・黄パネル無効化耐性</t>
  </si>
  <si>
    <t>スリープ無効</t>
  </si>
  <si>
    <t>時限式ブレイク</t>
  </si>
  <si>
    <t>チェイン12タップ回数UP</t>
  </si>
  <si>
    <t>パネルブレイク50 タップ回数UP</t>
  </si>
  <si>
    <t>パネルブレイク90 タップ回数UP</t>
  </si>
  <si>
    <t>チェイン18スキルゲージUP</t>
  </si>
  <si>
    <t>チェイン22スキルゲージUP</t>
  </si>
  <si>
    <t>フロア スキルブースト1</t>
  </si>
  <si>
    <t>バリア</t>
  </si>
  <si>
    <t>バリア10000</t>
  </si>
  <si>
    <t>バリア3939</t>
  </si>
  <si>
    <t>バリア8000</t>
  </si>
  <si>
    <t>ボスフロア時 バリア8000</t>
  </si>
  <si>
    <t>フィーバー 攻撃力UP</t>
  </si>
  <si>
    <t>フィーバー40 攻撃力UP</t>
  </si>
  <si>
    <t>フィーバー50 攻撃力UP</t>
  </si>
  <si>
    <t>フィーバー50 攻撃力小UP</t>
  </si>
  <si>
    <t>フィーバー80 攻撃力大UP</t>
  </si>
  <si>
    <t>フィーバー攻撃UP</t>
  </si>
  <si>
    <t>ダメージパネルブレイク</t>
    <phoneticPr fontId="43"/>
  </si>
  <si>
    <t>攻撃力UP</t>
    <rPh sb="0" eb="3">
      <t>コウゲキリョク</t>
    </rPh>
    <phoneticPr fontId="43"/>
  </si>
  <si>
    <t>防御力UP</t>
    <rPh sb="0" eb="3">
      <t>ボウギョリョク</t>
    </rPh>
    <phoneticPr fontId="43"/>
  </si>
  <si>
    <t>[effect:damage_barrier, target:myself, turn:-1, val:3000, animation:activate_shield]</t>
    <phoneticPr fontId="5"/>
  </si>
  <si>
    <t>HP70%以上 ウィルス無効</t>
    <phoneticPr fontId="5"/>
  </si>
  <si>
    <t>残りHPが70%以上で自身にかかるウィルスを無効化する</t>
    <phoneticPr fontId="5"/>
  </si>
  <si>
    <t>[condition:hp_rate,lower:70]</t>
    <phoneticPr fontId="5"/>
  </si>
  <si>
    <t>フィーバー100 攻撃参加</t>
    <rPh sb="11" eb="13">
      <t>サンk</t>
    </rPh>
    <phoneticPr fontId="5"/>
  </si>
  <si>
    <t>フィーバーゲージが100％の時、自身が先頭以外でも通常攻撃に参加する</t>
    <phoneticPr fontId="5"/>
  </si>
  <si>
    <t>青ボムパネル(大)ドロップ</t>
    <rPh sb="0" eb="1">
      <t>ア</t>
    </rPh>
    <phoneticPr fontId="5"/>
  </si>
  <si>
    <t>自身が先頭の時、低確率で青ボムパネル(大)をドロップ</t>
    <rPh sb="8" eb="9">
      <t>ヒk</t>
    </rPh>
    <rPh sb="12" eb="13">
      <t>ア</t>
    </rPh>
    <phoneticPr fontId="5"/>
  </si>
  <si>
    <t>[effect:drop_block, block_type:crack_bomb, block_color:block_blue, color:block_all, val:24, rate:0.04, turn:-1, animation:bomb_influence04]</t>
    <phoneticPr fontId="5"/>
  </si>
  <si>
    <t>緑ボムパネルドロップ</t>
    <phoneticPr fontId="5"/>
  </si>
  <si>
    <t>自身が先頭の時、ハートパネルを確率で緑ボムパネルに変換しドロップ</t>
    <rPh sb="18" eb="19">
      <t>ミドr</t>
    </rPh>
    <phoneticPr fontId="5"/>
  </si>
  <si>
    <t>[effect:drop_block, block_type:crack_bomb, block_color:block_heart, color:block_all, val:24, rate:0.03, turn:-1, animation:bomb_influence04]</t>
    <phoneticPr fontId="5"/>
  </si>
  <si>
    <t>[effect:change_panel_ratio, turn:-1, block_type:green, val:0.45, animation:block_incidence04]</t>
    <phoneticPr fontId="5"/>
  </si>
  <si>
    <t>[effect:drop_block, block_type:crack_bomb, block_color:block_heart, color:block_all, val:24, rate:0.04, turn:-1, animation:bomb_influence04]</t>
    <phoneticPr fontId="5"/>
  </si>
  <si>
    <t>[effect:drop_block, block_type:crack_bomb, block_color:block_green, color:block_all, val:24, rate:0.04, turn:-1, animation:bomb_influence04]</t>
    <phoneticPr fontId="5"/>
  </si>
  <si>
    <t>対サムライ&amp;ドラゴン ダメージUP</t>
    <phoneticPr fontId="5"/>
  </si>
  <si>
    <t>自身の攻撃対象が種族サムライ、ドラゴンの場合全ての攻撃の威力をUP</t>
    <phoneticPr fontId="5"/>
  </si>
  <si>
    <t>[condition:enclose,[condition:unit_attack_target,tribe:samurai],[condition:unit_attack_target,tribe:dragon],logic:or]</t>
    <phoneticPr fontId="5"/>
  </si>
  <si>
    <t>オイラーチャレンジ ダメージUP</t>
    <phoneticPr fontId="5"/>
  </si>
  <si>
    <t>[condition:enclose,[condition:quest_id,quest:60029],[condition:unit_attack_target],logic:and]</t>
    <phoneticPr fontId="5"/>
  </si>
  <si>
    <t>[effect:damage_up, target:myself, val:2.9, turn:1, type01:all, option:killer]</t>
    <phoneticPr fontId="5"/>
  </si>
  <si>
    <t>オイラーチャレンジ ダメージ究極UP</t>
    <rPh sb="14" eb="16">
      <t>キュ</t>
    </rPh>
    <phoneticPr fontId="5"/>
  </si>
  <si>
    <t>オイラーチャレンジ内で自身の全ての攻撃の威力をUP</t>
    <phoneticPr fontId="5"/>
  </si>
  <si>
    <t>オイラーチャレンジ内で自身の全ての攻撃の威力を究極UP</t>
    <rPh sb="23" eb="25">
      <t>キュ</t>
    </rPh>
    <phoneticPr fontId="5"/>
  </si>
  <si>
    <t>[condition:save_every_turn,each:3,count_type:normal]</t>
    <phoneticPr fontId="5"/>
  </si>
  <si>
    <t xml:space="preserve">[effect:cure, bad_status:virus, animation:cure01] </t>
    <phoneticPr fontId="5"/>
  </si>
  <si>
    <t>自身が先頭の時、1ターンの間に合計50個以上パネルを破壊した場合敵からのダメージを15%軽減（1ターンに1度だけ発動）</t>
    <phoneticPr fontId="5"/>
  </si>
  <si>
    <t>パネルブレイク50 HP回復</t>
    <phoneticPr fontId="5"/>
  </si>
  <si>
    <t>パネルブレイク50 ダメージ軽減</t>
    <phoneticPr fontId="5"/>
  </si>
  <si>
    <t>[effect:reduction, target:unit_all, color:all, turn:-1, val:0.15, animation:reduction_one01]</t>
    <phoneticPr fontId="5"/>
  </si>
  <si>
    <t>[effect:regenerate, turn:1, val:4000, type:fix, animation:heal03_unit01]</t>
    <phoneticPr fontId="5"/>
  </si>
  <si>
    <t>パネルブレイク60 HP回復</t>
    <phoneticPr fontId="5"/>
  </si>
  <si>
    <t>自身が先頭の時、1ターンの間に合計60個以上パネルを破壊した場合にターン終了時HP4000回復</t>
    <phoneticPr fontId="5"/>
  </si>
  <si>
    <t>[condition:enclose,[condition:active_unit],[condition:panel_total,count:60],logic:and]</t>
    <phoneticPr fontId="5"/>
  </si>
  <si>
    <t>パネルブレイク60 HP回復</t>
    <phoneticPr fontId="5"/>
  </si>
  <si>
    <t>[condition:enclose,[condition:active_unit],[condition:panel_total,count:60],logic:and]</t>
    <phoneticPr fontId="5"/>
  </si>
  <si>
    <t>[effect:regenerate, turn:1, val:5000, type:fix, animation:heal03_unit01]</t>
    <phoneticPr fontId="5"/>
  </si>
  <si>
    <t>自身が先頭の時、1ターンの間に合計60個以上パネルを破壊した場合にターン終了時、HP5000回復</t>
    <phoneticPr fontId="5"/>
  </si>
  <si>
    <t>フロアスタート時 スキルブースト</t>
    <phoneticPr fontId="5"/>
  </si>
  <si>
    <t>フロアスタート時、1ターンスキルブースト</t>
    <phoneticPr fontId="5"/>
  </si>
  <si>
    <t>[effect:freq_sp_turn, target:unit_all, turn:1, count:2]</t>
    <phoneticPr fontId="5"/>
  </si>
  <si>
    <t>自身が先頭の時、1タップで18個以上パネルを繋げた場合にHPを1500回復(1ターンに1度だけ発動)</t>
    <phoneticPr fontId="5"/>
  </si>
  <si>
    <t>[effect:regenerate, turn:1, val:1500, type:fix, animation:heal01_unit01]</t>
    <phoneticPr fontId="5"/>
  </si>
  <si>
    <t>対アニマル&amp;ヒューマンダメージUP</t>
    <phoneticPr fontId="5"/>
  </si>
  <si>
    <t>自身の攻撃対象が種族アニマル、ヒューマンの場合全ての攻撃の威力をUP</t>
    <phoneticPr fontId="5"/>
  </si>
  <si>
    <t>[condition:enclose,[condition:unit_attack_target,tribe:animal],[condition:unit_attack_target,tribe:human],logic:or]</t>
    <phoneticPr fontId="5"/>
  </si>
  <si>
    <t>バリア5000</t>
    <phoneticPr fontId="5"/>
  </si>
  <si>
    <t>戦闘開始時に、自身への直接ダメージを5000まで防ぐバリアを一度だけ展開(バリアは破壊されると復活しない)</t>
    <phoneticPr fontId="5"/>
  </si>
  <si>
    <t>[effect:damage_barrier, target:myself, turn:-1, val:5000, animation:activate_shield]</t>
    <phoneticPr fontId="5"/>
  </si>
  <si>
    <t>最初の1ターン目と、その後3ターン毎に1ターン緑属性ユニットの防御力を500UP</t>
    <rPh sb="23" eb="26">
      <t>ミドr</t>
    </rPh>
    <rPh sb="31" eb="34">
      <t>ボ</t>
    </rPh>
    <phoneticPr fontId="5"/>
  </si>
  <si>
    <t>[effect:enhance_unit, target:unit_green, turn:1, status:defense, val:500, calc:add, animation:enhance_unit_all_attack01_unit01]</t>
    <phoneticPr fontId="5"/>
  </si>
  <si>
    <t>[condition:save_every_turn,each:5,count_type:normal]</t>
    <phoneticPr fontId="5"/>
  </si>
  <si>
    <t>[effect:regenerate, turn:1, val:2500, type:fix, animation:heal02_unit01]</t>
    <phoneticPr fontId="5"/>
  </si>
  <si>
    <t>[effect:damage_barrier, target:myself, turn:-1, val:7000, animation:activate_shield]</t>
    <phoneticPr fontId="5"/>
  </si>
  <si>
    <t>ターン経過攻撃力UP</t>
    <rPh sb="5" eb="7">
      <t>コウゲk</t>
    </rPh>
    <rPh sb="7" eb="8">
      <t>ボウgy</t>
    </rPh>
    <phoneticPr fontId="5"/>
  </si>
  <si>
    <t>最初の1ターン目と、その後6ターン毎に1ターン種族ドラゴン・ファンタジー・アニマルの攻撃力を1000UP</t>
    <rPh sb="42" eb="44">
      <t>コウゲk</t>
    </rPh>
    <rPh sb="44" eb="45">
      <t>ボ</t>
    </rPh>
    <phoneticPr fontId="5"/>
  </si>
  <si>
    <t>[effect:enhance_unit, target:myself, turn:-1, status:attack, val:0.2, calc:mul, animation:enhance_unit_all_attack03],[effect:enhance_unit, target:myself, turn:-1, status:heal, val:0.4, calc:mul, animation:enhance_unit_all_heal02_unit01]</t>
    <phoneticPr fontId="5"/>
  </si>
  <si>
    <t>[effect:enhance_unit, target:unit_dragon/unit_fantasy/unit_animal/or, turn:-1, status:attack, val:1000, calc:add, animation:enhance_unit_all_attack01]</t>
    <phoneticPr fontId="5"/>
  </si>
  <si>
    <t>[condition:enclose,[condition:quest_id,quest:48014],[condition:unit_attack_target],logic:and]</t>
    <phoneticPr fontId="5"/>
  </si>
  <si>
    <t>端午クエスト ダメージUP</t>
    <phoneticPr fontId="5"/>
  </si>
  <si>
    <t>端午クエスト内で自身の全ての攻撃の威力をUP</t>
    <phoneticPr fontId="5"/>
  </si>
  <si>
    <t>[condition:save_every_turn,each:6,count_type:normal]</t>
    <phoneticPr fontId="5"/>
  </si>
  <si>
    <t>[condition:save_every_turn,each:6,count_type:normal]</t>
    <phoneticPr fontId="5"/>
  </si>
  <si>
    <t>[effect:enhance_unit, target:myself, turn:-1, status:attack, val:500, calc:add, animation:enhance_unit_all_attack01_unit01]</t>
    <phoneticPr fontId="5"/>
  </si>
  <si>
    <t>[effect:enhance_unit, target:myself, turn:1, status:action, val:1, calc:add, animation:enhance_unit_one_action01]</t>
    <phoneticPr fontId="5"/>
  </si>
  <si>
    <t>ターン攻撃力UP</t>
    <phoneticPr fontId="5"/>
  </si>
  <si>
    <t>ターンタップ増加</t>
    <phoneticPr fontId="5"/>
  </si>
  <si>
    <t>[condition:save_every_turn,each:7,count_type:normal]</t>
    <phoneticPr fontId="5"/>
  </si>
  <si>
    <t>[effect:enhance_unit, target:unit_dragon/unit_animal/unit_fantasy/or, turn:1, status:action, val:1, calc:add, animation:enhance_unit_one_action01]</t>
    <phoneticPr fontId="5"/>
  </si>
  <si>
    <t>[effect:enhance_unit, target:unit_dragon/unit_animal/unit_fantasy/or, turn:1, status:attack, val:1000, calc:add, animation:enhance_unit_all_attack01_unit01]</t>
    <phoneticPr fontId="5"/>
  </si>
  <si>
    <t>[effect:enhance_unit, target:unit_red, turn:1, status:attack, val:777, calc:add, animation:enhance_unit_all_attack01_unit01]</t>
    <phoneticPr fontId="5"/>
  </si>
  <si>
    <t>最初の1ターン目と、その後6ターン毎に1ターン種族ドラゴン・ファンタジー・アニマルの攻撃力1000UP</t>
    <phoneticPr fontId="5"/>
  </si>
  <si>
    <t>最初の1ターン目と、その後6ターン毎に1ターン種族ドラゴン・ファンタジー・アニマルのタップ数1増加</t>
    <phoneticPr fontId="5"/>
  </si>
  <si>
    <t>最初の1ターン目と、その後7ターン毎に1ターン赤属性の攻撃力777UP</t>
    <phoneticPr fontId="5"/>
  </si>
  <si>
    <t>ボムブレイク10 赤属性防御力UP</t>
    <rPh sb="9" eb="12">
      <t>アカゾk</t>
    </rPh>
    <phoneticPr fontId="5"/>
  </si>
  <si>
    <t>自身または味方が1ターンの間に合計10個以上ボムパネルを破壊した場合に赤属性ユニットの防御力UP</t>
    <rPh sb="35" eb="38">
      <t>アk</t>
    </rPh>
    <rPh sb="43" eb="46">
      <t>ボ</t>
    </rPh>
    <phoneticPr fontId="5"/>
  </si>
  <si>
    <t>[effect:enhance_unit, target:unit_red, turn:1, status:defense, val:450, calc:add, animation:enhance_unit_all_defense01_unit01]</t>
    <phoneticPr fontId="5"/>
  </si>
  <si>
    <t>ボムブレイク12 HP回復</t>
    <rPh sb="11" eb="13">
      <t>カイフk</t>
    </rPh>
    <phoneticPr fontId="5"/>
  </si>
  <si>
    <t>自身または味方が1ターンの間に合計12個以上ボムパネルを破壊した場合にHP1200回復</t>
    <rPh sb="41" eb="43">
      <t>カ</t>
    </rPh>
    <phoneticPr fontId="5"/>
  </si>
  <si>
    <t>[condition:panel_total,count:12,type:crack_bomb]</t>
    <phoneticPr fontId="5"/>
  </si>
  <si>
    <t>[effect:regenerate, turn:1, val:1200, type:fix, animation:heal01_unit01]</t>
    <phoneticPr fontId="5"/>
  </si>
  <si>
    <t>自身が先頭の時、青パネルを低確率で赤ボムパネルに変換しドロップ</t>
    <rPh sb="8" eb="9">
      <t>ア</t>
    </rPh>
    <rPh sb="13" eb="14">
      <t>テイ</t>
    </rPh>
    <rPh sb="17" eb="18">
      <t>アカ</t>
    </rPh>
    <phoneticPr fontId="5"/>
  </si>
  <si>
    <t>[effect:drop_block, block_type:crack_bomb, block_color:block_red, color:block_blue, val:12, rate:0.25, turn:-1, animation:crash_influence04]</t>
    <phoneticPr fontId="5"/>
  </si>
  <si>
    <t>自身が先頭の時、1タップで18個以上パネルを繋げた場合にHPを1500回復(1ターンに1度だけ発動)</t>
    <phoneticPr fontId="5"/>
  </si>
  <si>
    <t>[effect:regenerate, turn:1, val:1500, type:fix, animation:heal01_unit01]</t>
    <phoneticPr fontId="5"/>
  </si>
  <si>
    <t>ヘンペルチャレンジ ダメージUP</t>
    <phoneticPr fontId="5"/>
  </si>
  <si>
    <t>ヘンペルチャレンジ内で自身の全ての攻撃の威力をUP</t>
    <phoneticPr fontId="5"/>
  </si>
  <si>
    <t>ヘンペルチャレンジ内で自身の全ての攻撃+カウンターの威力をUP</t>
    <phoneticPr fontId="5"/>
  </si>
  <si>
    <t>[condition:enclose,[condition:quest_id,quest:60031],[condition:unit_attack_target],logic:and]</t>
    <phoneticPr fontId="5"/>
  </si>
  <si>
    <t>最初の1ターン目と、その後5ターン毎のターン終了時、HPを2500回復する</t>
    <phoneticPr fontId="5"/>
  </si>
  <si>
    <t>[effect:reduction, target:myself, turn:-1, color:red, val:0.2, animation:reduction_one01],[effect:reduction, target:myself, turn:-1, color:green, val:0.2, animation:reduction_one01]</t>
    <phoneticPr fontId="5"/>
  </si>
  <si>
    <t>Cパネルブレイク12 タップ回数UP</t>
    <phoneticPr fontId="5"/>
  </si>
  <si>
    <t>自身が先頭の時、1ターンの間に合計12個以上Cパネルを破壊した場合にタップ回数を1回増やす</t>
    <phoneticPr fontId="5"/>
  </si>
  <si>
    <t>[condition:enclose,[condition:active_unit] ,[condition:panel_total,count:12,type:crash],logic:and]</t>
    <phoneticPr fontId="5"/>
  </si>
  <si>
    <t>[condition:fever_gauge,lower:70]</t>
    <phoneticPr fontId="5"/>
  </si>
  <si>
    <t>フィーバー70 HP回復</t>
    <phoneticPr fontId="5"/>
  </si>
  <si>
    <t>[effect:regenerate, turn:1, target:unit_all, val:1, type:hp_ratio, animation:heal01_unit01]</t>
    <phoneticPr fontId="5"/>
  </si>
  <si>
    <t>最終フロア時 HP回復</t>
    <rPh sb="0" eb="2">
      <t>サイシュ</t>
    </rPh>
    <rPh sb="5" eb="6">
      <t>ジ</t>
    </rPh>
    <phoneticPr fontId="5"/>
  </si>
  <si>
    <t>最終フロア到達時にHPを100%回復する</t>
    <rPh sb="0" eb="2">
      <t>サイシュ</t>
    </rPh>
    <rPh sb="16" eb="18">
      <t>カイフk</t>
    </rPh>
    <phoneticPr fontId="5"/>
  </si>
  <si>
    <t>最終フロア Cパネル生成短縮(特大)</t>
    <rPh sb="0" eb="2">
      <t>サイシュ</t>
    </rPh>
    <phoneticPr fontId="5"/>
  </si>
  <si>
    <t>ハートがハートボム大</t>
    <phoneticPr fontId="5"/>
  </si>
  <si>
    <t>攻撃、回復、体力のCP短縮1</t>
    <phoneticPr fontId="5"/>
  </si>
  <si>
    <t xml:space="preserve">[effect:crash_condition, target:unit_attack/unit_heal/unit_hp/or, turn:-1, val:-1, animation:crash_panel_reduce03]    </t>
    <phoneticPr fontId="5"/>
  </si>
  <si>
    <t>[effect:attack_command, turn:-1, target:unit_left, val:0.1, animation:unit_all_attack_command05]</t>
    <phoneticPr fontId="5"/>
  </si>
  <si>
    <t>自身の左ユニットが攻撃参加</t>
    <phoneticPr fontId="5"/>
  </si>
  <si>
    <t>[effect:drop_block, block_type:crack_bomb, block_color:block_heart, color:block_heart, val:24, rate:0.1, turn:-1, animation:bomb_influence04]</t>
    <phoneticPr fontId="5"/>
  </si>
  <si>
    <t>フロイトチャレンジ ダメージ究極UP</t>
    <rPh sb="14" eb="16">
      <t>キュ</t>
    </rPh>
    <phoneticPr fontId="5"/>
  </si>
  <si>
    <t>フロイトチャレンジ内で自身の全ての攻撃の威力を究極UP</t>
    <rPh sb="23" eb="25">
      <t>キュ</t>
    </rPh>
    <phoneticPr fontId="5"/>
  </si>
  <si>
    <t>[condition:enclose,[condition:quest_id,quest:60030],[condition:unit_attack_target],logic:and]</t>
    <phoneticPr fontId="5"/>
  </si>
  <si>
    <t>フロイトチャレンジ ダメージUP</t>
    <phoneticPr fontId="5"/>
  </si>
  <si>
    <t>フロイトチャレンジ内で自身の全ての攻撃の威力をUP</t>
    <phoneticPr fontId="5"/>
  </si>
  <si>
    <t>フロイトチャレンジ内で自身の全ての攻撃+カウンターの威力をUP</t>
    <phoneticPr fontId="5"/>
  </si>
  <si>
    <t>[effect:damage_up, target:myself, val:1.5, turn:1, type01:all, option:killer]</t>
    <phoneticPr fontId="5"/>
  </si>
  <si>
    <t>HP30%以下 回復力UP</t>
    <rPh sb="8" eb="11">
      <t>カイフクリョ</t>
    </rPh>
    <phoneticPr fontId="5"/>
  </si>
  <si>
    <t>[condition:hp_rate,upper:30]</t>
    <phoneticPr fontId="5"/>
  </si>
  <si>
    <t>残りHPが30%以下の時、全ユニットの回復力20%UP</t>
    <rPh sb="13" eb="14">
      <t>ゼンユn</t>
    </rPh>
    <rPh sb="19" eb="22">
      <t>カイフk</t>
    </rPh>
    <phoneticPr fontId="5"/>
  </si>
  <si>
    <t>[effect:enhance_unit, target:unit_all, turn:1, status:heal, val:0.2, calc:mul, animation:enhance_unit_all_heal02_unit01]</t>
    <phoneticPr fontId="5"/>
  </si>
  <si>
    <t>ターン経過回復力UP</t>
    <rPh sb="5" eb="7">
      <t>カイフk</t>
    </rPh>
    <rPh sb="7" eb="8">
      <t>ボウgy</t>
    </rPh>
    <phoneticPr fontId="5"/>
  </si>
  <si>
    <t>最初の1ターン目と、その後6ターン毎に1ターン自身と右隣のユニットの回復力を1500UP</t>
    <rPh sb="23" eb="25">
      <t>ジシn</t>
    </rPh>
    <rPh sb="26" eb="28">
      <t>ミギドナr</t>
    </rPh>
    <rPh sb="34" eb="36">
      <t>カイフk</t>
    </rPh>
    <rPh sb="36" eb="37">
      <t>ボ</t>
    </rPh>
    <phoneticPr fontId="5"/>
  </si>
  <si>
    <t>[effect:enhance_unit, target:myself/unit_right/or, turn:1, status:heal, val:1500, calc:add, animation:enhance_unit_all_heal02_unit01]</t>
    <phoneticPr fontId="5"/>
  </si>
  <si>
    <t>パーティー内ゴッド 攻撃力UP</t>
    <phoneticPr fontId="5"/>
  </si>
  <si>
    <t>パーティー内に種族ゴッドがいる時、全ユニットの攻撃力を500UP</t>
    <phoneticPr fontId="5"/>
  </si>
  <si>
    <t>[condition:with_unit,tribe:god]</t>
    <phoneticPr fontId="5"/>
  </si>
  <si>
    <t>[effect:enhance_unit, target:unit_all, turn:-1, status:attack, val:500, calc:add, animation:enhance_unit_all_attack01]</t>
    <phoneticPr fontId="5"/>
  </si>
  <si>
    <t>パーティー内バランス 回復力UP</t>
    <phoneticPr fontId="5"/>
  </si>
  <si>
    <t>パーティー内にバランスタイプがいる時、全ユニットの回復力を500UP</t>
    <phoneticPr fontId="5"/>
  </si>
  <si>
    <t>[condition:with_unit,type:balance]</t>
    <phoneticPr fontId="5"/>
  </si>
  <si>
    <t>[effect:enhance_unit, target:unit_all, turn:-1, status:heal, val:500, calc:add, animation:enhance_unit_all_heal01]</t>
    <phoneticPr fontId="5"/>
  </si>
  <si>
    <t>パーティー内青属性 攻撃力UP</t>
    <phoneticPr fontId="5"/>
  </si>
  <si>
    <t>パーティー内赤属性 自身攻撃力UP</t>
    <phoneticPr fontId="5"/>
  </si>
  <si>
    <t>パーティー内に青属性ユニットがいる時、全ユニットの攻撃力を700UP</t>
    <phoneticPr fontId="5"/>
  </si>
  <si>
    <t>パーティー内に赤属性ユニットがいる時、自身の攻撃力を1500UP</t>
    <phoneticPr fontId="5"/>
  </si>
  <si>
    <t>[condition:with_unit,color:blue]</t>
    <phoneticPr fontId="5"/>
  </si>
  <si>
    <t>[condition:with_unit,color:red]</t>
    <phoneticPr fontId="5"/>
  </si>
  <si>
    <t>[effect:enhance_unit, target:unit_all, turn:-1, status:attack, val:700, calc:add, animation:enhance_unit_all_attack01]</t>
    <phoneticPr fontId="5"/>
  </si>
  <si>
    <t>[effect:enhance_unit, target:myself, turn:-1, status:attack, val:1500, calc:add, animation:enhance_unit_all_attack01]</t>
    <phoneticPr fontId="5"/>
  </si>
  <si>
    <t>[effect:enhance_unit, target:unit_right, turn:1, status:heal, val:1000, calc:add, animation:enhance_unit_all_heal01_unit01]</t>
    <phoneticPr fontId="5"/>
  </si>
  <si>
    <t>隣接ユニット 回復力UP</t>
    <phoneticPr fontId="5"/>
  </si>
  <si>
    <t>右隣のユニットの回復力を1000UPする</t>
    <phoneticPr fontId="5"/>
  </si>
  <si>
    <t>最終フロア時 Cスキル威力UP</t>
    <rPh sb="0" eb="2">
      <t>サイシュ</t>
    </rPh>
    <phoneticPr fontId="5"/>
  </si>
  <si>
    <t>最終フロア 攻撃力UP</t>
    <rPh sb="0" eb="2">
      <t>サイシュ</t>
    </rPh>
    <phoneticPr fontId="5"/>
  </si>
  <si>
    <t>最終フロア時 バリア5000</t>
    <rPh sb="0" eb="2">
      <t>サイシュ</t>
    </rPh>
    <phoneticPr fontId="5"/>
  </si>
  <si>
    <t>最終フロア時 バリア7000</t>
    <rPh sb="0" eb="2">
      <t>サイシュ</t>
    </rPh>
    <phoneticPr fontId="5"/>
  </si>
  <si>
    <t>最終フロアの1ターン目終了時に自身のCスキルの威力をUP</t>
    <rPh sb="0" eb="2">
      <t>サイシュ</t>
    </rPh>
    <phoneticPr fontId="5"/>
  </si>
  <si>
    <t>最終フロア内で自身の攻撃力を700UP</t>
    <rPh sb="0" eb="2">
      <t>サイシュ</t>
    </rPh>
    <phoneticPr fontId="5"/>
  </si>
  <si>
    <t>最終フロア到達時に自身への直接ダメージを5000まで防ぐバリアを一度だけ展開(バリアは破壊されると復活しない)</t>
    <rPh sb="0" eb="2">
      <t>サイシュ</t>
    </rPh>
    <phoneticPr fontId="5"/>
  </si>
  <si>
    <t>最終フロア到達時に自身への直接ダメージを7000まで防ぐバリアを一度だけ展開(バリアは破壊されると復活しない)</t>
    <rPh sb="0" eb="2">
      <t>サイシュ</t>
    </rPh>
    <phoneticPr fontId="5"/>
  </si>
  <si>
    <t>最終フロア内で自身が先頭の時、Cパネル生成に必要なチェイン数を4短縮する</t>
    <rPh sb="0" eb="2">
      <t>サイシュ</t>
    </rPh>
    <phoneticPr fontId="5"/>
  </si>
  <si>
    <t>ゴッド種族耐性10</t>
    <phoneticPr fontId="5"/>
  </si>
  <si>
    <t>自身に対するゴッド種族の敵からの攻撃を10％軽減</t>
    <phoneticPr fontId="5"/>
  </si>
  <si>
    <t>[effect:reduction, target:myself, turn:-1, tribe:god, val:0.10, animation:reduction_one01]</t>
    <phoneticPr fontId="5"/>
  </si>
  <si>
    <t>ターン赤・緑属性耐性20</t>
    <phoneticPr fontId="5"/>
  </si>
  <si>
    <t>最初の1ターン目と、その後4ターン毎に自身に対する赤・緑属性の敵からの攻撃を20%軽減</t>
    <phoneticPr fontId="5"/>
  </si>
  <si>
    <t>[effect:enhance_sp_boost, target:unit_right, count:1]</t>
    <phoneticPr fontId="5"/>
  </si>
  <si>
    <t>[condition:enclose,[condition:active_unit],[condition:boss_floor],logic:and]</t>
    <phoneticPr fontId="5"/>
  </si>
  <si>
    <t>[effect:enhance_unit, target:unit_all, turn:2, status:heal, val:1500, calc:add, animation:enhance_unit_all_heal02_unit01]</t>
    <phoneticPr fontId="5"/>
  </si>
  <si>
    <t>最初の1ターン目と、その後4ターン毎に2ターン全ユニットの回復力を1500UP</t>
    <rPh sb="23" eb="24">
      <t>ゼン</t>
    </rPh>
    <rPh sb="29" eb="31">
      <t>カイフk</t>
    </rPh>
    <rPh sb="31" eb="32">
      <t>ボ</t>
    </rPh>
    <phoneticPr fontId="5"/>
  </si>
  <si>
    <t>チェイン18 スキルターン短縮</t>
  </si>
  <si>
    <t>チェイン22 スキルターン短縮</t>
  </si>
  <si>
    <t>チェイン16 スキルターン短縮</t>
  </si>
  <si>
    <t>自身が先頭の時、1タップで16個以上パネルを繋げた場合に自身のスキルターンを1短縮する(1ターンに1度だけ発動)</t>
  </si>
  <si>
    <t>7ターン毎、攻撃参加</t>
    <phoneticPr fontId="5"/>
  </si>
  <si>
    <t>6ターン毎、攻撃参加</t>
    <phoneticPr fontId="5"/>
  </si>
  <si>
    <t>9ターン毎、攻撃参加</t>
    <phoneticPr fontId="5"/>
  </si>
  <si>
    <t>5ターン毎、HP回復</t>
    <phoneticPr fontId="5"/>
  </si>
  <si>
    <t>3ターン毎、防御力UP</t>
    <phoneticPr fontId="5"/>
  </si>
  <si>
    <t>[condition:save_every_turn,each:8,count_type:normal]</t>
    <phoneticPr fontId="5"/>
  </si>
  <si>
    <t>最終フロア バリア3000</t>
    <phoneticPr fontId="5"/>
  </si>
  <si>
    <t>最終フロア到達時に自身への直接ダメージを3000まで防ぐバリアを一度だけ展開(バリアは破壊されると復活しない)</t>
    <phoneticPr fontId="5"/>
  </si>
  <si>
    <t>HP50%以下 回復力UP</t>
    <rPh sb="8" eb="11">
      <t>カイフクリョ</t>
    </rPh>
    <phoneticPr fontId="5"/>
  </si>
  <si>
    <t>残りHPが50%以下の時、全ユニットの回復力365UP</t>
    <rPh sb="13" eb="14">
      <t>ゼンユn</t>
    </rPh>
    <rPh sb="19" eb="22">
      <t>カイフk</t>
    </rPh>
    <phoneticPr fontId="5"/>
  </si>
  <si>
    <t>HP35%以下 防御力UP</t>
    <rPh sb="8" eb="11">
      <t>ボ</t>
    </rPh>
    <phoneticPr fontId="5"/>
  </si>
  <si>
    <t>残りHPが35%以下の時、自身の防御力800UP</t>
    <rPh sb="13" eb="15">
      <t>ジシn</t>
    </rPh>
    <rPh sb="16" eb="19">
      <t>ボ</t>
    </rPh>
    <phoneticPr fontId="5"/>
  </si>
  <si>
    <t>[condition:hp_rate,upper:50]</t>
    <phoneticPr fontId="5"/>
  </si>
  <si>
    <t>[effect:enhance_unit, target:unit_all, turn:-1, status:heal, val:365, calc:add, animation:enhance_unit_all_heal01_unit01]</t>
    <phoneticPr fontId="5"/>
  </si>
  <si>
    <t>[condition:hp_rate,upper:35]</t>
    <phoneticPr fontId="5"/>
  </si>
  <si>
    <t>[effect:enhance_unit, target:myself, turn:-1, status:defense, val:800, calc:add, animation:enhance_unit_all_defense02_unit01]</t>
    <phoneticPr fontId="5"/>
  </si>
  <si>
    <t>テクニカルタイプ攻撃力UP</t>
    <phoneticPr fontId="5"/>
  </si>
  <si>
    <t>最初の1ターン目と、その後8ターン毎に右隣のユニットのスキルターンを1短縮</t>
    <phoneticPr fontId="5"/>
  </si>
  <si>
    <t>自身が先頭の時、1タップで22個以上パネルを繋げた場合に自身のスキルターンを1短縮(1ターンに1度だけ発動)</t>
    <rPh sb="28" eb="30">
      <t>ジシn</t>
    </rPh>
    <phoneticPr fontId="5"/>
  </si>
  <si>
    <t>自身が先頭の時、1タップで18個以上パネルを繋げた場合に自身のスキルターンを1短縮(1ターンに1度だけ発動)</t>
    <rPh sb="28" eb="30">
      <t>ジシn</t>
    </rPh>
    <phoneticPr fontId="5"/>
  </si>
  <si>
    <t>テクニカルタイプの攻撃力を700UP</t>
    <phoneticPr fontId="5"/>
  </si>
  <si>
    <t>[effect:enhance_unit, target:unit_technical, turn:-1, status:attack, val:700, calc:add, animation:enhance_unit_all_attack01]</t>
    <phoneticPr fontId="5"/>
  </si>
  <si>
    <t>チェイン16 攻撃力特大UP</t>
    <rPh sb="10" eb="12">
      <t>トk</t>
    </rPh>
    <phoneticPr fontId="5"/>
  </si>
  <si>
    <t>自身が先頭の時、1タップで16個以上パネルを繋げた場合に攻撃力特大UP(1ターンに1度だけ発動)</t>
    <rPh sb="31" eb="33">
      <t>トクダ</t>
    </rPh>
    <phoneticPr fontId="5"/>
  </si>
  <si>
    <t>[effect:enhance_unit, target:myself, turn:1, status:attack, val:0.4, calc:mul, animation:enhance_unit_all_attack04]</t>
    <phoneticPr fontId="5"/>
  </si>
  <si>
    <t>フロイトチャレンジ ダメージUP</t>
    <phoneticPr fontId="5"/>
  </si>
  <si>
    <t>[condition:enclose,[condition:with_unit,type:hp],[condition:with_unit,type:technical],logic:or]</t>
    <phoneticPr fontId="5"/>
  </si>
  <si>
    <t>[effect:enhance_unit, target:unit_all, turn:1, status:action, val:1, calc:add, animation:enhance_unit_one_action01]</t>
    <phoneticPr fontId="5"/>
  </si>
  <si>
    <t>[effect:damage_up, target:myself, turn:1, val:1.2, type01:counter, option:killer]</t>
    <phoneticPr fontId="5"/>
  </si>
  <si>
    <t>[effect:enhance_unit, target:unit_animal/unit_fantasy/unit_hero/or, turn:-1, status:attack, val:800, calc:add, animation:enhance_unit_all_attack01]</t>
    <phoneticPr fontId="5"/>
  </si>
  <si>
    <t>3種族 攻撃力UP</t>
    <phoneticPr fontId="5"/>
  </si>
  <si>
    <t>[effect:enhance_unit, target:unit_human/unit_fantasy/or, turn:1, status:action, val:1, calc:add, animation:enhance_unit_one_action01]</t>
    <phoneticPr fontId="5"/>
  </si>
  <si>
    <t>[effect:regenerate, turn:-1, target:unit_all, val:0.05, type:hp_ratio, animation:heal01_unit01]</t>
    <phoneticPr fontId="5"/>
  </si>
  <si>
    <t>[condition:enclose,[condition:quest_id,quest:47004],[condition:unit_attack_target],logic:and]</t>
    <phoneticPr fontId="5"/>
  </si>
  <si>
    <t>8ターン毎、右隣スキルターン1短縮</t>
    <phoneticPr fontId="5"/>
  </si>
  <si>
    <t>[effect:damage_up, target:myself, val:2.9, turn:1, type01:all, option:killer]</t>
    <phoneticPr fontId="5"/>
  </si>
  <si>
    <t>クリスマスクエスト内で自身の全ての攻撃の威力を究極UP</t>
    <phoneticPr fontId="5"/>
  </si>
  <si>
    <t>クリスマスクエストダメージ究極UP</t>
    <phoneticPr fontId="5"/>
  </si>
  <si>
    <t>種族アニマル・ファンタジー・ヒーローユニットの攻撃力を800UP</t>
    <phoneticPr fontId="5"/>
  </si>
  <si>
    <t>最終フロア HP回復</t>
    <phoneticPr fontId="5"/>
  </si>
  <si>
    <t>最終フロアの毎ターン終了時、パーティの合計HPの5%を回復</t>
    <phoneticPr fontId="5"/>
  </si>
  <si>
    <t>パネルブレイク60 防御力2000UP</t>
    <rPh sb="10" eb="13">
      <t>ボ</t>
    </rPh>
    <phoneticPr fontId="5"/>
  </si>
  <si>
    <t>自身が先頭の時、1ターンの間に合計60個以上パネルを破壊した場合に防御力を2000UP</t>
    <rPh sb="33" eb="36">
      <t>ボ</t>
    </rPh>
    <phoneticPr fontId="5"/>
  </si>
  <si>
    <t>[effect:enhance_unit, target:myself, turn:1, status:defense, val:2000, calc:add, animation:enhance_unit_all_defense04_unit01]</t>
    <phoneticPr fontId="5"/>
  </si>
  <si>
    <t>[effect:drop_block, block_type:normal, block_color:block_yellow, color:block_green, val:0, rate:0.4, turn:-1]</t>
    <phoneticPr fontId="5"/>
  </si>
  <si>
    <t>[effect:drop_block, block_type:crack_bomb, block_color:block_green, color:block_heart, val:12, rate:0.4, turn:-1, animation:bomb_influence04]</t>
    <phoneticPr fontId="5"/>
  </si>
  <si>
    <t>各フロア タップ回数UP</t>
    <phoneticPr fontId="5"/>
  </si>
  <si>
    <t>各フロアの開始時、1ターン全ユニットのタップ回数1増加</t>
    <phoneticPr fontId="5"/>
  </si>
  <si>
    <t>フィーバー100 HP1000回復</t>
    <phoneticPr fontId="5"/>
  </si>
  <si>
    <t>フィーバーゲージが70%以上の時、毎ターン終了時、HPを1500回復する</t>
    <phoneticPr fontId="5"/>
  </si>
  <si>
    <t>フィーバーゲージが100%以上の時、毎ターン終了時、HPを1000回復する</t>
    <phoneticPr fontId="5"/>
  </si>
  <si>
    <t>[effect:regenerate, turn:-1, val:1500, type:fix, animation:heal01_unit01]</t>
    <phoneticPr fontId="5"/>
  </si>
  <si>
    <t>[effect:regenerate, turn:-1, val:1000, type:fix, animation:heal01_unit01]</t>
    <phoneticPr fontId="5"/>
  </si>
  <si>
    <t>[condition:enclose,[condition:enclose,[condition:quest_id,quest:47015],[condition:quest_id,quest:47016],logic:or],[condition:unit_attack_target],logic:and]</t>
    <phoneticPr fontId="5"/>
  </si>
  <si>
    <t>[effect:damage_barrier, target:myself, turn:-1, val:3500, animation:activate_shield]</t>
    <phoneticPr fontId="5"/>
  </si>
  <si>
    <t>[condition:unit_attack_target,color:blue]</t>
    <phoneticPr fontId="5"/>
  </si>
  <si>
    <t>[effect:damage_up, target:myself, val:5, turn:1, type01:all,option:killer]</t>
    <phoneticPr fontId="5"/>
  </si>
  <si>
    <t>自身の攻撃対象が種族Unknownで、青属性の場合全ての攻撃の威力をUP</t>
    <rPh sb="19" eb="22">
      <t>ア</t>
    </rPh>
    <phoneticPr fontId="5"/>
  </si>
  <si>
    <t>[condition:enclose,[condition:unit_attack_target,tribe:unknown],[condition:unit_attack_target,color:blue],logic:and]</t>
    <phoneticPr fontId="5"/>
  </si>
  <si>
    <t>対Unknown&amp;青属性 ダメージUP</t>
    <rPh sb="9" eb="10">
      <t>ア</t>
    </rPh>
    <rPh sb="10" eb="12">
      <t>アカゾk</t>
    </rPh>
    <phoneticPr fontId="5"/>
  </si>
  <si>
    <t>最終フロア時 バリア10000</t>
    <rPh sb="0" eb="2">
      <t>サイシュ</t>
    </rPh>
    <phoneticPr fontId="5"/>
  </si>
  <si>
    <t>最終フロア到達時に自身への直接ダメージを10000まで防ぐバリアを一度だけ展開(バリアは破壊されると復活しない)</t>
    <rPh sb="0" eb="2">
      <t>サイシュ</t>
    </rPh>
    <phoneticPr fontId="5"/>
  </si>
  <si>
    <t>[effect:drop_block, block_type:crack_bomb, block_color:block_red, color:block_blue, val:0, rate:0.15, turn:-1]</t>
    <phoneticPr fontId="5"/>
  </si>
  <si>
    <t>[condition:fever_gauge,lower:100]</t>
    <phoneticPr fontId="5"/>
  </si>
  <si>
    <t>フィーバーゲージが100％以上の時、自身のタップ回数を1増加</t>
    <phoneticPr fontId="5"/>
  </si>
  <si>
    <t>フィーバー100 タップ回数UP</t>
    <phoneticPr fontId="5"/>
  </si>
  <si>
    <t>[condition:with_unit,type:technical,index:1]</t>
    <phoneticPr fontId="5"/>
  </si>
  <si>
    <t>[effect:drop_block, block_type:crash, color:block_all, val:8, rate:0.03, turn:-1]</t>
    <phoneticPr fontId="5"/>
  </si>
  <si>
    <t>テクニカルが先頭の時、低確率でCパネルをドロップ</t>
    <phoneticPr fontId="5"/>
  </si>
  <si>
    <t>[effect:damage_up, target:myself, val:2.0, turn:1, type01:all, option:killer]</t>
    <phoneticPr fontId="5"/>
  </si>
  <si>
    <t>HP80%以下 攻撃力大UP</t>
    <rPh sb="11" eb="12">
      <t>ダ</t>
    </rPh>
    <phoneticPr fontId="5"/>
  </si>
  <si>
    <t>残りHPが80%以下の時、自身の攻撃力大UP</t>
    <rPh sb="13" eb="15">
      <t>ジシn</t>
    </rPh>
    <phoneticPr fontId="5"/>
  </si>
  <si>
    <t>[condition:hp_rate,upper:80]</t>
    <phoneticPr fontId="5"/>
  </si>
  <si>
    <t>[effect:enhance_unit, target:myself, turn:-1, status:attack, val:0.3, calc:mul, animation:enhance_unit_all_attack03]</t>
    <phoneticPr fontId="5"/>
  </si>
  <si>
    <t>HP75%以下 Cパネル生成短縮</t>
    <phoneticPr fontId="5"/>
  </si>
  <si>
    <t>残りHPが75%以下の時、自身の攻撃力大UP</t>
    <rPh sb="13" eb="15">
      <t>ジシn</t>
    </rPh>
    <phoneticPr fontId="5"/>
  </si>
  <si>
    <t>[condition:hp_rate,upper:75]</t>
    <phoneticPr fontId="5"/>
  </si>
  <si>
    <t xml:space="preserve">[effect:crash_condition, target:unit_all, turn:-1, val:-1, animation:crash_panel_reduce03]    </t>
    <phoneticPr fontId="5"/>
  </si>
  <si>
    <t>[effect:crash_condition, target:unit_all, turn:-1, val:-1, animation:crash_panel_reduce03]</t>
    <phoneticPr fontId="5"/>
  </si>
  <si>
    <t>ボムパネルブレイク15 タップ回数UP</t>
    <phoneticPr fontId="5"/>
  </si>
  <si>
    <t>[condition:enclose,[condition:active_unit],[condition:panel_total,count:15,type:crack_bomb],logic:and]</t>
    <phoneticPr fontId="5"/>
  </si>
  <si>
    <t>[effect:enhance_unit, target:myself, turn:-1, status:action, val:1, calc:add, animation:enhance_unit_one_action01]</t>
    <phoneticPr fontId="5"/>
  </si>
  <si>
    <t>最終フロア 赤ボムパネルドロップ</t>
    <phoneticPr fontId="5"/>
  </si>
  <si>
    <t>最終フロア内で青パネルを低確率で赤ボムパネルに変換しドロップ</t>
    <phoneticPr fontId="5"/>
  </si>
  <si>
    <t>2種族 6ターン毎、タップ回数UP</t>
    <phoneticPr fontId="5"/>
  </si>
  <si>
    <t>青属性を攻撃するとき、確率で1ターンスリープ付与</t>
    <phoneticPr fontId="5"/>
  </si>
  <si>
    <t>対青属性 スリープ付与</t>
    <rPh sb="0" eb="1">
      <t>タイケt</t>
    </rPh>
    <rPh sb="1" eb="4">
      <t>アオゾk</t>
    </rPh>
    <rPh sb="9" eb="11">
      <t>フヨ</t>
    </rPh>
    <phoneticPr fontId="5"/>
  </si>
  <si>
    <t>[effect:sleep, target:enemy_one, turn:1, rate:0.5, animation:sleep01]</t>
    <phoneticPr fontId="5"/>
  </si>
  <si>
    <t>対八神チーム ダメージUP</t>
    <phoneticPr fontId="5"/>
  </si>
  <si>
    <t>[effect:damage_up, target:myself, val:1.3, turn:1, type01:all, option:killer]</t>
    <phoneticPr fontId="5"/>
  </si>
  <si>
    <t>庵襲来内のマチュア、バイス、庵に対してダメージUP</t>
    <phoneticPr fontId="5"/>
  </si>
  <si>
    <t>ラグランジュチャレンジ ダメージUP</t>
    <phoneticPr fontId="5"/>
  </si>
  <si>
    <t>ラグランジュチャレンジ内で自身の全ての攻撃の威力をUP</t>
    <phoneticPr fontId="5"/>
  </si>
  <si>
    <t>ラグランジュチャレンジ内で自身の全ての攻撃の威力を究極UP</t>
    <rPh sb="25" eb="27">
      <t>キュ</t>
    </rPh>
    <phoneticPr fontId="5"/>
  </si>
  <si>
    <t>[condition:enclose,[condition:quest_id,quest:60032],[condition:unit_attack_target],logic:and]</t>
    <phoneticPr fontId="5"/>
  </si>
  <si>
    <t>ラグランジュチャレンジ内で自身の全ての攻撃+カウンターの威力をUP</t>
    <phoneticPr fontId="5"/>
  </si>
  <si>
    <t>[effect:enhance_unit, target:myself, turn:-1, status:action, val:1, calc:add, animation:enhance_unit_one_action01]</t>
    <phoneticPr fontId="5"/>
  </si>
  <si>
    <t>Cパネルドロップ</t>
    <phoneticPr fontId="5"/>
  </si>
  <si>
    <t>テクニカルタイプ Cパネルドロップ</t>
    <phoneticPr fontId="5"/>
  </si>
  <si>
    <t>ブライドクエスト ダメージUP</t>
    <phoneticPr fontId="5"/>
  </si>
  <si>
    <t>ブライドクエスト内で自身の全ての攻撃の威力をUP</t>
    <phoneticPr fontId="5"/>
  </si>
  <si>
    <t>ブライドクエスト内で自身の全ての攻撃の威力を大UP</t>
    <rPh sb="22" eb="23">
      <t>ダ</t>
    </rPh>
    <phoneticPr fontId="5"/>
  </si>
  <si>
    <t>自身が先頭の時、1ターンの間に合計30個以上パネルを破壊した場合に種族ヒューマン・ヒーローの攻撃力UP</t>
    <rPh sb="33" eb="35">
      <t>シュゾk</t>
    </rPh>
    <phoneticPr fontId="5"/>
  </si>
  <si>
    <t>[effect:enhance_unit, target:unit_human/unit_hero/or, turn:1, status:attack, val:600, calc:add, animation:enhance_unit_all_attack01]</t>
    <phoneticPr fontId="5"/>
  </si>
  <si>
    <t>パネルブレイク30 2種族攻撃力UP</t>
    <rPh sb="11" eb="13">
      <t>シュゾk</t>
    </rPh>
    <phoneticPr fontId="5"/>
  </si>
  <si>
    <t>ブライドクエスト ダメージ大UP</t>
    <rPh sb="13" eb="14">
      <t>ダ</t>
    </rPh>
    <phoneticPr fontId="5"/>
  </si>
  <si>
    <t>最初の1ターン目と、その後6ターン毎に種族ドラゴン・ファンタジー・アニマルユニットの攻撃力を1000UP</t>
    <phoneticPr fontId="5"/>
  </si>
  <si>
    <t>3種族 6ターン毎、タップ回数UP</t>
    <phoneticPr fontId="5"/>
  </si>
  <si>
    <t>最初の1ターン目と、その後6ターン毎に種族ドラゴン・ファンタジー・アニマルユニットのタップ回数1増加</t>
    <phoneticPr fontId="5"/>
  </si>
  <si>
    <t>[effect:enhance_unit, target:unit_dragon/unit_fantasy/unit_animal/or, turn:1, status:action, val:1, calc:add, animation:enhance_unit_one_action01]</t>
    <phoneticPr fontId="5"/>
  </si>
  <si>
    <t>[effect:enhance_unit, target:unit_dragon/unit_fantasy/unit_animal/or, turn:1, status:attack, val:1000, calc:add, animation:enhance_unit_all_attack01]</t>
    <phoneticPr fontId="5"/>
  </si>
  <si>
    <t>3種族 6ターン毎、攻撃力UP</t>
    <phoneticPr fontId="5"/>
  </si>
  <si>
    <t>最初の1ターン目と、その後6ターン毎に種族ヒューマン・ファンタジーユニットのタップ回数1増加</t>
    <rPh sb="19" eb="21">
      <t>シュゾk</t>
    </rPh>
    <phoneticPr fontId="5"/>
  </si>
  <si>
    <t>タイプ編成 攻撃力UP</t>
    <phoneticPr fontId="5"/>
  </si>
  <si>
    <t>体力かテクニカルタイプを編成している場合、全ユニットの攻撃力500UP</t>
    <phoneticPr fontId="5"/>
  </si>
  <si>
    <t>第1フロア スキルターン短縮</t>
    <phoneticPr fontId="5"/>
  </si>
  <si>
    <t>第1フロアの1ターン目終了時にスキルターンを7ターン短縮</t>
    <phoneticPr fontId="5"/>
  </si>
  <si>
    <t>[condition:floor,index:1]</t>
    <phoneticPr fontId="5"/>
  </si>
  <si>
    <t>[effect:freq_sp_turn, target:myself, turn:1, count:7]</t>
    <phoneticPr fontId="5"/>
  </si>
  <si>
    <t>バリア6000</t>
    <phoneticPr fontId="5"/>
  </si>
  <si>
    <t>戦闘開始時に、自身への直接ダメージを6000まで防ぐバリアを一度だけ展開(バリアは破壊されると復活しない)</t>
    <phoneticPr fontId="5"/>
  </si>
  <si>
    <t>[effect:damage_barrier, target:myself, turn:-1, val:6000, animation:activate_shield]</t>
    <phoneticPr fontId="5"/>
  </si>
  <si>
    <t>フィーバー100 Cパネル生成短縮</t>
    <phoneticPr fontId="5"/>
  </si>
  <si>
    <t>フィーバーゲージが100％以上の時、全ユニットのCパネル生成に必要なチェイン数を1短縮する</t>
    <phoneticPr fontId="5"/>
  </si>
  <si>
    <t>3ターン毎、ダメージ軽減</t>
    <phoneticPr fontId="5"/>
  </si>
  <si>
    <t>最初の1ターン目と、その後3ターン毎に全ユニットが敵からの攻撃を15%軽減</t>
    <phoneticPr fontId="5"/>
  </si>
  <si>
    <t>[effect:reduction, target:unit_all, turn:1, val:0.15, animation:reduction_one01]</t>
    <phoneticPr fontId="5"/>
  </si>
  <si>
    <t>パネルブレイク40  攻撃力UP</t>
    <phoneticPr fontId="5"/>
  </si>
  <si>
    <t>自身または、味方が1ターンの間に合計40個以上パネル破壊した場合に全ユニットウィルス解除(1ターンに1度だけ発動)</t>
    <phoneticPr fontId="5"/>
  </si>
  <si>
    <t>自身または、味方が1ターンの間に合計40個以上パネル破壊した場合に1ターン緑ユニットの攻撃力UP</t>
    <phoneticPr fontId="5"/>
  </si>
  <si>
    <t>[effect:enhance_unit, target:unit_green, turn:1, status:attack, val:0.1, calc:mul, animation:enhance_unit_all_attack02]</t>
    <phoneticPr fontId="5"/>
  </si>
  <si>
    <t>自身が先頭の時、1ターンの間に合計15個以上ボムパネルを破壊した場合にタップ回数を1回増加</t>
    <phoneticPr fontId="5"/>
  </si>
  <si>
    <t>2種族カウンター</t>
    <phoneticPr fontId="5"/>
  </si>
  <si>
    <t>[condition:with_enemy,tribe:human/god/or]</t>
    <phoneticPr fontId="5"/>
  </si>
  <si>
    <t>敵に種族ヒューマン・ゴッドがいる場合、自身に超大カウンター</t>
    <phoneticPr fontId="5"/>
  </si>
  <si>
    <t>[effect:counter_new, target:myself, invoke_condition:enemy_all, counter_target:attacker, turn:1, val:4, animation:counter_buff04]</t>
    <phoneticPr fontId="5"/>
  </si>
</sst>
</file>

<file path=xl/styles.xml><?xml version="1.0" encoding="utf-8"?>
<styleSheet xmlns="http://schemas.openxmlformats.org/spreadsheetml/2006/main" xmlns:mc="http://schemas.openxmlformats.org/markup-compatibility/2006" xmlns:x14ac="http://schemas.microsoft.com/office/spreadsheetml/2009/9/ac" mc:Ignorable="x14ac">
  <fonts count="45" x14ac:knownFonts="1">
    <font>
      <sz val="12"/>
      <color theme="1"/>
      <name val="ＭＳ Ｐゴシック"/>
      <family val="2"/>
      <charset val="128"/>
      <scheme val="minor"/>
    </font>
    <font>
      <sz val="12"/>
      <color theme="1"/>
      <name val="ＭＳ Ｐゴシック"/>
      <family val="2"/>
      <charset val="128"/>
      <scheme val="minor"/>
    </font>
    <font>
      <sz val="12"/>
      <color theme="1"/>
      <name val="ＭＳ Ｐゴシック"/>
      <family val="2"/>
      <charset val="128"/>
      <scheme val="minor"/>
    </font>
    <font>
      <sz val="12"/>
      <color theme="1"/>
      <name val="ＭＳ Ｐゴシック"/>
      <family val="2"/>
      <charset val="128"/>
      <scheme val="minor"/>
    </font>
    <font>
      <sz val="10"/>
      <color theme="1"/>
      <name val="ＭＳ Ｐゴシック"/>
      <family val="3"/>
      <charset val="128"/>
    </font>
    <font>
      <sz val="6"/>
      <name val="ＭＳ Ｐゴシック"/>
      <family val="2"/>
      <charset val="128"/>
      <scheme val="minor"/>
    </font>
    <font>
      <sz val="1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12"/>
      <color theme="0"/>
      <name val="ＭＳ Ｐゴシック"/>
      <family val="2"/>
      <charset val="128"/>
      <scheme val="minor"/>
    </font>
    <font>
      <sz val="10"/>
      <color indexed="8"/>
      <name val="Arial"/>
      <family val="2"/>
    </font>
    <font>
      <sz val="12"/>
      <color indexed="8"/>
      <name val="Times New Roman"/>
      <family val="1"/>
    </font>
    <font>
      <sz val="12"/>
      <color indexed="15"/>
      <name val="ＭＳ Ｐゴシック"/>
      <family val="3"/>
      <charset val="128"/>
    </font>
    <font>
      <sz val="12"/>
      <color indexed="10"/>
      <name val="ＭＳ Ｐゴシック"/>
      <family val="3"/>
      <charset val="128"/>
    </font>
    <font>
      <sz val="12"/>
      <color indexed="8"/>
      <name val="ＭＳ Ｐゴシック"/>
      <family val="3"/>
      <charset val="128"/>
    </font>
    <font>
      <sz val="11"/>
      <color theme="1"/>
      <name val="ＭＳ Ｐゴシック"/>
      <family val="2"/>
      <charset val="128"/>
      <scheme val="minor"/>
    </font>
    <font>
      <sz val="11"/>
      <color indexed="8"/>
      <name val="ＭＳ Ｐゴシック"/>
      <family val="3"/>
      <charset val="128"/>
    </font>
    <font>
      <sz val="12"/>
      <color indexed="52"/>
      <name val="ＭＳ Ｐゴシック"/>
      <family val="3"/>
      <charset val="128"/>
    </font>
    <font>
      <sz val="10"/>
      <color theme="1"/>
      <name val="ＭＳ Ｐゴシック"/>
      <family val="3"/>
      <charset val="128"/>
      <scheme val="minor"/>
    </font>
    <font>
      <sz val="6"/>
      <name val="ＭＳ Ｐゴシック"/>
      <family val="2"/>
      <charset val="128"/>
    </font>
    <font>
      <sz val="10"/>
      <color indexed="8"/>
      <name val="ＭＳ Ｐゴシック"/>
      <family val="3"/>
      <charset val="128"/>
    </font>
    <font>
      <sz val="12"/>
      <color indexed="60"/>
      <name val="lr oSVbN"/>
      <family val="3"/>
      <charset val="128"/>
    </font>
    <font>
      <sz val="12"/>
      <color indexed="62"/>
      <name val="lr oSVbN"/>
      <family val="3"/>
      <charset val="128"/>
    </font>
    <font>
      <i/>
      <sz val="12"/>
      <color indexed="23"/>
      <name val="lr oSVbN"/>
      <family val="3"/>
      <charset val="128"/>
    </font>
    <font>
      <sz val="12"/>
      <color indexed="14"/>
      <name val="lr oSVbN"/>
      <family val="3"/>
      <charset val="128"/>
    </font>
    <font>
      <b/>
      <sz val="12"/>
      <color indexed="9"/>
      <name val="lr oSVbN"/>
      <family val="3"/>
      <charset val="128"/>
    </font>
    <font>
      <b/>
      <sz val="18"/>
      <color indexed="62"/>
      <name val="lr oSVbN"/>
      <family val="3"/>
      <charset val="128"/>
    </font>
    <font>
      <b/>
      <sz val="15"/>
      <color indexed="62"/>
      <name val="lr oSVbN"/>
      <family val="3"/>
      <charset val="128"/>
    </font>
    <font>
      <b/>
      <sz val="13"/>
      <color indexed="62"/>
      <name val="lr oSVbN"/>
      <family val="3"/>
      <charset val="128"/>
    </font>
    <font>
      <b/>
      <sz val="11"/>
      <color indexed="62"/>
      <name val="lr oSVbN"/>
      <family val="3"/>
      <charset val="128"/>
    </font>
    <font>
      <sz val="12"/>
      <color indexed="8"/>
      <name val="lr oSVbN"/>
      <family val="3"/>
      <charset val="128"/>
    </font>
    <font>
      <sz val="12"/>
      <color indexed="9"/>
      <name val="lr oSVbN"/>
      <family val="3"/>
      <charset val="128"/>
    </font>
    <font>
      <sz val="12"/>
      <color indexed="17"/>
      <name val="lr oSVbN"/>
      <family val="3"/>
      <charset val="128"/>
    </font>
    <font>
      <sz val="12"/>
      <color indexed="52"/>
      <name val="lr oSVbN"/>
      <family val="3"/>
      <charset val="128"/>
    </font>
    <font>
      <b/>
      <sz val="12"/>
      <color indexed="63"/>
      <name val="lr oSVbN"/>
      <family val="3"/>
      <charset val="128"/>
    </font>
    <font>
      <b/>
      <sz val="12"/>
      <color indexed="8"/>
      <name val="lr oSVbN"/>
      <family val="3"/>
      <charset val="128"/>
    </font>
    <font>
      <b/>
      <sz val="12"/>
      <color indexed="52"/>
      <name val="lr oSVbN"/>
      <family val="3"/>
      <charset val="128"/>
    </font>
    <font>
      <sz val="12"/>
      <color indexed="10"/>
      <name val="lr oSVbN"/>
      <family val="3"/>
      <charset val="128"/>
    </font>
    <font>
      <b/>
      <sz val="15"/>
      <color indexed="56"/>
      <name val="lr oSVbN"/>
      <family val="3"/>
      <charset val="128"/>
    </font>
    <font>
      <sz val="24"/>
      <color theme="1"/>
      <name val="ＭＳ Ｐゴシック"/>
      <family val="2"/>
      <charset val="128"/>
      <scheme val="minor"/>
    </font>
    <font>
      <sz val="16"/>
      <color theme="1"/>
      <name val="ＭＳ Ｐゴシック"/>
      <family val="2"/>
      <charset val="128"/>
      <scheme val="minor"/>
    </font>
    <font>
      <sz val="10.8"/>
      <color theme="1"/>
      <name val="Arial"/>
    </font>
    <font>
      <sz val="11"/>
      <color theme="1"/>
      <name val="メイリオ"/>
      <family val="2"/>
      <charset val="128"/>
    </font>
    <font>
      <sz val="6"/>
      <name val="メイリオ"/>
      <family val="2"/>
      <charset val="128"/>
    </font>
    <font>
      <sz val="11"/>
      <color theme="0"/>
      <name val="メイリオ"/>
      <family val="2"/>
      <charset val="128"/>
    </font>
  </fonts>
  <fills count="28">
    <fill>
      <patternFill patternType="none"/>
    </fill>
    <fill>
      <patternFill patternType="gray125"/>
    </fill>
    <fill>
      <patternFill patternType="solid">
        <fgColor theme="4" tint="0.79998168889431442"/>
        <bgColor indexed="64"/>
      </patternFill>
    </fill>
    <fill>
      <patternFill patternType="solid">
        <fgColor indexed="18"/>
        <bgColor indexed="32"/>
      </patternFill>
    </fill>
    <fill>
      <patternFill patternType="solid">
        <fgColor indexed="16"/>
        <bgColor indexed="59"/>
      </patternFill>
    </fill>
    <fill>
      <patternFill patternType="solid">
        <fgColor indexed="16"/>
        <bgColor indexed="37"/>
      </patternFill>
    </fill>
    <fill>
      <patternFill patternType="solid">
        <fgColor theme="1" tint="0.499984740745262"/>
        <bgColor indexed="64"/>
      </patternFill>
    </fill>
    <fill>
      <patternFill patternType="solid">
        <fgColor rgb="FFFFFF00"/>
        <bgColor indexed="64"/>
      </patternFill>
    </fill>
    <fill>
      <patternFill patternType="solid">
        <fgColor theme="9" tint="0.79998168889431442"/>
        <bgColor indexed="64"/>
      </patternFill>
    </fill>
    <fill>
      <patternFill patternType="solid">
        <fgColor indexed="43"/>
        <bgColor indexed="26"/>
      </patternFill>
    </fill>
    <fill>
      <patternFill patternType="solid">
        <fgColor indexed="26"/>
        <bgColor indexed="9"/>
      </patternFill>
    </fill>
    <fill>
      <patternFill patternType="solid">
        <fgColor indexed="22"/>
        <bgColor indexed="31"/>
      </patternFill>
    </fill>
    <fill>
      <patternFill patternType="solid">
        <fgColor indexed="45"/>
        <bgColor indexed="29"/>
      </patternFill>
    </fill>
    <fill>
      <patternFill patternType="solid">
        <fgColor indexed="55"/>
        <bgColor indexed="23"/>
      </patternFill>
    </fill>
    <fill>
      <patternFill patternType="solid">
        <fgColor indexed="31"/>
        <bgColor indexed="22"/>
      </patternFill>
    </fill>
    <fill>
      <patternFill patternType="solid">
        <fgColor indexed="27"/>
        <bgColor indexed="41"/>
      </patternFill>
    </fill>
    <fill>
      <patternFill patternType="solid">
        <fgColor indexed="29"/>
        <bgColor indexed="45"/>
      </patternFill>
    </fill>
    <fill>
      <patternFill patternType="solid">
        <fgColor indexed="44"/>
        <bgColor indexed="31"/>
      </patternFill>
    </fill>
    <fill>
      <patternFill patternType="solid">
        <fgColor indexed="49"/>
        <bgColor indexed="40"/>
      </patternFill>
    </fill>
    <fill>
      <patternFill patternType="solid">
        <fgColor indexed="19"/>
        <bgColor indexed="23"/>
      </patternFill>
    </fill>
    <fill>
      <patternFill patternType="solid">
        <fgColor indexed="54"/>
        <bgColor indexed="23"/>
      </patternFill>
    </fill>
    <fill>
      <patternFill patternType="solid">
        <fgColor indexed="42"/>
        <bgColor indexed="27"/>
      </patternFill>
    </fill>
    <fill>
      <patternFill patternType="solid">
        <fgColor indexed="9"/>
        <bgColor indexed="26"/>
      </patternFill>
    </fill>
    <fill>
      <patternFill patternType="solid">
        <fgColor theme="4" tint="0.59999389629810485"/>
        <bgColor indexed="64"/>
      </patternFill>
    </fill>
    <fill>
      <patternFill patternType="solid">
        <fgColor theme="0" tint="-0.249977111117893"/>
        <bgColor indexed="64"/>
      </patternFill>
    </fill>
    <fill>
      <patternFill patternType="solid">
        <fgColor rgb="FFFF0000"/>
        <bgColor indexed="64"/>
      </patternFill>
    </fill>
    <fill>
      <patternFill patternType="solid">
        <fgColor theme="7" tint="0.79998168889431442"/>
        <bgColor indexed="64"/>
      </patternFill>
    </fill>
    <fill>
      <patternFill patternType="solid">
        <fgColor theme="0"/>
        <bgColor indexed="64"/>
      </patternFill>
    </fill>
  </fills>
  <borders count="3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right/>
      <top/>
      <bottom style="thick">
        <color indexed="62"/>
      </bottom>
      <diagonal/>
    </border>
    <border>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diagonal/>
    </border>
    <border>
      <left style="medium">
        <color auto="1"/>
      </left>
      <right style="thin">
        <color auto="1"/>
      </right>
      <top/>
      <bottom/>
      <diagonal/>
    </border>
    <border>
      <left style="thin">
        <color auto="1"/>
      </left>
      <right style="medium">
        <color auto="1"/>
      </right>
      <top style="thin">
        <color auto="1"/>
      </top>
      <bottom/>
      <diagonal/>
    </border>
    <border>
      <left style="medium">
        <color auto="1"/>
      </left>
      <right style="thin">
        <color auto="1"/>
      </right>
      <top/>
      <bottom style="medium">
        <color auto="1"/>
      </bottom>
      <diagonal/>
    </border>
    <border>
      <left style="medium">
        <color auto="1"/>
      </left>
      <right/>
      <top/>
      <bottom/>
      <diagonal/>
    </border>
    <border>
      <left style="thin">
        <color auto="1"/>
      </left>
      <right style="medium">
        <color auto="1"/>
      </right>
      <top/>
      <bottom style="thin">
        <color auto="1"/>
      </bottom>
      <diagonal/>
    </border>
    <border>
      <left style="thin">
        <color auto="1"/>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style="thin">
        <color auto="1"/>
      </left>
      <right/>
      <top style="thin">
        <color auto="1"/>
      </top>
      <bottom style="thin">
        <color auto="1"/>
      </bottom>
      <diagonal/>
    </border>
  </borders>
  <cellStyleXfs count="1043">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3"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10" fillId="0" borderId="0"/>
    <xf numFmtId="38" fontId="11" fillId="0" borderId="0" applyFill="0" applyBorder="0" applyAlignment="0" applyProtection="0"/>
    <xf numFmtId="0" fontId="12" fillId="3" borderId="0" applyNumberFormat="0" applyBorder="0" applyAlignment="0" applyProtection="0"/>
    <xf numFmtId="0" fontId="13" fillId="4" borderId="0" applyNumberFormat="0" applyBorder="0" applyAlignment="0" applyProtection="0"/>
    <xf numFmtId="0" fontId="14" fillId="0" borderId="0"/>
    <xf numFmtId="0" fontId="15" fillId="0" borderId="0">
      <alignment vertical="center"/>
    </xf>
    <xf numFmtId="0" fontId="16" fillId="0" borderId="0">
      <alignment vertical="center"/>
    </xf>
    <xf numFmtId="0" fontId="17" fillId="5" borderId="0" applyNumberFormat="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xf numFmtId="0" fontId="20" fillId="0" borderId="0"/>
    <xf numFmtId="0" fontId="20" fillId="9" borderId="3" applyNumberFormat="0" applyAlignment="0" applyProtection="0"/>
    <xf numFmtId="0" fontId="21" fillId="10" borderId="0" applyNumberFormat="0" applyBorder="0" applyAlignment="0" applyProtection="0"/>
    <xf numFmtId="0" fontId="22" fillId="11" borderId="4" applyNumberFormat="0" applyAlignment="0" applyProtection="0"/>
    <xf numFmtId="0" fontId="23" fillId="0" borderId="0" applyNumberFormat="0" applyFill="0" applyBorder="0" applyAlignment="0" applyProtection="0"/>
    <xf numFmtId="0" fontId="24" fillId="12" borderId="0" applyNumberFormat="0" applyBorder="0" applyAlignment="0" applyProtection="0"/>
    <xf numFmtId="0" fontId="25" fillId="13" borderId="5" applyNumberFormat="0" applyAlignment="0" applyProtection="0"/>
    <xf numFmtId="0" fontId="26" fillId="0" borderId="0" applyNumberFormat="0" applyFill="0" applyBorder="0" applyAlignment="0" applyProtection="0"/>
    <xf numFmtId="0" fontId="27" fillId="0" borderId="6" applyNumberFormat="0" applyFill="0" applyAlignment="0" applyProtection="0"/>
    <xf numFmtId="0" fontId="28" fillId="0" borderId="7" applyNumberFormat="0" applyFill="0" applyAlignment="0" applyProtection="0"/>
    <xf numFmtId="0" fontId="29" fillId="0" borderId="8" applyNumberFormat="0" applyFill="0" applyAlignment="0" applyProtection="0"/>
    <xf numFmtId="0" fontId="29" fillId="0" borderId="0" applyNumberFormat="0" applyFill="0" applyBorder="0" applyAlignment="0" applyProtection="0"/>
    <xf numFmtId="0" fontId="30" fillId="11" borderId="0" applyNumberFormat="0" applyBorder="0" applyAlignment="0" applyProtection="0"/>
    <xf numFmtId="0" fontId="30" fillId="10" borderId="0" applyNumberFormat="0" applyBorder="0" applyAlignment="0" applyProtection="0"/>
    <xf numFmtId="0" fontId="30" fillId="14" borderId="0" applyNumberFormat="0" applyBorder="0" applyAlignment="0" applyProtection="0"/>
    <xf numFmtId="0" fontId="30" fillId="11" borderId="0" applyNumberFormat="0" applyBorder="0" applyAlignment="0" applyProtection="0"/>
    <xf numFmtId="0" fontId="30" fillId="15" borderId="0" applyNumberFormat="0" applyBorder="0" applyAlignment="0" applyProtection="0"/>
    <xf numFmtId="0" fontId="30" fillId="9" borderId="0" applyNumberFormat="0" applyBorder="0" applyAlignment="0" applyProtection="0"/>
    <xf numFmtId="0" fontId="30" fillId="11" borderId="0" applyNumberFormat="0" applyBorder="0" applyAlignment="0" applyProtection="0"/>
    <xf numFmtId="0" fontId="30" fillId="16" borderId="0" applyNumberFormat="0" applyBorder="0" applyAlignment="0" applyProtection="0"/>
    <xf numFmtId="0" fontId="30" fillId="14" borderId="0" applyNumberFormat="0" applyBorder="0" applyAlignment="0" applyProtection="0"/>
    <xf numFmtId="0" fontId="30" fillId="11" borderId="0" applyNumberFormat="0" applyBorder="0" applyAlignment="0" applyProtection="0"/>
    <xf numFmtId="0" fontId="30" fillId="17" borderId="0" applyNumberFormat="0" applyBorder="0" applyAlignment="0" applyProtection="0"/>
    <xf numFmtId="0" fontId="30" fillId="10" borderId="0" applyNumberFormat="0" applyBorder="0" applyAlignment="0" applyProtection="0"/>
    <xf numFmtId="0" fontId="31" fillId="18" borderId="0" applyNumberFormat="0" applyBorder="0" applyAlignment="0" applyProtection="0"/>
    <xf numFmtId="0" fontId="31" fillId="16" borderId="0" applyNumberFormat="0" applyBorder="0" applyAlignment="0" applyProtection="0"/>
    <xf numFmtId="0" fontId="31" fillId="14" borderId="0" applyNumberFormat="0" applyBorder="0" applyAlignment="0" applyProtection="0"/>
    <xf numFmtId="0" fontId="31" fillId="11" borderId="0" applyNumberFormat="0" applyBorder="0" applyAlignment="0" applyProtection="0"/>
    <xf numFmtId="0" fontId="31" fillId="18" borderId="0" applyNumberFormat="0" applyBorder="0" applyAlignment="0" applyProtection="0"/>
    <xf numFmtId="0" fontId="31" fillId="10" borderId="0" applyNumberFormat="0" applyBorder="0" applyAlignment="0" applyProtection="0"/>
    <xf numFmtId="0" fontId="23" fillId="0" borderId="0" applyNumberFormat="0" applyFill="0" applyBorder="0" applyAlignment="0" applyProtection="0"/>
    <xf numFmtId="0" fontId="31" fillId="18" borderId="0" applyNumberFormat="0" applyBorder="0" applyAlignment="0" applyProtection="0"/>
    <xf numFmtId="0" fontId="31" fillId="19" borderId="0" applyNumberFormat="0" applyBorder="0" applyAlignment="0" applyProtection="0"/>
    <xf numFmtId="0" fontId="31" fillId="14" borderId="0" applyNumberFormat="0" applyBorder="0" applyAlignment="0" applyProtection="0"/>
    <xf numFmtId="0" fontId="31" fillId="20" borderId="0" applyNumberFormat="0" applyBorder="0" applyAlignment="0" applyProtection="0"/>
    <xf numFmtId="0" fontId="31" fillId="18" borderId="0" applyNumberFormat="0" applyBorder="0" applyAlignment="0" applyProtection="0"/>
    <xf numFmtId="0" fontId="31" fillId="16" borderId="0" applyNumberFormat="0" applyBorder="0" applyAlignment="0" applyProtection="0"/>
    <xf numFmtId="0" fontId="32" fillId="21" borderId="0" applyNumberFormat="0" applyBorder="0" applyAlignment="0" applyProtection="0"/>
    <xf numFmtId="0" fontId="21" fillId="10" borderId="0" applyNumberFormat="0" applyBorder="0" applyAlignment="0" applyProtection="0"/>
    <xf numFmtId="0" fontId="33" fillId="0" borderId="9" applyNumberFormat="0" applyFill="0" applyAlignment="0" applyProtection="0"/>
    <xf numFmtId="0" fontId="34" fillId="11" borderId="10" applyNumberFormat="0" applyAlignment="0" applyProtection="0"/>
    <xf numFmtId="0" fontId="34" fillId="22" borderId="10" applyNumberFormat="0" applyAlignment="0" applyProtection="0"/>
    <xf numFmtId="0" fontId="22" fillId="10" borderId="4" applyNumberFormat="0" applyAlignment="0" applyProtection="0"/>
    <xf numFmtId="0" fontId="35" fillId="0" borderId="11" applyNumberFormat="0" applyFill="0" applyAlignment="0" applyProtection="0"/>
    <xf numFmtId="0" fontId="36" fillId="22" borderId="4" applyNumberFormat="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8" fillId="0" borderId="12" applyNumberFormat="0" applyFill="0" applyAlignment="0" applyProtection="0"/>
    <xf numFmtId="0" fontId="2" fillId="0" borderId="0"/>
    <xf numFmtId="0" fontId="2"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9" fontId="1"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42" fillId="0" borderId="0">
      <alignment vertical="center"/>
    </xf>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83">
    <xf numFmtId="0" fontId="0" fillId="0" borderId="0" xfId="0"/>
    <xf numFmtId="0" fontId="4" fillId="0" borderId="0" xfId="0" applyFont="1" applyAlignment="1">
      <alignment vertical="center"/>
    </xf>
    <xf numFmtId="0" fontId="4" fillId="0" borderId="1" xfId="0" applyFont="1" applyFill="1" applyBorder="1" applyAlignment="1">
      <alignment horizontal="center" vertical="center"/>
    </xf>
    <xf numFmtId="0" fontId="9" fillId="6" borderId="2" xfId="0" applyFont="1" applyFill="1" applyBorder="1"/>
    <xf numFmtId="0" fontId="0" fillId="6" borderId="2" xfId="0" applyFill="1" applyBorder="1"/>
    <xf numFmtId="0" fontId="0" fillId="0" borderId="2" xfId="0" applyBorder="1"/>
    <xf numFmtId="0" fontId="9" fillId="6" borderId="2" xfId="434" applyFont="1" applyFill="1" applyBorder="1" applyAlignment="1"/>
    <xf numFmtId="0" fontId="16" fillId="0" borderId="2" xfId="434" applyBorder="1" applyAlignment="1"/>
    <xf numFmtId="0" fontId="0" fillId="7" borderId="2" xfId="0" applyFill="1" applyBorder="1"/>
    <xf numFmtId="49" fontId="6" fillId="0" borderId="1" xfId="0" applyNumberFormat="1" applyFont="1" applyFill="1" applyBorder="1" applyAlignment="1">
      <alignment vertical="center"/>
    </xf>
    <xf numFmtId="0" fontId="4" fillId="2" borderId="1" xfId="0" applyFont="1" applyFill="1" applyBorder="1" applyAlignment="1">
      <alignment horizontal="center" vertical="center"/>
    </xf>
    <xf numFmtId="0" fontId="4" fillId="8" borderId="1" xfId="0" applyFont="1" applyFill="1" applyBorder="1" applyAlignment="1">
      <alignment horizontal="center" vertical="center"/>
    </xf>
    <xf numFmtId="49" fontId="6" fillId="0" borderId="2" xfId="0" applyNumberFormat="1" applyFont="1" applyFill="1" applyBorder="1" applyAlignment="1">
      <alignment vertical="center"/>
    </xf>
    <xf numFmtId="0" fontId="18" fillId="2" borderId="13" xfId="0" applyFont="1" applyFill="1" applyBorder="1" applyAlignment="1">
      <alignment horizontal="center" vertical="center"/>
    </xf>
    <xf numFmtId="0" fontId="6" fillId="0" borderId="1" xfId="0" applyFont="1" applyFill="1" applyBorder="1" applyAlignment="1">
      <alignment vertical="center"/>
    </xf>
    <xf numFmtId="0" fontId="4" fillId="23" borderId="1" xfId="0" applyFont="1" applyFill="1" applyBorder="1" applyAlignment="1">
      <alignment horizontal="center" vertical="center"/>
    </xf>
    <xf numFmtId="0" fontId="0" fillId="23" borderId="2" xfId="0" applyFill="1" applyBorder="1"/>
    <xf numFmtId="0" fontId="18" fillId="23" borderId="13" xfId="0" applyFont="1" applyFill="1" applyBorder="1" applyAlignment="1">
      <alignment horizontal="center" vertical="center"/>
    </xf>
    <xf numFmtId="0" fontId="18" fillId="23" borderId="14" xfId="0" applyFont="1" applyFill="1" applyBorder="1" applyAlignment="1">
      <alignment horizontal="center" vertical="center"/>
    </xf>
    <xf numFmtId="0" fontId="4" fillId="23" borderId="2" xfId="0" applyFont="1" applyFill="1" applyBorder="1" applyAlignment="1">
      <alignment horizontal="center" vertical="center"/>
    </xf>
    <xf numFmtId="0" fontId="4" fillId="24" borderId="13" xfId="0" applyFont="1" applyFill="1" applyBorder="1" applyAlignment="1">
      <alignment horizontal="center" vertical="center"/>
    </xf>
    <xf numFmtId="0" fontId="4" fillId="24" borderId="2" xfId="0" applyFont="1" applyFill="1" applyBorder="1" applyAlignment="1">
      <alignment horizontal="center" vertical="center"/>
    </xf>
    <xf numFmtId="0" fontId="18" fillId="24" borderId="13" xfId="0" applyFont="1" applyFill="1" applyBorder="1" applyAlignment="1">
      <alignment horizontal="center" vertical="center"/>
    </xf>
    <xf numFmtId="0" fontId="18" fillId="2" borderId="14" xfId="0" applyFont="1" applyFill="1" applyBorder="1" applyAlignment="1">
      <alignment horizontal="center" vertical="center"/>
    </xf>
    <xf numFmtId="0" fontId="4" fillId="2" borderId="2" xfId="0" applyFont="1" applyFill="1" applyBorder="1" applyAlignment="1">
      <alignment horizontal="center" vertical="center"/>
    </xf>
    <xf numFmtId="0" fontId="4" fillId="0" borderId="1" xfId="0" applyFont="1" applyFill="1" applyBorder="1" applyAlignment="1">
      <alignment vertical="center"/>
    </xf>
    <xf numFmtId="0" fontId="4" fillId="0" borderId="2" xfId="0" applyFont="1" applyFill="1" applyBorder="1" applyAlignment="1">
      <alignment vertical="center"/>
    </xf>
    <xf numFmtId="0" fontId="4" fillId="0" borderId="2" xfId="0" applyFont="1" applyFill="1" applyBorder="1" applyAlignment="1">
      <alignment horizontal="center" vertical="center"/>
    </xf>
    <xf numFmtId="0" fontId="0" fillId="0" borderId="0" xfId="0" applyAlignment="1">
      <alignment horizontal="right"/>
    </xf>
    <xf numFmtId="0" fontId="0" fillId="0" borderId="2" xfId="0" applyBorder="1" applyAlignment="1">
      <alignment horizontal="center"/>
    </xf>
    <xf numFmtId="0" fontId="39" fillId="0" borderId="0" xfId="0" applyFont="1" applyAlignment="1">
      <alignment vertical="center"/>
    </xf>
    <xf numFmtId="0" fontId="40" fillId="0" borderId="0" xfId="0" applyFont="1"/>
    <xf numFmtId="0" fontId="41" fillId="0" borderId="0" xfId="0" applyFont="1"/>
    <xf numFmtId="0" fontId="18" fillId="8" borderId="13" xfId="0" applyFont="1" applyFill="1" applyBorder="1" applyAlignment="1">
      <alignment horizontal="center" vertical="center"/>
    </xf>
    <xf numFmtId="0" fontId="18" fillId="8" borderId="14" xfId="0" applyFont="1" applyFill="1" applyBorder="1" applyAlignment="1">
      <alignment horizontal="center" vertical="center"/>
    </xf>
    <xf numFmtId="0" fontId="6" fillId="0" borderId="2" xfId="0" applyNumberFormat="1" applyFont="1" applyFill="1" applyBorder="1" applyAlignment="1">
      <alignment vertical="center"/>
    </xf>
    <xf numFmtId="0" fontId="6" fillId="24" borderId="2" xfId="0" applyNumberFormat="1" applyFont="1" applyFill="1" applyBorder="1" applyAlignment="1">
      <alignment vertical="center"/>
    </xf>
    <xf numFmtId="9" fontId="6" fillId="0" borderId="2" xfId="941" applyFont="1" applyFill="1" applyBorder="1" applyAlignment="1">
      <alignment vertical="center"/>
    </xf>
    <xf numFmtId="0" fontId="6" fillId="0" borderId="2" xfId="0" applyFont="1" applyFill="1" applyBorder="1" applyAlignment="1">
      <alignment vertical="center"/>
    </xf>
    <xf numFmtId="49" fontId="6" fillId="0" borderId="2" xfId="0" applyNumberFormat="1" applyFont="1" applyFill="1" applyBorder="1" applyAlignment="1">
      <alignment vertical="center" wrapText="1"/>
    </xf>
    <xf numFmtId="0" fontId="18" fillId="0" borderId="2" xfId="0" applyFont="1" applyBorder="1"/>
    <xf numFmtId="0" fontId="4" fillId="7" borderId="2" xfId="0" applyFont="1" applyFill="1" applyBorder="1" applyAlignment="1">
      <alignment vertical="center"/>
    </xf>
    <xf numFmtId="0" fontId="4" fillId="25" borderId="2" xfId="0" applyFont="1" applyFill="1" applyBorder="1" applyAlignment="1">
      <alignment vertical="center"/>
    </xf>
    <xf numFmtId="0" fontId="4" fillId="25" borderId="2" xfId="0" applyFont="1" applyFill="1" applyBorder="1" applyAlignment="1">
      <alignment horizontal="center" vertical="center"/>
    </xf>
    <xf numFmtId="49" fontId="6" fillId="25" borderId="2" xfId="0" applyNumberFormat="1" applyFont="1" applyFill="1" applyBorder="1" applyAlignment="1">
      <alignment vertical="center" wrapText="1"/>
    </xf>
    <xf numFmtId="49" fontId="6" fillId="25" borderId="2" xfId="0" applyNumberFormat="1" applyFont="1" applyFill="1" applyBorder="1" applyAlignment="1">
      <alignment vertical="center"/>
    </xf>
    <xf numFmtId="0" fontId="6" fillId="25" borderId="2" xfId="0" applyFont="1" applyFill="1" applyBorder="1" applyAlignment="1">
      <alignment vertical="center"/>
    </xf>
    <xf numFmtId="0" fontId="6" fillId="25" borderId="2" xfId="0" applyNumberFormat="1" applyFont="1" applyFill="1" applyBorder="1" applyAlignment="1">
      <alignment vertical="center"/>
    </xf>
    <xf numFmtId="0" fontId="6" fillId="25" borderId="1" xfId="0" applyFont="1" applyFill="1" applyBorder="1" applyAlignment="1">
      <alignment vertical="center"/>
    </xf>
    <xf numFmtId="0" fontId="4" fillId="25" borderId="0" xfId="0" applyFont="1" applyFill="1" applyAlignment="1">
      <alignment vertical="center"/>
    </xf>
    <xf numFmtId="0" fontId="42" fillId="0" borderId="0" xfId="1038">
      <alignment vertical="center"/>
    </xf>
    <xf numFmtId="0" fontId="44" fillId="6" borderId="15" xfId="1038" applyFont="1" applyFill="1" applyBorder="1" applyAlignment="1">
      <alignment horizontal="center" vertical="center"/>
    </xf>
    <xf numFmtId="0" fontId="42" fillId="0" borderId="17" xfId="1038" applyBorder="1">
      <alignment vertical="center"/>
    </xf>
    <xf numFmtId="0" fontId="42" fillId="0" borderId="19" xfId="1038" applyBorder="1">
      <alignment vertical="center"/>
    </xf>
    <xf numFmtId="0" fontId="42" fillId="0" borderId="2" xfId="1038" applyBorder="1">
      <alignment vertical="center"/>
    </xf>
    <xf numFmtId="0" fontId="42" fillId="0" borderId="21" xfId="1038" applyBorder="1">
      <alignment vertical="center"/>
    </xf>
    <xf numFmtId="0" fontId="42" fillId="26" borderId="19" xfId="1038" applyFill="1" applyBorder="1">
      <alignment vertical="center"/>
    </xf>
    <xf numFmtId="0" fontId="42" fillId="6" borderId="21" xfId="1038" applyFill="1" applyBorder="1">
      <alignment vertical="center"/>
    </xf>
    <xf numFmtId="0" fontId="42" fillId="0" borderId="22" xfId="1038" applyFill="1" applyBorder="1" applyAlignment="1">
      <alignment horizontal="center" vertical="center"/>
    </xf>
    <xf numFmtId="0" fontId="42" fillId="0" borderId="23" xfId="1038" applyBorder="1">
      <alignment vertical="center"/>
    </xf>
    <xf numFmtId="0" fontId="42" fillId="0" borderId="26" xfId="1038" applyBorder="1">
      <alignment vertical="center"/>
    </xf>
    <xf numFmtId="0" fontId="42" fillId="0" borderId="29" xfId="1038" applyBorder="1">
      <alignment vertical="center"/>
    </xf>
    <xf numFmtId="0" fontId="42" fillId="0" borderId="24" xfId="1038" applyFill="1" applyBorder="1" applyAlignment="1">
      <alignment horizontal="center" vertical="center"/>
    </xf>
    <xf numFmtId="0" fontId="42" fillId="0" borderId="30" xfId="1038" applyBorder="1">
      <alignment vertical="center"/>
    </xf>
    <xf numFmtId="0" fontId="42" fillId="0" borderId="19" xfId="1038" applyFill="1" applyBorder="1">
      <alignment vertical="center"/>
    </xf>
    <xf numFmtId="0" fontId="44" fillId="6" borderId="33" xfId="1038" applyFont="1" applyFill="1" applyBorder="1" applyAlignment="1">
      <alignment horizontal="left" vertical="center"/>
    </xf>
    <xf numFmtId="0" fontId="4" fillId="27" borderId="2" xfId="0" applyFont="1" applyFill="1" applyBorder="1" applyAlignment="1">
      <alignment vertical="center"/>
    </xf>
    <xf numFmtId="0" fontId="4" fillId="27" borderId="2" xfId="0" applyFont="1" applyFill="1" applyBorder="1" applyAlignment="1">
      <alignment horizontal="center" vertical="center"/>
    </xf>
    <xf numFmtId="49" fontId="6" fillId="27" borderId="2" xfId="0" applyNumberFormat="1" applyFont="1" applyFill="1" applyBorder="1" applyAlignment="1">
      <alignment vertical="center" wrapText="1"/>
    </xf>
    <xf numFmtId="49" fontId="6" fillId="27" borderId="2" xfId="0" applyNumberFormat="1" applyFont="1" applyFill="1" applyBorder="1" applyAlignment="1">
      <alignment vertical="center"/>
    </xf>
    <xf numFmtId="0" fontId="6" fillId="27" borderId="2" xfId="0" applyFont="1" applyFill="1" applyBorder="1" applyAlignment="1">
      <alignment vertical="center"/>
    </xf>
    <xf numFmtId="0" fontId="6" fillId="27" borderId="2" xfId="0" applyNumberFormat="1" applyFont="1" applyFill="1" applyBorder="1" applyAlignment="1">
      <alignment vertical="center"/>
    </xf>
    <xf numFmtId="0" fontId="6" fillId="27" borderId="1" xfId="0" applyFont="1" applyFill="1" applyBorder="1" applyAlignment="1">
      <alignment vertical="center"/>
    </xf>
    <xf numFmtId="0" fontId="4" fillId="27" borderId="0" xfId="0" applyFont="1" applyFill="1" applyAlignment="1">
      <alignment vertical="center"/>
    </xf>
    <xf numFmtId="0" fontId="42" fillId="0" borderId="24" xfId="1038" applyFill="1" applyBorder="1" applyAlignment="1">
      <alignment horizontal="center" vertical="center"/>
    </xf>
    <xf numFmtId="0" fontId="42" fillId="0" borderId="25" xfId="1038" applyFill="1" applyBorder="1" applyAlignment="1">
      <alignment horizontal="center" vertical="center"/>
    </xf>
    <xf numFmtId="0" fontId="42" fillId="0" borderId="27" xfId="1038" applyFill="1" applyBorder="1" applyAlignment="1">
      <alignment horizontal="center" vertical="center"/>
    </xf>
    <xf numFmtId="0" fontId="42" fillId="0" borderId="16" xfId="1038" applyFill="1" applyBorder="1" applyAlignment="1">
      <alignment horizontal="center" vertical="center"/>
    </xf>
    <xf numFmtId="0" fontId="42" fillId="0" borderId="20" xfId="1038" applyFill="1" applyBorder="1" applyAlignment="1">
      <alignment horizontal="center" vertical="center"/>
    </xf>
    <xf numFmtId="0" fontId="42" fillId="0" borderId="18" xfId="1038" applyFill="1" applyBorder="1" applyAlignment="1">
      <alignment horizontal="center" vertical="center"/>
    </xf>
    <xf numFmtId="0" fontId="42" fillId="0" borderId="28" xfId="1038" applyFill="1" applyBorder="1" applyAlignment="1">
      <alignment horizontal="center" vertical="center"/>
    </xf>
    <xf numFmtId="0" fontId="42" fillId="0" borderId="31" xfId="1038" applyFill="1" applyBorder="1" applyAlignment="1">
      <alignment horizontal="center" vertical="center"/>
    </xf>
    <xf numFmtId="0" fontId="42" fillId="0" borderId="32" xfId="1038" applyFill="1" applyBorder="1" applyAlignment="1">
      <alignment horizontal="center" vertical="center"/>
    </xf>
  </cellXfs>
  <cellStyles count="1043">
    <cellStyle name="20% - ANZg1" xfId="691"/>
    <cellStyle name="20% - ANZg2" xfId="692"/>
    <cellStyle name="20% - ANZg3" xfId="693"/>
    <cellStyle name="20% - ANZg4" xfId="694"/>
    <cellStyle name="20% - ANZg5" xfId="695"/>
    <cellStyle name="20% - ANZg6" xfId="696"/>
    <cellStyle name="40% - ANZg1" xfId="697"/>
    <cellStyle name="40% - ANZg2" xfId="698"/>
    <cellStyle name="40% - ANZg3" xfId="699"/>
    <cellStyle name="40% - ANZg4" xfId="700"/>
    <cellStyle name="40% - ANZg5" xfId="701"/>
    <cellStyle name="40% - ANZg6" xfId="702"/>
    <cellStyle name="60% - ANZg1" xfId="703"/>
    <cellStyle name="60% - ANZg2" xfId="704"/>
    <cellStyle name="60% - ANZg3" xfId="705"/>
    <cellStyle name="60% - ANZg4" xfId="706"/>
    <cellStyle name="60% - ANZg5" xfId="707"/>
    <cellStyle name="60% - ANZg6" xfId="708"/>
    <cellStyle name="Excel Built-in Normal" xfId="428"/>
    <cellStyle name="^Cg" xfId="686"/>
    <cellStyle name="`FbN Z" xfId="685"/>
    <cellStyle name="ANZg 1" xfId="710"/>
    <cellStyle name="ANZg 2" xfId="711"/>
    <cellStyle name="ANZg 3" xfId="712"/>
    <cellStyle name="ANZg 4" xfId="713"/>
    <cellStyle name="ANZg 5" xfId="714"/>
    <cellStyle name="ANZg 6" xfId="715"/>
    <cellStyle name="" xfId="680"/>
    <cellStyle name="N Z" xfId="718"/>
    <cellStyle name="_" xfId="681"/>
    <cellStyle name="«¢" xfId="684"/>
    <cellStyle name="vZ" xfId="723"/>
    <cellStyle name="x÷" xfId="725"/>
    <cellStyle name="x¶" xfId="724"/>
    <cellStyle name="ýo_ 1" xfId="726"/>
    <cellStyle name="©oµ 1" xfId="687"/>
    <cellStyle name="©oµ 2" xfId="688"/>
    <cellStyle name="©oµ 3" xfId="689"/>
    <cellStyle name="©oµ 4" xfId="690"/>
    <cellStyle name="v" xfId="722"/>
    <cellStyle name="o_" xfId="719"/>
    <cellStyle name="oÍ" xfId="720"/>
    <cellStyle name="__÷" xfId="683"/>
    <cellStyle name="à¾¶" xfId="709"/>
    <cellStyle name="__" xfId="682"/>
    <cellStyle name="üÍ" xfId="721"/>
    <cellStyle name="Ê" xfId="717"/>
    <cellStyle name="Ç¢" xfId="716"/>
    <cellStyle name="パーセント" xfId="941" builtinId="5"/>
    <cellStyle name="ハイパーリンク" xfId="1" builtinId="8" hidden="1"/>
    <cellStyle name="ハイパーリンク" xfId="3" builtinId="8" hidden="1"/>
    <cellStyle name="ハイパーリンク" xfId="5" builtinId="8" hidden="1"/>
    <cellStyle name="ハイパーリンク" xfId="7" builtinId="8" hidden="1"/>
    <cellStyle name="ハイパーリンク" xfId="9" builtinId="8" hidden="1"/>
    <cellStyle name="ハイパーリンク" xfId="12" builtinId="8" hidden="1"/>
    <cellStyle name="ハイパーリンク" xfId="14" builtinId="8" hidden="1"/>
    <cellStyle name="ハイパーリンク" xfId="16" builtinId="8" hidden="1"/>
    <cellStyle name="ハイパーリンク" xfId="18" builtinId="8" hidden="1"/>
    <cellStyle name="ハイパーリンク" xfId="20" builtinId="8" hidden="1"/>
    <cellStyle name="ハイパーリンク" xfId="22" builtinId="8" hidden="1"/>
    <cellStyle name="ハイパーリンク" xfId="24" builtinId="8" hidden="1"/>
    <cellStyle name="ハイパーリンク" xfId="26" builtinId="8" hidden="1"/>
    <cellStyle name="ハイパーリンク" xfId="28" builtinId="8" hidden="1"/>
    <cellStyle name="ハイパーリンク" xfId="30" builtinId="8" hidden="1"/>
    <cellStyle name="ハイパーリンク" xfId="32" builtinId="8" hidden="1"/>
    <cellStyle name="ハイパーリンク" xfId="34" builtinId="8" hidden="1"/>
    <cellStyle name="ハイパーリンク" xfId="36" builtinId="8" hidden="1"/>
    <cellStyle name="ハイパーリンク" xfId="38" builtinId="8" hidden="1"/>
    <cellStyle name="ハイパーリンク" xfId="40" builtinId="8" hidden="1"/>
    <cellStyle name="ハイパーリンク" xfId="42" builtinId="8" hidden="1"/>
    <cellStyle name="ハイパーリンク" xfId="44" builtinId="8" hidden="1"/>
    <cellStyle name="ハイパーリンク" xfId="46" builtinId="8" hidden="1"/>
    <cellStyle name="ハイパーリンク" xfId="48" builtinId="8" hidden="1"/>
    <cellStyle name="ハイパーリンク" xfId="50" builtinId="8" hidden="1"/>
    <cellStyle name="ハイパーリンク" xfId="52" builtinId="8" hidden="1"/>
    <cellStyle name="ハイパーリンク" xfId="54" builtinId="8" hidden="1"/>
    <cellStyle name="ハイパーリンク" xfId="56" builtinId="8" hidden="1"/>
    <cellStyle name="ハイパーリンク" xfId="58" builtinId="8" hidden="1"/>
    <cellStyle name="ハイパーリンク" xfId="60" builtinId="8" hidden="1"/>
    <cellStyle name="ハイパーリンク" xfId="62" builtinId="8" hidden="1"/>
    <cellStyle name="ハイパーリンク" xfId="64" builtinId="8" hidden="1"/>
    <cellStyle name="ハイパーリンク" xfId="66" builtinId="8" hidden="1"/>
    <cellStyle name="ハイパーリンク" xfId="68" builtinId="8" hidden="1"/>
    <cellStyle name="ハイパーリンク" xfId="70" builtinId="8" hidden="1"/>
    <cellStyle name="ハイパーリンク" xfId="72" builtinId="8" hidden="1"/>
    <cellStyle name="ハイパーリンク" xfId="74" builtinId="8" hidden="1"/>
    <cellStyle name="ハイパーリンク" xfId="76" builtinId="8" hidden="1"/>
    <cellStyle name="ハイパーリンク" xfId="78" builtinId="8" hidden="1"/>
    <cellStyle name="ハイパーリンク" xfId="80" builtinId="8" hidden="1"/>
    <cellStyle name="ハイパーリンク" xfId="82" builtinId="8" hidden="1"/>
    <cellStyle name="ハイパーリンク" xfId="84" builtinId="8" hidden="1"/>
    <cellStyle name="ハイパーリンク" xfId="86" builtinId="8" hidden="1"/>
    <cellStyle name="ハイパーリンク" xfId="88" builtinId="8" hidden="1"/>
    <cellStyle name="ハイパーリンク" xfId="90" builtinId="8" hidden="1"/>
    <cellStyle name="ハイパーリンク" xfId="92" builtinId="8" hidden="1"/>
    <cellStyle name="ハイパーリンク" xfId="94" builtinId="8" hidden="1"/>
    <cellStyle name="ハイパーリンク" xfId="96" builtinId="8" hidden="1"/>
    <cellStyle name="ハイパーリンク" xfId="98" builtinId="8" hidden="1"/>
    <cellStyle name="ハイパーリンク" xfId="100" builtinId="8" hidden="1"/>
    <cellStyle name="ハイパーリンク" xfId="102" builtinId="8" hidden="1"/>
    <cellStyle name="ハイパーリンク" xfId="104" builtinId="8" hidden="1"/>
    <cellStyle name="ハイパーリンク" xfId="106" builtinId="8" hidden="1"/>
    <cellStyle name="ハイパーリンク" xfId="108" builtinId="8" hidden="1"/>
    <cellStyle name="ハイパーリンク" xfId="110" builtinId="8" hidden="1"/>
    <cellStyle name="ハイパーリンク" xfId="112" builtinId="8" hidden="1"/>
    <cellStyle name="ハイパーリンク" xfId="114" builtinId="8" hidden="1"/>
    <cellStyle name="ハイパーリンク" xfId="116" builtinId="8" hidden="1"/>
    <cellStyle name="ハイパーリンク" xfId="118" builtinId="8" hidden="1"/>
    <cellStyle name="ハイパーリンク" xfId="120" builtinId="8" hidden="1"/>
    <cellStyle name="ハイパーリンク" xfId="122" builtinId="8" hidden="1"/>
    <cellStyle name="ハイパーリンク" xfId="124" builtinId="8" hidden="1"/>
    <cellStyle name="ハイパーリンク" xfId="126" builtinId="8" hidden="1"/>
    <cellStyle name="ハイパーリンク" xfId="128" builtinId="8" hidden="1"/>
    <cellStyle name="ハイパーリンク" xfId="130" builtinId="8" hidden="1"/>
    <cellStyle name="ハイパーリンク" xfId="132" builtinId="8" hidden="1"/>
    <cellStyle name="ハイパーリンク" xfId="134" builtinId="8" hidden="1"/>
    <cellStyle name="ハイパーリンク" xfId="136" builtinId="8" hidden="1"/>
    <cellStyle name="ハイパーリンク" xfId="138" builtinId="8" hidden="1"/>
    <cellStyle name="ハイパーリンク" xfId="140" builtinId="8" hidden="1"/>
    <cellStyle name="ハイパーリンク" xfId="142" builtinId="8" hidden="1"/>
    <cellStyle name="ハイパーリンク" xfId="144" builtinId="8" hidden="1"/>
    <cellStyle name="ハイパーリンク" xfId="146" builtinId="8" hidden="1"/>
    <cellStyle name="ハイパーリンク" xfId="148" builtinId="8" hidden="1"/>
    <cellStyle name="ハイパーリンク" xfId="150" builtinId="8" hidden="1"/>
    <cellStyle name="ハイパーリンク" xfId="152" builtinId="8" hidden="1"/>
    <cellStyle name="ハイパーリンク" xfId="154" builtinId="8" hidden="1"/>
    <cellStyle name="ハイパーリンク" xfId="156" builtinId="8" hidden="1"/>
    <cellStyle name="ハイパーリンク" xfId="158" builtinId="8" hidden="1"/>
    <cellStyle name="ハイパーリンク" xfId="160" builtinId="8" hidden="1"/>
    <cellStyle name="ハイパーリンク" xfId="162" builtinId="8" hidden="1"/>
    <cellStyle name="ハイパーリンク" xfId="164" builtinId="8" hidden="1"/>
    <cellStyle name="ハイパーリンク" xfId="166" builtinId="8" hidden="1"/>
    <cellStyle name="ハイパーリンク" xfId="168" builtinId="8" hidden="1"/>
    <cellStyle name="ハイパーリンク" xfId="170" builtinId="8" hidden="1"/>
    <cellStyle name="ハイパーリンク" xfId="172" builtinId="8" hidden="1"/>
    <cellStyle name="ハイパーリンク" xfId="174" builtinId="8" hidden="1"/>
    <cellStyle name="ハイパーリンク" xfId="176" builtinId="8" hidden="1"/>
    <cellStyle name="ハイパーリンク" xfId="178" builtinId="8" hidden="1"/>
    <cellStyle name="ハイパーリンク" xfId="180" builtinId="8" hidden="1"/>
    <cellStyle name="ハイパーリンク" xfId="182" builtinId="8" hidden="1"/>
    <cellStyle name="ハイパーリンク" xfId="184" builtinId="8" hidden="1"/>
    <cellStyle name="ハイパーリンク" xfId="186" builtinId="8" hidden="1"/>
    <cellStyle name="ハイパーリンク" xfId="188" builtinId="8" hidden="1"/>
    <cellStyle name="ハイパーリンク" xfId="190" builtinId="8" hidden="1"/>
    <cellStyle name="ハイパーリンク" xfId="192" builtinId="8" hidden="1"/>
    <cellStyle name="ハイパーリンク" xfId="194" builtinId="8" hidden="1"/>
    <cellStyle name="ハイパーリンク" xfId="196" builtinId="8" hidden="1"/>
    <cellStyle name="ハイパーリンク" xfId="198" builtinId="8" hidden="1"/>
    <cellStyle name="ハイパーリンク" xfId="200" builtinId="8" hidden="1"/>
    <cellStyle name="ハイパーリンク" xfId="202" builtinId="8" hidden="1"/>
    <cellStyle name="ハイパーリンク" xfId="204" builtinId="8" hidden="1"/>
    <cellStyle name="ハイパーリンク" xfId="206" builtinId="8" hidden="1"/>
    <cellStyle name="ハイパーリンク" xfId="208" builtinId="8" hidden="1"/>
    <cellStyle name="ハイパーリンク" xfId="210" builtinId="8" hidden="1"/>
    <cellStyle name="ハイパーリンク" xfId="212" builtinId="8" hidden="1"/>
    <cellStyle name="ハイパーリンク" xfId="214" builtinId="8" hidden="1"/>
    <cellStyle name="ハイパーリンク" xfId="216" builtinId="8" hidden="1"/>
    <cellStyle name="ハイパーリンク" xfId="218" builtinId="8" hidden="1"/>
    <cellStyle name="ハイパーリンク" xfId="220" builtinId="8" hidden="1"/>
    <cellStyle name="ハイパーリンク" xfId="222" builtinId="8" hidden="1"/>
    <cellStyle name="ハイパーリンク" xfId="224" builtinId="8" hidden="1"/>
    <cellStyle name="ハイパーリンク" xfId="226" builtinId="8" hidden="1"/>
    <cellStyle name="ハイパーリンク" xfId="228" builtinId="8" hidden="1"/>
    <cellStyle name="ハイパーリンク" xfId="230" builtinId="8" hidden="1"/>
    <cellStyle name="ハイパーリンク" xfId="232" builtinId="8" hidden="1"/>
    <cellStyle name="ハイパーリンク" xfId="234" builtinId="8" hidden="1"/>
    <cellStyle name="ハイパーリンク" xfId="236" builtinId="8" hidden="1"/>
    <cellStyle name="ハイパーリンク" xfId="238" builtinId="8" hidden="1"/>
    <cellStyle name="ハイパーリンク" xfId="240" builtinId="8" hidden="1"/>
    <cellStyle name="ハイパーリンク" xfId="242" builtinId="8" hidden="1"/>
    <cellStyle name="ハイパーリンク" xfId="244" builtinId="8" hidden="1"/>
    <cellStyle name="ハイパーリンク" xfId="246" builtinId="8" hidden="1"/>
    <cellStyle name="ハイパーリンク" xfId="248" builtinId="8" hidden="1"/>
    <cellStyle name="ハイパーリンク" xfId="250" builtinId="8" hidden="1"/>
    <cellStyle name="ハイパーリンク" xfId="252" builtinId="8" hidden="1"/>
    <cellStyle name="ハイパーリンク" xfId="254" builtinId="8" hidden="1"/>
    <cellStyle name="ハイパーリンク" xfId="256" builtinId="8" hidden="1"/>
    <cellStyle name="ハイパーリンク" xfId="258" builtinId="8" hidden="1"/>
    <cellStyle name="ハイパーリンク" xfId="260" builtinId="8" hidden="1"/>
    <cellStyle name="ハイパーリンク" xfId="262" builtinId="8" hidden="1"/>
    <cellStyle name="ハイパーリンク" xfId="264" builtinId="8" hidden="1"/>
    <cellStyle name="ハイパーリンク" xfId="266" builtinId="8" hidden="1"/>
    <cellStyle name="ハイパーリンク" xfId="268" builtinId="8" hidden="1"/>
    <cellStyle name="ハイパーリンク" xfId="270" builtinId="8" hidden="1"/>
    <cellStyle name="ハイパーリンク" xfId="272" builtinId="8" hidden="1"/>
    <cellStyle name="ハイパーリンク" xfId="274" builtinId="8" hidden="1"/>
    <cellStyle name="ハイパーリンク" xfId="276" builtinId="8" hidden="1"/>
    <cellStyle name="ハイパーリンク" xfId="278" builtinId="8" hidden="1"/>
    <cellStyle name="ハイパーリンク" xfId="280" builtinId="8" hidden="1"/>
    <cellStyle name="ハイパーリンク" xfId="282" builtinId="8" hidden="1"/>
    <cellStyle name="ハイパーリンク" xfId="284" builtinId="8" hidden="1"/>
    <cellStyle name="ハイパーリンク" xfId="286" builtinId="8" hidden="1"/>
    <cellStyle name="ハイパーリンク" xfId="288" builtinId="8" hidden="1"/>
    <cellStyle name="ハイパーリンク" xfId="290" builtinId="8" hidden="1"/>
    <cellStyle name="ハイパーリンク" xfId="292" builtinId="8" hidden="1"/>
    <cellStyle name="ハイパーリンク" xfId="294" builtinId="8" hidden="1"/>
    <cellStyle name="ハイパーリンク" xfId="296" builtinId="8" hidden="1"/>
    <cellStyle name="ハイパーリンク" xfId="298" builtinId="8" hidden="1"/>
    <cellStyle name="ハイパーリンク" xfId="300" builtinId="8" hidden="1"/>
    <cellStyle name="ハイパーリンク" xfId="302" builtinId="8" hidden="1"/>
    <cellStyle name="ハイパーリンク" xfId="304" builtinId="8" hidden="1"/>
    <cellStyle name="ハイパーリンク" xfId="306" builtinId="8" hidden="1"/>
    <cellStyle name="ハイパーリンク" xfId="308" builtinId="8" hidden="1"/>
    <cellStyle name="ハイパーリンク" xfId="310" builtinId="8" hidden="1"/>
    <cellStyle name="ハイパーリンク" xfId="312" builtinId="8" hidden="1"/>
    <cellStyle name="ハイパーリンク" xfId="314" builtinId="8" hidden="1"/>
    <cellStyle name="ハイパーリンク" xfId="316" builtinId="8" hidden="1"/>
    <cellStyle name="ハイパーリンク" xfId="318" builtinId="8" hidden="1"/>
    <cellStyle name="ハイパーリンク" xfId="320" builtinId="8" hidden="1"/>
    <cellStyle name="ハイパーリンク" xfId="322" builtinId="8" hidden="1"/>
    <cellStyle name="ハイパーリンク" xfId="324" builtinId="8" hidden="1"/>
    <cellStyle name="ハイパーリンク" xfId="326" builtinId="8" hidden="1"/>
    <cellStyle name="ハイパーリンク" xfId="328" builtinId="8" hidden="1"/>
    <cellStyle name="ハイパーリンク" xfId="330" builtinId="8" hidden="1"/>
    <cellStyle name="ハイパーリンク" xfId="332" builtinId="8" hidden="1"/>
    <cellStyle name="ハイパーリンク" xfId="334" builtinId="8" hidden="1"/>
    <cellStyle name="ハイパーリンク" xfId="336" builtinId="8" hidden="1"/>
    <cellStyle name="ハイパーリンク" xfId="338" builtinId="8" hidden="1"/>
    <cellStyle name="ハイパーリンク" xfId="340" builtinId="8" hidden="1"/>
    <cellStyle name="ハイパーリンク" xfId="342" builtinId="8" hidden="1"/>
    <cellStyle name="ハイパーリンク" xfId="344" builtinId="8" hidden="1"/>
    <cellStyle name="ハイパーリンク" xfId="346" builtinId="8" hidden="1"/>
    <cellStyle name="ハイパーリンク" xfId="348" builtinId="8" hidden="1"/>
    <cellStyle name="ハイパーリンク" xfId="350" builtinId="8" hidden="1"/>
    <cellStyle name="ハイパーリンク" xfId="352" builtinId="8" hidden="1"/>
    <cellStyle name="ハイパーリンク" xfId="354" builtinId="8" hidden="1"/>
    <cellStyle name="ハイパーリンク" xfId="356" builtinId="8" hidden="1"/>
    <cellStyle name="ハイパーリンク" xfId="358" builtinId="8" hidden="1"/>
    <cellStyle name="ハイパーリンク" xfId="360" builtinId="8" hidden="1"/>
    <cellStyle name="ハイパーリンク" xfId="362" builtinId="8" hidden="1"/>
    <cellStyle name="ハイパーリンク" xfId="364" builtinId="8" hidden="1"/>
    <cellStyle name="ハイパーリンク" xfId="366" builtinId="8" hidden="1"/>
    <cellStyle name="ハイパーリンク" xfId="368" builtinId="8" hidden="1"/>
    <cellStyle name="ハイパーリンク" xfId="370" builtinId="8" hidden="1"/>
    <cellStyle name="ハイパーリンク" xfId="372" builtinId="8" hidden="1"/>
    <cellStyle name="ハイパーリンク" xfId="374" builtinId="8" hidden="1"/>
    <cellStyle name="ハイパーリンク" xfId="376" builtinId="8" hidden="1"/>
    <cellStyle name="ハイパーリンク" xfId="378" builtinId="8" hidden="1"/>
    <cellStyle name="ハイパーリンク" xfId="380" builtinId="8" hidden="1"/>
    <cellStyle name="ハイパーリンク" xfId="382" builtinId="8" hidden="1"/>
    <cellStyle name="ハイパーリンク" xfId="384" builtinId="8" hidden="1"/>
    <cellStyle name="ハイパーリンク" xfId="386" builtinId="8" hidden="1"/>
    <cellStyle name="ハイパーリンク" xfId="388" builtinId="8" hidden="1"/>
    <cellStyle name="ハイパーリンク" xfId="390" builtinId="8" hidden="1"/>
    <cellStyle name="ハイパーリンク" xfId="392" builtinId="8" hidden="1"/>
    <cellStyle name="ハイパーリンク" xfId="394" builtinId="8" hidden="1"/>
    <cellStyle name="ハイパーリンク" xfId="396" builtinId="8" hidden="1"/>
    <cellStyle name="ハイパーリンク" xfId="398" builtinId="8" hidden="1"/>
    <cellStyle name="ハイパーリンク" xfId="400" builtinId="8" hidden="1"/>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22" builtinId="8" hidden="1"/>
    <cellStyle name="ハイパーリンク" xfId="424" builtinId="8" hidden="1"/>
    <cellStyle name="ハイパーリンク" xfId="426" builtinId="8" hidden="1"/>
    <cellStyle name="ハイパーリンク" xfId="436" builtinId="8" hidden="1"/>
    <cellStyle name="ハイパーリンク" xfId="438" builtinId="8" hidden="1"/>
    <cellStyle name="ハイパーリンク" xfId="440" builtinId="8" hidden="1"/>
    <cellStyle name="ハイパーリンク" xfId="442" builtinId="8" hidden="1"/>
    <cellStyle name="ハイパーリンク" xfId="444" builtinId="8" hidden="1"/>
    <cellStyle name="ハイパーリンク" xfId="446" builtinId="8" hidden="1"/>
    <cellStyle name="ハイパーリンク" xfId="448" builtinId="8" hidden="1"/>
    <cellStyle name="ハイパーリンク" xfId="450" builtinId="8" hidden="1"/>
    <cellStyle name="ハイパーリンク" xfId="452" builtinId="8" hidden="1"/>
    <cellStyle name="ハイパーリンク" xfId="454" builtinId="8" hidden="1"/>
    <cellStyle name="ハイパーリンク" xfId="456" builtinId="8" hidden="1"/>
    <cellStyle name="ハイパーリンク" xfId="458" builtinId="8" hidden="1"/>
    <cellStyle name="ハイパーリンク" xfId="460" builtinId="8" hidden="1"/>
    <cellStyle name="ハイパーリンク" xfId="462" builtinId="8" hidden="1"/>
    <cellStyle name="ハイパーリンク" xfId="464" builtinId="8" hidden="1"/>
    <cellStyle name="ハイパーリンク" xfId="466" builtinId="8" hidden="1"/>
    <cellStyle name="ハイパーリンク" xfId="468" builtinId="8" hidden="1"/>
    <cellStyle name="ハイパーリンク" xfId="470" builtinId="8" hidden="1"/>
    <cellStyle name="ハイパーリンク" xfId="472" builtinId="8" hidden="1"/>
    <cellStyle name="ハイパーリンク" xfId="474" builtinId="8" hidden="1"/>
    <cellStyle name="ハイパーリンク" xfId="476" builtinId="8" hidden="1"/>
    <cellStyle name="ハイパーリンク" xfId="478" builtinId="8" hidden="1"/>
    <cellStyle name="ハイパーリンク" xfId="480" builtinId="8" hidden="1"/>
    <cellStyle name="ハイパーリンク" xfId="482" builtinId="8" hidden="1"/>
    <cellStyle name="ハイパーリンク" xfId="484" builtinId="8" hidden="1"/>
    <cellStyle name="ハイパーリンク" xfId="486" builtinId="8" hidden="1"/>
    <cellStyle name="ハイパーリンク" xfId="488" builtinId="8" hidden="1"/>
    <cellStyle name="ハイパーリンク" xfId="490" builtinId="8" hidden="1"/>
    <cellStyle name="ハイパーリンク" xfId="492" builtinId="8" hidden="1"/>
    <cellStyle name="ハイパーリンク" xfId="494" builtinId="8" hidden="1"/>
    <cellStyle name="ハイパーリンク" xfId="496" builtinId="8" hidden="1"/>
    <cellStyle name="ハイパーリンク" xfId="498" builtinId="8" hidden="1"/>
    <cellStyle name="ハイパーリンク" xfId="500" builtinId="8" hidden="1"/>
    <cellStyle name="ハイパーリンク" xfId="502" builtinId="8" hidden="1"/>
    <cellStyle name="ハイパーリンク" xfId="504" builtinId="8" hidden="1"/>
    <cellStyle name="ハイパーリンク" xfId="506" builtinId="8" hidden="1"/>
    <cellStyle name="ハイパーリンク" xfId="508" builtinId="8" hidden="1"/>
    <cellStyle name="ハイパーリンク" xfId="510" builtinId="8" hidden="1"/>
    <cellStyle name="ハイパーリンク" xfId="512" builtinId="8" hidden="1"/>
    <cellStyle name="ハイパーリンク" xfId="514" builtinId="8" hidden="1"/>
    <cellStyle name="ハイパーリンク" xfId="516" builtinId="8" hidden="1"/>
    <cellStyle name="ハイパーリンク" xfId="518" builtinId="8" hidden="1"/>
    <cellStyle name="ハイパーリンク" xfId="520" builtinId="8" hidden="1"/>
    <cellStyle name="ハイパーリンク" xfId="522" builtinId="8" hidden="1"/>
    <cellStyle name="ハイパーリンク" xfId="524" builtinId="8" hidden="1"/>
    <cellStyle name="ハイパーリンク" xfId="526" builtinId="8" hidden="1"/>
    <cellStyle name="ハイパーリンク" xfId="528" builtinId="8" hidden="1"/>
    <cellStyle name="ハイパーリンク" xfId="530" builtinId="8" hidden="1"/>
    <cellStyle name="ハイパーリンク" xfId="532" builtinId="8" hidden="1"/>
    <cellStyle name="ハイパーリンク" xfId="534" builtinId="8" hidden="1"/>
    <cellStyle name="ハイパーリンク" xfId="536" builtinId="8" hidden="1"/>
    <cellStyle name="ハイパーリンク" xfId="538" builtinId="8" hidden="1"/>
    <cellStyle name="ハイパーリンク" xfId="540" builtinId="8" hidden="1"/>
    <cellStyle name="ハイパーリンク" xfId="542" builtinId="8" hidden="1"/>
    <cellStyle name="ハイパーリンク" xfId="544" builtinId="8" hidden="1"/>
    <cellStyle name="ハイパーリンク" xfId="546" builtinId="8" hidden="1"/>
    <cellStyle name="ハイパーリンク" xfId="548" builtinId="8" hidden="1"/>
    <cellStyle name="ハイパーリンク" xfId="550" builtinId="8" hidden="1"/>
    <cellStyle name="ハイパーリンク" xfId="552" builtinId="8" hidden="1"/>
    <cellStyle name="ハイパーリンク" xfId="554" builtinId="8" hidden="1"/>
    <cellStyle name="ハイパーリンク" xfId="556" builtinId="8" hidden="1"/>
    <cellStyle name="ハイパーリンク" xfId="558" builtinId="8" hidden="1"/>
    <cellStyle name="ハイパーリンク" xfId="560" builtinId="8" hidden="1"/>
    <cellStyle name="ハイパーリンク" xfId="562" builtinId="8" hidden="1"/>
    <cellStyle name="ハイパーリンク" xfId="564" builtinId="8" hidden="1"/>
    <cellStyle name="ハイパーリンク" xfId="566" builtinId="8" hidden="1"/>
    <cellStyle name="ハイパーリンク" xfId="568" builtinId="8" hidden="1"/>
    <cellStyle name="ハイパーリンク" xfId="570" builtinId="8" hidden="1"/>
    <cellStyle name="ハイパーリンク" xfId="572" builtinId="8" hidden="1"/>
    <cellStyle name="ハイパーリンク" xfId="574" builtinId="8" hidden="1"/>
    <cellStyle name="ハイパーリンク" xfId="576" builtinId="8" hidden="1"/>
    <cellStyle name="ハイパーリンク" xfId="578" builtinId="8" hidden="1"/>
    <cellStyle name="ハイパーリンク" xfId="580" builtinId="8" hidden="1"/>
    <cellStyle name="ハイパーリンク" xfId="582" builtinId="8" hidden="1"/>
    <cellStyle name="ハイパーリンク" xfId="584" builtinId="8" hidden="1"/>
    <cellStyle name="ハイパーリンク" xfId="586" builtinId="8" hidden="1"/>
    <cellStyle name="ハイパーリンク" xfId="588" builtinId="8" hidden="1"/>
    <cellStyle name="ハイパーリンク" xfId="590" builtinId="8" hidden="1"/>
    <cellStyle name="ハイパーリンク" xfId="592" builtinId="8" hidden="1"/>
    <cellStyle name="ハイパーリンク" xfId="594" builtinId="8" hidden="1"/>
    <cellStyle name="ハイパーリンク" xfId="596" builtinId="8" hidden="1"/>
    <cellStyle name="ハイパーリンク" xfId="598" builtinId="8" hidden="1"/>
    <cellStyle name="ハイパーリンク" xfId="600" builtinId="8" hidden="1"/>
    <cellStyle name="ハイパーリンク" xfId="602" builtinId="8" hidden="1"/>
    <cellStyle name="ハイパーリンク" xfId="604" builtinId="8" hidden="1"/>
    <cellStyle name="ハイパーリンク" xfId="606" builtinId="8" hidden="1"/>
    <cellStyle name="ハイパーリンク" xfId="608" builtinId="8" hidden="1"/>
    <cellStyle name="ハイパーリンク" xfId="610" builtinId="8" hidden="1"/>
    <cellStyle name="ハイパーリンク" xfId="612" builtinId="8" hidden="1"/>
    <cellStyle name="ハイパーリンク" xfId="614" builtinId="8" hidden="1"/>
    <cellStyle name="ハイパーリンク" xfId="616" builtinId="8" hidden="1"/>
    <cellStyle name="ハイパーリンク" xfId="618" builtinId="8" hidden="1"/>
    <cellStyle name="ハイパーリンク" xfId="620" builtinId="8" hidden="1"/>
    <cellStyle name="ハイパーリンク" xfId="622" builtinId="8" hidden="1"/>
    <cellStyle name="ハイパーリンク" xfId="624" builtinId="8" hidden="1"/>
    <cellStyle name="ハイパーリンク" xfId="626" builtinId="8" hidden="1"/>
    <cellStyle name="ハイパーリンク" xfId="628" builtinId="8" hidden="1"/>
    <cellStyle name="ハイパーリンク" xfId="630" builtinId="8" hidden="1"/>
    <cellStyle name="ハイパーリンク" xfId="632" builtinId="8" hidden="1"/>
    <cellStyle name="ハイパーリンク" xfId="634" builtinId="8" hidden="1"/>
    <cellStyle name="ハイパーリンク" xfId="636" builtinId="8" hidden="1"/>
    <cellStyle name="ハイパーリンク" xfId="638" builtinId="8" hidden="1"/>
    <cellStyle name="ハイパーリンク" xfId="640" builtinId="8" hidden="1"/>
    <cellStyle name="ハイパーリンク" xfId="642" builtinId="8" hidden="1"/>
    <cellStyle name="ハイパーリンク" xfId="644" builtinId="8" hidden="1"/>
    <cellStyle name="ハイパーリンク" xfId="646" builtinId="8" hidden="1"/>
    <cellStyle name="ハイパーリンク" xfId="648" builtinId="8" hidden="1"/>
    <cellStyle name="ハイパーリンク" xfId="650" builtinId="8" hidden="1"/>
    <cellStyle name="ハイパーリンク" xfId="652" builtinId="8" hidden="1"/>
    <cellStyle name="ハイパーリンク" xfId="654" builtinId="8" hidden="1"/>
    <cellStyle name="ハイパーリンク" xfId="656" builtinId="8" hidden="1"/>
    <cellStyle name="ハイパーリンク" xfId="658" builtinId="8" hidden="1"/>
    <cellStyle name="ハイパーリンク" xfId="660" builtinId="8" hidden="1"/>
    <cellStyle name="ハイパーリンク" xfId="662" builtinId="8" hidden="1"/>
    <cellStyle name="ハイパーリンク" xfId="664" builtinId="8" hidden="1"/>
    <cellStyle name="ハイパーリンク" xfId="666" builtinId="8" hidden="1"/>
    <cellStyle name="ハイパーリンク" xfId="668" builtinId="8" hidden="1"/>
    <cellStyle name="ハイパーリンク" xfId="670" builtinId="8" hidden="1"/>
    <cellStyle name="ハイパーリンク" xfId="672" builtinId="8" hidden="1"/>
    <cellStyle name="ハイパーリンク" xfId="674" builtinId="8" hidden="1"/>
    <cellStyle name="ハイパーリンク" xfId="676"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2" builtinId="8" hidden="1"/>
    <cellStyle name="ハイパーリンク" xfId="944" builtinId="8" hidden="1"/>
    <cellStyle name="ハイパーリンク" xfId="946" builtinId="8" hidden="1"/>
    <cellStyle name="ハイパーリンク" xfId="948" builtinId="8" hidden="1"/>
    <cellStyle name="ハイパーリンク" xfId="950" builtinId="8" hidden="1"/>
    <cellStyle name="ハイパーリンク" xfId="952" builtinId="8" hidden="1"/>
    <cellStyle name="ハイパーリンク" xfId="954" builtinId="8" hidden="1"/>
    <cellStyle name="ハイパーリンク" xfId="956" builtinId="8" hidden="1"/>
    <cellStyle name="ハイパーリンク" xfId="958" builtinId="8" hidden="1"/>
    <cellStyle name="ハイパーリンク" xfId="960" builtinId="8" hidden="1"/>
    <cellStyle name="ハイパーリンク" xfId="962" builtinId="8" hidden="1"/>
    <cellStyle name="ハイパーリンク" xfId="964" builtinId="8" hidden="1"/>
    <cellStyle name="ハイパーリンク" xfId="966" builtinId="8" hidden="1"/>
    <cellStyle name="ハイパーリンク" xfId="968" builtinId="8" hidden="1"/>
    <cellStyle name="ハイパーリンク" xfId="970" builtinId="8" hidden="1"/>
    <cellStyle name="ハイパーリンク" xfId="972" builtinId="8" hidden="1"/>
    <cellStyle name="ハイパーリンク" xfId="974" builtinId="8" hidden="1"/>
    <cellStyle name="ハイパーリンク" xfId="976" builtinId="8" hidden="1"/>
    <cellStyle name="ハイパーリンク" xfId="978" builtinId="8" hidden="1"/>
    <cellStyle name="ハイパーリンク" xfId="980" builtinId="8" hidden="1"/>
    <cellStyle name="ハイパーリンク" xfId="982" builtinId="8" hidden="1"/>
    <cellStyle name="ハイパーリンク" xfId="984" builtinId="8" hidden="1"/>
    <cellStyle name="ハイパーリンク" xfId="986" builtinId="8" hidden="1"/>
    <cellStyle name="ハイパーリンク" xfId="988" builtinId="8" hidden="1"/>
    <cellStyle name="ハイパーリンク" xfId="990" builtinId="8" hidden="1"/>
    <cellStyle name="ハイパーリンク" xfId="992" builtinId="8" hidden="1"/>
    <cellStyle name="ハイパーリンク" xfId="994" builtinId="8" hidden="1"/>
    <cellStyle name="ハイパーリンク" xfId="996" builtinId="8" hidden="1"/>
    <cellStyle name="ハイパーリンク" xfId="998" builtinId="8" hidden="1"/>
    <cellStyle name="ハイパーリンク" xfId="1000" builtinId="8" hidden="1"/>
    <cellStyle name="ハイパーリンク" xfId="1002" builtinId="8" hidden="1"/>
    <cellStyle name="ハイパーリンク" xfId="1004" builtinId="8" hidden="1"/>
    <cellStyle name="ハイパーリンク" xfId="1006" builtinId="8" hidden="1"/>
    <cellStyle name="ハイパーリンク" xfId="1008" builtinId="8" hidden="1"/>
    <cellStyle name="ハイパーリンク" xfId="1010" builtinId="8" hidden="1"/>
    <cellStyle name="ハイパーリンク" xfId="1012" builtinId="8" hidden="1"/>
    <cellStyle name="ハイパーリンク" xfId="1014" builtinId="8" hidden="1"/>
    <cellStyle name="ハイパーリンク" xfId="1016" builtinId="8" hidden="1"/>
    <cellStyle name="ハイパーリンク" xfId="1018" builtinId="8" hidden="1"/>
    <cellStyle name="ハイパーリンク" xfId="1020" builtinId="8" hidden="1"/>
    <cellStyle name="ハイパーリンク" xfId="1022" builtinId="8" hidden="1"/>
    <cellStyle name="ハイパーリンク" xfId="1024" builtinId="8" hidden="1"/>
    <cellStyle name="ハイパーリンク" xfId="1026" builtinId="8" hidden="1"/>
    <cellStyle name="ハイパーリンク" xfId="1028" builtinId="8" hidden="1"/>
    <cellStyle name="ハイパーリンク" xfId="1030" builtinId="8" hidden="1"/>
    <cellStyle name="ハイパーリンク" xfId="1032" builtinId="8" hidden="1"/>
    <cellStyle name="ハイパーリンク" xfId="1034" builtinId="8" hidden="1"/>
    <cellStyle name="ハイパーリンク" xfId="1036" builtinId="8" hidden="1"/>
    <cellStyle name="ハイパーリンク" xfId="1039" builtinId="8" hidden="1"/>
    <cellStyle name="ハイパーリンク" xfId="1041" builtinId="8" hidden="1"/>
    <cellStyle name="桁区切り 2" xfId="429"/>
    <cellStyle name="標準" xfId="0" builtinId="0"/>
    <cellStyle name="標準 2" xfId="432"/>
    <cellStyle name="標準 2 2" xfId="433"/>
    <cellStyle name="標準 3" xfId="434"/>
    <cellStyle name="標準 4" xfId="11"/>
    <cellStyle name="標準 4 2" xfId="678"/>
    <cellStyle name="標準 5" xfId="679"/>
    <cellStyle name="標準 5 2" xfId="727"/>
    <cellStyle name="標準 6" xfId="728"/>
    <cellStyle name="標準 7" xfId="1038"/>
    <cellStyle name="無題1" xfId="435"/>
    <cellStyle name="表示済みのハイパーリンク" xfId="2" builtinId="9" hidden="1"/>
    <cellStyle name="表示済みのハイパーリンク" xfId="4" builtinId="9" hidden="1"/>
    <cellStyle name="表示済みのハイパーリンク" xfId="6" builtinId="9" hidden="1"/>
    <cellStyle name="表示済みのハイパーリンク" xfId="8" builtinId="9" hidden="1"/>
    <cellStyle name="表示済みのハイパーリンク" xfId="10" builtinId="9" hidden="1"/>
    <cellStyle name="表示済みのハイパーリンク" xfId="13" builtinId="9" hidden="1"/>
    <cellStyle name="表示済みのハイパーリンク" xfId="15" builtinId="9" hidden="1"/>
    <cellStyle name="表示済みのハイパーリンク" xfId="17" builtinId="9" hidden="1"/>
    <cellStyle name="表示済みのハイパーリンク" xfId="19" builtinId="9" hidden="1"/>
    <cellStyle name="表示済みのハイパーリンク" xfId="21" builtinId="9" hidden="1"/>
    <cellStyle name="表示済みのハイパーリンク" xfId="23" builtinId="9" hidden="1"/>
    <cellStyle name="表示済みのハイパーリンク" xfId="25" builtinId="9" hidden="1"/>
    <cellStyle name="表示済みのハイパーリンク" xfId="27" builtinId="9" hidden="1"/>
    <cellStyle name="表示済みのハイパーリンク" xfId="29" builtinId="9" hidden="1"/>
    <cellStyle name="表示済みのハイパーリンク" xfId="31" builtinId="9" hidden="1"/>
    <cellStyle name="表示済みのハイパーリンク" xfId="33" builtinId="9" hidden="1"/>
    <cellStyle name="表示済みのハイパーリンク" xfId="35" builtinId="9" hidden="1"/>
    <cellStyle name="表示済みのハイパーリンク" xfId="37" builtinId="9" hidden="1"/>
    <cellStyle name="表示済みのハイパーリンク" xfId="39" builtinId="9" hidden="1"/>
    <cellStyle name="表示済みのハイパーリンク" xfId="41" builtinId="9" hidden="1"/>
    <cellStyle name="表示済みのハイパーリンク" xfId="43" builtinId="9" hidden="1"/>
    <cellStyle name="表示済みのハイパーリンク" xfId="45" builtinId="9" hidden="1"/>
    <cellStyle name="表示済みのハイパーリンク" xfId="47" builtinId="9" hidden="1"/>
    <cellStyle name="表示済みのハイパーリンク" xfId="49" builtinId="9" hidden="1"/>
    <cellStyle name="表示済みのハイパーリンク" xfId="51" builtinId="9" hidden="1"/>
    <cellStyle name="表示済みのハイパーリンク" xfId="53" builtinId="9" hidden="1"/>
    <cellStyle name="表示済みのハイパーリンク" xfId="55" builtinId="9" hidden="1"/>
    <cellStyle name="表示済みのハイパーリンク" xfId="57" builtinId="9" hidden="1"/>
    <cellStyle name="表示済みのハイパーリンク" xfId="59" builtinId="9" hidden="1"/>
    <cellStyle name="表示済みのハイパーリンク" xfId="61" builtinId="9" hidden="1"/>
    <cellStyle name="表示済みのハイパーリンク" xfId="63" builtinId="9" hidden="1"/>
    <cellStyle name="表示済みのハイパーリンク" xfId="65" builtinId="9" hidden="1"/>
    <cellStyle name="表示済みのハイパーリンク" xfId="67" builtinId="9" hidden="1"/>
    <cellStyle name="表示済みのハイパーリンク" xfId="69" builtinId="9" hidden="1"/>
    <cellStyle name="表示済みのハイパーリンク" xfId="71" builtinId="9" hidden="1"/>
    <cellStyle name="表示済みのハイパーリンク" xfId="73" builtinId="9" hidden="1"/>
    <cellStyle name="表示済みのハイパーリンク" xfId="75" builtinId="9" hidden="1"/>
    <cellStyle name="表示済みのハイパーリンク" xfId="77" builtinId="9" hidden="1"/>
    <cellStyle name="表示済みのハイパーリンク" xfId="79" builtinId="9" hidden="1"/>
    <cellStyle name="表示済みのハイパーリンク" xfId="81" builtinId="9" hidden="1"/>
    <cellStyle name="表示済みのハイパーリンク" xfId="83" builtinId="9" hidden="1"/>
    <cellStyle name="表示済みのハイパーリンク" xfId="85" builtinId="9" hidden="1"/>
    <cellStyle name="表示済みのハイパーリンク" xfId="87" builtinId="9" hidden="1"/>
    <cellStyle name="表示済みのハイパーリンク" xfId="89" builtinId="9" hidden="1"/>
    <cellStyle name="表示済みのハイパーリンク" xfId="91" builtinId="9" hidden="1"/>
    <cellStyle name="表示済みのハイパーリンク" xfId="93" builtinId="9" hidden="1"/>
    <cellStyle name="表示済みのハイパーリンク" xfId="95" builtinId="9" hidden="1"/>
    <cellStyle name="表示済みのハイパーリンク" xfId="97" builtinId="9" hidden="1"/>
    <cellStyle name="表示済みのハイパーリンク" xfId="99" builtinId="9" hidden="1"/>
    <cellStyle name="表示済みのハイパーリンク" xfId="101" builtinId="9" hidden="1"/>
    <cellStyle name="表示済みのハイパーリンク" xfId="103" builtinId="9" hidden="1"/>
    <cellStyle name="表示済みのハイパーリンク" xfId="105" builtinId="9" hidden="1"/>
    <cellStyle name="表示済みのハイパーリンク" xfId="107" builtinId="9" hidden="1"/>
    <cellStyle name="表示済みのハイパーリンク" xfId="109" builtinId="9" hidden="1"/>
    <cellStyle name="表示済みのハイパーリンク" xfId="111" builtinId="9" hidden="1"/>
    <cellStyle name="表示済みのハイパーリンク" xfId="113" builtinId="9" hidden="1"/>
    <cellStyle name="表示済みのハイパーリンク" xfId="115" builtinId="9" hidden="1"/>
    <cellStyle name="表示済みのハイパーリンク" xfId="117" builtinId="9" hidden="1"/>
    <cellStyle name="表示済みのハイパーリンク" xfId="119" builtinId="9" hidden="1"/>
    <cellStyle name="表示済みのハイパーリンク" xfId="121" builtinId="9" hidden="1"/>
    <cellStyle name="表示済みのハイパーリンク" xfId="123" builtinId="9" hidden="1"/>
    <cellStyle name="表示済みのハイパーリンク" xfId="125" builtinId="9" hidden="1"/>
    <cellStyle name="表示済みのハイパーリンク" xfId="127" builtinId="9" hidden="1"/>
    <cellStyle name="表示済みのハイパーリンク" xfId="129" builtinId="9" hidden="1"/>
    <cellStyle name="表示済みのハイパーリンク" xfId="131" builtinId="9" hidden="1"/>
    <cellStyle name="表示済みのハイパーリンク" xfId="133" builtinId="9" hidden="1"/>
    <cellStyle name="表示済みのハイパーリンク" xfId="135" builtinId="9" hidden="1"/>
    <cellStyle name="表示済みのハイパーリンク" xfId="137" builtinId="9" hidden="1"/>
    <cellStyle name="表示済みのハイパーリンク" xfId="139" builtinId="9" hidden="1"/>
    <cellStyle name="表示済みのハイパーリンク" xfId="141" builtinId="9" hidden="1"/>
    <cellStyle name="表示済みのハイパーリンク" xfId="143" builtinId="9" hidden="1"/>
    <cellStyle name="表示済みのハイパーリンク" xfId="145" builtinId="9" hidden="1"/>
    <cellStyle name="表示済みのハイパーリンク" xfId="147" builtinId="9" hidden="1"/>
    <cellStyle name="表示済みのハイパーリンク" xfId="149" builtinId="9" hidden="1"/>
    <cellStyle name="表示済みのハイパーリンク" xfId="151" builtinId="9" hidden="1"/>
    <cellStyle name="表示済みのハイパーリンク" xfId="153" builtinId="9" hidden="1"/>
    <cellStyle name="表示済みのハイパーリンク" xfId="155" builtinId="9" hidden="1"/>
    <cellStyle name="表示済みのハイパーリンク" xfId="157" builtinId="9" hidden="1"/>
    <cellStyle name="表示済みのハイパーリンク" xfId="159" builtinId="9" hidden="1"/>
    <cellStyle name="表示済みのハイパーリンク" xfId="161" builtinId="9" hidden="1"/>
    <cellStyle name="表示済みのハイパーリンク" xfId="163" builtinId="9" hidden="1"/>
    <cellStyle name="表示済みのハイパーリンク" xfId="165" builtinId="9" hidden="1"/>
    <cellStyle name="表示済みのハイパーリンク" xfId="167" builtinId="9" hidden="1"/>
    <cellStyle name="表示済みのハイパーリンク" xfId="169" builtinId="9" hidden="1"/>
    <cellStyle name="表示済みのハイパーリンク" xfId="171" builtinId="9" hidden="1"/>
    <cellStyle name="表示済みのハイパーリンク" xfId="173" builtinId="9" hidden="1"/>
    <cellStyle name="表示済みのハイパーリンク" xfId="175" builtinId="9" hidden="1"/>
    <cellStyle name="表示済みのハイパーリンク" xfId="177" builtinId="9" hidden="1"/>
    <cellStyle name="表示済みのハイパーリンク" xfId="179" builtinId="9" hidden="1"/>
    <cellStyle name="表示済みのハイパーリンク" xfId="181" builtinId="9" hidden="1"/>
    <cellStyle name="表示済みのハイパーリンク" xfId="183" builtinId="9" hidden="1"/>
    <cellStyle name="表示済みのハイパーリンク" xfId="185" builtinId="9" hidden="1"/>
    <cellStyle name="表示済みのハイパーリンク" xfId="187" builtinId="9" hidden="1"/>
    <cellStyle name="表示済みのハイパーリンク" xfId="189" builtinId="9" hidden="1"/>
    <cellStyle name="表示済みのハイパーリンク" xfId="191" builtinId="9" hidden="1"/>
    <cellStyle name="表示済みのハイパーリンク" xfId="193" builtinId="9" hidden="1"/>
    <cellStyle name="表示済みのハイパーリンク" xfId="195" builtinId="9" hidden="1"/>
    <cellStyle name="表示済みのハイパーリンク" xfId="197" builtinId="9" hidden="1"/>
    <cellStyle name="表示済みのハイパーリンク" xfId="199" builtinId="9" hidden="1"/>
    <cellStyle name="表示済みのハイパーリンク" xfId="201" builtinId="9" hidden="1"/>
    <cellStyle name="表示済みのハイパーリンク" xfId="203" builtinId="9" hidden="1"/>
    <cellStyle name="表示済みのハイパーリンク" xfId="205" builtinId="9" hidden="1"/>
    <cellStyle name="表示済みのハイパーリンク" xfId="207" builtinId="9" hidden="1"/>
    <cellStyle name="表示済みのハイパーリンク" xfId="209" builtinId="9" hidden="1"/>
    <cellStyle name="表示済みのハイパーリンク" xfId="211" builtinId="9" hidden="1"/>
    <cellStyle name="表示済みのハイパーリンク" xfId="213" builtinId="9" hidden="1"/>
    <cellStyle name="表示済みのハイパーリンク" xfId="215" builtinId="9" hidden="1"/>
    <cellStyle name="表示済みのハイパーリンク" xfId="217" builtinId="9" hidden="1"/>
    <cellStyle name="表示済みのハイパーリンク" xfId="219" builtinId="9" hidden="1"/>
    <cellStyle name="表示済みのハイパーリンク" xfId="221" builtinId="9" hidden="1"/>
    <cellStyle name="表示済みのハイパーリンク" xfId="223" builtinId="9" hidden="1"/>
    <cellStyle name="表示済みのハイパーリンク" xfId="225" builtinId="9" hidden="1"/>
    <cellStyle name="表示済みのハイパーリンク" xfId="227" builtinId="9" hidden="1"/>
    <cellStyle name="表示済みのハイパーリンク" xfId="229" builtinId="9" hidden="1"/>
    <cellStyle name="表示済みのハイパーリンク" xfId="231" builtinId="9" hidden="1"/>
    <cellStyle name="表示済みのハイパーリンク" xfId="233" builtinId="9" hidden="1"/>
    <cellStyle name="表示済みのハイパーリンク" xfId="235" builtinId="9" hidden="1"/>
    <cellStyle name="表示済みのハイパーリンク" xfId="237" builtinId="9" hidden="1"/>
    <cellStyle name="表示済みのハイパーリンク" xfId="239" builtinId="9" hidden="1"/>
    <cellStyle name="表示済みのハイパーリンク" xfId="241" builtinId="9" hidden="1"/>
    <cellStyle name="表示済みのハイパーリンク" xfId="243" builtinId="9" hidden="1"/>
    <cellStyle name="表示済みのハイパーリンク" xfId="245" builtinId="9" hidden="1"/>
    <cellStyle name="表示済みのハイパーリンク" xfId="247" builtinId="9" hidden="1"/>
    <cellStyle name="表示済みのハイパーリンク" xfId="249" builtinId="9" hidden="1"/>
    <cellStyle name="表示済みのハイパーリンク" xfId="251" builtinId="9" hidden="1"/>
    <cellStyle name="表示済みのハイパーリンク" xfId="253" builtinId="9" hidden="1"/>
    <cellStyle name="表示済みのハイパーリンク" xfId="255" builtinId="9" hidden="1"/>
    <cellStyle name="表示済みのハイパーリンク" xfId="257" builtinId="9" hidden="1"/>
    <cellStyle name="表示済みのハイパーリンク" xfId="259" builtinId="9" hidden="1"/>
    <cellStyle name="表示済みのハイパーリンク" xfId="261" builtinId="9" hidden="1"/>
    <cellStyle name="表示済みのハイパーリンク" xfId="263" builtinId="9" hidden="1"/>
    <cellStyle name="表示済みのハイパーリンク" xfId="265" builtinId="9" hidden="1"/>
    <cellStyle name="表示済みのハイパーリンク" xfId="267" builtinId="9" hidden="1"/>
    <cellStyle name="表示済みのハイパーリンク" xfId="269" builtinId="9" hidden="1"/>
    <cellStyle name="表示済みのハイパーリンク" xfId="271" builtinId="9" hidden="1"/>
    <cellStyle name="表示済みのハイパーリンク" xfId="273" builtinId="9" hidden="1"/>
    <cellStyle name="表示済みのハイパーリンク" xfId="275" builtinId="9" hidden="1"/>
    <cellStyle name="表示済みのハイパーリンク" xfId="277" builtinId="9" hidden="1"/>
    <cellStyle name="表示済みのハイパーリンク" xfId="279" builtinId="9" hidden="1"/>
    <cellStyle name="表示済みのハイパーリンク" xfId="281" builtinId="9" hidden="1"/>
    <cellStyle name="表示済みのハイパーリンク" xfId="283" builtinId="9" hidden="1"/>
    <cellStyle name="表示済みのハイパーリンク" xfId="285" builtinId="9" hidden="1"/>
    <cellStyle name="表示済みのハイパーリンク" xfId="287" builtinId="9" hidden="1"/>
    <cellStyle name="表示済みのハイパーリンク" xfId="289" builtinId="9" hidden="1"/>
    <cellStyle name="表示済みのハイパーリンク" xfId="291" builtinId="9" hidden="1"/>
    <cellStyle name="表示済みのハイパーリンク" xfId="293" builtinId="9" hidden="1"/>
    <cellStyle name="表示済みのハイパーリンク" xfId="295" builtinId="9" hidden="1"/>
    <cellStyle name="表示済みのハイパーリンク" xfId="297" builtinId="9" hidden="1"/>
    <cellStyle name="表示済みのハイパーリンク" xfId="299" builtinId="9" hidden="1"/>
    <cellStyle name="表示済みのハイパーリンク" xfId="301" builtinId="9" hidden="1"/>
    <cellStyle name="表示済みのハイパーリンク" xfId="303" builtinId="9" hidden="1"/>
    <cellStyle name="表示済みのハイパーリンク" xfId="305" builtinId="9" hidden="1"/>
    <cellStyle name="表示済みのハイパーリンク" xfId="307" builtinId="9" hidden="1"/>
    <cellStyle name="表示済みのハイパーリンク" xfId="309" builtinId="9" hidden="1"/>
    <cellStyle name="表示済みのハイパーリンク" xfId="311" builtinId="9" hidden="1"/>
    <cellStyle name="表示済みのハイパーリンク" xfId="313" builtinId="9" hidden="1"/>
    <cellStyle name="表示済みのハイパーリンク" xfId="315" builtinId="9" hidden="1"/>
    <cellStyle name="表示済みのハイパーリンク" xfId="317" builtinId="9" hidden="1"/>
    <cellStyle name="表示済みのハイパーリンク" xfId="319" builtinId="9" hidden="1"/>
    <cellStyle name="表示済みのハイパーリンク" xfId="321" builtinId="9" hidden="1"/>
    <cellStyle name="表示済みのハイパーリンク" xfId="323" builtinId="9" hidden="1"/>
    <cellStyle name="表示済みのハイパーリンク" xfId="325" builtinId="9" hidden="1"/>
    <cellStyle name="表示済みのハイパーリンク" xfId="327" builtinId="9" hidden="1"/>
    <cellStyle name="表示済みのハイパーリンク" xfId="329" builtinId="9" hidden="1"/>
    <cellStyle name="表示済みのハイパーリンク" xfId="331" builtinId="9" hidden="1"/>
    <cellStyle name="表示済みのハイパーリンク" xfId="333" builtinId="9" hidden="1"/>
    <cellStyle name="表示済みのハイパーリンク" xfId="335" builtinId="9" hidden="1"/>
    <cellStyle name="表示済みのハイパーリンク" xfId="337" builtinId="9" hidden="1"/>
    <cellStyle name="表示済みのハイパーリンク" xfId="339" builtinId="9" hidden="1"/>
    <cellStyle name="表示済みのハイパーリンク" xfId="341" builtinId="9" hidden="1"/>
    <cellStyle name="表示済みのハイパーリンク" xfId="343" builtinId="9" hidden="1"/>
    <cellStyle name="表示済みのハイパーリンク" xfId="345" builtinId="9" hidden="1"/>
    <cellStyle name="表示済みのハイパーリンク" xfId="347" builtinId="9" hidden="1"/>
    <cellStyle name="表示済みのハイパーリンク" xfId="349" builtinId="9" hidden="1"/>
    <cellStyle name="表示済みのハイパーリンク" xfId="351" builtinId="9" hidden="1"/>
    <cellStyle name="表示済みのハイパーリンク" xfId="353" builtinId="9" hidden="1"/>
    <cellStyle name="表示済みのハイパーリンク" xfId="355" builtinId="9" hidden="1"/>
    <cellStyle name="表示済みのハイパーリンク" xfId="357" builtinId="9" hidden="1"/>
    <cellStyle name="表示済みのハイパーリンク" xfId="359" builtinId="9" hidden="1"/>
    <cellStyle name="表示済みのハイパーリンク" xfId="361" builtinId="9" hidden="1"/>
    <cellStyle name="表示済みのハイパーリンク" xfId="363" builtinId="9" hidden="1"/>
    <cellStyle name="表示済みのハイパーリンク" xfId="365" builtinId="9" hidden="1"/>
    <cellStyle name="表示済みのハイパーリンク" xfId="367" builtinId="9" hidden="1"/>
    <cellStyle name="表示済みのハイパーリンク" xfId="369" builtinId="9" hidden="1"/>
    <cellStyle name="表示済みのハイパーリンク" xfId="371" builtinId="9" hidden="1"/>
    <cellStyle name="表示済みのハイパーリンク" xfId="373" builtinId="9" hidden="1"/>
    <cellStyle name="表示済みのハイパーリンク" xfId="375" builtinId="9" hidden="1"/>
    <cellStyle name="表示済みのハイパーリンク" xfId="377" builtinId="9" hidden="1"/>
    <cellStyle name="表示済みのハイパーリンク" xfId="379" builtinId="9" hidden="1"/>
    <cellStyle name="表示済みのハイパーリンク" xfId="381" builtinId="9" hidden="1"/>
    <cellStyle name="表示済みのハイパーリンク" xfId="383" builtinId="9" hidden="1"/>
    <cellStyle name="表示済みのハイパーリンク" xfId="385" builtinId="9" hidden="1"/>
    <cellStyle name="表示済みのハイパーリンク" xfId="387" builtinId="9" hidden="1"/>
    <cellStyle name="表示済みのハイパーリンク" xfId="389" builtinId="9" hidden="1"/>
    <cellStyle name="表示済みのハイパーリンク" xfId="391" builtinId="9" hidden="1"/>
    <cellStyle name="表示済みのハイパーリンク" xfId="393" builtinId="9" hidden="1"/>
    <cellStyle name="表示済みのハイパーリンク" xfId="395" builtinId="9" hidden="1"/>
    <cellStyle name="表示済みのハイパーリンク" xfId="397" builtinId="9" hidden="1"/>
    <cellStyle name="表示済みのハイパーリンク" xfId="399" builtinId="9" hidden="1"/>
    <cellStyle name="表示済みのハイパーリンク" xfId="401" builtinId="9" hidden="1"/>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3" builtinId="9" hidden="1"/>
    <cellStyle name="表示済みのハイパーリンク" xfId="425" builtinId="9" hidden="1"/>
    <cellStyle name="表示済みのハイパーリンク" xfId="427" builtinId="9" hidden="1"/>
    <cellStyle name="表示済みのハイパーリンク" xfId="437" builtinId="9" hidden="1"/>
    <cellStyle name="表示済みのハイパーリンク" xfId="439" builtinId="9" hidden="1"/>
    <cellStyle name="表示済みのハイパーリンク" xfId="441" builtinId="9" hidden="1"/>
    <cellStyle name="表示済みのハイパーリンク" xfId="443" builtinId="9" hidden="1"/>
    <cellStyle name="表示済みのハイパーリンク" xfId="445" builtinId="9" hidden="1"/>
    <cellStyle name="表示済みのハイパーリンク" xfId="447" builtinId="9" hidden="1"/>
    <cellStyle name="表示済みのハイパーリンク" xfId="449" builtinId="9" hidden="1"/>
    <cellStyle name="表示済みのハイパーリンク" xfId="451" builtinId="9" hidden="1"/>
    <cellStyle name="表示済みのハイパーリンク" xfId="453" builtinId="9" hidden="1"/>
    <cellStyle name="表示済みのハイパーリンク" xfId="455" builtinId="9" hidden="1"/>
    <cellStyle name="表示済みのハイパーリンク" xfId="457" builtinId="9" hidden="1"/>
    <cellStyle name="表示済みのハイパーリンク" xfId="459" builtinId="9" hidden="1"/>
    <cellStyle name="表示済みのハイパーリンク" xfId="461" builtinId="9" hidden="1"/>
    <cellStyle name="表示済みのハイパーリンク" xfId="463" builtinId="9" hidden="1"/>
    <cellStyle name="表示済みのハイパーリンク" xfId="465" builtinId="9" hidden="1"/>
    <cellStyle name="表示済みのハイパーリンク" xfId="467" builtinId="9" hidden="1"/>
    <cellStyle name="表示済みのハイパーリンク" xfId="469" builtinId="9" hidden="1"/>
    <cellStyle name="表示済みのハイパーリンク" xfId="471" builtinId="9" hidden="1"/>
    <cellStyle name="表示済みのハイパーリンク" xfId="473" builtinId="9" hidden="1"/>
    <cellStyle name="表示済みのハイパーリンク" xfId="475" builtinId="9" hidden="1"/>
    <cellStyle name="表示済みのハイパーリンク" xfId="477" builtinId="9" hidden="1"/>
    <cellStyle name="表示済みのハイパーリンク" xfId="479" builtinId="9" hidden="1"/>
    <cellStyle name="表示済みのハイパーリンク" xfId="481" builtinId="9" hidden="1"/>
    <cellStyle name="表示済みのハイパーリンク" xfId="483" builtinId="9" hidden="1"/>
    <cellStyle name="表示済みのハイパーリンク" xfId="485" builtinId="9" hidden="1"/>
    <cellStyle name="表示済みのハイパーリンク" xfId="487" builtinId="9" hidden="1"/>
    <cellStyle name="表示済みのハイパーリンク" xfId="489" builtinId="9" hidden="1"/>
    <cellStyle name="表示済みのハイパーリンク" xfId="491" builtinId="9" hidden="1"/>
    <cellStyle name="表示済みのハイパーリンク" xfId="493" builtinId="9" hidden="1"/>
    <cellStyle name="表示済みのハイパーリンク" xfId="495" builtinId="9" hidden="1"/>
    <cellStyle name="表示済みのハイパーリンク" xfId="497" builtinId="9" hidden="1"/>
    <cellStyle name="表示済みのハイパーリンク" xfId="499" builtinId="9" hidden="1"/>
    <cellStyle name="表示済みのハイパーリンク" xfId="501" builtinId="9" hidden="1"/>
    <cellStyle name="表示済みのハイパーリンク" xfId="503" builtinId="9" hidden="1"/>
    <cellStyle name="表示済みのハイパーリンク" xfId="505" builtinId="9" hidden="1"/>
    <cellStyle name="表示済みのハイパーリンク" xfId="507" builtinId="9" hidden="1"/>
    <cellStyle name="表示済みのハイパーリンク" xfId="509" builtinId="9" hidden="1"/>
    <cellStyle name="表示済みのハイパーリンク" xfId="511" builtinId="9" hidden="1"/>
    <cellStyle name="表示済みのハイパーリンク" xfId="513" builtinId="9" hidden="1"/>
    <cellStyle name="表示済みのハイパーリンク" xfId="515" builtinId="9" hidden="1"/>
    <cellStyle name="表示済みのハイパーリンク" xfId="517" builtinId="9" hidden="1"/>
    <cellStyle name="表示済みのハイパーリンク" xfId="519" builtinId="9" hidden="1"/>
    <cellStyle name="表示済みのハイパーリンク" xfId="521" builtinId="9" hidden="1"/>
    <cellStyle name="表示済みのハイパーリンク" xfId="523" builtinId="9" hidden="1"/>
    <cellStyle name="表示済みのハイパーリンク" xfId="525" builtinId="9" hidden="1"/>
    <cellStyle name="表示済みのハイパーリンク" xfId="527" builtinId="9" hidden="1"/>
    <cellStyle name="表示済みのハイパーリンク" xfId="529" builtinId="9" hidden="1"/>
    <cellStyle name="表示済みのハイパーリンク" xfId="531" builtinId="9" hidden="1"/>
    <cellStyle name="表示済みのハイパーリンク" xfId="533" builtinId="9" hidden="1"/>
    <cellStyle name="表示済みのハイパーリンク" xfId="535" builtinId="9" hidden="1"/>
    <cellStyle name="表示済みのハイパーリンク" xfId="537" builtinId="9" hidden="1"/>
    <cellStyle name="表示済みのハイパーリンク" xfId="539" builtinId="9" hidden="1"/>
    <cellStyle name="表示済みのハイパーリンク" xfId="541" builtinId="9" hidden="1"/>
    <cellStyle name="表示済みのハイパーリンク" xfId="543" builtinId="9" hidden="1"/>
    <cellStyle name="表示済みのハイパーリンク" xfId="545" builtinId="9" hidden="1"/>
    <cellStyle name="表示済みのハイパーリンク" xfId="547" builtinId="9" hidden="1"/>
    <cellStyle name="表示済みのハイパーリンク" xfId="549" builtinId="9" hidden="1"/>
    <cellStyle name="表示済みのハイパーリンク" xfId="551" builtinId="9" hidden="1"/>
    <cellStyle name="表示済みのハイパーリンク" xfId="553" builtinId="9" hidden="1"/>
    <cellStyle name="表示済みのハイパーリンク" xfId="555" builtinId="9" hidden="1"/>
    <cellStyle name="表示済みのハイパーリンク" xfId="557" builtinId="9" hidden="1"/>
    <cellStyle name="表示済みのハイパーリンク" xfId="559" builtinId="9" hidden="1"/>
    <cellStyle name="表示済みのハイパーリンク" xfId="561" builtinId="9" hidden="1"/>
    <cellStyle name="表示済みのハイパーリンク" xfId="563" builtinId="9" hidden="1"/>
    <cellStyle name="表示済みのハイパーリンク" xfId="565" builtinId="9" hidden="1"/>
    <cellStyle name="表示済みのハイパーリンク" xfId="567" builtinId="9" hidden="1"/>
    <cellStyle name="表示済みのハイパーリンク" xfId="569" builtinId="9" hidden="1"/>
    <cellStyle name="表示済みのハイパーリンク" xfId="571" builtinId="9" hidden="1"/>
    <cellStyle name="表示済みのハイパーリンク" xfId="573" builtinId="9" hidden="1"/>
    <cellStyle name="表示済みのハイパーリンク" xfId="575" builtinId="9" hidden="1"/>
    <cellStyle name="表示済みのハイパーリンク" xfId="577" builtinId="9" hidden="1"/>
    <cellStyle name="表示済みのハイパーリンク" xfId="579" builtinId="9" hidden="1"/>
    <cellStyle name="表示済みのハイパーリンク" xfId="581" builtinId="9" hidden="1"/>
    <cellStyle name="表示済みのハイパーリンク" xfId="583" builtinId="9" hidden="1"/>
    <cellStyle name="表示済みのハイパーリンク" xfId="585" builtinId="9" hidden="1"/>
    <cellStyle name="表示済みのハイパーリンク" xfId="587" builtinId="9" hidden="1"/>
    <cellStyle name="表示済みのハイパーリンク" xfId="589" builtinId="9" hidden="1"/>
    <cellStyle name="表示済みのハイパーリンク" xfId="591" builtinId="9" hidden="1"/>
    <cellStyle name="表示済みのハイパーリンク" xfId="593" builtinId="9" hidden="1"/>
    <cellStyle name="表示済みのハイパーリンク" xfId="595" builtinId="9" hidden="1"/>
    <cellStyle name="表示済みのハイパーリンク" xfId="597" builtinId="9" hidden="1"/>
    <cellStyle name="表示済みのハイパーリンク" xfId="599" builtinId="9" hidden="1"/>
    <cellStyle name="表示済みのハイパーリンク" xfId="601" builtinId="9" hidden="1"/>
    <cellStyle name="表示済みのハイパーリンク" xfId="603" builtinId="9" hidden="1"/>
    <cellStyle name="表示済みのハイパーリンク" xfId="605" builtinId="9" hidden="1"/>
    <cellStyle name="表示済みのハイパーリンク" xfId="607" builtinId="9" hidden="1"/>
    <cellStyle name="表示済みのハイパーリンク" xfId="609" builtinId="9" hidden="1"/>
    <cellStyle name="表示済みのハイパーリンク" xfId="611" builtinId="9" hidden="1"/>
    <cellStyle name="表示済みのハイパーリンク" xfId="613" builtinId="9" hidden="1"/>
    <cellStyle name="表示済みのハイパーリンク" xfId="615" builtinId="9" hidden="1"/>
    <cellStyle name="表示済みのハイパーリンク" xfId="617" builtinId="9" hidden="1"/>
    <cellStyle name="表示済みのハイパーリンク" xfId="619" builtinId="9" hidden="1"/>
    <cellStyle name="表示済みのハイパーリンク" xfId="621" builtinId="9" hidden="1"/>
    <cellStyle name="表示済みのハイパーリンク" xfId="623" builtinId="9" hidden="1"/>
    <cellStyle name="表示済みのハイパーリンク" xfId="625" builtinId="9" hidden="1"/>
    <cellStyle name="表示済みのハイパーリンク" xfId="627" builtinId="9" hidden="1"/>
    <cellStyle name="表示済みのハイパーリンク" xfId="629" builtinId="9" hidden="1"/>
    <cellStyle name="表示済みのハイパーリンク" xfId="631" builtinId="9" hidden="1"/>
    <cellStyle name="表示済みのハイパーリンク" xfId="633" builtinId="9" hidden="1"/>
    <cellStyle name="表示済みのハイパーリンク" xfId="635" builtinId="9" hidden="1"/>
    <cellStyle name="表示済みのハイパーリンク" xfId="637" builtinId="9" hidden="1"/>
    <cellStyle name="表示済みのハイパーリンク" xfId="639" builtinId="9" hidden="1"/>
    <cellStyle name="表示済みのハイパーリンク" xfId="641" builtinId="9" hidden="1"/>
    <cellStyle name="表示済みのハイパーリンク" xfId="643" builtinId="9" hidden="1"/>
    <cellStyle name="表示済みのハイパーリンク" xfId="645" builtinId="9" hidden="1"/>
    <cellStyle name="表示済みのハイパーリンク" xfId="647" builtinId="9" hidden="1"/>
    <cellStyle name="表示済みのハイパーリンク" xfId="649" builtinId="9" hidden="1"/>
    <cellStyle name="表示済みのハイパーリンク" xfId="651" builtinId="9" hidden="1"/>
    <cellStyle name="表示済みのハイパーリンク" xfId="653" builtinId="9" hidden="1"/>
    <cellStyle name="表示済みのハイパーリンク" xfId="655" builtinId="9" hidden="1"/>
    <cellStyle name="表示済みのハイパーリンク" xfId="657" builtinId="9" hidden="1"/>
    <cellStyle name="表示済みのハイパーリンク" xfId="659" builtinId="9" hidden="1"/>
    <cellStyle name="表示済みのハイパーリンク" xfId="661" builtinId="9" hidden="1"/>
    <cellStyle name="表示済みのハイパーリンク" xfId="663" builtinId="9" hidden="1"/>
    <cellStyle name="表示済みのハイパーリンク" xfId="665" builtinId="9" hidden="1"/>
    <cellStyle name="表示済みのハイパーリンク" xfId="667" builtinId="9" hidden="1"/>
    <cellStyle name="表示済みのハイパーリンク" xfId="669" builtinId="9" hidden="1"/>
    <cellStyle name="表示済みのハイパーリンク" xfId="671" builtinId="9" hidden="1"/>
    <cellStyle name="表示済みのハイパーリンク" xfId="673" builtinId="9" hidden="1"/>
    <cellStyle name="表示済みのハイパーリンク" xfId="675" builtinId="9" hidden="1"/>
    <cellStyle name="表示済みのハイパーリンク" xfId="677"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3" builtinId="9" hidden="1"/>
    <cellStyle name="表示済みのハイパーリンク" xfId="945" builtinId="9" hidden="1"/>
    <cellStyle name="表示済みのハイパーリンク" xfId="947" builtinId="9" hidden="1"/>
    <cellStyle name="表示済みのハイパーリンク" xfId="949" builtinId="9" hidden="1"/>
    <cellStyle name="表示済みのハイパーリンク" xfId="951" builtinId="9" hidden="1"/>
    <cellStyle name="表示済みのハイパーリンク" xfId="953" builtinId="9" hidden="1"/>
    <cellStyle name="表示済みのハイパーリンク" xfId="955" builtinId="9" hidden="1"/>
    <cellStyle name="表示済みのハイパーリンク" xfId="957" builtinId="9" hidden="1"/>
    <cellStyle name="表示済みのハイパーリンク" xfId="959" builtinId="9" hidden="1"/>
    <cellStyle name="表示済みのハイパーリンク" xfId="961" builtinId="9" hidden="1"/>
    <cellStyle name="表示済みのハイパーリンク" xfId="963" builtinId="9" hidden="1"/>
    <cellStyle name="表示済みのハイパーリンク" xfId="965" builtinId="9" hidden="1"/>
    <cellStyle name="表示済みのハイパーリンク" xfId="967" builtinId="9" hidden="1"/>
    <cellStyle name="表示済みのハイパーリンク" xfId="969" builtinId="9" hidden="1"/>
    <cellStyle name="表示済みのハイパーリンク" xfId="971" builtinId="9" hidden="1"/>
    <cellStyle name="表示済みのハイパーリンク" xfId="973" builtinId="9" hidden="1"/>
    <cellStyle name="表示済みのハイパーリンク" xfId="975" builtinId="9" hidden="1"/>
    <cellStyle name="表示済みのハイパーリンク" xfId="977" builtinId="9" hidden="1"/>
    <cellStyle name="表示済みのハイパーリンク" xfId="979" builtinId="9" hidden="1"/>
    <cellStyle name="表示済みのハイパーリンク" xfId="981" builtinId="9" hidden="1"/>
    <cellStyle name="表示済みのハイパーリンク" xfId="983" builtinId="9" hidden="1"/>
    <cellStyle name="表示済みのハイパーリンク" xfId="985" builtinId="9" hidden="1"/>
    <cellStyle name="表示済みのハイパーリンク" xfId="987" builtinId="9" hidden="1"/>
    <cellStyle name="表示済みのハイパーリンク" xfId="989" builtinId="9" hidden="1"/>
    <cellStyle name="表示済みのハイパーリンク" xfId="991" builtinId="9" hidden="1"/>
    <cellStyle name="表示済みのハイパーリンク" xfId="993" builtinId="9" hidden="1"/>
    <cellStyle name="表示済みのハイパーリンク" xfId="995" builtinId="9" hidden="1"/>
    <cellStyle name="表示済みのハイパーリンク" xfId="997" builtinId="9" hidden="1"/>
    <cellStyle name="表示済みのハイパーリンク" xfId="999" builtinId="9" hidden="1"/>
    <cellStyle name="表示済みのハイパーリンク" xfId="1001" builtinId="9" hidden="1"/>
    <cellStyle name="表示済みのハイパーリンク" xfId="1003" builtinId="9" hidden="1"/>
    <cellStyle name="表示済みのハイパーリンク" xfId="1005" builtinId="9" hidden="1"/>
    <cellStyle name="表示済みのハイパーリンク" xfId="1007" builtinId="9" hidden="1"/>
    <cellStyle name="表示済みのハイパーリンク" xfId="1009" builtinId="9" hidden="1"/>
    <cellStyle name="表示済みのハイパーリンク" xfId="1011" builtinId="9" hidden="1"/>
    <cellStyle name="表示済みのハイパーリンク" xfId="1013" builtinId="9" hidden="1"/>
    <cellStyle name="表示済みのハイパーリンク" xfId="1015" builtinId="9" hidden="1"/>
    <cellStyle name="表示済みのハイパーリンク" xfId="1017" builtinId="9" hidden="1"/>
    <cellStyle name="表示済みのハイパーリンク" xfId="1019" builtinId="9" hidden="1"/>
    <cellStyle name="表示済みのハイパーリンク" xfId="1021" builtinId="9" hidden="1"/>
    <cellStyle name="表示済みのハイパーリンク" xfId="1023" builtinId="9" hidden="1"/>
    <cellStyle name="表示済みのハイパーリンク" xfId="1025" builtinId="9" hidden="1"/>
    <cellStyle name="表示済みのハイパーリンク" xfId="1027" builtinId="9" hidden="1"/>
    <cellStyle name="表示済みのハイパーリンク" xfId="1029" builtinId="9" hidden="1"/>
    <cellStyle name="表示済みのハイパーリンク" xfId="1031" builtinId="9" hidden="1"/>
    <cellStyle name="表示済みのハイパーリンク" xfId="1033" builtinId="9" hidden="1"/>
    <cellStyle name="表示済みのハイパーリンク" xfId="1035" builtinId="9" hidden="1"/>
    <cellStyle name="表示済みのハイパーリンク" xfId="1037" builtinId="9" hidden="1"/>
    <cellStyle name="表示済みのハイパーリンク" xfId="1040" builtinId="9" hidden="1"/>
    <cellStyle name="表示済みのハイパーリンク" xfId="1042" builtinId="9" hidden="1"/>
    <cellStyle name="赤字強調" xfId="431"/>
    <cellStyle name="青字強調" xfId="43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calcChain" Target="calcChain.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AC4"/>
  <sheetViews>
    <sheetView workbookViewId="0">
      <selection activeCell="K3" sqref="K3"/>
    </sheetView>
  </sheetViews>
  <sheetFormatPr baseColWidth="12" defaultRowHeight="15" x14ac:dyDescent="0.15"/>
  <cols>
    <col min="2" max="2" width="14.83203125" bestFit="1" customWidth="1"/>
    <col min="5" max="5" width="26.83203125" bestFit="1" customWidth="1"/>
    <col min="6" max="6" width="22.1640625" bestFit="1" customWidth="1"/>
  </cols>
  <sheetData>
    <row r="1" spans="1:29" x14ac:dyDescent="0.15">
      <c r="A1" s="6" t="s">
        <v>6</v>
      </c>
      <c r="B1" s="3" t="s">
        <v>0</v>
      </c>
      <c r="C1" s="3" t="s">
        <v>1</v>
      </c>
      <c r="D1" s="3" t="s">
        <v>2</v>
      </c>
      <c r="E1" s="3" t="s">
        <v>3</v>
      </c>
      <c r="F1" s="3" t="s">
        <v>4</v>
      </c>
      <c r="G1" s="3" t="s">
        <v>5</v>
      </c>
      <c r="H1" s="3"/>
      <c r="I1" s="3"/>
      <c r="J1" s="3"/>
      <c r="K1" s="3"/>
      <c r="L1" s="4"/>
      <c r="M1" s="4"/>
      <c r="N1" s="4"/>
      <c r="O1" s="4"/>
      <c r="P1" s="4"/>
      <c r="Q1" s="4"/>
      <c r="R1" s="4"/>
      <c r="S1" s="4"/>
      <c r="T1" s="4"/>
      <c r="U1" s="4"/>
      <c r="V1" s="4"/>
      <c r="W1" s="4"/>
      <c r="X1" s="4"/>
      <c r="Y1" s="4"/>
      <c r="Z1" s="4"/>
      <c r="AA1" s="4"/>
      <c r="AB1" s="4"/>
      <c r="AC1" s="4"/>
    </row>
    <row r="2" spans="1:29" x14ac:dyDescent="0.15">
      <c r="A2" s="7" t="s">
        <v>69</v>
      </c>
      <c r="B2" s="5" t="s">
        <v>68</v>
      </c>
      <c r="C2" s="8" t="s">
        <v>65</v>
      </c>
      <c r="D2" s="5" t="s">
        <v>66</v>
      </c>
      <c r="E2" s="4" t="str">
        <f>B2&amp;C2&amp;D2</f>
        <v>abilities_tmp_base.tmp</v>
      </c>
      <c r="F2" s="5" t="s">
        <v>17</v>
      </c>
      <c r="G2" s="15" t="s">
        <v>20</v>
      </c>
      <c r="H2" s="15" t="s">
        <v>21</v>
      </c>
      <c r="I2" s="15" t="s">
        <v>63</v>
      </c>
      <c r="J2" s="15"/>
      <c r="K2" s="16"/>
      <c r="L2" s="5"/>
      <c r="M2" s="5"/>
      <c r="N2" s="5"/>
      <c r="O2" s="5"/>
      <c r="P2" s="5"/>
      <c r="Q2" s="5"/>
      <c r="R2" s="5"/>
      <c r="S2" s="5"/>
      <c r="T2" s="5"/>
      <c r="U2" s="5"/>
      <c r="V2" s="5"/>
      <c r="W2" s="5"/>
      <c r="X2" s="5"/>
      <c r="Y2" s="5"/>
      <c r="Z2" s="5"/>
      <c r="AA2" s="5"/>
      <c r="AB2" s="5"/>
      <c r="AC2" s="5"/>
    </row>
    <row r="3" spans="1:29" x14ac:dyDescent="0.15">
      <c r="A3" s="7" t="s">
        <v>69</v>
      </c>
      <c r="B3" s="5" t="s">
        <v>64</v>
      </c>
      <c r="C3" s="8" t="s">
        <v>65</v>
      </c>
      <c r="D3" s="5" t="s">
        <v>66</v>
      </c>
      <c r="E3" s="4" t="str">
        <f>B3&amp;C3&amp;D3</f>
        <v>abilities_i18n_base.tmp</v>
      </c>
      <c r="F3" s="5" t="s">
        <v>18</v>
      </c>
      <c r="G3" s="15" t="s">
        <v>22</v>
      </c>
      <c r="H3" s="15" t="s">
        <v>23</v>
      </c>
      <c r="I3" s="15" t="s">
        <v>24</v>
      </c>
      <c r="J3" s="15" t="s">
        <v>25</v>
      </c>
      <c r="K3" s="16" t="s">
        <v>574</v>
      </c>
      <c r="L3" s="5"/>
      <c r="M3" s="5"/>
      <c r="N3" s="5"/>
      <c r="O3" s="5"/>
      <c r="P3" s="5"/>
      <c r="Q3" s="5"/>
      <c r="R3" s="5"/>
      <c r="S3" s="5"/>
      <c r="T3" s="5"/>
      <c r="U3" s="5"/>
      <c r="V3" s="5"/>
      <c r="W3" s="5"/>
      <c r="X3" s="5"/>
      <c r="Y3" s="5"/>
      <c r="Z3" s="5"/>
      <c r="AA3" s="5"/>
      <c r="AB3" s="5"/>
      <c r="AC3" s="5"/>
    </row>
    <row r="4" spans="1:29" x14ac:dyDescent="0.15">
      <c r="A4" s="7" t="s">
        <v>69</v>
      </c>
      <c r="B4" s="5" t="s">
        <v>67</v>
      </c>
      <c r="C4" s="8" t="s">
        <v>65</v>
      </c>
      <c r="D4" s="5" t="s">
        <v>66</v>
      </c>
      <c r="E4" s="4" t="str">
        <f>B4&amp;C4&amp;D4</f>
        <v>unit_abilities_base.tmp</v>
      </c>
      <c r="F4" s="5" t="s">
        <v>19</v>
      </c>
      <c r="G4" s="15" t="s">
        <v>12</v>
      </c>
      <c r="H4" s="17" t="s">
        <v>13</v>
      </c>
      <c r="I4" s="17" t="s">
        <v>14</v>
      </c>
      <c r="J4" s="18" t="s">
        <v>15</v>
      </c>
      <c r="K4" s="19" t="s">
        <v>16</v>
      </c>
      <c r="L4" s="5"/>
      <c r="M4" s="5"/>
      <c r="N4" s="5"/>
      <c r="O4" s="5"/>
      <c r="P4" s="5"/>
      <c r="Q4" s="5"/>
      <c r="R4" s="5"/>
      <c r="S4" s="5"/>
      <c r="T4" s="5"/>
      <c r="U4" s="5"/>
      <c r="V4" s="5"/>
      <c r="W4" s="5"/>
      <c r="X4" s="5"/>
      <c r="Y4" s="5"/>
      <c r="Z4" s="5"/>
      <c r="AA4" s="5"/>
      <c r="AB4" s="5"/>
      <c r="AC4" s="5"/>
    </row>
  </sheetData>
  <phoneticPr fontId="5"/>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0000FF"/>
    <outlinePr summaryBelow="0" summaryRight="0"/>
  </sheetPr>
  <dimension ref="A1:K335"/>
  <sheetViews>
    <sheetView showGridLines="0" tabSelected="1" zoomScaleNormal="118" zoomScalePageLayoutView="118" workbookViewId="0">
      <pane ySplit="1" topLeftCell="A182" activePane="bottomLeft" state="frozen"/>
      <selection activeCell="V2" sqref="V2:X34"/>
      <selection pane="bottomLeft" activeCell="G193" sqref="G193"/>
    </sheetView>
  </sheetViews>
  <sheetFormatPr baseColWidth="12" defaultColWidth="13" defaultRowHeight="21" customHeight="1" x14ac:dyDescent="0.15"/>
  <cols>
    <col min="1" max="1" width="7.1640625" style="1" bestFit="1" customWidth="1"/>
    <col min="2" max="2" width="7.33203125" style="1" bestFit="1" customWidth="1"/>
    <col min="3" max="3" width="27.5" style="1" bestFit="1" customWidth="1"/>
    <col min="4" max="4" width="39.1640625" style="1" customWidth="1"/>
    <col min="5" max="5" width="4.6640625" style="1" bestFit="1" customWidth="1"/>
    <col min="6" max="6" width="56.1640625" style="1" customWidth="1"/>
    <col min="7" max="7" width="38" style="1" customWidth="1"/>
    <col min="8" max="8" width="6.33203125" style="1" bestFit="1" customWidth="1"/>
    <col min="9" max="9" width="29.1640625" style="1" customWidth="1"/>
    <col min="10" max="10" width="27.5" style="1" customWidth="1"/>
    <col min="11" max="11" width="10.33203125" style="1" customWidth="1"/>
    <col min="12" max="16384" width="13" style="1"/>
  </cols>
  <sheetData>
    <row r="1" spans="1:11" ht="21" customHeight="1" x14ac:dyDescent="0.15">
      <c r="A1" s="11" t="s">
        <v>8</v>
      </c>
      <c r="B1" s="33" t="s">
        <v>9</v>
      </c>
      <c r="C1" s="33" t="s">
        <v>10</v>
      </c>
      <c r="D1" s="34" t="s">
        <v>11</v>
      </c>
      <c r="E1" s="34" t="s">
        <v>168</v>
      </c>
      <c r="F1" s="34" t="s">
        <v>169</v>
      </c>
      <c r="G1" s="34" t="s">
        <v>568</v>
      </c>
      <c r="H1" s="34" t="s">
        <v>170</v>
      </c>
      <c r="I1" s="21" t="s">
        <v>174</v>
      </c>
      <c r="J1" s="21" t="s">
        <v>573</v>
      </c>
      <c r="K1" s="11" t="s">
        <v>62</v>
      </c>
    </row>
    <row r="2" spans="1:11" ht="21" customHeight="1" x14ac:dyDescent="0.15">
      <c r="A2" s="25">
        <v>100</v>
      </c>
      <c r="B2" s="2" t="s">
        <v>7</v>
      </c>
      <c r="C2" s="9" t="s">
        <v>287</v>
      </c>
      <c r="D2" s="9" t="s">
        <v>210</v>
      </c>
      <c r="E2" s="12" t="s">
        <v>171</v>
      </c>
      <c r="F2" s="12" t="s">
        <v>288</v>
      </c>
      <c r="G2" s="35" t="s">
        <v>289</v>
      </c>
      <c r="H2" s="12" t="s">
        <v>172</v>
      </c>
      <c r="I2" s="36" t="str">
        <f t="shared" ref="I2:I65" si="0">"{"&amp;""""&amp;$E$1&amp;""""&amp;":"&amp;""""&amp;E2&amp;""""&amp;","&amp;""""&amp;"type"&amp;""""&amp;":"&amp;""""&amp;"ability"&amp;""""&amp;","&amp;""""&amp;$G$1&amp;""""&amp;":"&amp;""""&amp;G2&amp;""""&amp;","&amp;""""&amp;$F$1&amp;""""&amp;":"&amp;""""&amp;F2&amp;""""&amp;","&amp;""""&amp;$H$1&amp;""""&amp;":"&amp;H2&amp;"}"</f>
        <v>{"ver":"1.7.0","type":"ability","effects":"[effect:panel_break, target:myself, block_type:freeze, turn:-1]","conditions":"[condition:always]    ","priority":0}</v>
      </c>
      <c r="J2" s="35" t="s">
        <v>607</v>
      </c>
      <c r="K2" s="14">
        <v>3</v>
      </c>
    </row>
    <row r="3" spans="1:11" ht="21" customHeight="1" x14ac:dyDescent="0.15">
      <c r="A3" s="25">
        <v>101</v>
      </c>
      <c r="B3" s="2" t="s">
        <v>7</v>
      </c>
      <c r="C3" s="9" t="s">
        <v>42</v>
      </c>
      <c r="D3" s="9" t="s">
        <v>210</v>
      </c>
      <c r="E3" s="12" t="s">
        <v>171</v>
      </c>
      <c r="F3" s="12" t="s">
        <v>222</v>
      </c>
      <c r="G3" s="35" t="s">
        <v>206</v>
      </c>
      <c r="H3" s="12" t="s">
        <v>172</v>
      </c>
      <c r="I3" s="36" t="str">
        <f t="shared" si="0"/>
        <v>{"ver":"1.7.0","type":"ability","effects":"[effect:panel_break, target:myself, block_type:freeze, turn:-1]","conditions":"[condition:always]    ","priority":0}</v>
      </c>
      <c r="J3" s="35" t="s">
        <v>608</v>
      </c>
      <c r="K3" s="14">
        <v>3</v>
      </c>
    </row>
    <row r="4" spans="1:11" ht="21" customHeight="1" x14ac:dyDescent="0.15">
      <c r="A4" s="25">
        <v>102</v>
      </c>
      <c r="B4" s="2" t="s">
        <v>7</v>
      </c>
      <c r="C4" s="12" t="s">
        <v>198</v>
      </c>
      <c r="D4" s="9" t="s">
        <v>210</v>
      </c>
      <c r="E4" s="12" t="s">
        <v>171</v>
      </c>
      <c r="F4" s="12" t="s">
        <v>222</v>
      </c>
      <c r="G4" s="35" t="s">
        <v>207</v>
      </c>
      <c r="H4" s="12" t="s">
        <v>172</v>
      </c>
      <c r="I4" s="36" t="str">
        <f t="shared" si="0"/>
        <v>{"ver":"1.7.0","type":"ability","effects":"[effect:panel_break, target:myself, block_type:freeze, turn:-1]","conditions":"[condition:always]    ","priority":0}</v>
      </c>
      <c r="J4" s="35" t="s">
        <v>609</v>
      </c>
      <c r="K4" s="14">
        <v>3</v>
      </c>
    </row>
    <row r="5" spans="1:11" ht="21" customHeight="1" x14ac:dyDescent="0.15">
      <c r="A5" s="25">
        <v>103</v>
      </c>
      <c r="B5" s="2" t="s">
        <v>7</v>
      </c>
      <c r="C5" s="9" t="s">
        <v>292</v>
      </c>
      <c r="D5" s="9" t="s">
        <v>240</v>
      </c>
      <c r="E5" s="12" t="s">
        <v>171</v>
      </c>
      <c r="F5" s="12" t="s">
        <v>282</v>
      </c>
      <c r="G5" s="35" t="s">
        <v>293</v>
      </c>
      <c r="H5" s="12" t="s">
        <v>172</v>
      </c>
      <c r="I5" s="36" t="str">
        <f t="shared" si="0"/>
        <v>{"ver":"1.7.0","type":"ability","effects":"[effect:panel_break, target:myself, block_type:jammer, turn:-1]","conditions":"[condition:always]    ","priority":0}</v>
      </c>
      <c r="J5" s="35" t="s">
        <v>610</v>
      </c>
      <c r="K5" s="14">
        <v>3</v>
      </c>
    </row>
    <row r="6" spans="1:11" ht="21" customHeight="1" x14ac:dyDescent="0.15">
      <c r="A6" s="25">
        <v>104</v>
      </c>
      <c r="B6" s="2" t="s">
        <v>7</v>
      </c>
      <c r="C6" s="9" t="s">
        <v>29</v>
      </c>
      <c r="D6" s="9" t="s">
        <v>240</v>
      </c>
      <c r="E6" s="12" t="s">
        <v>171</v>
      </c>
      <c r="F6" s="12" t="s">
        <v>222</v>
      </c>
      <c r="G6" s="35" t="s">
        <v>175</v>
      </c>
      <c r="H6" s="12" t="s">
        <v>172</v>
      </c>
      <c r="I6" s="36" t="str">
        <f t="shared" si="0"/>
        <v>{"ver":"1.7.0","type":"ability","effects":"[effect:panel_break, target:myself, block_type:jammer, turn:-1]","conditions":"[condition:always]    ","priority":0}</v>
      </c>
      <c r="J6" s="35" t="s">
        <v>611</v>
      </c>
      <c r="K6" s="14">
        <v>3</v>
      </c>
    </row>
    <row r="7" spans="1:11" ht="21" customHeight="1" x14ac:dyDescent="0.15">
      <c r="A7" s="25">
        <v>105</v>
      </c>
      <c r="B7" s="2" t="s">
        <v>7</v>
      </c>
      <c r="C7" s="9" t="s">
        <v>29</v>
      </c>
      <c r="D7" s="9" t="s">
        <v>240</v>
      </c>
      <c r="E7" s="12" t="s">
        <v>171</v>
      </c>
      <c r="F7" s="12" t="s">
        <v>222</v>
      </c>
      <c r="G7" s="35" t="s">
        <v>283</v>
      </c>
      <c r="H7" s="12" t="s">
        <v>172</v>
      </c>
      <c r="I7" s="36" t="str">
        <f t="shared" si="0"/>
        <v>{"ver":"1.7.0","type":"ability","effects":"[effect:panel_break, target:myself, block_type:jammer, turn:-1]","conditions":"[condition:always]    ","priority":0}</v>
      </c>
      <c r="J7" s="35" t="s">
        <v>612</v>
      </c>
      <c r="K7" s="14">
        <v>3</v>
      </c>
    </row>
    <row r="8" spans="1:11" ht="21" customHeight="1" x14ac:dyDescent="0.15">
      <c r="A8" s="25">
        <v>106</v>
      </c>
      <c r="B8" s="2" t="s">
        <v>7</v>
      </c>
      <c r="C8" s="12" t="s">
        <v>37</v>
      </c>
      <c r="D8" s="9" t="s">
        <v>534</v>
      </c>
      <c r="E8" s="12" t="s">
        <v>171</v>
      </c>
      <c r="F8" s="12" t="s">
        <v>222</v>
      </c>
      <c r="G8" s="35" t="s">
        <v>522</v>
      </c>
      <c r="H8" s="12" t="s">
        <v>172</v>
      </c>
      <c r="I8" s="36" t="str">
        <f t="shared" si="0"/>
        <v>{"ver":"1.7.0","type":"ability","effects":"[effect:panel_break, target:myself, block_type01:time_bomb, break_type:all, turn:-1]","conditions":"[condition:always]    ","priority":0}</v>
      </c>
      <c r="J8" s="35" t="s">
        <v>614</v>
      </c>
      <c r="K8" s="14">
        <v>3</v>
      </c>
    </row>
    <row r="9" spans="1:11" ht="21" customHeight="1" x14ac:dyDescent="0.15">
      <c r="A9" s="25">
        <v>107</v>
      </c>
      <c r="B9" s="2" t="s">
        <v>7</v>
      </c>
      <c r="C9" s="12" t="s">
        <v>37</v>
      </c>
      <c r="D9" s="9" t="s">
        <v>535</v>
      </c>
      <c r="E9" s="12" t="s">
        <v>171</v>
      </c>
      <c r="F9" s="12" t="s">
        <v>222</v>
      </c>
      <c r="G9" s="35" t="s">
        <v>522</v>
      </c>
      <c r="H9" s="12" t="s">
        <v>172</v>
      </c>
      <c r="I9" s="36" t="str">
        <f t="shared" si="0"/>
        <v>{"ver":"1.7.0","type":"ability","effects":"[effect:panel_break, target:myself, block_type01:time_bomb, break_type:all, turn:-1]","conditions":"[condition:always]    ","priority":0}</v>
      </c>
      <c r="J9" s="35" t="s">
        <v>615</v>
      </c>
      <c r="K9" s="14">
        <v>3</v>
      </c>
    </row>
    <row r="10" spans="1:11" ht="21" customHeight="1" x14ac:dyDescent="0.15">
      <c r="A10" s="25">
        <v>108</v>
      </c>
      <c r="B10" s="2" t="s">
        <v>7</v>
      </c>
      <c r="C10" s="12" t="s">
        <v>37</v>
      </c>
      <c r="D10" s="9" t="s">
        <v>536</v>
      </c>
      <c r="E10" s="12" t="s">
        <v>171</v>
      </c>
      <c r="F10" s="12" t="s">
        <v>222</v>
      </c>
      <c r="G10" s="35" t="s">
        <v>522</v>
      </c>
      <c r="H10" s="12" t="s">
        <v>172</v>
      </c>
      <c r="I10" s="36" t="str">
        <f t="shared" si="0"/>
        <v>{"ver":"1.7.0","type":"ability","effects":"[effect:panel_break, target:myself, block_type01:time_bomb, break_type:all, turn:-1]","conditions":"[condition:always]    ","priority":0}</v>
      </c>
      <c r="J10" s="35" t="s">
        <v>616</v>
      </c>
      <c r="K10" s="14">
        <v>3</v>
      </c>
    </row>
    <row r="11" spans="1:11" ht="21" customHeight="1" x14ac:dyDescent="0.15">
      <c r="A11" s="25">
        <v>109</v>
      </c>
      <c r="B11" s="2" t="s">
        <v>7</v>
      </c>
      <c r="C11" s="9" t="s">
        <v>242</v>
      </c>
      <c r="D11" s="9" t="s">
        <v>255</v>
      </c>
      <c r="E11" s="12" t="s">
        <v>171</v>
      </c>
      <c r="F11" s="12" t="s">
        <v>222</v>
      </c>
      <c r="G11" s="35" t="s">
        <v>243</v>
      </c>
      <c r="H11" s="12" t="s">
        <v>172</v>
      </c>
      <c r="I11" s="36" t="str">
        <f t="shared" si="0"/>
        <v>{"ver":"1.7.0","type":"ability","effects":"[effect:panel_break, target:myself, block_type:damage, turn:-1]","conditions":"[condition:always]    ","priority":0}</v>
      </c>
      <c r="J11" s="35" t="s">
        <v>617</v>
      </c>
      <c r="K11" s="14">
        <v>3</v>
      </c>
    </row>
    <row r="12" spans="1:11" ht="21" customHeight="1" x14ac:dyDescent="0.15">
      <c r="A12" s="26">
        <v>150</v>
      </c>
      <c r="B12" s="27" t="s">
        <v>7</v>
      </c>
      <c r="C12" s="39" t="s">
        <v>684</v>
      </c>
      <c r="D12" s="12" t="s">
        <v>664</v>
      </c>
      <c r="E12" s="12" t="s">
        <v>171</v>
      </c>
      <c r="F12" s="12" t="s">
        <v>663</v>
      </c>
      <c r="G12" s="35" t="s">
        <v>206</v>
      </c>
      <c r="H12" s="12" t="s">
        <v>172</v>
      </c>
      <c r="I12" s="36" t="str">
        <f t="shared" si="0"/>
        <v>{"ver":"1.7.0","type":"ability","effects":"[effect:panel_break, target:myself, block_type:freeze, turn:-1]","conditions":"[condition:fever_gauge,lower:90]","priority":0}</v>
      </c>
      <c r="J12" s="35" t="s">
        <v>661</v>
      </c>
      <c r="K12" s="14">
        <v>3</v>
      </c>
    </row>
    <row r="13" spans="1:11" ht="21" customHeight="1" x14ac:dyDescent="0.15">
      <c r="A13" s="26">
        <v>151</v>
      </c>
      <c r="B13" s="27" t="s">
        <v>7</v>
      </c>
      <c r="C13" s="39" t="s">
        <v>668</v>
      </c>
      <c r="D13" s="12" t="s">
        <v>665</v>
      </c>
      <c r="E13" s="12" t="s">
        <v>171</v>
      </c>
      <c r="F13" s="12" t="s">
        <v>666</v>
      </c>
      <c r="G13" s="35" t="s">
        <v>293</v>
      </c>
      <c r="H13" s="12" t="s">
        <v>172</v>
      </c>
      <c r="I13" s="36" t="str">
        <f t="shared" si="0"/>
        <v>{"ver":"1.7.0","type":"ability","effects":"[effect:panel_break, target:myself, block_type:jammer, turn:-1]","conditions":"[condition:fever_gauge,upper:20]","priority":0}</v>
      </c>
      <c r="J13" s="35" t="s">
        <v>662</v>
      </c>
      <c r="K13" s="14">
        <v>3</v>
      </c>
    </row>
    <row r="14" spans="1:11" ht="21" customHeight="1" x14ac:dyDescent="0.15">
      <c r="A14" s="26">
        <v>152</v>
      </c>
      <c r="B14" s="2" t="s">
        <v>7</v>
      </c>
      <c r="C14" s="12" t="s">
        <v>692</v>
      </c>
      <c r="D14" s="12" t="s">
        <v>693</v>
      </c>
      <c r="E14" s="12" t="s">
        <v>171</v>
      </c>
      <c r="F14" s="12" t="s">
        <v>694</v>
      </c>
      <c r="G14" s="35" t="s">
        <v>293</v>
      </c>
      <c r="H14" s="12" t="s">
        <v>172</v>
      </c>
      <c r="I14" s="36" t="str">
        <f t="shared" si="0"/>
        <v>{"ver":"1.7.0","type":"ability","effects":"[effect:panel_break, target:myself, block_type:jammer, turn:-1]","conditions":"[condition:hp_rate,lower:50]","priority":0}</v>
      </c>
      <c r="J14" s="35" t="s">
        <v>29</v>
      </c>
      <c r="K14" s="14">
        <v>3</v>
      </c>
    </row>
    <row r="15" spans="1:11" ht="21" customHeight="1" x14ac:dyDescent="0.15">
      <c r="A15" s="25">
        <v>200</v>
      </c>
      <c r="B15" s="2" t="s">
        <v>7</v>
      </c>
      <c r="C15" s="9" t="s">
        <v>30</v>
      </c>
      <c r="D15" s="9" t="s">
        <v>34</v>
      </c>
      <c r="E15" s="12" t="s">
        <v>171</v>
      </c>
      <c r="F15" s="12" t="s">
        <v>222</v>
      </c>
      <c r="G15" s="35" t="s">
        <v>291</v>
      </c>
      <c r="H15" s="12" t="s">
        <v>172</v>
      </c>
      <c r="I15" s="36" t="str">
        <f t="shared" si="0"/>
        <v>{"ver":"1.7.0","type":"ability","effects":"[effect:tolerance, target:myself, turn:-1, tolerance_effect:virus, count:-1, animation:prevent_abnormal_Unit04]","conditions":"[condition:always]    ","priority":0}</v>
      </c>
      <c r="J15" s="35" t="s">
        <v>619</v>
      </c>
      <c r="K15" s="14">
        <v>3</v>
      </c>
    </row>
    <row r="16" spans="1:11" ht="21" customHeight="1" x14ac:dyDescent="0.15">
      <c r="A16" s="25">
        <v>201</v>
      </c>
      <c r="B16" s="2" t="s">
        <v>7</v>
      </c>
      <c r="C16" s="9" t="s">
        <v>31</v>
      </c>
      <c r="D16" s="9" t="s">
        <v>35</v>
      </c>
      <c r="E16" s="12" t="s">
        <v>171</v>
      </c>
      <c r="F16" s="12" t="s">
        <v>222</v>
      </c>
      <c r="G16" s="35" t="s">
        <v>176</v>
      </c>
      <c r="H16" s="12" t="s">
        <v>172</v>
      </c>
      <c r="I16" s="36" t="str">
        <f t="shared" si="0"/>
        <v>{"ver":"1.7.0","type":"ability","effects":"[effect:tolerance, target:myself, turn:-1, tolerance_effect:hungup, count:-1, animation:prevent_abnormal_Unit04]","conditions":"[condition:always]    ","priority":0}</v>
      </c>
      <c r="J16" s="35" t="s">
        <v>618</v>
      </c>
      <c r="K16" s="14">
        <v>3</v>
      </c>
    </row>
    <row r="17" spans="1:11" ht="21" customHeight="1" x14ac:dyDescent="0.15">
      <c r="A17" s="25">
        <v>202</v>
      </c>
      <c r="B17" s="2" t="s">
        <v>7</v>
      </c>
      <c r="C17" s="9" t="s">
        <v>32</v>
      </c>
      <c r="D17" s="9" t="s">
        <v>36</v>
      </c>
      <c r="E17" s="12" t="s">
        <v>171</v>
      </c>
      <c r="F17" s="12" t="s">
        <v>290</v>
      </c>
      <c r="G17" s="35" t="s">
        <v>177</v>
      </c>
      <c r="H17" s="12" t="s">
        <v>172</v>
      </c>
      <c r="I17" s="36" t="str">
        <f t="shared" si="0"/>
        <v>{"ver":"1.7.0","type":"ability","effects":"[effect:tolerance, target:myself, turn:-1, tolerance_effect:sleep, count:-1, animation:prevent_abnormal_Unit04]","conditions":"[condition:always]    ","priority":0}</v>
      </c>
      <c r="J17" s="35" t="s">
        <v>613</v>
      </c>
      <c r="K17" s="14">
        <v>3</v>
      </c>
    </row>
    <row r="18" spans="1:11" ht="21" customHeight="1" x14ac:dyDescent="0.15">
      <c r="A18" s="25">
        <v>203</v>
      </c>
      <c r="B18" s="2" t="s">
        <v>7</v>
      </c>
      <c r="C18" s="9" t="s">
        <v>33</v>
      </c>
      <c r="D18" s="9" t="s">
        <v>208</v>
      </c>
      <c r="E18" s="12" t="s">
        <v>171</v>
      </c>
      <c r="F18" s="12" t="s">
        <v>222</v>
      </c>
      <c r="G18" s="35" t="s">
        <v>178</v>
      </c>
      <c r="H18" s="12" t="s">
        <v>172</v>
      </c>
      <c r="I18" s="36" t="str">
        <f t="shared" si="0"/>
        <v>{"ver":"1.7.0","type":"ability","effects":"[effect:tolerance, target:myself, turn:-1, tolerance_effect:bomb_small, count:-1, animation:prevent_abnormal_Unit04]","conditions":"[condition:always]    ","priority":0}</v>
      </c>
      <c r="J18" s="35" t="s">
        <v>620</v>
      </c>
      <c r="K18" s="14">
        <v>3</v>
      </c>
    </row>
    <row r="19" spans="1:11" ht="21" customHeight="1" x14ac:dyDescent="0.15">
      <c r="A19" s="25">
        <v>204</v>
      </c>
      <c r="B19" s="2" t="s">
        <v>7</v>
      </c>
      <c r="C19" s="9" t="s">
        <v>41</v>
      </c>
      <c r="D19" s="9" t="s">
        <v>229</v>
      </c>
      <c r="E19" s="12" t="s">
        <v>171</v>
      </c>
      <c r="F19" s="12" t="s">
        <v>222</v>
      </c>
      <c r="G19" s="35" t="s">
        <v>230</v>
      </c>
      <c r="H19" s="12" t="s">
        <v>172</v>
      </c>
      <c r="I19" s="36" t="str">
        <f t="shared" si="0"/>
        <v>{"ver":"1.7.0","type":"ability","effects":"[effect:change_bomb_range, turn:-1, target:myself, val:1.2, rate:1, animation:bomb_small]","conditions":"[condition:always]    ","priority":0}</v>
      </c>
      <c r="J19" s="35" t="s">
        <v>621</v>
      </c>
      <c r="K19" s="14">
        <v>3</v>
      </c>
    </row>
    <row r="20" spans="1:11" ht="21" customHeight="1" x14ac:dyDescent="0.15">
      <c r="A20" s="25">
        <v>205</v>
      </c>
      <c r="B20" s="2" t="s">
        <v>7</v>
      </c>
      <c r="C20" s="9" t="s">
        <v>310</v>
      </c>
      <c r="D20" s="9" t="s">
        <v>311</v>
      </c>
      <c r="E20" s="12" t="s">
        <v>171</v>
      </c>
      <c r="F20" s="12" t="s">
        <v>222</v>
      </c>
      <c r="G20" s="35" t="s">
        <v>338</v>
      </c>
      <c r="H20" s="12" t="s">
        <v>172</v>
      </c>
      <c r="I20" s="36" t="str">
        <f t="shared" si="0"/>
        <v>{"ver":"1.7.0","type":"ability","effects":"[effect:invalidate_dis_panel, target:myself, block_type:block_heart, turn:-1]","conditions":"[condition:always]    ","priority":0}</v>
      </c>
      <c r="J20" s="35" t="s">
        <v>613</v>
      </c>
      <c r="K20" s="14">
        <v>3</v>
      </c>
    </row>
    <row r="21" spans="1:11" ht="21" customHeight="1" x14ac:dyDescent="0.15">
      <c r="A21" s="25">
        <v>206</v>
      </c>
      <c r="B21" s="2" t="s">
        <v>7</v>
      </c>
      <c r="C21" s="9" t="s">
        <v>339</v>
      </c>
      <c r="D21" s="9" t="s">
        <v>337</v>
      </c>
      <c r="E21" s="12" t="s">
        <v>194</v>
      </c>
      <c r="F21" s="12" t="s">
        <v>336</v>
      </c>
      <c r="G21" s="35" t="s">
        <v>340</v>
      </c>
      <c r="H21" s="12" t="s">
        <v>172</v>
      </c>
      <c r="I21" s="36" t="str">
        <f t="shared" si="0"/>
        <v>{"ver":"1.7.0","type":"ability","effects":"[effect:invalidate_dis_panel, target:myself, block_type:block_red, turn:-1],[effect:invalidate_dis_panel, target:myself, block_type:block_green, turn:-1]","conditions":"[condition:always]    ","priority":0}</v>
      </c>
      <c r="J21" s="35" t="s">
        <v>613</v>
      </c>
      <c r="K21" s="14">
        <v>3</v>
      </c>
    </row>
    <row r="22" spans="1:11" ht="21" customHeight="1" x14ac:dyDescent="0.15">
      <c r="A22" s="25">
        <v>207</v>
      </c>
      <c r="B22" s="2" t="s">
        <v>7</v>
      </c>
      <c r="C22" s="9" t="s">
        <v>347</v>
      </c>
      <c r="D22" s="9" t="s">
        <v>348</v>
      </c>
      <c r="E22" s="12" t="s">
        <v>194</v>
      </c>
      <c r="F22" s="12" t="s">
        <v>336</v>
      </c>
      <c r="G22" s="35" t="s">
        <v>349</v>
      </c>
      <c r="H22" s="12" t="s">
        <v>172</v>
      </c>
      <c r="I22" s="36" t="str">
        <f t="shared" si="0"/>
        <v>{"ver":"1.7.0","type":"ability","effects":"[effect:invalidate_dis_panel, target:myself, block_type:block_red, turn:-1],[effect:invalidate_dis_panel, target:myself, block_type:block_blue, turn:-1]","conditions":"[condition:always]    ","priority":0}</v>
      </c>
      <c r="J22" s="35" t="s">
        <v>613</v>
      </c>
      <c r="K22" s="14">
        <v>3</v>
      </c>
    </row>
    <row r="23" spans="1:11" ht="21" customHeight="1" x14ac:dyDescent="0.15">
      <c r="A23" s="25">
        <v>208</v>
      </c>
      <c r="B23" s="2" t="s">
        <v>7</v>
      </c>
      <c r="C23" s="9" t="s">
        <v>350</v>
      </c>
      <c r="D23" s="9" t="s">
        <v>351</v>
      </c>
      <c r="E23" s="12" t="s">
        <v>194</v>
      </c>
      <c r="F23" s="12" t="s">
        <v>336</v>
      </c>
      <c r="G23" s="35" t="s">
        <v>352</v>
      </c>
      <c r="H23" s="12" t="s">
        <v>172</v>
      </c>
      <c r="I23" s="36" t="str">
        <f t="shared" si="0"/>
        <v>{"ver":"1.7.0","type":"ability","effects":"[effect:invalidate_dis_panel, target:myself, block_type:block_yellow, turn:-1],[effect:invalidate_dis_panel, target:myself, block_type:block_green, turn:-1]","conditions":"[condition:always]    ","priority":0}</v>
      </c>
      <c r="J23" s="35" t="s">
        <v>613</v>
      </c>
      <c r="K23" s="14">
        <v>3</v>
      </c>
    </row>
    <row r="24" spans="1:11" ht="21" customHeight="1" x14ac:dyDescent="0.15">
      <c r="A24" s="25">
        <v>209</v>
      </c>
      <c r="B24" s="2" t="s">
        <v>7</v>
      </c>
      <c r="C24" s="9" t="s">
        <v>353</v>
      </c>
      <c r="D24" s="9" t="s">
        <v>354</v>
      </c>
      <c r="E24" s="12" t="s">
        <v>194</v>
      </c>
      <c r="F24" s="12" t="s">
        <v>336</v>
      </c>
      <c r="G24" s="35" t="s">
        <v>355</v>
      </c>
      <c r="H24" s="12" t="s">
        <v>172</v>
      </c>
      <c r="I24" s="36" t="str">
        <f t="shared" si="0"/>
        <v>{"ver":"1.7.0","type":"ability","effects":"[effect:invalidate_dis_panel, target:myself, block_type:block_yellow, turn:-1],[effect:invalidate_dis_panel, target:myself, block_type:block_heart, turn:-1]","conditions":"[condition:always]    ","priority":0}</v>
      </c>
      <c r="J24" s="35" t="s">
        <v>613</v>
      </c>
      <c r="K24" s="14">
        <v>3</v>
      </c>
    </row>
    <row r="25" spans="1:11" ht="21" customHeight="1" x14ac:dyDescent="0.15">
      <c r="A25" s="25">
        <v>210</v>
      </c>
      <c r="B25" s="2" t="s">
        <v>7</v>
      </c>
      <c r="C25" s="9" t="s">
        <v>356</v>
      </c>
      <c r="D25" s="9" t="s">
        <v>359</v>
      </c>
      <c r="E25" s="12" t="s">
        <v>194</v>
      </c>
      <c r="F25" s="12" t="s">
        <v>336</v>
      </c>
      <c r="G25" s="35" t="s">
        <v>360</v>
      </c>
      <c r="H25" s="12" t="s">
        <v>172</v>
      </c>
      <c r="I25" s="36" t="str">
        <f t="shared" si="0"/>
        <v>{"ver":"1.7.0","type":"ability","effects":"[effect:invalidate_dis_panel, target:myself, block_type:block_yellow, turn:-1],[effect:invalidate_dis_panel, target:myself, block_type:block_green, turn:-1],[effect:invalidate_dis_panel, target:myself, block_type:block_red, turn:-1],[effect:invalidate_dis_panel, target:myself, block_type:block_blue, turn:-1]","conditions":"[condition:always]    ","priority":0}</v>
      </c>
      <c r="J25" s="35" t="s">
        <v>613</v>
      </c>
      <c r="K25" s="14">
        <v>3</v>
      </c>
    </row>
    <row r="26" spans="1:11" ht="21" customHeight="1" x14ac:dyDescent="0.15">
      <c r="A26" s="25">
        <v>211</v>
      </c>
      <c r="B26" s="2" t="s">
        <v>7</v>
      </c>
      <c r="C26" s="9" t="s">
        <v>357</v>
      </c>
      <c r="D26" s="9" t="s">
        <v>358</v>
      </c>
      <c r="E26" s="12" t="s">
        <v>194</v>
      </c>
      <c r="F26" s="12" t="s">
        <v>336</v>
      </c>
      <c r="G26" s="35" t="s">
        <v>361</v>
      </c>
      <c r="H26" s="12" t="s">
        <v>172</v>
      </c>
      <c r="I26" s="36" t="str">
        <f t="shared" si="0"/>
        <v>{"ver":"1.7.0","type":"ability","effects":"[effect:invalidate_dis_panel, target:myself, block_type:block_yellow, turn:-1],[effect:invalidate_dis_panel, target:myself, block_type:block_green, turn:-1],[effect:invalidate_dis_panel, target:myself, block_type:block_red, turn:-1],[effect:invalidate_dis_panel, target:myself, block_type:block_blue, turn:-1],[effect:invalidate_dis_panel, target:myself, block_type:block_heart, turn:-1]","conditions":"[condition:always]    ","priority":0}</v>
      </c>
      <c r="J26" s="35" t="s">
        <v>613</v>
      </c>
      <c r="K26" s="14">
        <v>3</v>
      </c>
    </row>
    <row r="27" spans="1:11" ht="21" customHeight="1" x14ac:dyDescent="0.15">
      <c r="A27" s="25">
        <v>300</v>
      </c>
      <c r="B27" s="2" t="s">
        <v>7</v>
      </c>
      <c r="C27" s="9" t="s">
        <v>70</v>
      </c>
      <c r="D27" s="9" t="s">
        <v>211</v>
      </c>
      <c r="E27" s="12" t="s">
        <v>171</v>
      </c>
      <c r="F27" s="35" t="s">
        <v>237</v>
      </c>
      <c r="G27" s="35" t="s">
        <v>223</v>
      </c>
      <c r="H27" s="12" t="s">
        <v>172</v>
      </c>
      <c r="I27" s="36" t="str">
        <f t="shared" si="0"/>
        <v>{"ver":"1.7.0","type":"ability","effects":"[effect:damage_up, target:myself, val:1.3, turn:1, type01:all,option:killer]","conditions":"[condition:unit_attack_target,tribe:god]","priority":0}</v>
      </c>
      <c r="J27" s="35" t="s">
        <v>622</v>
      </c>
      <c r="K27" s="14">
        <v>3</v>
      </c>
    </row>
    <row r="28" spans="1:11" ht="21" customHeight="1" x14ac:dyDescent="0.15">
      <c r="A28" s="25">
        <v>301</v>
      </c>
      <c r="B28" s="2" t="s">
        <v>7</v>
      </c>
      <c r="C28" s="9" t="s">
        <v>77</v>
      </c>
      <c r="D28" s="9" t="s">
        <v>211</v>
      </c>
      <c r="E28" s="12" t="s">
        <v>171</v>
      </c>
      <c r="F28" s="35" t="s">
        <v>184</v>
      </c>
      <c r="G28" s="35" t="s">
        <v>224</v>
      </c>
      <c r="H28" s="12" t="s">
        <v>172</v>
      </c>
      <c r="I28" s="36" t="str">
        <f t="shared" si="0"/>
        <v>{"ver":"1.7.0","type":"ability","effects":"[effect:damage_up, target:myself, val:1.3, turn:1, type01:all,option:killer]","conditions":"[condition:unit_attack_target,tribe:god]","priority":0}</v>
      </c>
      <c r="J28" s="35" t="s">
        <v>622</v>
      </c>
      <c r="K28" s="14">
        <v>3</v>
      </c>
    </row>
    <row r="29" spans="1:11" ht="21" customHeight="1" x14ac:dyDescent="0.15">
      <c r="A29" s="25">
        <v>302</v>
      </c>
      <c r="B29" s="2" t="s">
        <v>7</v>
      </c>
      <c r="C29" s="9" t="s">
        <v>78</v>
      </c>
      <c r="D29" s="9" t="s">
        <v>211</v>
      </c>
      <c r="E29" s="12" t="s">
        <v>171</v>
      </c>
      <c r="F29" s="35" t="s">
        <v>184</v>
      </c>
      <c r="G29" s="35" t="s">
        <v>223</v>
      </c>
      <c r="H29" s="12" t="s">
        <v>172</v>
      </c>
      <c r="I29" s="36" t="str">
        <f t="shared" si="0"/>
        <v>{"ver":"1.7.0","type":"ability","effects":"[effect:damage_up, target:myself, val:1.3, turn:1, type01:all,option:killer]","conditions":"[condition:unit_attack_target,tribe:god]","priority":0}</v>
      </c>
      <c r="J29" s="35" t="s">
        <v>622</v>
      </c>
      <c r="K29" s="14">
        <v>3</v>
      </c>
    </row>
    <row r="30" spans="1:11" ht="21" customHeight="1" x14ac:dyDescent="0.15">
      <c r="A30" s="25">
        <v>303</v>
      </c>
      <c r="B30" s="2" t="s">
        <v>7</v>
      </c>
      <c r="C30" s="9" t="s">
        <v>79</v>
      </c>
      <c r="D30" s="9" t="s">
        <v>211</v>
      </c>
      <c r="E30" s="12" t="s">
        <v>171</v>
      </c>
      <c r="F30" s="35" t="s">
        <v>184</v>
      </c>
      <c r="G30" s="35" t="s">
        <v>223</v>
      </c>
      <c r="H30" s="12" t="s">
        <v>172</v>
      </c>
      <c r="I30" s="36" t="str">
        <f t="shared" si="0"/>
        <v>{"ver":"1.7.0","type":"ability","effects":"[effect:damage_up, target:myself, val:1.3, turn:1, type01:all,option:killer]","conditions":"[condition:unit_attack_target,tribe:god]","priority":0}</v>
      </c>
      <c r="J30" s="35" t="s">
        <v>622</v>
      </c>
      <c r="K30" s="14">
        <v>3</v>
      </c>
    </row>
    <row r="31" spans="1:11" ht="21" customHeight="1" x14ac:dyDescent="0.15">
      <c r="A31" s="25">
        <v>304</v>
      </c>
      <c r="B31" s="2" t="s">
        <v>7</v>
      </c>
      <c r="C31" s="9" t="s">
        <v>71</v>
      </c>
      <c r="D31" s="9" t="s">
        <v>212</v>
      </c>
      <c r="E31" s="12" t="s">
        <v>171</v>
      </c>
      <c r="F31" s="35" t="s">
        <v>186</v>
      </c>
      <c r="G31" s="35" t="s">
        <v>209</v>
      </c>
      <c r="H31" s="12" t="s">
        <v>172</v>
      </c>
      <c r="I31" s="36" t="str">
        <f t="shared" si="0"/>
        <v>{"ver":"1.7.0","type":"ability","effects":"[effect:damage_up, target:myself, val:1.3, turn:1, type01:all,option:killer]","conditions":"[condition:unit_attack_target,tribe:human]","priority":0}</v>
      </c>
      <c r="J31" s="35" t="s">
        <v>622</v>
      </c>
      <c r="K31" s="14">
        <v>3</v>
      </c>
    </row>
    <row r="32" spans="1:11" ht="21" customHeight="1" x14ac:dyDescent="0.15">
      <c r="A32" s="25">
        <v>305</v>
      </c>
      <c r="B32" s="2" t="s">
        <v>7</v>
      </c>
      <c r="C32" s="9" t="s">
        <v>71</v>
      </c>
      <c r="D32" s="9" t="s">
        <v>212</v>
      </c>
      <c r="E32" s="12" t="s">
        <v>171</v>
      </c>
      <c r="F32" s="35" t="s">
        <v>186</v>
      </c>
      <c r="G32" s="35" t="s">
        <v>209</v>
      </c>
      <c r="H32" s="12" t="s">
        <v>172</v>
      </c>
      <c r="I32" s="36" t="str">
        <f t="shared" si="0"/>
        <v>{"ver":"1.7.0","type":"ability","effects":"[effect:damage_up, target:myself, val:1.3, turn:1, type01:all,option:killer]","conditions":"[condition:unit_attack_target,tribe:human]","priority":0}</v>
      </c>
      <c r="J32" s="35" t="s">
        <v>622</v>
      </c>
      <c r="K32" s="14">
        <v>3</v>
      </c>
    </row>
    <row r="33" spans="1:11" ht="21" customHeight="1" x14ac:dyDescent="0.15">
      <c r="A33" s="25">
        <v>306</v>
      </c>
      <c r="B33" s="2" t="s">
        <v>7</v>
      </c>
      <c r="C33" s="9" t="s">
        <v>71</v>
      </c>
      <c r="D33" s="9" t="s">
        <v>212</v>
      </c>
      <c r="E33" s="12" t="s">
        <v>171</v>
      </c>
      <c r="F33" s="35" t="s">
        <v>185</v>
      </c>
      <c r="G33" s="35" t="s">
        <v>209</v>
      </c>
      <c r="H33" s="12" t="s">
        <v>172</v>
      </c>
      <c r="I33" s="36" t="str">
        <f t="shared" si="0"/>
        <v>{"ver":"1.7.0","type":"ability","effects":"[effect:damage_up, target:myself, val:1.3, turn:1, type01:all,option:killer]","conditions":"[condition:unit_attack_target,tribe:human]","priority":0}</v>
      </c>
      <c r="J33" s="35" t="s">
        <v>622</v>
      </c>
      <c r="K33" s="14">
        <v>3</v>
      </c>
    </row>
    <row r="34" spans="1:11" ht="21" customHeight="1" x14ac:dyDescent="0.15">
      <c r="A34" s="25">
        <v>307</v>
      </c>
      <c r="B34" s="2" t="s">
        <v>7</v>
      </c>
      <c r="C34" s="9" t="s">
        <v>71</v>
      </c>
      <c r="D34" s="9" t="s">
        <v>212</v>
      </c>
      <c r="E34" s="12" t="s">
        <v>171</v>
      </c>
      <c r="F34" s="35" t="s">
        <v>186</v>
      </c>
      <c r="G34" s="35" t="s">
        <v>209</v>
      </c>
      <c r="H34" s="12" t="s">
        <v>172</v>
      </c>
      <c r="I34" s="36" t="str">
        <f t="shared" si="0"/>
        <v>{"ver":"1.7.0","type":"ability","effects":"[effect:damage_up, target:myself, val:1.3, turn:1, type01:all,option:killer]","conditions":"[condition:unit_attack_target,tribe:human]","priority":0}</v>
      </c>
      <c r="J34" s="35" t="s">
        <v>622</v>
      </c>
      <c r="K34" s="14">
        <v>3</v>
      </c>
    </row>
    <row r="35" spans="1:11" ht="21" customHeight="1" x14ac:dyDescent="0.15">
      <c r="A35" s="25">
        <v>308</v>
      </c>
      <c r="B35" s="2" t="s">
        <v>7</v>
      </c>
      <c r="C35" s="9" t="s">
        <v>72</v>
      </c>
      <c r="D35" s="9" t="s">
        <v>213</v>
      </c>
      <c r="E35" s="12" t="s">
        <v>171</v>
      </c>
      <c r="F35" s="35" t="s">
        <v>187</v>
      </c>
      <c r="G35" s="35" t="s">
        <v>209</v>
      </c>
      <c r="H35" s="12" t="s">
        <v>172</v>
      </c>
      <c r="I35" s="36" t="str">
        <f t="shared" si="0"/>
        <v>{"ver":"1.7.0","type":"ability","effects":"[effect:damage_up, target:myself, val:1.3, turn:1, type01:all,option:killer]","conditions":"[condition:unit_attack_target,tribe:animal]","priority":0}</v>
      </c>
      <c r="J35" s="35" t="s">
        <v>622</v>
      </c>
      <c r="K35" s="14">
        <v>3</v>
      </c>
    </row>
    <row r="36" spans="1:11" ht="21" customHeight="1" x14ac:dyDescent="0.15">
      <c r="A36" s="25">
        <v>309</v>
      </c>
      <c r="B36" s="2" t="s">
        <v>7</v>
      </c>
      <c r="C36" s="9" t="s">
        <v>72</v>
      </c>
      <c r="D36" s="9" t="s">
        <v>213</v>
      </c>
      <c r="E36" s="12" t="s">
        <v>171</v>
      </c>
      <c r="F36" s="35" t="s">
        <v>187</v>
      </c>
      <c r="G36" s="35" t="s">
        <v>209</v>
      </c>
      <c r="H36" s="12" t="s">
        <v>172</v>
      </c>
      <c r="I36" s="36" t="str">
        <f t="shared" si="0"/>
        <v>{"ver":"1.7.0","type":"ability","effects":"[effect:damage_up, target:myself, val:1.3, turn:1, type01:all,option:killer]","conditions":"[condition:unit_attack_target,tribe:animal]","priority":0}</v>
      </c>
      <c r="J36" s="35" t="s">
        <v>622</v>
      </c>
      <c r="K36" s="14">
        <v>3</v>
      </c>
    </row>
    <row r="37" spans="1:11" ht="21" customHeight="1" x14ac:dyDescent="0.15">
      <c r="A37" s="25">
        <v>310</v>
      </c>
      <c r="B37" s="2" t="s">
        <v>7</v>
      </c>
      <c r="C37" s="9" t="s">
        <v>72</v>
      </c>
      <c r="D37" s="9" t="s">
        <v>213</v>
      </c>
      <c r="E37" s="12" t="s">
        <v>171</v>
      </c>
      <c r="F37" s="35" t="s">
        <v>187</v>
      </c>
      <c r="G37" s="35" t="s">
        <v>209</v>
      </c>
      <c r="H37" s="12" t="s">
        <v>172</v>
      </c>
      <c r="I37" s="36" t="str">
        <f t="shared" si="0"/>
        <v>{"ver":"1.7.0","type":"ability","effects":"[effect:damage_up, target:myself, val:1.3, turn:1, type01:all,option:killer]","conditions":"[condition:unit_attack_target,tribe:animal]","priority":0}</v>
      </c>
      <c r="J37" s="35" t="s">
        <v>622</v>
      </c>
      <c r="K37" s="14">
        <v>3</v>
      </c>
    </row>
    <row r="38" spans="1:11" ht="21" customHeight="1" x14ac:dyDescent="0.15">
      <c r="A38" s="25">
        <v>311</v>
      </c>
      <c r="B38" s="2" t="s">
        <v>7</v>
      </c>
      <c r="C38" s="9" t="s">
        <v>72</v>
      </c>
      <c r="D38" s="9" t="s">
        <v>213</v>
      </c>
      <c r="E38" s="12" t="s">
        <v>171</v>
      </c>
      <c r="F38" s="35" t="s">
        <v>187</v>
      </c>
      <c r="G38" s="35" t="s">
        <v>209</v>
      </c>
      <c r="H38" s="12" t="s">
        <v>172</v>
      </c>
      <c r="I38" s="36" t="str">
        <f t="shared" si="0"/>
        <v>{"ver":"1.7.0","type":"ability","effects":"[effect:damage_up, target:myself, val:1.3, turn:1, type01:all,option:killer]","conditions":"[condition:unit_attack_target,tribe:animal]","priority":0}</v>
      </c>
      <c r="J38" s="35" t="s">
        <v>622</v>
      </c>
      <c r="K38" s="14">
        <v>3</v>
      </c>
    </row>
    <row r="39" spans="1:11" ht="21" customHeight="1" x14ac:dyDescent="0.15">
      <c r="A39" s="25">
        <v>312</v>
      </c>
      <c r="B39" s="2" t="s">
        <v>7</v>
      </c>
      <c r="C39" s="9" t="s">
        <v>73</v>
      </c>
      <c r="D39" s="9" t="s">
        <v>214</v>
      </c>
      <c r="E39" s="12" t="s">
        <v>171</v>
      </c>
      <c r="F39" s="35" t="s">
        <v>188</v>
      </c>
      <c r="G39" s="35" t="s">
        <v>209</v>
      </c>
      <c r="H39" s="12" t="s">
        <v>172</v>
      </c>
      <c r="I39" s="36" t="str">
        <f t="shared" si="0"/>
        <v>{"ver":"1.7.0","type":"ability","effects":"[effect:damage_up, target:myself, val:1.3, turn:1, type01:all,option:killer]","conditions":"[condition:unit_attack_target,tribe:dragon]","priority":0}</v>
      </c>
      <c r="J39" s="35" t="s">
        <v>622</v>
      </c>
      <c r="K39" s="14">
        <v>3</v>
      </c>
    </row>
    <row r="40" spans="1:11" ht="21" customHeight="1" x14ac:dyDescent="0.15">
      <c r="A40" s="25">
        <v>313</v>
      </c>
      <c r="B40" s="2" t="s">
        <v>7</v>
      </c>
      <c r="C40" s="9" t="s">
        <v>73</v>
      </c>
      <c r="D40" s="9" t="s">
        <v>214</v>
      </c>
      <c r="E40" s="12" t="s">
        <v>171</v>
      </c>
      <c r="F40" s="35" t="s">
        <v>188</v>
      </c>
      <c r="G40" s="35" t="s">
        <v>209</v>
      </c>
      <c r="H40" s="12" t="s">
        <v>172</v>
      </c>
      <c r="I40" s="36" t="str">
        <f t="shared" si="0"/>
        <v>{"ver":"1.7.0","type":"ability","effects":"[effect:damage_up, target:myself, val:1.3, turn:1, type01:all,option:killer]","conditions":"[condition:unit_attack_target,tribe:dragon]","priority":0}</v>
      </c>
      <c r="J40" s="35" t="s">
        <v>622</v>
      </c>
      <c r="K40" s="14">
        <v>3</v>
      </c>
    </row>
    <row r="41" spans="1:11" ht="21" customHeight="1" x14ac:dyDescent="0.15">
      <c r="A41" s="25">
        <v>314</v>
      </c>
      <c r="B41" s="2" t="s">
        <v>7</v>
      </c>
      <c r="C41" s="9" t="s">
        <v>73</v>
      </c>
      <c r="D41" s="9" t="s">
        <v>214</v>
      </c>
      <c r="E41" s="12" t="s">
        <v>171</v>
      </c>
      <c r="F41" s="35" t="s">
        <v>188</v>
      </c>
      <c r="G41" s="35" t="s">
        <v>209</v>
      </c>
      <c r="H41" s="12" t="s">
        <v>172</v>
      </c>
      <c r="I41" s="36" t="str">
        <f t="shared" si="0"/>
        <v>{"ver":"1.7.0","type":"ability","effects":"[effect:damage_up, target:myself, val:1.3, turn:1, type01:all,option:killer]","conditions":"[condition:unit_attack_target,tribe:dragon]","priority":0}</v>
      </c>
      <c r="J41" s="35" t="s">
        <v>622</v>
      </c>
      <c r="K41" s="14">
        <v>3</v>
      </c>
    </row>
    <row r="42" spans="1:11" ht="21" customHeight="1" x14ac:dyDescent="0.15">
      <c r="A42" s="25">
        <v>315</v>
      </c>
      <c r="B42" s="2" t="s">
        <v>7</v>
      </c>
      <c r="C42" s="9" t="s">
        <v>73</v>
      </c>
      <c r="D42" s="9" t="s">
        <v>214</v>
      </c>
      <c r="E42" s="12" t="s">
        <v>171</v>
      </c>
      <c r="F42" s="35" t="s">
        <v>188</v>
      </c>
      <c r="G42" s="35" t="s">
        <v>209</v>
      </c>
      <c r="H42" s="12" t="s">
        <v>172</v>
      </c>
      <c r="I42" s="36" t="str">
        <f t="shared" si="0"/>
        <v>{"ver":"1.7.0","type":"ability","effects":"[effect:damage_up, target:myself, val:1.3, turn:1, type01:all,option:killer]","conditions":"[condition:unit_attack_target,tribe:dragon]","priority":0}</v>
      </c>
      <c r="J42" s="35" t="s">
        <v>622</v>
      </c>
      <c r="K42" s="14">
        <v>3</v>
      </c>
    </row>
    <row r="43" spans="1:11" ht="21" customHeight="1" x14ac:dyDescent="0.15">
      <c r="A43" s="25">
        <v>316</v>
      </c>
      <c r="B43" s="2" t="s">
        <v>7</v>
      </c>
      <c r="C43" s="9" t="s">
        <v>74</v>
      </c>
      <c r="D43" s="9" t="s">
        <v>215</v>
      </c>
      <c r="E43" s="12" t="s">
        <v>171</v>
      </c>
      <c r="F43" s="35" t="s">
        <v>189</v>
      </c>
      <c r="G43" s="35" t="s">
        <v>209</v>
      </c>
      <c r="H43" s="12" t="s">
        <v>172</v>
      </c>
      <c r="I43" s="36" t="str">
        <f t="shared" si="0"/>
        <v>{"ver":"1.7.0","type":"ability","effects":"[effect:damage_up, target:myself, val:1.3, turn:1, type01:all,option:killer]","conditions":"[condition:unit_attack_target,tribe:unknown]","priority":0}</v>
      </c>
      <c r="J43" s="35" t="s">
        <v>622</v>
      </c>
      <c r="K43" s="14">
        <v>3</v>
      </c>
    </row>
    <row r="44" spans="1:11" ht="21" customHeight="1" x14ac:dyDescent="0.15">
      <c r="A44" s="25">
        <v>317</v>
      </c>
      <c r="B44" s="2" t="s">
        <v>7</v>
      </c>
      <c r="C44" s="9" t="s">
        <v>74</v>
      </c>
      <c r="D44" s="9" t="s">
        <v>215</v>
      </c>
      <c r="E44" s="12" t="s">
        <v>171</v>
      </c>
      <c r="F44" s="35" t="s">
        <v>189</v>
      </c>
      <c r="G44" s="35" t="s">
        <v>209</v>
      </c>
      <c r="H44" s="12" t="s">
        <v>172</v>
      </c>
      <c r="I44" s="36" t="str">
        <f t="shared" si="0"/>
        <v>{"ver":"1.7.0","type":"ability","effects":"[effect:damage_up, target:myself, val:1.3, turn:1, type01:all,option:killer]","conditions":"[condition:unit_attack_target,tribe:unknown]","priority":0}</v>
      </c>
      <c r="J44" s="35" t="s">
        <v>622</v>
      </c>
      <c r="K44" s="14">
        <v>3</v>
      </c>
    </row>
    <row r="45" spans="1:11" ht="21" customHeight="1" x14ac:dyDescent="0.15">
      <c r="A45" s="25">
        <v>318</v>
      </c>
      <c r="B45" s="2" t="s">
        <v>7</v>
      </c>
      <c r="C45" s="9" t="s">
        <v>75</v>
      </c>
      <c r="D45" s="9" t="s">
        <v>215</v>
      </c>
      <c r="E45" s="12" t="s">
        <v>171</v>
      </c>
      <c r="F45" s="35" t="s">
        <v>189</v>
      </c>
      <c r="G45" s="35" t="s">
        <v>209</v>
      </c>
      <c r="H45" s="12" t="s">
        <v>172</v>
      </c>
      <c r="I45" s="36" t="str">
        <f t="shared" si="0"/>
        <v>{"ver":"1.7.0","type":"ability","effects":"[effect:damage_up, target:myself, val:1.3, turn:1, type01:all,option:killer]","conditions":"[condition:unit_attack_target,tribe:unknown]","priority":0}</v>
      </c>
      <c r="J45" s="35" t="s">
        <v>622</v>
      </c>
      <c r="K45" s="14">
        <v>3</v>
      </c>
    </row>
    <row r="46" spans="1:11" ht="21" customHeight="1" x14ac:dyDescent="0.15">
      <c r="A46" s="25">
        <v>319</v>
      </c>
      <c r="B46" s="2" t="s">
        <v>7</v>
      </c>
      <c r="C46" s="9" t="s">
        <v>74</v>
      </c>
      <c r="D46" s="9" t="s">
        <v>215</v>
      </c>
      <c r="E46" s="12" t="s">
        <v>171</v>
      </c>
      <c r="F46" s="35" t="s">
        <v>189</v>
      </c>
      <c r="G46" s="35" t="s">
        <v>209</v>
      </c>
      <c r="H46" s="12" t="s">
        <v>172</v>
      </c>
      <c r="I46" s="36" t="str">
        <f t="shared" si="0"/>
        <v>{"ver":"1.7.0","type":"ability","effects":"[effect:damage_up, target:myself, val:1.3, turn:1, type01:all,option:killer]","conditions":"[condition:unit_attack_target,tribe:unknown]","priority":0}</v>
      </c>
      <c r="J46" s="35" t="s">
        <v>622</v>
      </c>
      <c r="K46" s="14">
        <v>3</v>
      </c>
    </row>
    <row r="47" spans="1:11" ht="21" customHeight="1" x14ac:dyDescent="0.15">
      <c r="A47" s="25">
        <v>320</v>
      </c>
      <c r="B47" s="2" t="s">
        <v>7</v>
      </c>
      <c r="C47" s="9" t="s">
        <v>76</v>
      </c>
      <c r="D47" s="9" t="s">
        <v>216</v>
      </c>
      <c r="E47" s="12" t="s">
        <v>171</v>
      </c>
      <c r="F47" s="35" t="s">
        <v>190</v>
      </c>
      <c r="G47" s="35" t="s">
        <v>209</v>
      </c>
      <c r="H47" s="12" t="s">
        <v>172</v>
      </c>
      <c r="I47" s="36" t="str">
        <f t="shared" si="0"/>
        <v>{"ver":"1.7.0","type":"ability","effects":"[effect:damage_up, target:myself, val:1.3, turn:1, type01:all,option:killer]","conditions":"[condition:unit_attack_target,tribe:samurai]","priority":0}</v>
      </c>
      <c r="J47" s="35" t="s">
        <v>622</v>
      </c>
      <c r="K47" s="14">
        <v>3</v>
      </c>
    </row>
    <row r="48" spans="1:11" ht="21" customHeight="1" x14ac:dyDescent="0.15">
      <c r="A48" s="25">
        <v>321</v>
      </c>
      <c r="B48" s="2" t="s">
        <v>7</v>
      </c>
      <c r="C48" s="9" t="s">
        <v>76</v>
      </c>
      <c r="D48" s="9" t="s">
        <v>216</v>
      </c>
      <c r="E48" s="12" t="s">
        <v>171</v>
      </c>
      <c r="F48" s="35" t="s">
        <v>190</v>
      </c>
      <c r="G48" s="35" t="s">
        <v>209</v>
      </c>
      <c r="H48" s="12" t="s">
        <v>172</v>
      </c>
      <c r="I48" s="36" t="str">
        <f t="shared" si="0"/>
        <v>{"ver":"1.7.0","type":"ability","effects":"[effect:damage_up, target:myself, val:1.3, turn:1, type01:all,option:killer]","conditions":"[condition:unit_attack_target,tribe:samurai]","priority":0}</v>
      </c>
      <c r="J48" s="35" t="s">
        <v>622</v>
      </c>
      <c r="K48" s="14">
        <v>3</v>
      </c>
    </row>
    <row r="49" spans="1:11" ht="21" customHeight="1" x14ac:dyDescent="0.15">
      <c r="A49" s="25">
        <v>322</v>
      </c>
      <c r="B49" s="2" t="s">
        <v>7</v>
      </c>
      <c r="C49" s="9" t="s">
        <v>76</v>
      </c>
      <c r="D49" s="9" t="s">
        <v>216</v>
      </c>
      <c r="E49" s="12" t="s">
        <v>171</v>
      </c>
      <c r="F49" s="35" t="s">
        <v>190</v>
      </c>
      <c r="G49" s="35" t="s">
        <v>209</v>
      </c>
      <c r="H49" s="12" t="s">
        <v>172</v>
      </c>
      <c r="I49" s="36" t="str">
        <f t="shared" si="0"/>
        <v>{"ver":"1.7.0","type":"ability","effects":"[effect:damage_up, target:myself, val:1.3, turn:1, type01:all,option:killer]","conditions":"[condition:unit_attack_target,tribe:samurai]","priority":0}</v>
      </c>
      <c r="J49" s="35" t="s">
        <v>622</v>
      </c>
      <c r="K49" s="14">
        <v>3</v>
      </c>
    </row>
    <row r="50" spans="1:11" ht="21" customHeight="1" x14ac:dyDescent="0.15">
      <c r="A50" s="25">
        <v>323</v>
      </c>
      <c r="B50" s="2" t="s">
        <v>7</v>
      </c>
      <c r="C50" s="9" t="s">
        <v>76</v>
      </c>
      <c r="D50" s="9" t="s">
        <v>216</v>
      </c>
      <c r="E50" s="12" t="s">
        <v>171</v>
      </c>
      <c r="F50" s="35" t="s">
        <v>190</v>
      </c>
      <c r="G50" s="35" t="s">
        <v>209</v>
      </c>
      <c r="H50" s="12" t="s">
        <v>172</v>
      </c>
      <c r="I50" s="36" t="str">
        <f t="shared" si="0"/>
        <v>{"ver":"1.7.0","type":"ability","effects":"[effect:damage_up, target:myself, val:1.3, turn:1, type01:all,option:killer]","conditions":"[condition:unit_attack_target,tribe:samurai]","priority":0}</v>
      </c>
      <c r="J50" s="35" t="s">
        <v>622</v>
      </c>
      <c r="K50" s="14">
        <v>3</v>
      </c>
    </row>
    <row r="51" spans="1:11" ht="21" customHeight="1" x14ac:dyDescent="0.15">
      <c r="A51" s="25">
        <v>324</v>
      </c>
      <c r="B51" s="2" t="s">
        <v>7</v>
      </c>
      <c r="C51" s="9" t="s">
        <v>80</v>
      </c>
      <c r="D51" s="9" t="s">
        <v>217</v>
      </c>
      <c r="E51" s="12" t="s">
        <v>171</v>
      </c>
      <c r="F51" s="35" t="s">
        <v>191</v>
      </c>
      <c r="G51" s="35" t="s">
        <v>209</v>
      </c>
      <c r="H51" s="12" t="s">
        <v>172</v>
      </c>
      <c r="I51" s="36" t="str">
        <f t="shared" si="0"/>
        <v>{"ver":"1.7.0","type":"ability","effects":"[effect:damage_up, target:myself, val:1.3, turn:1, type01:all,option:killer]","conditions":"[condition:unit_attack_target,tribe:weapon]","priority":0}</v>
      </c>
      <c r="J51" s="35" t="s">
        <v>622</v>
      </c>
      <c r="K51" s="14">
        <v>3</v>
      </c>
    </row>
    <row r="52" spans="1:11" ht="21" customHeight="1" x14ac:dyDescent="0.15">
      <c r="A52" s="25">
        <v>325</v>
      </c>
      <c r="B52" s="2" t="s">
        <v>7</v>
      </c>
      <c r="C52" s="9" t="s">
        <v>80</v>
      </c>
      <c r="D52" s="9" t="s">
        <v>217</v>
      </c>
      <c r="E52" s="12" t="s">
        <v>171</v>
      </c>
      <c r="F52" s="35" t="s">
        <v>191</v>
      </c>
      <c r="G52" s="35" t="s">
        <v>209</v>
      </c>
      <c r="H52" s="12" t="s">
        <v>172</v>
      </c>
      <c r="I52" s="36" t="str">
        <f t="shared" si="0"/>
        <v>{"ver":"1.7.0","type":"ability","effects":"[effect:damage_up, target:myself, val:1.3, turn:1, type01:all,option:killer]","conditions":"[condition:unit_attack_target,tribe:weapon]","priority":0}</v>
      </c>
      <c r="J52" s="35" t="s">
        <v>622</v>
      </c>
      <c r="K52" s="14">
        <v>3</v>
      </c>
    </row>
    <row r="53" spans="1:11" ht="21" customHeight="1" x14ac:dyDescent="0.15">
      <c r="A53" s="25">
        <v>326</v>
      </c>
      <c r="B53" s="2" t="s">
        <v>7</v>
      </c>
      <c r="C53" s="9" t="s">
        <v>80</v>
      </c>
      <c r="D53" s="9" t="s">
        <v>217</v>
      </c>
      <c r="E53" s="12" t="s">
        <v>171</v>
      </c>
      <c r="F53" s="35" t="s">
        <v>191</v>
      </c>
      <c r="G53" s="35" t="s">
        <v>209</v>
      </c>
      <c r="H53" s="12" t="s">
        <v>172</v>
      </c>
      <c r="I53" s="36" t="str">
        <f t="shared" si="0"/>
        <v>{"ver":"1.7.0","type":"ability","effects":"[effect:damage_up, target:myself, val:1.3, turn:1, type01:all,option:killer]","conditions":"[condition:unit_attack_target,tribe:weapon]","priority":0}</v>
      </c>
      <c r="J53" s="35" t="s">
        <v>622</v>
      </c>
      <c r="K53" s="14">
        <v>3</v>
      </c>
    </row>
    <row r="54" spans="1:11" ht="21" customHeight="1" x14ac:dyDescent="0.15">
      <c r="A54" s="25">
        <v>327</v>
      </c>
      <c r="B54" s="2" t="s">
        <v>7</v>
      </c>
      <c r="C54" s="9" t="s">
        <v>80</v>
      </c>
      <c r="D54" s="9" t="s">
        <v>217</v>
      </c>
      <c r="E54" s="12" t="s">
        <v>171</v>
      </c>
      <c r="F54" s="35" t="s">
        <v>191</v>
      </c>
      <c r="G54" s="35" t="s">
        <v>209</v>
      </c>
      <c r="H54" s="12" t="s">
        <v>172</v>
      </c>
      <c r="I54" s="36" t="str">
        <f t="shared" si="0"/>
        <v>{"ver":"1.7.0","type":"ability","effects":"[effect:damage_up, target:myself, val:1.3, turn:1, type01:all,option:killer]","conditions":"[condition:unit_attack_target,tribe:weapon]","priority":0}</v>
      </c>
      <c r="J54" s="35" t="s">
        <v>622</v>
      </c>
      <c r="K54" s="14">
        <v>3</v>
      </c>
    </row>
    <row r="55" spans="1:11" ht="21" customHeight="1" x14ac:dyDescent="0.15">
      <c r="A55" s="25">
        <v>328</v>
      </c>
      <c r="B55" s="2" t="s">
        <v>7</v>
      </c>
      <c r="C55" s="9" t="s">
        <v>81</v>
      </c>
      <c r="D55" s="9" t="s">
        <v>218</v>
      </c>
      <c r="E55" s="12" t="s">
        <v>171</v>
      </c>
      <c r="F55" s="35" t="s">
        <v>192</v>
      </c>
      <c r="G55" s="35" t="s">
        <v>209</v>
      </c>
      <c r="H55" s="12" t="s">
        <v>172</v>
      </c>
      <c r="I55" s="36" t="str">
        <f t="shared" si="0"/>
        <v>{"ver":"1.7.0","type":"ability","effects":"[effect:damage_up, target:myself, val:1.3, turn:1, type01:all,option:killer]","conditions":"[condition:unit_attack_target,tribe:academia]","priority":0}</v>
      </c>
      <c r="J55" s="35" t="s">
        <v>622</v>
      </c>
      <c r="K55" s="14">
        <v>3</v>
      </c>
    </row>
    <row r="56" spans="1:11" ht="21" customHeight="1" x14ac:dyDescent="0.15">
      <c r="A56" s="25">
        <v>329</v>
      </c>
      <c r="B56" s="2" t="s">
        <v>7</v>
      </c>
      <c r="C56" s="9" t="s">
        <v>81</v>
      </c>
      <c r="D56" s="9" t="s">
        <v>218</v>
      </c>
      <c r="E56" s="12" t="s">
        <v>171</v>
      </c>
      <c r="F56" s="35" t="s">
        <v>192</v>
      </c>
      <c r="G56" s="35" t="s">
        <v>209</v>
      </c>
      <c r="H56" s="12" t="s">
        <v>172</v>
      </c>
      <c r="I56" s="36" t="str">
        <f t="shared" si="0"/>
        <v>{"ver":"1.7.0","type":"ability","effects":"[effect:damage_up, target:myself, val:1.3, turn:1, type01:all,option:killer]","conditions":"[condition:unit_attack_target,tribe:academia]","priority":0}</v>
      </c>
      <c r="J56" s="35" t="s">
        <v>622</v>
      </c>
      <c r="K56" s="14">
        <v>3</v>
      </c>
    </row>
    <row r="57" spans="1:11" ht="21" customHeight="1" x14ac:dyDescent="0.15">
      <c r="A57" s="25">
        <v>330</v>
      </c>
      <c r="B57" s="2" t="s">
        <v>7</v>
      </c>
      <c r="C57" s="9" t="s">
        <v>81</v>
      </c>
      <c r="D57" s="9" t="s">
        <v>218</v>
      </c>
      <c r="E57" s="12" t="s">
        <v>171</v>
      </c>
      <c r="F57" s="35" t="s">
        <v>192</v>
      </c>
      <c r="G57" s="35" t="s">
        <v>209</v>
      </c>
      <c r="H57" s="12" t="s">
        <v>172</v>
      </c>
      <c r="I57" s="36" t="str">
        <f t="shared" si="0"/>
        <v>{"ver":"1.7.0","type":"ability","effects":"[effect:damage_up, target:myself, val:1.3, turn:1, type01:all,option:killer]","conditions":"[condition:unit_attack_target,tribe:academia]","priority":0}</v>
      </c>
      <c r="J57" s="35" t="s">
        <v>622</v>
      </c>
      <c r="K57" s="14">
        <v>3</v>
      </c>
    </row>
    <row r="58" spans="1:11" ht="21" customHeight="1" x14ac:dyDescent="0.15">
      <c r="A58" s="25">
        <v>331</v>
      </c>
      <c r="B58" s="2" t="s">
        <v>7</v>
      </c>
      <c r="C58" s="9" t="s">
        <v>81</v>
      </c>
      <c r="D58" s="9" t="s">
        <v>218</v>
      </c>
      <c r="E58" s="12" t="s">
        <v>171</v>
      </c>
      <c r="F58" s="35" t="s">
        <v>192</v>
      </c>
      <c r="G58" s="35" t="s">
        <v>209</v>
      </c>
      <c r="H58" s="12" t="s">
        <v>172</v>
      </c>
      <c r="I58" s="36" t="str">
        <f t="shared" si="0"/>
        <v>{"ver":"1.7.0","type":"ability","effects":"[effect:damage_up, target:myself, val:1.3, turn:1, type01:all,option:killer]","conditions":"[condition:unit_attack_target,tribe:academia]","priority":0}</v>
      </c>
      <c r="J58" s="35" t="s">
        <v>622</v>
      </c>
      <c r="K58" s="14">
        <v>3</v>
      </c>
    </row>
    <row r="59" spans="1:11" ht="21" customHeight="1" x14ac:dyDescent="0.15">
      <c r="A59" s="25">
        <v>332</v>
      </c>
      <c r="B59" s="2" t="s">
        <v>7</v>
      </c>
      <c r="C59" s="9" t="s">
        <v>82</v>
      </c>
      <c r="D59" s="9" t="s">
        <v>219</v>
      </c>
      <c r="E59" s="12" t="s">
        <v>171</v>
      </c>
      <c r="F59" s="35" t="s">
        <v>193</v>
      </c>
      <c r="G59" s="35" t="s">
        <v>209</v>
      </c>
      <c r="H59" s="12" t="s">
        <v>172</v>
      </c>
      <c r="I59" s="36" t="str">
        <f t="shared" si="0"/>
        <v>{"ver":"1.7.0","type":"ability","effects":"[effect:damage_up, target:myself, val:1.3, turn:1, type01:all,option:killer]","conditions":"[condition:unit_attack_target,tribe:ti]","priority":0}</v>
      </c>
      <c r="J59" s="35" t="s">
        <v>622</v>
      </c>
      <c r="K59" s="14">
        <v>3</v>
      </c>
    </row>
    <row r="60" spans="1:11" ht="21" customHeight="1" x14ac:dyDescent="0.15">
      <c r="A60" s="25">
        <v>333</v>
      </c>
      <c r="B60" s="2" t="s">
        <v>7</v>
      </c>
      <c r="C60" s="9" t="s">
        <v>82</v>
      </c>
      <c r="D60" s="9" t="s">
        <v>219</v>
      </c>
      <c r="E60" s="12" t="s">
        <v>171</v>
      </c>
      <c r="F60" s="35" t="s">
        <v>193</v>
      </c>
      <c r="G60" s="35" t="s">
        <v>209</v>
      </c>
      <c r="H60" s="12" t="s">
        <v>172</v>
      </c>
      <c r="I60" s="36" t="str">
        <f t="shared" si="0"/>
        <v>{"ver":"1.7.0","type":"ability","effects":"[effect:damage_up, target:myself, val:1.3, turn:1, type01:all,option:killer]","conditions":"[condition:unit_attack_target,tribe:ti]","priority":0}</v>
      </c>
      <c r="J60" s="35" t="s">
        <v>622</v>
      </c>
      <c r="K60" s="14">
        <v>3</v>
      </c>
    </row>
    <row r="61" spans="1:11" ht="21" customHeight="1" x14ac:dyDescent="0.15">
      <c r="A61" s="25">
        <v>334</v>
      </c>
      <c r="B61" s="2" t="s">
        <v>7</v>
      </c>
      <c r="C61" s="9" t="s">
        <v>82</v>
      </c>
      <c r="D61" s="9" t="s">
        <v>219</v>
      </c>
      <c r="E61" s="12" t="s">
        <v>171</v>
      </c>
      <c r="F61" s="35" t="s">
        <v>193</v>
      </c>
      <c r="G61" s="35" t="s">
        <v>209</v>
      </c>
      <c r="H61" s="12" t="s">
        <v>172</v>
      </c>
      <c r="I61" s="36" t="str">
        <f t="shared" si="0"/>
        <v>{"ver":"1.7.0","type":"ability","effects":"[effect:damage_up, target:myself, val:1.3, turn:1, type01:all,option:killer]","conditions":"[condition:unit_attack_target,tribe:ti]","priority":0}</v>
      </c>
      <c r="J61" s="35" t="s">
        <v>622</v>
      </c>
      <c r="K61" s="14">
        <v>3</v>
      </c>
    </row>
    <row r="62" spans="1:11" ht="21" customHeight="1" x14ac:dyDescent="0.15">
      <c r="A62" s="25">
        <v>335</v>
      </c>
      <c r="B62" s="2" t="s">
        <v>7</v>
      </c>
      <c r="C62" s="9" t="s">
        <v>82</v>
      </c>
      <c r="D62" s="9" t="s">
        <v>221</v>
      </c>
      <c r="E62" s="12" t="s">
        <v>171</v>
      </c>
      <c r="F62" s="35" t="s">
        <v>193</v>
      </c>
      <c r="G62" s="35" t="s">
        <v>209</v>
      </c>
      <c r="H62" s="12" t="s">
        <v>172</v>
      </c>
      <c r="I62" s="36" t="str">
        <f t="shared" si="0"/>
        <v>{"ver":"1.7.0","type":"ability","effects":"[effect:damage_up, target:myself, val:1.3, turn:1, type01:all,option:killer]","conditions":"[condition:unit_attack_target,tribe:ti]","priority":0}</v>
      </c>
      <c r="J62" s="35" t="s">
        <v>622</v>
      </c>
      <c r="K62" s="14">
        <v>3</v>
      </c>
    </row>
    <row r="63" spans="1:11" ht="21" customHeight="1" x14ac:dyDescent="0.15">
      <c r="A63" s="25">
        <v>336</v>
      </c>
      <c r="B63" s="2" t="s">
        <v>7</v>
      </c>
      <c r="C63" s="9" t="s">
        <v>196</v>
      </c>
      <c r="D63" s="9" t="s">
        <v>220</v>
      </c>
      <c r="E63" s="12" t="s">
        <v>194</v>
      </c>
      <c r="F63" s="35" t="s">
        <v>197</v>
      </c>
      <c r="G63" s="35" t="s">
        <v>209</v>
      </c>
      <c r="H63" s="12" t="s">
        <v>195</v>
      </c>
      <c r="I63" s="36" t="str">
        <f t="shared" si="0"/>
        <v>{"ver":"1.7.0","type":"ability","effects":"[effect:damage_up, target:myself, val:1.3, turn:1, type01:all,option:killer]","conditions":"[condition:unit_attack_target,tribe:machine]","priority":0}</v>
      </c>
      <c r="J63" s="35" t="s">
        <v>622</v>
      </c>
      <c r="K63" s="14">
        <v>3</v>
      </c>
    </row>
    <row r="64" spans="1:11" ht="21" customHeight="1" x14ac:dyDescent="0.15">
      <c r="A64" s="25">
        <v>337</v>
      </c>
      <c r="B64" s="2" t="s">
        <v>7</v>
      </c>
      <c r="C64" s="9" t="s">
        <v>196</v>
      </c>
      <c r="D64" s="9" t="s">
        <v>220</v>
      </c>
      <c r="E64" s="12" t="s">
        <v>194</v>
      </c>
      <c r="F64" s="35" t="s">
        <v>197</v>
      </c>
      <c r="G64" s="35" t="s">
        <v>209</v>
      </c>
      <c r="H64" s="12" t="s">
        <v>195</v>
      </c>
      <c r="I64" s="36" t="str">
        <f t="shared" si="0"/>
        <v>{"ver":"1.7.0","type":"ability","effects":"[effect:damage_up, target:myself, val:1.3, turn:1, type01:all,option:killer]","conditions":"[condition:unit_attack_target,tribe:machine]","priority":0}</v>
      </c>
      <c r="J64" s="35" t="s">
        <v>622</v>
      </c>
      <c r="K64" s="14">
        <v>3</v>
      </c>
    </row>
    <row r="65" spans="1:11" ht="21" customHeight="1" x14ac:dyDescent="0.15">
      <c r="A65" s="25">
        <v>338</v>
      </c>
      <c r="B65" s="2" t="s">
        <v>7</v>
      </c>
      <c r="C65" s="9" t="s">
        <v>196</v>
      </c>
      <c r="D65" s="9" t="s">
        <v>220</v>
      </c>
      <c r="E65" s="12" t="s">
        <v>194</v>
      </c>
      <c r="F65" s="35" t="s">
        <v>197</v>
      </c>
      <c r="G65" s="35" t="s">
        <v>209</v>
      </c>
      <c r="H65" s="12" t="s">
        <v>195</v>
      </c>
      <c r="I65" s="36" t="str">
        <f t="shared" si="0"/>
        <v>{"ver":"1.7.0","type":"ability","effects":"[effect:damage_up, target:myself, val:1.3, turn:1, type01:all,option:killer]","conditions":"[condition:unit_attack_target,tribe:machine]","priority":0}</v>
      </c>
      <c r="J65" s="35" t="s">
        <v>622</v>
      </c>
      <c r="K65" s="14">
        <v>3</v>
      </c>
    </row>
    <row r="66" spans="1:11" ht="21" customHeight="1" x14ac:dyDescent="0.15">
      <c r="A66" s="25">
        <v>339</v>
      </c>
      <c r="B66" s="2" t="s">
        <v>7</v>
      </c>
      <c r="C66" s="9" t="s">
        <v>196</v>
      </c>
      <c r="D66" s="9" t="s">
        <v>220</v>
      </c>
      <c r="E66" s="12" t="s">
        <v>194</v>
      </c>
      <c r="F66" s="35" t="s">
        <v>197</v>
      </c>
      <c r="G66" s="35" t="s">
        <v>209</v>
      </c>
      <c r="H66" s="12" t="s">
        <v>195</v>
      </c>
      <c r="I66" s="36" t="str">
        <f t="shared" ref="I66:I134" si="1">"{"&amp;""""&amp;$E$1&amp;""""&amp;":"&amp;""""&amp;E66&amp;""""&amp;","&amp;""""&amp;"type"&amp;""""&amp;":"&amp;""""&amp;"ability"&amp;""""&amp;","&amp;""""&amp;$G$1&amp;""""&amp;":"&amp;""""&amp;G66&amp;""""&amp;","&amp;""""&amp;$F$1&amp;""""&amp;":"&amp;""""&amp;F66&amp;""""&amp;","&amp;""""&amp;$H$1&amp;""""&amp;":"&amp;H66&amp;"}"</f>
        <v>{"ver":"1.7.0","type":"ability","effects":"[effect:damage_up, target:myself, val:1.3, turn:1, type01:all,option:killer]","conditions":"[condition:unit_attack_target,tribe:machine]","priority":0}</v>
      </c>
      <c r="J66" s="35" t="s">
        <v>622</v>
      </c>
      <c r="K66" s="14">
        <v>3</v>
      </c>
    </row>
    <row r="67" spans="1:11" ht="21" customHeight="1" x14ac:dyDescent="0.15">
      <c r="A67" s="25">
        <v>340</v>
      </c>
      <c r="B67" s="2" t="s">
        <v>7</v>
      </c>
      <c r="C67" s="9" t="s">
        <v>501</v>
      </c>
      <c r="D67" s="9" t="s">
        <v>502</v>
      </c>
      <c r="E67" s="12" t="s">
        <v>171</v>
      </c>
      <c r="F67" s="35" t="s">
        <v>603</v>
      </c>
      <c r="G67" s="35" t="s">
        <v>223</v>
      </c>
      <c r="H67" s="12" t="s">
        <v>172</v>
      </c>
      <c r="I67" s="36" t="str">
        <f t="shared" si="1"/>
        <v>{"ver":"1.7.0","type":"ability","effects":"[effect:damage_up, target:myself, val:1.3, turn:1, type01:all,option:killer]","conditions":"[condition:enclose,[condition:unit_attack_target,tribe:dragon],[condition:unit_attack_target,tribe:animal],logic:or]","priority":0}</v>
      </c>
      <c r="J67" s="35" t="s">
        <v>622</v>
      </c>
      <c r="K67" s="14">
        <v>3</v>
      </c>
    </row>
    <row r="68" spans="1:11" ht="21" customHeight="1" x14ac:dyDescent="0.15">
      <c r="A68" s="25">
        <v>341</v>
      </c>
      <c r="B68" s="2" t="s">
        <v>7</v>
      </c>
      <c r="C68" s="9" t="s">
        <v>931</v>
      </c>
      <c r="D68" s="9" t="s">
        <v>932</v>
      </c>
      <c r="E68" s="12" t="s">
        <v>171</v>
      </c>
      <c r="F68" s="35" t="s">
        <v>933</v>
      </c>
      <c r="G68" s="35" t="s">
        <v>223</v>
      </c>
      <c r="H68" s="12" t="s">
        <v>172</v>
      </c>
      <c r="I68" s="36" t="str">
        <f t="shared" ref="I68:I69" si="2">"{"&amp;""""&amp;$E$1&amp;""""&amp;":"&amp;""""&amp;E68&amp;""""&amp;","&amp;""""&amp;"type"&amp;""""&amp;":"&amp;""""&amp;"ability"&amp;""""&amp;","&amp;""""&amp;$G$1&amp;""""&amp;":"&amp;""""&amp;G68&amp;""""&amp;","&amp;""""&amp;$F$1&amp;""""&amp;":"&amp;""""&amp;F68&amp;""""&amp;","&amp;""""&amp;$H$1&amp;""""&amp;":"&amp;H68&amp;"}"</f>
        <v>{"ver":"1.7.0","type":"ability","effects":"[effect:damage_up, target:myself, val:1.3, turn:1, type01:all,option:killer]","conditions":"[condition:enclose,[condition:unit_attack_target,tribe:animal],[condition:unit_attack_target,tribe:human],logic:or]","priority":0}</v>
      </c>
      <c r="J68" s="35" t="s">
        <v>622</v>
      </c>
      <c r="K68" s="14">
        <v>3</v>
      </c>
    </row>
    <row r="69" spans="1:11" ht="21" customHeight="1" x14ac:dyDescent="0.15">
      <c r="A69" s="25">
        <v>342</v>
      </c>
      <c r="B69" s="2" t="s">
        <v>7</v>
      </c>
      <c r="C69" s="9" t="s">
        <v>1137</v>
      </c>
      <c r="D69" s="9" t="s">
        <v>1139</v>
      </c>
      <c r="E69" s="12" t="s">
        <v>194</v>
      </c>
      <c r="F69" s="12" t="s">
        <v>996</v>
      </c>
      <c r="G69" s="38" t="s">
        <v>1138</v>
      </c>
      <c r="H69" s="12" t="s">
        <v>195</v>
      </c>
      <c r="I69" s="36" t="str">
        <f t="shared" si="2"/>
        <v>{"ver":"1.7.0","type":"ability","effects":"[effect:damage_up, target:myself, val:1.3, turn:1, type01:all, option:killer]","conditions":"[condition:enclose,[condition:quest_id,quest:60030],[condition:unit_attack_target],logic:and]","priority":0}</v>
      </c>
      <c r="J69" s="35" t="s">
        <v>622</v>
      </c>
      <c r="K69" s="14">
        <v>3</v>
      </c>
    </row>
    <row r="70" spans="1:11" ht="21" customHeight="1" x14ac:dyDescent="0.15">
      <c r="A70" s="26">
        <v>400</v>
      </c>
      <c r="B70" s="27" t="s">
        <v>38</v>
      </c>
      <c r="C70" s="12" t="s">
        <v>39</v>
      </c>
      <c r="D70" s="9" t="s">
        <v>40</v>
      </c>
      <c r="E70" s="12" t="s">
        <v>171</v>
      </c>
      <c r="F70" s="37" t="s">
        <v>185</v>
      </c>
      <c r="G70" s="35" t="s">
        <v>209</v>
      </c>
      <c r="H70" s="12" t="s">
        <v>172</v>
      </c>
      <c r="I70" s="36" t="str">
        <f t="shared" si="1"/>
        <v>{"ver":"1.7.0","type":"ability","effects":"[effect:damage_up, target:myself, val:1.3, turn:1, type01:all,option:killer]","conditions":"[condition:unit_attack_target,tribe:human]","priority":0}</v>
      </c>
      <c r="J70" s="35" t="s">
        <v>622</v>
      </c>
      <c r="K70" s="14">
        <v>3</v>
      </c>
    </row>
    <row r="71" spans="1:11" ht="21" customHeight="1" x14ac:dyDescent="0.15">
      <c r="A71" s="26">
        <v>401</v>
      </c>
      <c r="B71" s="27" t="s">
        <v>7</v>
      </c>
      <c r="C71" s="12" t="s">
        <v>39</v>
      </c>
      <c r="D71" s="9" t="s">
        <v>40</v>
      </c>
      <c r="E71" s="12" t="s">
        <v>171</v>
      </c>
      <c r="F71" s="37" t="s">
        <v>185</v>
      </c>
      <c r="G71" s="35" t="s">
        <v>209</v>
      </c>
      <c r="H71" s="12" t="s">
        <v>172</v>
      </c>
      <c r="I71" s="36" t="str">
        <f t="shared" si="1"/>
        <v>{"ver":"1.7.0","type":"ability","effects":"[effect:damage_up, target:myself, val:1.3, turn:1, type01:all,option:killer]","conditions":"[condition:unit_attack_target,tribe:human]","priority":0}</v>
      </c>
      <c r="J71" s="35" t="s">
        <v>622</v>
      </c>
      <c r="K71" s="14">
        <v>3</v>
      </c>
    </row>
    <row r="72" spans="1:11" ht="21" customHeight="1" x14ac:dyDescent="0.15">
      <c r="A72" s="26">
        <v>402</v>
      </c>
      <c r="B72" s="27" t="s">
        <v>7</v>
      </c>
      <c r="C72" s="12" t="s">
        <v>39</v>
      </c>
      <c r="D72" s="9" t="s">
        <v>40</v>
      </c>
      <c r="E72" s="12" t="s">
        <v>171</v>
      </c>
      <c r="F72" s="37" t="s">
        <v>185</v>
      </c>
      <c r="G72" s="35" t="s">
        <v>209</v>
      </c>
      <c r="H72" s="12" t="s">
        <v>172</v>
      </c>
      <c r="I72" s="36" t="str">
        <f t="shared" si="1"/>
        <v>{"ver":"1.7.0","type":"ability","effects":"[effect:damage_up, target:myself, val:1.3, turn:1, type01:all,option:killer]","conditions":"[condition:unit_attack_target,tribe:human]","priority":0}</v>
      </c>
      <c r="J72" s="35" t="s">
        <v>622</v>
      </c>
      <c r="K72" s="14">
        <v>3</v>
      </c>
    </row>
    <row r="73" spans="1:11" ht="21" customHeight="1" x14ac:dyDescent="0.15">
      <c r="A73" s="26">
        <v>403</v>
      </c>
      <c r="B73" s="27" t="s">
        <v>7</v>
      </c>
      <c r="C73" s="12" t="s">
        <v>39</v>
      </c>
      <c r="D73" s="9" t="s">
        <v>40</v>
      </c>
      <c r="E73" s="12" t="s">
        <v>171</v>
      </c>
      <c r="F73" s="37" t="s">
        <v>185</v>
      </c>
      <c r="G73" s="35" t="s">
        <v>209</v>
      </c>
      <c r="H73" s="12" t="s">
        <v>172</v>
      </c>
      <c r="I73" s="36" t="str">
        <f t="shared" si="1"/>
        <v>{"ver":"1.7.0","type":"ability","effects":"[effect:damage_up, target:myself, val:1.3, turn:1, type01:all,option:killer]","conditions":"[condition:unit_attack_target,tribe:human]","priority":0}</v>
      </c>
      <c r="J73" s="35" t="s">
        <v>622</v>
      </c>
      <c r="K73" s="14">
        <v>3</v>
      </c>
    </row>
    <row r="74" spans="1:11" ht="21" customHeight="1" x14ac:dyDescent="0.15">
      <c r="A74" s="26">
        <v>404</v>
      </c>
      <c r="B74" s="27" t="s">
        <v>7</v>
      </c>
      <c r="C74" s="12" t="s">
        <v>43</v>
      </c>
      <c r="D74" s="9" t="s">
        <v>40</v>
      </c>
      <c r="E74" s="12" t="s">
        <v>171</v>
      </c>
      <c r="F74" s="37" t="s">
        <v>185</v>
      </c>
      <c r="G74" s="35" t="s">
        <v>209</v>
      </c>
      <c r="H74" s="12" t="s">
        <v>172</v>
      </c>
      <c r="I74" s="36" t="str">
        <f t="shared" si="1"/>
        <v>{"ver":"1.7.0","type":"ability","effects":"[effect:damage_up, target:myself, val:1.3, turn:1, type01:all,option:killer]","conditions":"[condition:unit_attack_target,tribe:human]","priority":0}</v>
      </c>
      <c r="J74" s="35" t="s">
        <v>622</v>
      </c>
      <c r="K74" s="14">
        <v>3</v>
      </c>
    </row>
    <row r="75" spans="1:11" ht="21" customHeight="1" x14ac:dyDescent="0.15">
      <c r="A75" s="26">
        <v>405</v>
      </c>
      <c r="B75" s="27" t="s">
        <v>7</v>
      </c>
      <c r="C75" s="12" t="s">
        <v>43</v>
      </c>
      <c r="D75" s="9" t="s">
        <v>40</v>
      </c>
      <c r="E75" s="12" t="s">
        <v>171</v>
      </c>
      <c r="F75" s="37" t="s">
        <v>185</v>
      </c>
      <c r="G75" s="35" t="s">
        <v>209</v>
      </c>
      <c r="H75" s="12" t="s">
        <v>172</v>
      </c>
      <c r="I75" s="36" t="str">
        <f t="shared" si="1"/>
        <v>{"ver":"1.7.0","type":"ability","effects":"[effect:damage_up, target:myself, val:1.3, turn:1, type01:all,option:killer]","conditions":"[condition:unit_attack_target,tribe:human]","priority":0}</v>
      </c>
      <c r="J75" s="35" t="s">
        <v>622</v>
      </c>
      <c r="K75" s="14">
        <v>3</v>
      </c>
    </row>
    <row r="76" spans="1:11" ht="21" customHeight="1" x14ac:dyDescent="0.15">
      <c r="A76" s="26">
        <v>406</v>
      </c>
      <c r="B76" s="27" t="s">
        <v>7</v>
      </c>
      <c r="C76" s="12" t="s">
        <v>43</v>
      </c>
      <c r="D76" s="9" t="s">
        <v>40</v>
      </c>
      <c r="E76" s="12" t="s">
        <v>171</v>
      </c>
      <c r="F76" s="37" t="s">
        <v>185</v>
      </c>
      <c r="G76" s="35" t="s">
        <v>209</v>
      </c>
      <c r="H76" s="12" t="s">
        <v>172</v>
      </c>
      <c r="I76" s="36" t="str">
        <f t="shared" si="1"/>
        <v>{"ver":"1.7.0","type":"ability","effects":"[effect:damage_up, target:myself, val:1.3, turn:1, type01:all,option:killer]","conditions":"[condition:unit_attack_target,tribe:human]","priority":0}</v>
      </c>
      <c r="J76" s="35" t="s">
        <v>622</v>
      </c>
      <c r="K76" s="14">
        <v>3</v>
      </c>
    </row>
    <row r="77" spans="1:11" ht="21" customHeight="1" x14ac:dyDescent="0.15">
      <c r="A77" s="26">
        <v>407</v>
      </c>
      <c r="B77" s="27" t="s">
        <v>7</v>
      </c>
      <c r="C77" s="12" t="s">
        <v>43</v>
      </c>
      <c r="D77" s="9" t="s">
        <v>40</v>
      </c>
      <c r="E77" s="12" t="s">
        <v>171</v>
      </c>
      <c r="F77" s="37" t="s">
        <v>185</v>
      </c>
      <c r="G77" s="35" t="s">
        <v>209</v>
      </c>
      <c r="H77" s="12" t="s">
        <v>172</v>
      </c>
      <c r="I77" s="36" t="str">
        <f t="shared" si="1"/>
        <v>{"ver":"1.7.0","type":"ability","effects":"[effect:damage_up, target:myself, val:1.3, turn:1, type01:all,option:killer]","conditions":"[condition:unit_attack_target,tribe:human]","priority":0}</v>
      </c>
      <c r="J77" s="35" t="s">
        <v>622</v>
      </c>
      <c r="K77" s="14">
        <v>3</v>
      </c>
    </row>
    <row r="78" spans="1:11" ht="21" customHeight="1" x14ac:dyDescent="0.15">
      <c r="A78" s="26">
        <v>408</v>
      </c>
      <c r="B78" s="27" t="s">
        <v>7</v>
      </c>
      <c r="C78" s="12" t="s">
        <v>44</v>
      </c>
      <c r="D78" s="9" t="s">
        <v>40</v>
      </c>
      <c r="E78" s="12" t="s">
        <v>171</v>
      </c>
      <c r="F78" s="37" t="s">
        <v>185</v>
      </c>
      <c r="G78" s="35" t="s">
        <v>209</v>
      </c>
      <c r="H78" s="12" t="s">
        <v>172</v>
      </c>
      <c r="I78" s="36" t="str">
        <f t="shared" si="1"/>
        <v>{"ver":"1.7.0","type":"ability","effects":"[effect:damage_up, target:myself, val:1.3, turn:1, type01:all,option:killer]","conditions":"[condition:unit_attack_target,tribe:human]","priority":0}</v>
      </c>
      <c r="J78" s="35" t="s">
        <v>622</v>
      </c>
      <c r="K78" s="14">
        <v>3</v>
      </c>
    </row>
    <row r="79" spans="1:11" ht="21" customHeight="1" x14ac:dyDescent="0.15">
      <c r="A79" s="26">
        <v>409</v>
      </c>
      <c r="B79" s="27" t="s">
        <v>7</v>
      </c>
      <c r="C79" s="12" t="s">
        <v>44</v>
      </c>
      <c r="D79" s="9" t="s">
        <v>40</v>
      </c>
      <c r="E79" s="12" t="s">
        <v>171</v>
      </c>
      <c r="F79" s="37" t="s">
        <v>185</v>
      </c>
      <c r="G79" s="35" t="s">
        <v>209</v>
      </c>
      <c r="H79" s="12" t="s">
        <v>172</v>
      </c>
      <c r="I79" s="36" t="str">
        <f t="shared" si="1"/>
        <v>{"ver":"1.7.0","type":"ability","effects":"[effect:damage_up, target:myself, val:1.3, turn:1, type01:all,option:killer]","conditions":"[condition:unit_attack_target,tribe:human]","priority":0}</v>
      </c>
      <c r="J79" s="35" t="s">
        <v>622</v>
      </c>
      <c r="K79" s="14">
        <v>3</v>
      </c>
    </row>
    <row r="80" spans="1:11" ht="21" customHeight="1" x14ac:dyDescent="0.15">
      <c r="A80" s="26">
        <v>410</v>
      </c>
      <c r="B80" s="27" t="s">
        <v>7</v>
      </c>
      <c r="C80" s="12" t="s">
        <v>44</v>
      </c>
      <c r="D80" s="9" t="s">
        <v>40</v>
      </c>
      <c r="E80" s="12" t="s">
        <v>171</v>
      </c>
      <c r="F80" s="37" t="s">
        <v>185</v>
      </c>
      <c r="G80" s="35" t="s">
        <v>209</v>
      </c>
      <c r="H80" s="12" t="s">
        <v>172</v>
      </c>
      <c r="I80" s="36" t="str">
        <f t="shared" si="1"/>
        <v>{"ver":"1.7.0","type":"ability","effects":"[effect:damage_up, target:myself, val:1.3, turn:1, type01:all,option:killer]","conditions":"[condition:unit_attack_target,tribe:human]","priority":0}</v>
      </c>
      <c r="J80" s="35" t="s">
        <v>622</v>
      </c>
      <c r="K80" s="14">
        <v>3</v>
      </c>
    </row>
    <row r="81" spans="1:11" ht="21" customHeight="1" x14ac:dyDescent="0.15">
      <c r="A81" s="26">
        <v>411</v>
      </c>
      <c r="B81" s="27" t="s">
        <v>7</v>
      </c>
      <c r="C81" s="12" t="s">
        <v>44</v>
      </c>
      <c r="D81" s="9" t="s">
        <v>40</v>
      </c>
      <c r="E81" s="12" t="s">
        <v>171</v>
      </c>
      <c r="F81" s="37" t="s">
        <v>185</v>
      </c>
      <c r="G81" s="35" t="s">
        <v>209</v>
      </c>
      <c r="H81" s="12" t="s">
        <v>172</v>
      </c>
      <c r="I81" s="36" t="str">
        <f t="shared" si="1"/>
        <v>{"ver":"1.7.0","type":"ability","effects":"[effect:damage_up, target:myself, val:1.3, turn:1, type01:all,option:killer]","conditions":"[condition:unit_attack_target,tribe:human]","priority":0}</v>
      </c>
      <c r="J81" s="35" t="s">
        <v>622</v>
      </c>
      <c r="K81" s="14">
        <v>3</v>
      </c>
    </row>
    <row r="82" spans="1:11" ht="21" customHeight="1" x14ac:dyDescent="0.15">
      <c r="A82" s="26">
        <v>412</v>
      </c>
      <c r="B82" s="27" t="s">
        <v>7</v>
      </c>
      <c r="C82" s="12" t="s">
        <v>45</v>
      </c>
      <c r="D82" s="9" t="s">
        <v>40</v>
      </c>
      <c r="E82" s="12" t="s">
        <v>171</v>
      </c>
      <c r="F82" s="37" t="s">
        <v>185</v>
      </c>
      <c r="G82" s="35" t="s">
        <v>209</v>
      </c>
      <c r="H82" s="12" t="s">
        <v>172</v>
      </c>
      <c r="I82" s="36" t="str">
        <f t="shared" si="1"/>
        <v>{"ver":"1.7.0","type":"ability","effects":"[effect:damage_up, target:myself, val:1.3, turn:1, type01:all,option:killer]","conditions":"[condition:unit_attack_target,tribe:human]","priority":0}</v>
      </c>
      <c r="J82" s="35" t="s">
        <v>622</v>
      </c>
      <c r="K82" s="14">
        <v>3</v>
      </c>
    </row>
    <row r="83" spans="1:11" ht="21" customHeight="1" x14ac:dyDescent="0.15">
      <c r="A83" s="26">
        <v>413</v>
      </c>
      <c r="B83" s="27" t="s">
        <v>7</v>
      </c>
      <c r="C83" s="12" t="s">
        <v>45</v>
      </c>
      <c r="D83" s="9" t="s">
        <v>40</v>
      </c>
      <c r="E83" s="12" t="s">
        <v>171</v>
      </c>
      <c r="F83" s="37" t="s">
        <v>185</v>
      </c>
      <c r="G83" s="35" t="s">
        <v>209</v>
      </c>
      <c r="H83" s="12" t="s">
        <v>172</v>
      </c>
      <c r="I83" s="36" t="str">
        <f t="shared" si="1"/>
        <v>{"ver":"1.7.0","type":"ability","effects":"[effect:damage_up, target:myself, val:1.3, turn:1, type01:all,option:killer]","conditions":"[condition:unit_attack_target,tribe:human]","priority":0}</v>
      </c>
      <c r="J83" s="35" t="s">
        <v>622</v>
      </c>
      <c r="K83" s="14">
        <v>3</v>
      </c>
    </row>
    <row r="84" spans="1:11" ht="21" customHeight="1" x14ac:dyDescent="0.15">
      <c r="A84" s="26">
        <v>414</v>
      </c>
      <c r="B84" s="27" t="s">
        <v>7</v>
      </c>
      <c r="C84" s="12" t="s">
        <v>45</v>
      </c>
      <c r="D84" s="9" t="s">
        <v>40</v>
      </c>
      <c r="E84" s="12" t="s">
        <v>171</v>
      </c>
      <c r="F84" s="37" t="s">
        <v>185</v>
      </c>
      <c r="G84" s="35" t="s">
        <v>209</v>
      </c>
      <c r="H84" s="12" t="s">
        <v>172</v>
      </c>
      <c r="I84" s="36" t="str">
        <f t="shared" si="1"/>
        <v>{"ver":"1.7.0","type":"ability","effects":"[effect:damage_up, target:myself, val:1.3, turn:1, type01:all,option:killer]","conditions":"[condition:unit_attack_target,tribe:human]","priority":0}</v>
      </c>
      <c r="J84" s="35" t="s">
        <v>622</v>
      </c>
      <c r="K84" s="14">
        <v>3</v>
      </c>
    </row>
    <row r="85" spans="1:11" ht="21" customHeight="1" x14ac:dyDescent="0.15">
      <c r="A85" s="26">
        <v>415</v>
      </c>
      <c r="B85" s="27" t="s">
        <v>7</v>
      </c>
      <c r="C85" s="12" t="s">
        <v>45</v>
      </c>
      <c r="D85" s="9" t="s">
        <v>40</v>
      </c>
      <c r="E85" s="12" t="s">
        <v>171</v>
      </c>
      <c r="F85" s="37" t="s">
        <v>185</v>
      </c>
      <c r="G85" s="35" t="s">
        <v>209</v>
      </c>
      <c r="H85" s="12" t="s">
        <v>172</v>
      </c>
      <c r="I85" s="36" t="str">
        <f t="shared" si="1"/>
        <v>{"ver":"1.7.0","type":"ability","effects":"[effect:damage_up, target:myself, val:1.3, turn:1, type01:all,option:killer]","conditions":"[condition:unit_attack_target,tribe:human]","priority":0}</v>
      </c>
      <c r="J85" s="35" t="s">
        <v>622</v>
      </c>
      <c r="K85" s="14">
        <v>3</v>
      </c>
    </row>
    <row r="86" spans="1:11" ht="21" customHeight="1" x14ac:dyDescent="0.15">
      <c r="A86" s="26">
        <v>416</v>
      </c>
      <c r="B86" s="27" t="s">
        <v>7</v>
      </c>
      <c r="C86" s="12" t="s">
        <v>46</v>
      </c>
      <c r="D86" s="9" t="s">
        <v>40</v>
      </c>
      <c r="E86" s="12" t="s">
        <v>171</v>
      </c>
      <c r="F86" s="37" t="s">
        <v>185</v>
      </c>
      <c r="G86" s="35" t="s">
        <v>209</v>
      </c>
      <c r="H86" s="12" t="s">
        <v>172</v>
      </c>
      <c r="I86" s="36" t="str">
        <f t="shared" si="1"/>
        <v>{"ver":"1.7.0","type":"ability","effects":"[effect:damage_up, target:myself, val:1.3, turn:1, type01:all,option:killer]","conditions":"[condition:unit_attack_target,tribe:human]","priority":0}</v>
      </c>
      <c r="J86" s="35" t="s">
        <v>622</v>
      </c>
      <c r="K86" s="14">
        <v>3</v>
      </c>
    </row>
    <row r="87" spans="1:11" ht="21" customHeight="1" x14ac:dyDescent="0.15">
      <c r="A87" s="26">
        <v>417</v>
      </c>
      <c r="B87" s="27" t="s">
        <v>7</v>
      </c>
      <c r="C87" s="12" t="s">
        <v>46</v>
      </c>
      <c r="D87" s="9" t="s">
        <v>40</v>
      </c>
      <c r="E87" s="12" t="s">
        <v>171</v>
      </c>
      <c r="F87" s="37" t="s">
        <v>185</v>
      </c>
      <c r="G87" s="35" t="s">
        <v>209</v>
      </c>
      <c r="H87" s="12" t="s">
        <v>172</v>
      </c>
      <c r="I87" s="36" t="str">
        <f t="shared" si="1"/>
        <v>{"ver":"1.7.0","type":"ability","effects":"[effect:damage_up, target:myself, val:1.3, turn:1, type01:all,option:killer]","conditions":"[condition:unit_attack_target,tribe:human]","priority":0}</v>
      </c>
      <c r="J87" s="35" t="s">
        <v>622</v>
      </c>
      <c r="K87" s="14">
        <v>3</v>
      </c>
    </row>
    <row r="88" spans="1:11" ht="21" customHeight="1" x14ac:dyDescent="0.15">
      <c r="A88" s="26">
        <v>418</v>
      </c>
      <c r="B88" s="27" t="s">
        <v>7</v>
      </c>
      <c r="C88" s="12" t="s">
        <v>46</v>
      </c>
      <c r="D88" s="9" t="s">
        <v>40</v>
      </c>
      <c r="E88" s="12" t="s">
        <v>171</v>
      </c>
      <c r="F88" s="37" t="s">
        <v>185</v>
      </c>
      <c r="G88" s="35" t="s">
        <v>209</v>
      </c>
      <c r="H88" s="12" t="s">
        <v>172</v>
      </c>
      <c r="I88" s="36" t="str">
        <f t="shared" si="1"/>
        <v>{"ver":"1.7.0","type":"ability","effects":"[effect:damage_up, target:myself, val:1.3, turn:1, type01:all,option:killer]","conditions":"[condition:unit_attack_target,tribe:human]","priority":0}</v>
      </c>
      <c r="J88" s="35" t="s">
        <v>622</v>
      </c>
      <c r="K88" s="14">
        <v>3</v>
      </c>
    </row>
    <row r="89" spans="1:11" ht="21" customHeight="1" x14ac:dyDescent="0.15">
      <c r="A89" s="26">
        <v>419</v>
      </c>
      <c r="B89" s="27" t="s">
        <v>7</v>
      </c>
      <c r="C89" s="12" t="s">
        <v>46</v>
      </c>
      <c r="D89" s="9" t="s">
        <v>40</v>
      </c>
      <c r="E89" s="12" t="s">
        <v>171</v>
      </c>
      <c r="F89" s="37" t="s">
        <v>185</v>
      </c>
      <c r="G89" s="35" t="s">
        <v>209</v>
      </c>
      <c r="H89" s="12" t="s">
        <v>172</v>
      </c>
      <c r="I89" s="36" t="str">
        <f t="shared" si="1"/>
        <v>{"ver":"1.7.0","type":"ability","effects":"[effect:damage_up, target:myself, val:1.3, turn:1, type01:all,option:killer]","conditions":"[condition:unit_attack_target,tribe:human]","priority":0}</v>
      </c>
      <c r="J89" s="35" t="s">
        <v>622</v>
      </c>
      <c r="K89" s="14">
        <v>3</v>
      </c>
    </row>
    <row r="90" spans="1:11" ht="21" customHeight="1" x14ac:dyDescent="0.15">
      <c r="A90" s="26">
        <v>420</v>
      </c>
      <c r="B90" s="27" t="s">
        <v>7</v>
      </c>
      <c r="C90" s="12" t="s">
        <v>47</v>
      </c>
      <c r="D90" s="9" t="s">
        <v>40</v>
      </c>
      <c r="E90" s="12" t="s">
        <v>171</v>
      </c>
      <c r="F90" s="37" t="s">
        <v>185</v>
      </c>
      <c r="G90" s="35" t="s">
        <v>209</v>
      </c>
      <c r="H90" s="12" t="s">
        <v>172</v>
      </c>
      <c r="I90" s="36" t="str">
        <f t="shared" si="1"/>
        <v>{"ver":"1.7.0","type":"ability","effects":"[effect:damage_up, target:myself, val:1.3, turn:1, type01:all,option:killer]","conditions":"[condition:unit_attack_target,tribe:human]","priority":0}</v>
      </c>
      <c r="J90" s="35" t="s">
        <v>622</v>
      </c>
      <c r="K90" s="14">
        <v>3</v>
      </c>
    </row>
    <row r="91" spans="1:11" ht="21" customHeight="1" x14ac:dyDescent="0.15">
      <c r="A91" s="26">
        <v>421</v>
      </c>
      <c r="B91" s="27" t="s">
        <v>7</v>
      </c>
      <c r="C91" s="12" t="s">
        <v>47</v>
      </c>
      <c r="D91" s="9" t="s">
        <v>40</v>
      </c>
      <c r="E91" s="12" t="s">
        <v>171</v>
      </c>
      <c r="F91" s="37" t="s">
        <v>185</v>
      </c>
      <c r="G91" s="35" t="s">
        <v>209</v>
      </c>
      <c r="H91" s="12" t="s">
        <v>172</v>
      </c>
      <c r="I91" s="36" t="str">
        <f t="shared" si="1"/>
        <v>{"ver":"1.7.0","type":"ability","effects":"[effect:damage_up, target:myself, val:1.3, turn:1, type01:all,option:killer]","conditions":"[condition:unit_attack_target,tribe:human]","priority":0}</v>
      </c>
      <c r="J91" s="35" t="s">
        <v>622</v>
      </c>
      <c r="K91" s="14">
        <v>3</v>
      </c>
    </row>
    <row r="92" spans="1:11" ht="21" customHeight="1" x14ac:dyDescent="0.15">
      <c r="A92" s="26">
        <v>422</v>
      </c>
      <c r="B92" s="27" t="s">
        <v>7</v>
      </c>
      <c r="C92" s="12" t="s">
        <v>47</v>
      </c>
      <c r="D92" s="9" t="s">
        <v>40</v>
      </c>
      <c r="E92" s="12" t="s">
        <v>171</v>
      </c>
      <c r="F92" s="37" t="s">
        <v>185</v>
      </c>
      <c r="G92" s="35" t="s">
        <v>209</v>
      </c>
      <c r="H92" s="12" t="s">
        <v>172</v>
      </c>
      <c r="I92" s="36" t="str">
        <f t="shared" si="1"/>
        <v>{"ver":"1.7.0","type":"ability","effects":"[effect:damage_up, target:myself, val:1.3, turn:1, type01:all,option:killer]","conditions":"[condition:unit_attack_target,tribe:human]","priority":0}</v>
      </c>
      <c r="J92" s="35" t="s">
        <v>622</v>
      </c>
      <c r="K92" s="14">
        <v>3</v>
      </c>
    </row>
    <row r="93" spans="1:11" ht="21" customHeight="1" x14ac:dyDescent="0.15">
      <c r="A93" s="26">
        <v>423</v>
      </c>
      <c r="B93" s="27" t="s">
        <v>7</v>
      </c>
      <c r="C93" s="12" t="s">
        <v>47</v>
      </c>
      <c r="D93" s="9" t="s">
        <v>40</v>
      </c>
      <c r="E93" s="12" t="s">
        <v>171</v>
      </c>
      <c r="F93" s="37" t="s">
        <v>185</v>
      </c>
      <c r="G93" s="35" t="s">
        <v>209</v>
      </c>
      <c r="H93" s="12" t="s">
        <v>172</v>
      </c>
      <c r="I93" s="36" t="str">
        <f t="shared" si="1"/>
        <v>{"ver":"1.7.0","type":"ability","effects":"[effect:damage_up, target:myself, val:1.3, turn:1, type01:all,option:killer]","conditions":"[condition:unit_attack_target,tribe:human]","priority":0}</v>
      </c>
      <c r="J93" s="35" t="s">
        <v>622</v>
      </c>
      <c r="K93" s="14">
        <v>3</v>
      </c>
    </row>
    <row r="94" spans="1:11" ht="21" customHeight="1" x14ac:dyDescent="0.15">
      <c r="A94" s="26">
        <v>424</v>
      </c>
      <c r="B94" s="27" t="s">
        <v>7</v>
      </c>
      <c r="C94" s="12" t="s">
        <v>48</v>
      </c>
      <c r="D94" s="9" t="s">
        <v>40</v>
      </c>
      <c r="E94" s="12" t="s">
        <v>171</v>
      </c>
      <c r="F94" s="37" t="s">
        <v>185</v>
      </c>
      <c r="G94" s="35" t="s">
        <v>209</v>
      </c>
      <c r="H94" s="12" t="s">
        <v>172</v>
      </c>
      <c r="I94" s="36" t="str">
        <f t="shared" si="1"/>
        <v>{"ver":"1.7.0","type":"ability","effects":"[effect:damage_up, target:myself, val:1.3, turn:1, type01:all,option:killer]","conditions":"[condition:unit_attack_target,tribe:human]","priority":0}</v>
      </c>
      <c r="J94" s="35" t="s">
        <v>622</v>
      </c>
      <c r="K94" s="14">
        <v>3</v>
      </c>
    </row>
    <row r="95" spans="1:11" ht="21" customHeight="1" x14ac:dyDescent="0.15">
      <c r="A95" s="26">
        <v>425</v>
      </c>
      <c r="B95" s="27" t="s">
        <v>7</v>
      </c>
      <c r="C95" s="12" t="s">
        <v>48</v>
      </c>
      <c r="D95" s="9" t="s">
        <v>40</v>
      </c>
      <c r="E95" s="12" t="s">
        <v>171</v>
      </c>
      <c r="F95" s="37" t="s">
        <v>185</v>
      </c>
      <c r="G95" s="35" t="s">
        <v>209</v>
      </c>
      <c r="H95" s="12" t="s">
        <v>172</v>
      </c>
      <c r="I95" s="36" t="str">
        <f t="shared" si="1"/>
        <v>{"ver":"1.7.0","type":"ability","effects":"[effect:damage_up, target:myself, val:1.3, turn:1, type01:all,option:killer]","conditions":"[condition:unit_attack_target,tribe:human]","priority":0}</v>
      </c>
      <c r="J95" s="35" t="s">
        <v>622</v>
      </c>
      <c r="K95" s="14">
        <v>3</v>
      </c>
    </row>
    <row r="96" spans="1:11" ht="21" customHeight="1" x14ac:dyDescent="0.15">
      <c r="A96" s="26">
        <v>426</v>
      </c>
      <c r="B96" s="27" t="s">
        <v>7</v>
      </c>
      <c r="C96" s="12" t="s">
        <v>48</v>
      </c>
      <c r="D96" s="9" t="s">
        <v>40</v>
      </c>
      <c r="E96" s="12" t="s">
        <v>171</v>
      </c>
      <c r="F96" s="37" t="s">
        <v>518</v>
      </c>
      <c r="G96" s="35" t="s">
        <v>209</v>
      </c>
      <c r="H96" s="12" t="s">
        <v>172</v>
      </c>
      <c r="I96" s="36" t="str">
        <f t="shared" si="1"/>
        <v>{"ver":"1.7.0","type":"ability","effects":"[effect:damage_up, target:myself, val:1.3, turn:1, type01:all,option:killer]","conditions":"[condition:unit_attack_target,tribe:human]","priority":0}</v>
      </c>
      <c r="J96" s="35" t="s">
        <v>622</v>
      </c>
      <c r="K96" s="14">
        <v>3</v>
      </c>
    </row>
    <row r="97" spans="1:11" ht="21" customHeight="1" x14ac:dyDescent="0.15">
      <c r="A97" s="26">
        <v>427</v>
      </c>
      <c r="B97" s="27" t="s">
        <v>7</v>
      </c>
      <c r="C97" s="12" t="s">
        <v>48</v>
      </c>
      <c r="D97" s="9" t="s">
        <v>40</v>
      </c>
      <c r="E97" s="12" t="s">
        <v>171</v>
      </c>
      <c r="F97" s="37" t="s">
        <v>185</v>
      </c>
      <c r="G97" s="35" t="s">
        <v>209</v>
      </c>
      <c r="H97" s="12" t="s">
        <v>172</v>
      </c>
      <c r="I97" s="36" t="str">
        <f t="shared" si="1"/>
        <v>{"ver":"1.7.0","type":"ability","effects":"[effect:damage_up, target:myself, val:1.3, turn:1, type01:all,option:killer]","conditions":"[condition:unit_attack_target,tribe:human]","priority":0}</v>
      </c>
      <c r="J97" s="35" t="s">
        <v>622</v>
      </c>
      <c r="K97" s="14">
        <v>3</v>
      </c>
    </row>
    <row r="98" spans="1:11" ht="21" customHeight="1" x14ac:dyDescent="0.15">
      <c r="A98" s="26">
        <v>428</v>
      </c>
      <c r="B98" s="27" t="s">
        <v>7</v>
      </c>
      <c r="C98" s="12" t="s">
        <v>49</v>
      </c>
      <c r="D98" s="9" t="s">
        <v>40</v>
      </c>
      <c r="E98" s="12" t="s">
        <v>171</v>
      </c>
      <c r="F98" s="37" t="s">
        <v>185</v>
      </c>
      <c r="G98" s="35" t="s">
        <v>209</v>
      </c>
      <c r="H98" s="12" t="s">
        <v>172</v>
      </c>
      <c r="I98" s="36" t="str">
        <f t="shared" si="1"/>
        <v>{"ver":"1.7.0","type":"ability","effects":"[effect:damage_up, target:myself, val:1.3, turn:1, type01:all,option:killer]","conditions":"[condition:unit_attack_target,tribe:human]","priority":0}</v>
      </c>
      <c r="J98" s="35" t="s">
        <v>622</v>
      </c>
      <c r="K98" s="14">
        <v>3</v>
      </c>
    </row>
    <row r="99" spans="1:11" ht="21" customHeight="1" x14ac:dyDescent="0.15">
      <c r="A99" s="26">
        <v>429</v>
      </c>
      <c r="B99" s="27" t="s">
        <v>7</v>
      </c>
      <c r="C99" s="12" t="s">
        <v>49</v>
      </c>
      <c r="D99" s="9" t="s">
        <v>40</v>
      </c>
      <c r="E99" s="12" t="s">
        <v>171</v>
      </c>
      <c r="F99" s="37" t="s">
        <v>185</v>
      </c>
      <c r="G99" s="35" t="s">
        <v>209</v>
      </c>
      <c r="H99" s="12" t="s">
        <v>172</v>
      </c>
      <c r="I99" s="36" t="str">
        <f t="shared" si="1"/>
        <v>{"ver":"1.7.0","type":"ability","effects":"[effect:damage_up, target:myself, val:1.3, turn:1, type01:all,option:killer]","conditions":"[condition:unit_attack_target,tribe:human]","priority":0}</v>
      </c>
      <c r="J99" s="35" t="s">
        <v>622</v>
      </c>
      <c r="K99" s="14">
        <v>3</v>
      </c>
    </row>
    <row r="100" spans="1:11" ht="21" customHeight="1" x14ac:dyDescent="0.15">
      <c r="A100" s="26">
        <v>430</v>
      </c>
      <c r="B100" s="27" t="s">
        <v>7</v>
      </c>
      <c r="C100" s="12" t="s">
        <v>49</v>
      </c>
      <c r="D100" s="9" t="s">
        <v>40</v>
      </c>
      <c r="E100" s="12" t="s">
        <v>171</v>
      </c>
      <c r="F100" s="37" t="s">
        <v>185</v>
      </c>
      <c r="G100" s="35" t="s">
        <v>209</v>
      </c>
      <c r="H100" s="12" t="s">
        <v>172</v>
      </c>
      <c r="I100" s="36" t="str">
        <f t="shared" si="1"/>
        <v>{"ver":"1.7.0","type":"ability","effects":"[effect:damage_up, target:myself, val:1.3, turn:1, type01:all,option:killer]","conditions":"[condition:unit_attack_target,tribe:human]","priority":0}</v>
      </c>
      <c r="J100" s="35" t="s">
        <v>622</v>
      </c>
      <c r="K100" s="14">
        <v>3</v>
      </c>
    </row>
    <row r="101" spans="1:11" ht="21" customHeight="1" x14ac:dyDescent="0.15">
      <c r="A101" s="26">
        <v>431</v>
      </c>
      <c r="B101" s="27" t="s">
        <v>7</v>
      </c>
      <c r="C101" s="12" t="s">
        <v>49</v>
      </c>
      <c r="D101" s="9" t="s">
        <v>40</v>
      </c>
      <c r="E101" s="12" t="s">
        <v>171</v>
      </c>
      <c r="F101" s="37" t="s">
        <v>185</v>
      </c>
      <c r="G101" s="35" t="s">
        <v>209</v>
      </c>
      <c r="H101" s="12" t="s">
        <v>172</v>
      </c>
      <c r="I101" s="36" t="str">
        <f t="shared" si="1"/>
        <v>{"ver":"1.7.0","type":"ability","effects":"[effect:damage_up, target:myself, val:1.3, turn:1, type01:all,option:killer]","conditions":"[condition:unit_attack_target,tribe:human]","priority":0}</v>
      </c>
      <c r="J101" s="35" t="s">
        <v>622</v>
      </c>
      <c r="K101" s="14">
        <v>3</v>
      </c>
    </row>
    <row r="102" spans="1:11" ht="21" customHeight="1" x14ac:dyDescent="0.15">
      <c r="A102" s="26">
        <v>432</v>
      </c>
      <c r="B102" s="27" t="s">
        <v>7</v>
      </c>
      <c r="C102" s="12" t="s">
        <v>50</v>
      </c>
      <c r="D102" s="9" t="s">
        <v>40</v>
      </c>
      <c r="E102" s="12" t="s">
        <v>171</v>
      </c>
      <c r="F102" s="37" t="s">
        <v>185</v>
      </c>
      <c r="G102" s="35" t="s">
        <v>209</v>
      </c>
      <c r="H102" s="12" t="s">
        <v>172</v>
      </c>
      <c r="I102" s="36" t="str">
        <f t="shared" si="1"/>
        <v>{"ver":"1.7.0","type":"ability","effects":"[effect:damage_up, target:myself, val:1.3, turn:1, type01:all,option:killer]","conditions":"[condition:unit_attack_target,tribe:human]","priority":0}</v>
      </c>
      <c r="J102" s="35" t="s">
        <v>622</v>
      </c>
      <c r="K102" s="14">
        <v>3</v>
      </c>
    </row>
    <row r="103" spans="1:11" ht="21" customHeight="1" x14ac:dyDescent="0.15">
      <c r="A103" s="26">
        <v>433</v>
      </c>
      <c r="B103" s="27" t="s">
        <v>7</v>
      </c>
      <c r="C103" s="12" t="s">
        <v>50</v>
      </c>
      <c r="D103" s="9" t="s">
        <v>40</v>
      </c>
      <c r="E103" s="12" t="s">
        <v>171</v>
      </c>
      <c r="F103" s="37" t="s">
        <v>185</v>
      </c>
      <c r="G103" s="35" t="s">
        <v>209</v>
      </c>
      <c r="H103" s="12" t="s">
        <v>172</v>
      </c>
      <c r="I103" s="36" t="str">
        <f t="shared" si="1"/>
        <v>{"ver":"1.7.0","type":"ability","effects":"[effect:damage_up, target:myself, val:1.3, turn:1, type01:all,option:killer]","conditions":"[condition:unit_attack_target,tribe:human]","priority":0}</v>
      </c>
      <c r="J103" s="35" t="s">
        <v>622</v>
      </c>
      <c r="K103" s="14">
        <v>3</v>
      </c>
    </row>
    <row r="104" spans="1:11" ht="21" customHeight="1" x14ac:dyDescent="0.15">
      <c r="A104" s="26">
        <v>434</v>
      </c>
      <c r="B104" s="27" t="s">
        <v>7</v>
      </c>
      <c r="C104" s="12" t="s">
        <v>50</v>
      </c>
      <c r="D104" s="9" t="s">
        <v>40</v>
      </c>
      <c r="E104" s="12" t="s">
        <v>171</v>
      </c>
      <c r="F104" s="37" t="s">
        <v>185</v>
      </c>
      <c r="G104" s="35" t="s">
        <v>209</v>
      </c>
      <c r="H104" s="12" t="s">
        <v>172</v>
      </c>
      <c r="I104" s="36" t="str">
        <f t="shared" si="1"/>
        <v>{"ver":"1.7.0","type":"ability","effects":"[effect:damage_up, target:myself, val:1.3, turn:1, type01:all,option:killer]","conditions":"[condition:unit_attack_target,tribe:human]","priority":0}</v>
      </c>
      <c r="J104" s="35" t="s">
        <v>622</v>
      </c>
      <c r="K104" s="14">
        <v>3</v>
      </c>
    </row>
    <row r="105" spans="1:11" ht="21" customHeight="1" x14ac:dyDescent="0.15">
      <c r="A105" s="26">
        <v>435</v>
      </c>
      <c r="B105" s="27" t="s">
        <v>7</v>
      </c>
      <c r="C105" s="12" t="s">
        <v>50</v>
      </c>
      <c r="D105" s="9" t="s">
        <v>40</v>
      </c>
      <c r="E105" s="12" t="s">
        <v>171</v>
      </c>
      <c r="F105" s="37" t="s">
        <v>185</v>
      </c>
      <c r="G105" s="35" t="s">
        <v>209</v>
      </c>
      <c r="H105" s="12" t="s">
        <v>172</v>
      </c>
      <c r="I105" s="36" t="str">
        <f t="shared" si="1"/>
        <v>{"ver":"1.7.0","type":"ability","effects":"[effect:damage_up, target:myself, val:1.3, turn:1, type01:all,option:killer]","conditions":"[condition:unit_attack_target,tribe:human]","priority":0}</v>
      </c>
      <c r="J105" s="35" t="s">
        <v>622</v>
      </c>
      <c r="K105" s="14">
        <v>3</v>
      </c>
    </row>
    <row r="106" spans="1:11" ht="21" customHeight="1" x14ac:dyDescent="0.15">
      <c r="A106" s="26">
        <v>436</v>
      </c>
      <c r="B106" s="27" t="s">
        <v>7</v>
      </c>
      <c r="C106" s="12" t="s">
        <v>496</v>
      </c>
      <c r="D106" s="9" t="s">
        <v>497</v>
      </c>
      <c r="E106" s="12" t="s">
        <v>194</v>
      </c>
      <c r="F106" s="37" t="s">
        <v>498</v>
      </c>
      <c r="G106" s="35" t="s">
        <v>209</v>
      </c>
      <c r="H106" s="12" t="s">
        <v>172</v>
      </c>
      <c r="I106" s="36" t="str">
        <f t="shared" si="1"/>
        <v>{"ver":"1.7.0","type":"ability","effects":"[effect:damage_up, target:myself, val:1.3, turn:1, type01:all,option:killer]","conditions":"[condition:enclose,[condition:unit_attack_target,tribe:god],[condition:unit_attack_target,tribe:hero],logic:or]","priority":0}</v>
      </c>
      <c r="J106" s="35" t="s">
        <v>622</v>
      </c>
      <c r="K106" s="14">
        <v>3</v>
      </c>
    </row>
    <row r="107" spans="1:11" ht="21" customHeight="1" x14ac:dyDescent="0.15">
      <c r="A107" s="26">
        <v>437</v>
      </c>
      <c r="B107" s="27" t="s">
        <v>7</v>
      </c>
      <c r="C107" s="12" t="s">
        <v>903</v>
      </c>
      <c r="D107" s="9" t="s">
        <v>904</v>
      </c>
      <c r="E107" s="12" t="s">
        <v>194</v>
      </c>
      <c r="F107" s="37" t="s">
        <v>905</v>
      </c>
      <c r="G107" s="35" t="s">
        <v>209</v>
      </c>
      <c r="H107" s="12" t="s">
        <v>172</v>
      </c>
      <c r="I107" s="36" t="str">
        <f t="shared" ref="I107" si="3">"{"&amp;""""&amp;$E$1&amp;""""&amp;":"&amp;""""&amp;E107&amp;""""&amp;","&amp;""""&amp;"type"&amp;""""&amp;":"&amp;""""&amp;"ability"&amp;""""&amp;","&amp;""""&amp;$G$1&amp;""""&amp;":"&amp;""""&amp;G107&amp;""""&amp;","&amp;""""&amp;$F$1&amp;""""&amp;":"&amp;""""&amp;F107&amp;""""&amp;","&amp;""""&amp;$H$1&amp;""""&amp;":"&amp;H107&amp;"}"</f>
        <v>{"ver":"1.7.0","type":"ability","effects":"[effect:damage_up, target:myself, val:1.3, turn:1, type01:all,option:killer]","conditions":"[condition:enclose,[condition:unit_attack_target,tribe:samurai],[condition:unit_attack_target,tribe:dragon],logic:or]","priority":0}</v>
      </c>
      <c r="J107" s="35" t="s">
        <v>622</v>
      </c>
      <c r="K107" s="14">
        <v>3</v>
      </c>
    </row>
    <row r="108" spans="1:11" ht="21" customHeight="1" x14ac:dyDescent="0.15">
      <c r="A108" s="26">
        <v>500</v>
      </c>
      <c r="B108" s="27" t="s">
        <v>7</v>
      </c>
      <c r="C108" s="12" t="s">
        <v>565</v>
      </c>
      <c r="D108" s="9" t="s">
        <v>566</v>
      </c>
      <c r="E108" s="12" t="s">
        <v>171</v>
      </c>
      <c r="F108" s="37" t="s">
        <v>1104</v>
      </c>
      <c r="G108" s="35" t="s">
        <v>209</v>
      </c>
      <c r="H108" s="12" t="s">
        <v>172</v>
      </c>
      <c r="I108" s="36" t="str">
        <f t="shared" si="1"/>
        <v>{"ver":"1.7.0","type":"ability","effects":"[effect:damage_up, target:myself, val:1.3, turn:1, type01:all,option:killer]","conditions":"[condition:unit_attack_target,color:blue]","priority":0}</v>
      </c>
      <c r="J108" s="35" t="s">
        <v>622</v>
      </c>
      <c r="K108" s="14">
        <v>3</v>
      </c>
    </row>
    <row r="109" spans="1:11" ht="21" customHeight="1" x14ac:dyDescent="0.15">
      <c r="A109" s="26">
        <v>600</v>
      </c>
      <c r="B109" s="2" t="s">
        <v>7</v>
      </c>
      <c r="C109" s="12" t="s">
        <v>202</v>
      </c>
      <c r="D109" s="12" t="s">
        <v>92</v>
      </c>
      <c r="E109" s="12" t="s">
        <v>171</v>
      </c>
      <c r="F109" s="35" t="s">
        <v>173</v>
      </c>
      <c r="G109" s="35" t="s">
        <v>180</v>
      </c>
      <c r="H109" s="12" t="s">
        <v>172</v>
      </c>
      <c r="I109" s="36" t="str">
        <f t="shared" si="1"/>
        <v>{"ver":"1.7.0","type":"ability","effects":"[effect:reduction, target:myself, turn:-1, color:red, val:0.25, animation:reduction_one01]","conditions":"[condition:always]","priority":0}</v>
      </c>
      <c r="J109" s="35" t="s">
        <v>615</v>
      </c>
      <c r="K109" s="14">
        <v>3</v>
      </c>
    </row>
    <row r="110" spans="1:11" ht="21" customHeight="1" x14ac:dyDescent="0.15">
      <c r="A110" s="26">
        <v>601</v>
      </c>
      <c r="B110" s="2" t="s">
        <v>7</v>
      </c>
      <c r="C110" s="12" t="s">
        <v>202</v>
      </c>
      <c r="D110" s="12" t="s">
        <v>92</v>
      </c>
      <c r="E110" s="12" t="s">
        <v>171</v>
      </c>
      <c r="F110" s="35" t="s">
        <v>173</v>
      </c>
      <c r="G110" s="35" t="s">
        <v>180</v>
      </c>
      <c r="H110" s="12" t="s">
        <v>172</v>
      </c>
      <c r="I110" s="36" t="str">
        <f t="shared" si="1"/>
        <v>{"ver":"1.7.0","type":"ability","effects":"[effect:reduction, target:myself, turn:-1, color:red, val:0.25, animation:reduction_one01]","conditions":"[condition:always]","priority":0}</v>
      </c>
      <c r="J110" s="35" t="s">
        <v>615</v>
      </c>
      <c r="K110" s="14">
        <v>3</v>
      </c>
    </row>
    <row r="111" spans="1:11" ht="21" customHeight="1" x14ac:dyDescent="0.15">
      <c r="A111" s="26">
        <v>602</v>
      </c>
      <c r="B111" s="2" t="s">
        <v>7</v>
      </c>
      <c r="C111" s="12" t="s">
        <v>202</v>
      </c>
      <c r="D111" s="12" t="s">
        <v>92</v>
      </c>
      <c r="E111" s="12" t="s">
        <v>171</v>
      </c>
      <c r="F111" s="35" t="s">
        <v>173</v>
      </c>
      <c r="G111" s="35" t="s">
        <v>180</v>
      </c>
      <c r="H111" s="12" t="s">
        <v>172</v>
      </c>
      <c r="I111" s="36" t="str">
        <f t="shared" si="1"/>
        <v>{"ver":"1.7.0","type":"ability","effects":"[effect:reduction, target:myself, turn:-1, color:red, val:0.25, animation:reduction_one01]","conditions":"[condition:always]","priority":0}</v>
      </c>
      <c r="J111" s="35" t="s">
        <v>615</v>
      </c>
      <c r="K111" s="14">
        <v>3</v>
      </c>
    </row>
    <row r="112" spans="1:11" ht="21" customHeight="1" x14ac:dyDescent="0.15">
      <c r="A112" s="26">
        <v>603</v>
      </c>
      <c r="B112" s="2" t="s">
        <v>7</v>
      </c>
      <c r="C112" s="12" t="s">
        <v>203</v>
      </c>
      <c r="D112" s="12" t="s">
        <v>93</v>
      </c>
      <c r="E112" s="12" t="s">
        <v>171</v>
      </c>
      <c r="F112" s="35" t="s">
        <v>173</v>
      </c>
      <c r="G112" s="35" t="s">
        <v>181</v>
      </c>
      <c r="H112" s="12" t="s">
        <v>172</v>
      </c>
      <c r="I112" s="36" t="str">
        <f t="shared" si="1"/>
        <v>{"ver":"1.7.0","type":"ability","effects":"[effect:reduction, target:myself, turn:-1, color:blue, val:0.25, animation:reduction_one01]","conditions":"[condition:always]","priority":0}</v>
      </c>
      <c r="J112" s="35" t="s">
        <v>615</v>
      </c>
      <c r="K112" s="14">
        <v>3</v>
      </c>
    </row>
    <row r="113" spans="1:11" ht="21" customHeight="1" x14ac:dyDescent="0.15">
      <c r="A113" s="26">
        <v>604</v>
      </c>
      <c r="B113" s="2" t="s">
        <v>7</v>
      </c>
      <c r="C113" s="12" t="s">
        <v>203</v>
      </c>
      <c r="D113" s="12" t="s">
        <v>93</v>
      </c>
      <c r="E113" s="12" t="s">
        <v>171</v>
      </c>
      <c r="F113" s="35" t="s">
        <v>173</v>
      </c>
      <c r="G113" s="35" t="s">
        <v>181</v>
      </c>
      <c r="H113" s="12" t="s">
        <v>172</v>
      </c>
      <c r="I113" s="36" t="str">
        <f t="shared" si="1"/>
        <v>{"ver":"1.7.0","type":"ability","effects":"[effect:reduction, target:myself, turn:-1, color:blue, val:0.25, animation:reduction_one01]","conditions":"[condition:always]","priority":0}</v>
      </c>
      <c r="J113" s="35" t="s">
        <v>615</v>
      </c>
      <c r="K113" s="14">
        <v>3</v>
      </c>
    </row>
    <row r="114" spans="1:11" ht="21" customHeight="1" x14ac:dyDescent="0.15">
      <c r="A114" s="26">
        <v>605</v>
      </c>
      <c r="B114" s="2" t="s">
        <v>7</v>
      </c>
      <c r="C114" s="12" t="s">
        <v>203</v>
      </c>
      <c r="D114" s="12" t="s">
        <v>93</v>
      </c>
      <c r="E114" s="12" t="s">
        <v>171</v>
      </c>
      <c r="F114" s="35" t="s">
        <v>173</v>
      </c>
      <c r="G114" s="35" t="s">
        <v>181</v>
      </c>
      <c r="H114" s="12" t="s">
        <v>172</v>
      </c>
      <c r="I114" s="36" t="str">
        <f t="shared" si="1"/>
        <v>{"ver":"1.7.0","type":"ability","effects":"[effect:reduction, target:myself, turn:-1, color:blue, val:0.25, animation:reduction_one01]","conditions":"[condition:always]","priority":0}</v>
      </c>
      <c r="J114" s="35" t="s">
        <v>615</v>
      </c>
      <c r="K114" s="14">
        <v>3</v>
      </c>
    </row>
    <row r="115" spans="1:11" ht="21" customHeight="1" x14ac:dyDescent="0.15">
      <c r="A115" s="26">
        <v>606</v>
      </c>
      <c r="B115" s="2" t="s">
        <v>7</v>
      </c>
      <c r="C115" s="12" t="s">
        <v>204</v>
      </c>
      <c r="D115" s="12" t="s">
        <v>225</v>
      </c>
      <c r="E115" s="12" t="s">
        <v>171</v>
      </c>
      <c r="F115" s="35" t="s">
        <v>173</v>
      </c>
      <c r="G115" s="35" t="s">
        <v>182</v>
      </c>
      <c r="H115" s="12" t="s">
        <v>172</v>
      </c>
      <c r="I115" s="36" t="str">
        <f t="shared" si="1"/>
        <v>{"ver":"1.7.0","type":"ability","effects":"[effect:reduction, target:myself, turn:-1, color:green, val:0.25, animation:reduction_one01]","conditions":"[condition:always]","priority":0}</v>
      </c>
      <c r="J115" s="35" t="s">
        <v>615</v>
      </c>
      <c r="K115" s="14">
        <v>3</v>
      </c>
    </row>
    <row r="116" spans="1:11" ht="21" customHeight="1" x14ac:dyDescent="0.15">
      <c r="A116" s="26">
        <v>607</v>
      </c>
      <c r="B116" s="2" t="s">
        <v>7</v>
      </c>
      <c r="C116" s="12" t="s">
        <v>204</v>
      </c>
      <c r="D116" s="12" t="s">
        <v>225</v>
      </c>
      <c r="E116" s="12" t="s">
        <v>171</v>
      </c>
      <c r="F116" s="35" t="s">
        <v>173</v>
      </c>
      <c r="G116" s="35" t="s">
        <v>182</v>
      </c>
      <c r="H116" s="12" t="s">
        <v>172</v>
      </c>
      <c r="I116" s="36" t="str">
        <f t="shared" si="1"/>
        <v>{"ver":"1.7.0","type":"ability","effects":"[effect:reduction, target:myself, turn:-1, color:green, val:0.25, animation:reduction_one01]","conditions":"[condition:always]","priority":0}</v>
      </c>
      <c r="J116" s="35" t="s">
        <v>615</v>
      </c>
      <c r="K116" s="14">
        <v>3</v>
      </c>
    </row>
    <row r="117" spans="1:11" ht="21" customHeight="1" x14ac:dyDescent="0.15">
      <c r="A117" s="26">
        <v>608</v>
      </c>
      <c r="B117" s="2" t="s">
        <v>7</v>
      </c>
      <c r="C117" s="12" t="s">
        <v>204</v>
      </c>
      <c r="D117" s="12" t="s">
        <v>225</v>
      </c>
      <c r="E117" s="12" t="s">
        <v>171</v>
      </c>
      <c r="F117" s="35" t="s">
        <v>173</v>
      </c>
      <c r="G117" s="35" t="s">
        <v>182</v>
      </c>
      <c r="H117" s="12" t="s">
        <v>172</v>
      </c>
      <c r="I117" s="36" t="str">
        <f t="shared" si="1"/>
        <v>{"ver":"1.7.0","type":"ability","effects":"[effect:reduction, target:myself, turn:-1, color:green, val:0.25, animation:reduction_one01]","conditions":"[condition:always]","priority":0}</v>
      </c>
      <c r="J117" s="35" t="s">
        <v>615</v>
      </c>
      <c r="K117" s="14">
        <v>3</v>
      </c>
    </row>
    <row r="118" spans="1:11" ht="21" customHeight="1" x14ac:dyDescent="0.15">
      <c r="A118" s="26">
        <v>609</v>
      </c>
      <c r="B118" s="2" t="s">
        <v>7</v>
      </c>
      <c r="C118" s="12" t="s">
        <v>205</v>
      </c>
      <c r="D118" s="12" t="s">
        <v>226</v>
      </c>
      <c r="E118" s="12" t="s">
        <v>171</v>
      </c>
      <c r="F118" s="35" t="s">
        <v>173</v>
      </c>
      <c r="G118" s="35" t="s">
        <v>334</v>
      </c>
      <c r="H118" s="12" t="s">
        <v>172</v>
      </c>
      <c r="I118" s="36" t="str">
        <f t="shared" si="1"/>
        <v>{"ver":"1.7.0","type":"ability","effects":"[effect:reduction, target:myself, turn:-1, color:yellow, val:0.25, animation:reduction_one01]","conditions":"[condition:always]","priority":0}</v>
      </c>
      <c r="J118" s="35" t="s">
        <v>615</v>
      </c>
      <c r="K118" s="14">
        <v>3</v>
      </c>
    </row>
    <row r="119" spans="1:11" ht="21" customHeight="1" x14ac:dyDescent="0.15">
      <c r="A119" s="26">
        <v>610</v>
      </c>
      <c r="B119" s="2" t="s">
        <v>7</v>
      </c>
      <c r="C119" s="12" t="s">
        <v>205</v>
      </c>
      <c r="D119" s="12" t="s">
        <v>226</v>
      </c>
      <c r="E119" s="12" t="s">
        <v>171</v>
      </c>
      <c r="F119" s="35" t="s">
        <v>173</v>
      </c>
      <c r="G119" s="35" t="s">
        <v>183</v>
      </c>
      <c r="H119" s="12" t="s">
        <v>172</v>
      </c>
      <c r="I119" s="36" t="str">
        <f t="shared" si="1"/>
        <v>{"ver":"1.7.0","type":"ability","effects":"[effect:reduction, target:myself, turn:-1, color:yellow, val:0.25, animation:reduction_one01]","conditions":"[condition:always]","priority":0}</v>
      </c>
      <c r="J119" s="35" t="s">
        <v>615</v>
      </c>
      <c r="K119" s="14">
        <v>3</v>
      </c>
    </row>
    <row r="120" spans="1:11" ht="21" customHeight="1" x14ac:dyDescent="0.15">
      <c r="A120" s="26">
        <v>611</v>
      </c>
      <c r="B120" s="2" t="s">
        <v>7</v>
      </c>
      <c r="C120" s="12" t="s">
        <v>205</v>
      </c>
      <c r="D120" s="12" t="s">
        <v>226</v>
      </c>
      <c r="E120" s="12" t="s">
        <v>171</v>
      </c>
      <c r="F120" s="35" t="s">
        <v>173</v>
      </c>
      <c r="G120" s="35" t="s">
        <v>183</v>
      </c>
      <c r="H120" s="12" t="s">
        <v>172</v>
      </c>
      <c r="I120" s="36" t="str">
        <f t="shared" si="1"/>
        <v>{"ver":"1.7.0","type":"ability","effects":"[effect:reduction, target:myself, turn:-1, color:yellow, val:0.25, animation:reduction_one01]","conditions":"[condition:always]","priority":0}</v>
      </c>
      <c r="J120" s="35" t="s">
        <v>615</v>
      </c>
      <c r="K120" s="14">
        <v>3</v>
      </c>
    </row>
    <row r="121" spans="1:11" ht="21" customHeight="1" x14ac:dyDescent="0.15">
      <c r="A121" s="26">
        <v>612</v>
      </c>
      <c r="B121" s="2" t="s">
        <v>7</v>
      </c>
      <c r="C121" s="12" t="s">
        <v>201</v>
      </c>
      <c r="D121" s="12" t="s">
        <v>199</v>
      </c>
      <c r="E121" s="12" t="s">
        <v>171</v>
      </c>
      <c r="F121" s="35" t="s">
        <v>173</v>
      </c>
      <c r="G121" s="35" t="s">
        <v>200</v>
      </c>
      <c r="H121" s="12" t="s">
        <v>172</v>
      </c>
      <c r="I121" s="36" t="str">
        <f t="shared" si="1"/>
        <v>{"ver":"1.7.0","type":"ability","effects":"[effect:reduction, target:myself, turn:-1, color:all, val:0.10, animation:reduction_one01]","conditions":"[condition:always]","priority":0}</v>
      </c>
      <c r="J121" s="35" t="s">
        <v>615</v>
      </c>
      <c r="K121" s="14">
        <v>3</v>
      </c>
    </row>
    <row r="122" spans="1:11" ht="21" customHeight="1" x14ac:dyDescent="0.15">
      <c r="A122" s="26">
        <v>613</v>
      </c>
      <c r="B122" s="2" t="s">
        <v>7</v>
      </c>
      <c r="C122" s="12" t="s">
        <v>294</v>
      </c>
      <c r="D122" s="12" t="s">
        <v>295</v>
      </c>
      <c r="E122" s="12" t="s">
        <v>171</v>
      </c>
      <c r="F122" s="35" t="s">
        <v>173</v>
      </c>
      <c r="G122" s="35" t="s">
        <v>296</v>
      </c>
      <c r="H122" s="12" t="s">
        <v>172</v>
      </c>
      <c r="I122" s="36" t="str">
        <f t="shared" si="1"/>
        <v>{"ver":"1.7.0","type":"ability","effects":"[effect:reduction, target:myself, turn:-1, color:red, val:0.1, animation:reduction_one01]","conditions":"[condition:always]","priority":0}</v>
      </c>
      <c r="J122" s="35" t="s">
        <v>615</v>
      </c>
      <c r="K122" s="14">
        <v>3</v>
      </c>
    </row>
    <row r="123" spans="1:11" ht="21" customHeight="1" x14ac:dyDescent="0.15">
      <c r="A123" s="26">
        <v>614</v>
      </c>
      <c r="B123" s="2" t="s">
        <v>7</v>
      </c>
      <c r="C123" s="12" t="s">
        <v>262</v>
      </c>
      <c r="D123" s="12" t="s">
        <v>264</v>
      </c>
      <c r="E123" s="12" t="s">
        <v>171</v>
      </c>
      <c r="F123" s="35" t="s">
        <v>173</v>
      </c>
      <c r="G123" s="35" t="s">
        <v>267</v>
      </c>
      <c r="H123" s="12" t="s">
        <v>172</v>
      </c>
      <c r="I123" s="36" t="str">
        <f t="shared" si="1"/>
        <v>{"ver":"1.7.0","type":"ability","effects":"[effect:reduction, target:myself, turn:-1, color:blue, val:0.1, animation:reduction_one01]","conditions":"[condition:always]","priority":0}</v>
      </c>
      <c r="J123" s="35" t="s">
        <v>615</v>
      </c>
      <c r="K123" s="14">
        <v>3</v>
      </c>
    </row>
    <row r="124" spans="1:11" ht="21" customHeight="1" x14ac:dyDescent="0.15">
      <c r="A124" s="26">
        <v>615</v>
      </c>
      <c r="B124" s="2" t="s">
        <v>7</v>
      </c>
      <c r="C124" s="12" t="s">
        <v>263</v>
      </c>
      <c r="D124" s="12" t="s">
        <v>457</v>
      </c>
      <c r="E124" s="12" t="s">
        <v>171</v>
      </c>
      <c r="F124" s="35" t="s">
        <v>173</v>
      </c>
      <c r="G124" s="35" t="s">
        <v>268</v>
      </c>
      <c r="H124" s="12" t="s">
        <v>172</v>
      </c>
      <c r="I124" s="36" t="str">
        <f t="shared" si="1"/>
        <v>{"ver":"1.7.0","type":"ability","effects":"[effect:reduction, target:myself, turn:-1, color:green, val:0.1, animation:reduction_one01]","conditions":"[condition:always]","priority":0}</v>
      </c>
      <c r="J124" s="35" t="s">
        <v>615</v>
      </c>
      <c r="K124" s="14">
        <v>3</v>
      </c>
    </row>
    <row r="125" spans="1:11" ht="21" customHeight="1" x14ac:dyDescent="0.15">
      <c r="A125" s="26">
        <v>616</v>
      </c>
      <c r="B125" s="2" t="s">
        <v>7</v>
      </c>
      <c r="C125" s="12" t="s">
        <v>265</v>
      </c>
      <c r="D125" s="12" t="s">
        <v>266</v>
      </c>
      <c r="E125" s="12" t="s">
        <v>171</v>
      </c>
      <c r="F125" s="35" t="s">
        <v>173</v>
      </c>
      <c r="G125" s="35" t="s">
        <v>269</v>
      </c>
      <c r="H125" s="12" t="s">
        <v>172</v>
      </c>
      <c r="I125" s="36" t="str">
        <f t="shared" si="1"/>
        <v>{"ver":"1.7.0","type":"ability","effects":"[effect:reduction, target:myself, turn:-1, color:yellow, val:0.1, animation:reduction_one01]","conditions":"[condition:always]","priority":0}</v>
      </c>
      <c r="J125" s="35" t="s">
        <v>615</v>
      </c>
      <c r="K125" s="14">
        <v>3</v>
      </c>
    </row>
    <row r="126" spans="1:11" ht="21" customHeight="1" x14ac:dyDescent="0.15">
      <c r="A126" s="26">
        <v>617</v>
      </c>
      <c r="B126" s="2" t="s">
        <v>7</v>
      </c>
      <c r="C126" s="12" t="s">
        <v>307</v>
      </c>
      <c r="D126" s="12" t="s">
        <v>308</v>
      </c>
      <c r="E126" s="12" t="s">
        <v>171</v>
      </c>
      <c r="F126" s="35" t="s">
        <v>173</v>
      </c>
      <c r="G126" s="35" t="s">
        <v>309</v>
      </c>
      <c r="H126" s="12" t="s">
        <v>172</v>
      </c>
      <c r="I126" s="36" t="str">
        <f t="shared" si="1"/>
        <v>{"ver":"1.7.0","type":"ability","effects":"[effect:reduction, target:myself, turn:-1, tribe:god, val:0.25, animation:reduction_one01]","conditions":"[condition:always]","priority":0}</v>
      </c>
      <c r="J126" s="35" t="s">
        <v>615</v>
      </c>
      <c r="K126" s="14">
        <v>3</v>
      </c>
    </row>
    <row r="127" spans="1:11" ht="21" customHeight="1" x14ac:dyDescent="0.15">
      <c r="A127" s="26">
        <v>618</v>
      </c>
      <c r="B127" s="2" t="s">
        <v>7</v>
      </c>
      <c r="C127" s="12" t="s">
        <v>458</v>
      </c>
      <c r="D127" s="12" t="s">
        <v>459</v>
      </c>
      <c r="E127" s="12" t="s">
        <v>171</v>
      </c>
      <c r="F127" s="35" t="s">
        <v>173</v>
      </c>
      <c r="G127" s="35" t="s">
        <v>453</v>
      </c>
      <c r="H127" s="12" t="s">
        <v>172</v>
      </c>
      <c r="I127" s="36" t="str">
        <f t="shared" si="1"/>
        <v>{"ver":"1.7.0","type":"ability","effects":"[effect:reduction, target:myself, turn:-1, color:red, val:0.08, animation:reduction_one01]","conditions":"[condition:always]","priority":0}</v>
      </c>
      <c r="J127" s="35" t="s">
        <v>615</v>
      </c>
      <c r="K127" s="14">
        <v>3</v>
      </c>
    </row>
    <row r="128" spans="1:11" ht="21" customHeight="1" x14ac:dyDescent="0.15">
      <c r="A128" s="26">
        <v>619</v>
      </c>
      <c r="B128" s="2" t="s">
        <v>7</v>
      </c>
      <c r="C128" s="12" t="s">
        <v>450</v>
      </c>
      <c r="D128" s="12" t="s">
        <v>460</v>
      </c>
      <c r="E128" s="12" t="s">
        <v>171</v>
      </c>
      <c r="F128" s="35" t="s">
        <v>173</v>
      </c>
      <c r="G128" s="35" t="s">
        <v>454</v>
      </c>
      <c r="H128" s="12" t="s">
        <v>172</v>
      </c>
      <c r="I128" s="36" t="str">
        <f t="shared" si="1"/>
        <v>{"ver":"1.7.0","type":"ability","effects":"[effect:reduction, target:myself, turn:-1, color:blue, val:0.08, animation:reduction_one01]","conditions":"[condition:always]","priority":0}</v>
      </c>
      <c r="J128" s="35" t="s">
        <v>615</v>
      </c>
      <c r="K128" s="14">
        <v>3</v>
      </c>
    </row>
    <row r="129" spans="1:11" ht="21" customHeight="1" x14ac:dyDescent="0.15">
      <c r="A129" s="26">
        <v>620</v>
      </c>
      <c r="B129" s="2" t="s">
        <v>7</v>
      </c>
      <c r="C129" s="12" t="s">
        <v>451</v>
      </c>
      <c r="D129" s="12" t="s">
        <v>461</v>
      </c>
      <c r="E129" s="12" t="s">
        <v>171</v>
      </c>
      <c r="F129" s="35" t="s">
        <v>173</v>
      </c>
      <c r="G129" s="35" t="s">
        <v>455</v>
      </c>
      <c r="H129" s="12" t="s">
        <v>172</v>
      </c>
      <c r="I129" s="36" t="str">
        <f t="shared" si="1"/>
        <v>{"ver":"1.7.0","type":"ability","effects":"[effect:reduction, target:myself, turn:-1, color:green, val:0.08, animation:reduction_one01]","conditions":"[condition:always]","priority":0}</v>
      </c>
      <c r="J129" s="35" t="s">
        <v>615</v>
      </c>
      <c r="K129" s="14">
        <v>3</v>
      </c>
    </row>
    <row r="130" spans="1:11" ht="21" customHeight="1" x14ac:dyDescent="0.15">
      <c r="A130" s="26">
        <v>621</v>
      </c>
      <c r="B130" s="2" t="s">
        <v>7</v>
      </c>
      <c r="C130" s="12" t="s">
        <v>452</v>
      </c>
      <c r="D130" s="12" t="s">
        <v>462</v>
      </c>
      <c r="E130" s="12" t="s">
        <v>171</v>
      </c>
      <c r="F130" s="35" t="s">
        <v>173</v>
      </c>
      <c r="G130" s="35" t="s">
        <v>456</v>
      </c>
      <c r="H130" s="12" t="s">
        <v>172</v>
      </c>
      <c r="I130" s="36" t="str">
        <f t="shared" si="1"/>
        <v>{"ver":"1.7.0","type":"ability","effects":"[effect:reduction, target:myself, turn:-1, color:yellow, val:0.08, animation:reduction_one01]","conditions":"[condition:always]","priority":0}</v>
      </c>
      <c r="J130" s="35" t="s">
        <v>615</v>
      </c>
      <c r="K130" s="14">
        <v>3</v>
      </c>
    </row>
    <row r="131" spans="1:11" ht="21" customHeight="1" x14ac:dyDescent="0.15">
      <c r="A131" s="26">
        <v>622</v>
      </c>
      <c r="B131" s="2" t="s">
        <v>7</v>
      </c>
      <c r="C131" s="12" t="s">
        <v>588</v>
      </c>
      <c r="D131" s="12" t="s">
        <v>589</v>
      </c>
      <c r="E131" s="12" t="s">
        <v>171</v>
      </c>
      <c r="F131" s="35" t="s">
        <v>173</v>
      </c>
      <c r="G131" s="35" t="s">
        <v>591</v>
      </c>
      <c r="H131" s="12" t="s">
        <v>172</v>
      </c>
      <c r="I131" s="36" t="str">
        <f t="shared" si="1"/>
        <v>{"ver":"1.7.0","type":"ability","effects":"[effect:reduction, target:myself, turn:-1, color:red, val:0.15, animation:reduction_one01],[effect:reduction, target:myself, turn:-1, color:blue, val:0.15, animation:reduction_one01]","conditions":"[condition:always]","priority":0}</v>
      </c>
      <c r="J131" s="35" t="s">
        <v>615</v>
      </c>
      <c r="K131" s="14">
        <v>3</v>
      </c>
    </row>
    <row r="132" spans="1:11" ht="21" customHeight="1" x14ac:dyDescent="0.15">
      <c r="A132" s="26">
        <v>623</v>
      </c>
      <c r="B132" s="2" t="s">
        <v>7</v>
      </c>
      <c r="C132" s="12" t="s">
        <v>1039</v>
      </c>
      <c r="D132" s="12" t="s">
        <v>1040</v>
      </c>
      <c r="E132" s="12" t="s">
        <v>171</v>
      </c>
      <c r="F132" s="12" t="s">
        <v>505</v>
      </c>
      <c r="G132" s="35" t="s">
        <v>978</v>
      </c>
      <c r="H132" s="12" t="s">
        <v>172</v>
      </c>
      <c r="I132" s="36" t="str">
        <f t="shared" ref="I132:I133" si="4">"{"&amp;""""&amp;$E$1&amp;""""&amp;":"&amp;""""&amp;E132&amp;""""&amp;","&amp;""""&amp;"type"&amp;""""&amp;":"&amp;""""&amp;"ability"&amp;""""&amp;","&amp;""""&amp;$G$1&amp;""""&amp;":"&amp;""""&amp;G132&amp;""""&amp;","&amp;""""&amp;$F$1&amp;""""&amp;":"&amp;""""&amp;F132&amp;""""&amp;","&amp;""""&amp;$H$1&amp;""""&amp;":"&amp;H132&amp;"}"</f>
        <v>{"ver":"1.7.0","type":"ability","effects":"[effect:reduction, target:myself, turn:-1, color:red, val:0.2, animation:reduction_one01],[effect:reduction, target:myself, turn:-1, color:green, val:0.2, animation:reduction_one01]","conditions":"[condition:save_every_turn,each:4,count_type:normal]","priority":0}</v>
      </c>
      <c r="J132" s="35" t="s">
        <v>615</v>
      </c>
      <c r="K132" s="14">
        <v>3</v>
      </c>
    </row>
    <row r="133" spans="1:11" ht="21" customHeight="1" x14ac:dyDescent="0.15">
      <c r="A133" s="26">
        <v>624</v>
      </c>
      <c r="B133" s="2" t="s">
        <v>7</v>
      </c>
      <c r="C133" s="12" t="s">
        <v>1036</v>
      </c>
      <c r="D133" s="12" t="s">
        <v>1037</v>
      </c>
      <c r="E133" s="12" t="s">
        <v>171</v>
      </c>
      <c r="F133" s="35" t="s">
        <v>173</v>
      </c>
      <c r="G133" s="35" t="s">
        <v>1038</v>
      </c>
      <c r="H133" s="12" t="s">
        <v>172</v>
      </c>
      <c r="I133" s="36" t="str">
        <f t="shared" si="4"/>
        <v>{"ver":"1.7.0","type":"ability","effects":"[effect:reduction, target:myself, turn:-1, tribe:god, val:0.10, animation:reduction_one01]","conditions":"[condition:always]","priority":0}</v>
      </c>
      <c r="J133" s="35" t="s">
        <v>614</v>
      </c>
      <c r="K133" s="14">
        <v>3</v>
      </c>
    </row>
    <row r="134" spans="1:11" ht="21" customHeight="1" x14ac:dyDescent="0.15">
      <c r="A134" s="26">
        <v>700</v>
      </c>
      <c r="B134" s="2" t="s">
        <v>7</v>
      </c>
      <c r="C134" s="12" t="s">
        <v>227</v>
      </c>
      <c r="D134" s="12" t="s">
        <v>547</v>
      </c>
      <c r="E134" s="12" t="s">
        <v>171</v>
      </c>
      <c r="F134" s="35" t="s">
        <v>228</v>
      </c>
      <c r="G134" s="35" t="s">
        <v>241</v>
      </c>
      <c r="H134" s="12" t="s">
        <v>172</v>
      </c>
      <c r="I134" s="36" t="str">
        <f t="shared" si="1"/>
        <v>{"ver":"1.7.0","type":"ability","effects":"[effect:regenerate, turn:-1, target:unit_all, val:0.2, type:hp_ratio, animation:heal01_unit01]","conditions":"[condition:every_floor]","priority":0}</v>
      </c>
      <c r="J134" s="35" t="s">
        <v>623</v>
      </c>
      <c r="K134" s="14">
        <v>3</v>
      </c>
    </row>
    <row r="135" spans="1:11" ht="21" customHeight="1" x14ac:dyDescent="0.15">
      <c r="A135" s="41">
        <v>701</v>
      </c>
      <c r="B135" s="2" t="s">
        <v>7</v>
      </c>
      <c r="C135" s="12" t="s">
        <v>510</v>
      </c>
      <c r="D135" s="12" t="s">
        <v>511</v>
      </c>
      <c r="E135" s="12" t="s">
        <v>171</v>
      </c>
      <c r="F135" s="35" t="s">
        <v>228</v>
      </c>
      <c r="G135" s="35" t="s">
        <v>513</v>
      </c>
      <c r="H135" s="12" t="s">
        <v>172</v>
      </c>
      <c r="I135" s="36" t="str">
        <f t="shared" ref="I135:I228" si="5">"{"&amp;""""&amp;$E$1&amp;""""&amp;":"&amp;""""&amp;E135&amp;""""&amp;","&amp;""""&amp;"type"&amp;""""&amp;":"&amp;""""&amp;"ability"&amp;""""&amp;","&amp;""""&amp;$G$1&amp;""""&amp;":"&amp;""""&amp;G135&amp;""""&amp;","&amp;""""&amp;$F$1&amp;""""&amp;":"&amp;""""&amp;F135&amp;""""&amp;","&amp;""""&amp;$H$1&amp;""""&amp;":"&amp;H135&amp;"}"</f>
        <v>{"ver":"1.7.0","type":"ability","effects":"[effect:enhance_unit, target:all, turn:-1, status:defense, val:400, calc:add, animation:enhance_unit_all_defense01_unit01]","conditions":"[condition:every_floor]","priority":0}</v>
      </c>
      <c r="J135" s="35" t="s">
        <v>624</v>
      </c>
      <c r="K135" s="14">
        <v>3</v>
      </c>
    </row>
    <row r="136" spans="1:11" ht="21" customHeight="1" x14ac:dyDescent="0.15">
      <c r="A136" s="26">
        <v>702</v>
      </c>
      <c r="B136" s="2" t="s">
        <v>7</v>
      </c>
      <c r="C136" s="12" t="s">
        <v>985</v>
      </c>
      <c r="D136" s="12" t="s">
        <v>986</v>
      </c>
      <c r="E136" s="12" t="s">
        <v>171</v>
      </c>
      <c r="F136" s="12" t="s">
        <v>550</v>
      </c>
      <c r="G136" s="35" t="s">
        <v>984</v>
      </c>
      <c r="H136" s="12" t="s">
        <v>172</v>
      </c>
      <c r="I136" s="36" t="str">
        <f t="shared" si="5"/>
        <v>{"ver":"1.7.0","type":"ability","effects":"[effect:regenerate, turn:1, target:unit_all, val:1, type:hp_ratio, animation:heal01_unit01]","conditions":"[condition:boss_floor]","priority":0}</v>
      </c>
      <c r="J136" s="35" t="s">
        <v>623</v>
      </c>
      <c r="K136" s="14">
        <v>3</v>
      </c>
    </row>
    <row r="137" spans="1:11" ht="21" customHeight="1" x14ac:dyDescent="0.15">
      <c r="A137" s="26">
        <v>800</v>
      </c>
      <c r="B137" s="27" t="s">
        <v>232</v>
      </c>
      <c r="C137" s="39" t="s">
        <v>233</v>
      </c>
      <c r="D137" s="12" t="s">
        <v>234</v>
      </c>
      <c r="E137" s="12" t="s">
        <v>235</v>
      </c>
      <c r="F137" s="12" t="s">
        <v>236</v>
      </c>
      <c r="G137" s="38" t="s">
        <v>238</v>
      </c>
      <c r="H137" s="12" t="s">
        <v>172</v>
      </c>
      <c r="I137" s="36" t="str">
        <f t="shared" si="5"/>
        <v>{"ver":"1.7.0","type":"ability","effects":"[effect:enhance_unit, target:myself, turn:1, status:attack, val:0.2, calc:mul, animation:enhance_unit_all_attack03]","conditions":"[condition:enclose,[condition:active_unit],[condition:panel_total,count:30],logic:and]","priority":0}</v>
      </c>
      <c r="J137" s="35" t="s">
        <v>625</v>
      </c>
      <c r="K137" s="14">
        <v>3</v>
      </c>
    </row>
    <row r="138" spans="1:11" ht="21" customHeight="1" x14ac:dyDescent="0.15">
      <c r="A138" s="26">
        <v>801</v>
      </c>
      <c r="B138" s="27" t="s">
        <v>232</v>
      </c>
      <c r="C138" s="39" t="s">
        <v>250</v>
      </c>
      <c r="D138" s="12" t="s">
        <v>254</v>
      </c>
      <c r="E138" s="12" t="s">
        <v>235</v>
      </c>
      <c r="F138" s="12" t="s">
        <v>236</v>
      </c>
      <c r="G138" s="38" t="s">
        <v>253</v>
      </c>
      <c r="H138" s="12" t="s">
        <v>172</v>
      </c>
      <c r="I138" s="36" t="str">
        <f t="shared" si="5"/>
        <v>{"ver":"1.7.0","type":"ability","effects":"[effect:enhance_unit, target:myself, turn:1, status:heal, val:0.4, calc:mul, animation:enhance_unit_all_heal02_unit01]","conditions":"[condition:enclose,[condition:active_unit],[condition:panel_total,count:30],logic:and]","priority":0}</v>
      </c>
      <c r="J138" s="35" t="s">
        <v>626</v>
      </c>
      <c r="K138" s="14">
        <v>3</v>
      </c>
    </row>
    <row r="139" spans="1:11" ht="21" customHeight="1" x14ac:dyDescent="0.15">
      <c r="A139" s="26">
        <v>802</v>
      </c>
      <c r="B139" s="27" t="s">
        <v>232</v>
      </c>
      <c r="C139" s="39" t="s">
        <v>312</v>
      </c>
      <c r="D139" s="12" t="s">
        <v>313</v>
      </c>
      <c r="E139" s="12" t="s">
        <v>235</v>
      </c>
      <c r="F139" s="12" t="s">
        <v>236</v>
      </c>
      <c r="G139" s="38" t="s">
        <v>321</v>
      </c>
      <c r="H139" s="12" t="s">
        <v>172</v>
      </c>
      <c r="I139" s="36" t="str">
        <f t="shared" si="5"/>
        <v>{"ver":"1.7.0","type":"ability","effects":"[effect:enhance_unit, target:myself, turn:1, status:defense, val:360, calc:add, animation:enhance_unit_all_defense01_unit01]","conditions":"[condition:enclose,[condition:active_unit],[condition:panel_total,count:30],logic:and]","priority":0}</v>
      </c>
      <c r="J139" s="35" t="s">
        <v>624</v>
      </c>
      <c r="K139" s="14">
        <v>3</v>
      </c>
    </row>
    <row r="140" spans="1:11" ht="21" customHeight="1" x14ac:dyDescent="0.15">
      <c r="A140" s="26">
        <v>803</v>
      </c>
      <c r="B140" s="27" t="s">
        <v>232</v>
      </c>
      <c r="C140" s="39" t="s">
        <v>314</v>
      </c>
      <c r="D140" s="12" t="s">
        <v>317</v>
      </c>
      <c r="E140" s="12" t="s">
        <v>235</v>
      </c>
      <c r="F140" s="12" t="s">
        <v>236</v>
      </c>
      <c r="G140" s="38" t="s">
        <v>320</v>
      </c>
      <c r="H140" s="12" t="s">
        <v>172</v>
      </c>
      <c r="I140" s="36" t="str">
        <f t="shared" si="5"/>
        <v>{"ver":"1.7.0","type":"ability","effects":"[effect:enhance_unit, target:myself, turn:1, status:defense, val:720, calc:add, animation:enhance_unit_all_defense02_unit01]","conditions":"[condition:enclose,[condition:active_unit],[condition:panel_total,count:30],logic:and]","priority":0}</v>
      </c>
      <c r="J140" s="35" t="s">
        <v>624</v>
      </c>
      <c r="K140" s="14">
        <v>3</v>
      </c>
    </row>
    <row r="141" spans="1:11" ht="21" customHeight="1" x14ac:dyDescent="0.15">
      <c r="A141" s="26">
        <v>804</v>
      </c>
      <c r="B141" s="27" t="s">
        <v>232</v>
      </c>
      <c r="C141" s="39" t="s">
        <v>315</v>
      </c>
      <c r="D141" s="12" t="s">
        <v>318</v>
      </c>
      <c r="E141" s="12" t="s">
        <v>235</v>
      </c>
      <c r="F141" s="12" t="s">
        <v>236</v>
      </c>
      <c r="G141" s="38" t="s">
        <v>322</v>
      </c>
      <c r="H141" s="12" t="s">
        <v>172</v>
      </c>
      <c r="I141" s="36" t="str">
        <f t="shared" si="5"/>
        <v>{"ver":"1.7.0","type":"ability","effects":"[effect:enhance_unit, target:myself, turn:1, status:defense, val:1080, calc:add, animation:enhance_unit_all_defense03_unit01]","conditions":"[condition:enclose,[condition:active_unit],[condition:panel_total,count:30],logic:and]","priority":0}</v>
      </c>
      <c r="J141" s="35" t="s">
        <v>624</v>
      </c>
      <c r="K141" s="14">
        <v>3</v>
      </c>
    </row>
    <row r="142" spans="1:11" ht="21" customHeight="1" x14ac:dyDescent="0.15">
      <c r="A142" s="26">
        <v>805</v>
      </c>
      <c r="B142" s="27" t="s">
        <v>232</v>
      </c>
      <c r="C142" s="39" t="s">
        <v>316</v>
      </c>
      <c r="D142" s="12" t="s">
        <v>319</v>
      </c>
      <c r="E142" s="12" t="s">
        <v>235</v>
      </c>
      <c r="F142" s="12" t="s">
        <v>236</v>
      </c>
      <c r="G142" s="38" t="s">
        <v>323</v>
      </c>
      <c r="H142" s="12" t="s">
        <v>172</v>
      </c>
      <c r="I142" s="36" t="str">
        <f t="shared" si="5"/>
        <v>{"ver":"1.7.0","type":"ability","effects":"[effect:enhance_unit, target:myself, turn:1, status:defense, val:1440, calc:add, animation:enhance_unit_all_defense04_unit01]","conditions":"[condition:enclose,[condition:active_unit],[condition:panel_total,count:30],logic:and]","priority":0}</v>
      </c>
      <c r="J142" s="35" t="s">
        <v>624</v>
      </c>
      <c r="K142" s="14">
        <v>3</v>
      </c>
    </row>
    <row r="143" spans="1:11" ht="21" customHeight="1" x14ac:dyDescent="0.15">
      <c r="A143" s="26">
        <v>806</v>
      </c>
      <c r="B143" s="27" t="s">
        <v>38</v>
      </c>
      <c r="C143" s="39" t="s">
        <v>365</v>
      </c>
      <c r="D143" s="12" t="s">
        <v>367</v>
      </c>
      <c r="E143" s="12" t="s">
        <v>171</v>
      </c>
      <c r="F143" s="12" t="s">
        <v>366</v>
      </c>
      <c r="G143" s="38" t="s">
        <v>368</v>
      </c>
      <c r="H143" s="12" t="s">
        <v>172</v>
      </c>
      <c r="I143" s="36" t="str">
        <f t="shared" si="5"/>
        <v>{"ver":"1.7.0","type":"ability","effects":"[effect:enhance_unit, target:unit_all, turn:1, status:defense, val:300, calc:add, animation:enhance_unit_all_defense02_unit01]","conditions":"[condition:panel_total,count:10,type:crack_bomb]","priority":0}</v>
      </c>
      <c r="J143" s="35" t="s">
        <v>624</v>
      </c>
      <c r="K143" s="14">
        <v>3</v>
      </c>
    </row>
    <row r="144" spans="1:11" ht="21" customHeight="1" x14ac:dyDescent="0.15">
      <c r="A144" s="26">
        <v>807</v>
      </c>
      <c r="B144" s="27" t="s">
        <v>7</v>
      </c>
      <c r="C144" s="39" t="s">
        <v>632</v>
      </c>
      <c r="D144" s="12" t="s">
        <v>376</v>
      </c>
      <c r="E144" s="12" t="s">
        <v>171</v>
      </c>
      <c r="F144" s="12" t="s">
        <v>377</v>
      </c>
      <c r="G144" s="38" t="s">
        <v>378</v>
      </c>
      <c r="H144" s="12" t="s">
        <v>172</v>
      </c>
      <c r="I144" s="36" t="str">
        <f t="shared" si="5"/>
        <v>{"ver":"1.7.0","type":"ability","effects":"[effect:enhance_fever_status, val:50, animation:fevergauge_up04_next]","conditions":"[condition:enclose,[condition:active_unit],[condition:panel_total,count:18],logic:and]","priority":0}</v>
      </c>
      <c r="J144" s="35" t="s">
        <v>613</v>
      </c>
      <c r="K144" s="14">
        <v>3</v>
      </c>
    </row>
    <row r="145" spans="1:11" ht="21" customHeight="1" x14ac:dyDescent="0.15">
      <c r="A145" s="26">
        <v>808</v>
      </c>
      <c r="B145" s="27" t="s">
        <v>7</v>
      </c>
      <c r="C145" s="39" t="s">
        <v>382</v>
      </c>
      <c r="D145" s="12" t="s">
        <v>383</v>
      </c>
      <c r="E145" s="12" t="s">
        <v>235</v>
      </c>
      <c r="F145" s="12" t="s">
        <v>385</v>
      </c>
      <c r="G145" s="38" t="s">
        <v>384</v>
      </c>
      <c r="H145" s="12" t="s">
        <v>172</v>
      </c>
      <c r="I145" s="36" t="str">
        <f t="shared" si="5"/>
        <v>{"ver":"1.7.0","type":"ability","effects":"[effect:enhance_unit, target:unit_blue, turn:1, status:defense, val:400, calc:add, animation:enhance_unit_all_defense01_unit01]","conditions":"[condition:enclose,[condition:active_unit],[condition:panel_total,count:40],logic:and]","priority":0}</v>
      </c>
      <c r="J145" s="35" t="s">
        <v>624</v>
      </c>
      <c r="K145" s="14">
        <v>3</v>
      </c>
    </row>
    <row r="146" spans="1:11" ht="21" customHeight="1" x14ac:dyDescent="0.15">
      <c r="A146" s="26">
        <v>809</v>
      </c>
      <c r="B146" s="27" t="s">
        <v>7</v>
      </c>
      <c r="C146" s="39" t="s">
        <v>391</v>
      </c>
      <c r="D146" s="12" t="s">
        <v>392</v>
      </c>
      <c r="E146" s="12" t="s">
        <v>171</v>
      </c>
      <c r="F146" s="12" t="s">
        <v>393</v>
      </c>
      <c r="G146" s="38" t="s">
        <v>238</v>
      </c>
      <c r="H146" s="12" t="s">
        <v>172</v>
      </c>
      <c r="I146" s="36" t="str">
        <f t="shared" si="5"/>
        <v>{"ver":"1.7.0","type":"ability","effects":"[effect:enhance_unit, target:myself, turn:1, status:attack, val:0.2, calc:mul, animation:enhance_unit_all_attack03]","conditions":"[condition:enclose,[condition:active_unit],[condition:panel_total,count:40],logic:and]","priority":0}</v>
      </c>
      <c r="J146" s="35" t="s">
        <v>625</v>
      </c>
      <c r="K146" s="14">
        <v>3</v>
      </c>
    </row>
    <row r="147" spans="1:11" ht="21" customHeight="1" x14ac:dyDescent="0.15">
      <c r="A147" s="26">
        <v>810</v>
      </c>
      <c r="B147" s="27" t="s">
        <v>7</v>
      </c>
      <c r="C147" s="39" t="s">
        <v>394</v>
      </c>
      <c r="D147" s="12" t="s">
        <v>446</v>
      </c>
      <c r="E147" s="12" t="s">
        <v>171</v>
      </c>
      <c r="F147" s="12" t="s">
        <v>395</v>
      </c>
      <c r="G147" s="38" t="s">
        <v>396</v>
      </c>
      <c r="H147" s="12" t="s">
        <v>172</v>
      </c>
      <c r="I147" s="36" t="str">
        <f t="shared" si="5"/>
        <v>{"ver":"1.7.0","type":"ability","effects":"[effect:enhance_unit, target:myself, turn:1, status:attack, val:0.1, calc:mul, animation:enhance_unit_all_attack02]","conditions":"[condition:enclose,[condition:active_unit],[condition:panel_total,count:40],logic:and]","priority":0}</v>
      </c>
      <c r="J147" s="35" t="s">
        <v>625</v>
      </c>
      <c r="K147" s="14">
        <v>3</v>
      </c>
    </row>
    <row r="148" spans="1:11" ht="21" customHeight="1" x14ac:dyDescent="0.15">
      <c r="A148" s="26">
        <v>811</v>
      </c>
      <c r="B148" s="27" t="s">
        <v>7</v>
      </c>
      <c r="C148" s="39" t="s">
        <v>415</v>
      </c>
      <c r="D148" s="12" t="s">
        <v>445</v>
      </c>
      <c r="E148" s="12" t="s">
        <v>171</v>
      </c>
      <c r="F148" s="12" t="s">
        <v>236</v>
      </c>
      <c r="G148" s="38" t="s">
        <v>396</v>
      </c>
      <c r="H148" s="12" t="s">
        <v>172</v>
      </c>
      <c r="I148" s="36" t="str">
        <f t="shared" si="5"/>
        <v>{"ver":"1.7.0","type":"ability","effects":"[effect:enhance_unit, target:myself, turn:1, status:attack, val:0.1, calc:mul, animation:enhance_unit_all_attack02]","conditions":"[condition:enclose,[condition:active_unit],[condition:panel_total,count:30],logic:and]","priority":0}</v>
      </c>
      <c r="J148" s="35" t="s">
        <v>625</v>
      </c>
      <c r="K148" s="14">
        <v>3</v>
      </c>
    </row>
    <row r="149" spans="1:11" ht="21" customHeight="1" x14ac:dyDescent="0.15">
      <c r="A149" s="26">
        <v>812</v>
      </c>
      <c r="B149" s="27" t="s">
        <v>7</v>
      </c>
      <c r="C149" s="39" t="s">
        <v>416</v>
      </c>
      <c r="D149" s="12" t="s">
        <v>417</v>
      </c>
      <c r="E149" s="12" t="s">
        <v>171</v>
      </c>
      <c r="F149" s="12" t="s">
        <v>418</v>
      </c>
      <c r="G149" s="38" t="s">
        <v>419</v>
      </c>
      <c r="H149" s="12" t="s">
        <v>172</v>
      </c>
      <c r="I149" s="36" t="str">
        <f t="shared" si="5"/>
        <v>{"ver":"1.7.0","type":"ability","effects":"[effect:regenerate, target:unit_all, turn:1, val:0.09, type:hp_ratio, animation:heal01]","conditions":"[condition:enclose,[condition:active_unit],[condition:panel_total,count:40],logic:and]","priority":0}</v>
      </c>
      <c r="J149" s="35" t="s">
        <v>623</v>
      </c>
      <c r="K149" s="14">
        <v>3</v>
      </c>
    </row>
    <row r="150" spans="1:11" ht="21" customHeight="1" x14ac:dyDescent="0.15">
      <c r="A150" s="26">
        <v>813</v>
      </c>
      <c r="B150" s="27" t="s">
        <v>7</v>
      </c>
      <c r="C150" s="39" t="s">
        <v>474</v>
      </c>
      <c r="D150" s="12" t="s">
        <v>475</v>
      </c>
      <c r="E150" s="12" t="s">
        <v>171</v>
      </c>
      <c r="F150" s="12" t="s">
        <v>476</v>
      </c>
      <c r="G150" s="38" t="s">
        <v>477</v>
      </c>
      <c r="H150" s="12" t="s">
        <v>172</v>
      </c>
      <c r="I150" s="36" t="str">
        <f t="shared" si="5"/>
        <v>{"ver":"1.7.0","type":"ability","effects":"[effect:enhance_unit, target:myself, turn:1, status:attack, val:2140, calc:add, animation:enhance_unit_one_attack03]","conditions":"[condition:enclose,[condition:active_unit],[condition:panel_total,count:100],logic:and]","priority":0}</v>
      </c>
      <c r="J150" s="35" t="s">
        <v>625</v>
      </c>
      <c r="K150" s="14">
        <v>3</v>
      </c>
    </row>
    <row r="151" spans="1:11" ht="21" customHeight="1" x14ac:dyDescent="0.15">
      <c r="A151" s="26">
        <v>814</v>
      </c>
      <c r="B151" s="27" t="s">
        <v>7</v>
      </c>
      <c r="C151" s="39" t="s">
        <v>647</v>
      </c>
      <c r="D151" s="12" t="s">
        <v>667</v>
      </c>
      <c r="E151" s="12" t="s">
        <v>171</v>
      </c>
      <c r="F151" s="12" t="s">
        <v>481</v>
      </c>
      <c r="G151" s="38" t="s">
        <v>952</v>
      </c>
      <c r="H151" s="12" t="s">
        <v>172</v>
      </c>
      <c r="I151" s="36" t="str">
        <f t="shared" si="5"/>
        <v>{"ver":"1.7.0","type":"ability","effects":"[effect:enhance_unit, target:myself, turn:1, status:action, val:1, calc:add, animation:enhance_unit_one_action01]","conditions":"[condition:enclose,[condition:active_unit],[condition:panel_total,count:50],logic:and]","priority":0}</v>
      </c>
      <c r="J151" s="35" t="s">
        <v>613</v>
      </c>
      <c r="K151" s="14">
        <v>3</v>
      </c>
    </row>
    <row r="152" spans="1:11" ht="21" customHeight="1" x14ac:dyDescent="0.15">
      <c r="A152" s="26">
        <v>815</v>
      </c>
      <c r="B152" s="27" t="s">
        <v>7</v>
      </c>
      <c r="C152" s="39" t="s">
        <v>915</v>
      </c>
      <c r="D152" s="12" t="s">
        <v>483</v>
      </c>
      <c r="E152" s="12" t="s">
        <v>171</v>
      </c>
      <c r="F152" s="12" t="s">
        <v>481</v>
      </c>
      <c r="G152" s="38" t="s">
        <v>484</v>
      </c>
      <c r="H152" s="12" t="s">
        <v>172</v>
      </c>
      <c r="I152" s="36" t="str">
        <f t="shared" si="5"/>
        <v>{"ver":"1.7.0","type":"ability","effects":"[effect:regenerate, target:unit_all, turn:1, val:0.22, type:hp_ratio, animation:heal01]","conditions":"[condition:enclose,[condition:active_unit],[condition:panel_total,count:50],logic:and]","priority":0}</v>
      </c>
      <c r="J152" s="35" t="s">
        <v>623</v>
      </c>
      <c r="K152" s="14">
        <v>3</v>
      </c>
    </row>
    <row r="153" spans="1:11" ht="21" customHeight="1" x14ac:dyDescent="0.15">
      <c r="A153" s="26">
        <v>816</v>
      </c>
      <c r="B153" s="27" t="s">
        <v>7</v>
      </c>
      <c r="C153" s="39" t="s">
        <v>499</v>
      </c>
      <c r="D153" s="12" t="s">
        <v>500</v>
      </c>
      <c r="E153" s="12" t="s">
        <v>171</v>
      </c>
      <c r="F153" s="12" t="s">
        <v>366</v>
      </c>
      <c r="G153" s="38" t="s">
        <v>503</v>
      </c>
      <c r="H153" s="12" t="s">
        <v>172</v>
      </c>
      <c r="I153" s="36" t="str">
        <f t="shared" si="5"/>
        <v>{"ver":"1.7.0","type":"ability","effects":"[effect:enhance_unit, target:unit_yellow, turn:1, status:attack, val:500, calc:add, animation:enhance_unit_all_attack02_unit01]","conditions":"[condition:panel_total,count:10,type:crack_bomb]","priority":0}</v>
      </c>
      <c r="J153" s="35" t="s">
        <v>625</v>
      </c>
      <c r="K153" s="14">
        <v>3</v>
      </c>
    </row>
    <row r="154" spans="1:11" ht="21" customHeight="1" x14ac:dyDescent="0.15">
      <c r="A154" s="41">
        <v>817</v>
      </c>
      <c r="B154" s="27" t="s">
        <v>7</v>
      </c>
      <c r="C154" s="39" t="s">
        <v>514</v>
      </c>
      <c r="D154" s="12" t="s">
        <v>642</v>
      </c>
      <c r="E154" s="12" t="s">
        <v>171</v>
      </c>
      <c r="F154" s="12" t="s">
        <v>644</v>
      </c>
      <c r="G154" s="38" t="s">
        <v>517</v>
      </c>
      <c r="H154" s="12" t="s">
        <v>172</v>
      </c>
      <c r="I154" s="36" t="str">
        <f t="shared" si="5"/>
        <v>{"ver":"1.7.0","type":"ability","effects":"[effect:crash_condition, target:myself, turn:1, val:-12, animation:crash_panel_reduce05] ","conditions":"[condition:enclose,[condition:active_unit],[condition:panel_total,count:50],logic:and]","priority":0}</v>
      </c>
      <c r="J154" s="35" t="s">
        <v>630</v>
      </c>
      <c r="K154" s="14">
        <v>3</v>
      </c>
    </row>
    <row r="155" spans="1:11" ht="21" customHeight="1" x14ac:dyDescent="0.15">
      <c r="A155" s="26">
        <v>818</v>
      </c>
      <c r="B155" s="27" t="s">
        <v>7</v>
      </c>
      <c r="C155" s="39" t="s">
        <v>531</v>
      </c>
      <c r="D155" s="12" t="s">
        <v>527</v>
      </c>
      <c r="E155" s="12" t="s">
        <v>171</v>
      </c>
      <c r="F155" s="12" t="s">
        <v>528</v>
      </c>
      <c r="G155" s="38" t="s">
        <v>529</v>
      </c>
      <c r="H155" s="12" t="s">
        <v>172</v>
      </c>
      <c r="I155" s="36" t="str">
        <f t="shared" si="5"/>
        <v>{"ver":"1.7.0","type":"ability","effects":"[effect:enhance_unit, target:unit_red/unit_green/or, turn:1, status:defense, val:330, calc:add, animation:enhance_unit_all_defense01_unit01]","conditions":"[condition:enclose,[condition:active_unit],[condition:panel_total,count:33],logic:and]","priority":0}</v>
      </c>
      <c r="J155" s="35" t="s">
        <v>624</v>
      </c>
      <c r="K155" s="14">
        <v>3</v>
      </c>
    </row>
    <row r="156" spans="1:11" ht="21" customHeight="1" x14ac:dyDescent="0.15">
      <c r="A156" s="26">
        <v>819</v>
      </c>
      <c r="B156" s="27" t="s">
        <v>232</v>
      </c>
      <c r="C156" s="39" t="s">
        <v>524</v>
      </c>
      <c r="D156" s="12" t="s">
        <v>525</v>
      </c>
      <c r="E156" s="12" t="s">
        <v>171</v>
      </c>
      <c r="F156" s="12" t="s">
        <v>526</v>
      </c>
      <c r="G156" s="38" t="s">
        <v>253</v>
      </c>
      <c r="H156" s="12" t="s">
        <v>172</v>
      </c>
      <c r="I156" s="36" t="str">
        <f t="shared" si="5"/>
        <v>{"ver":"1.7.0","type":"ability","effects":"[effect:enhance_unit, target:myself, turn:1, status:heal, val:0.4, calc:mul, animation:enhance_unit_all_heal02_unit01]","conditions":"[condition:enclose,[condition:active_unit],[condition:panel_total,count:25],logic:and]","priority":0}</v>
      </c>
      <c r="J156" s="35" t="s">
        <v>626</v>
      </c>
      <c r="K156" s="14">
        <v>3</v>
      </c>
    </row>
    <row r="157" spans="1:11" ht="21" customHeight="1" x14ac:dyDescent="0.15">
      <c r="A157" s="26">
        <v>820</v>
      </c>
      <c r="B157" s="27" t="s">
        <v>7</v>
      </c>
      <c r="C157" s="39" t="s">
        <v>532</v>
      </c>
      <c r="D157" s="12" t="s">
        <v>646</v>
      </c>
      <c r="E157" s="12" t="s">
        <v>171</v>
      </c>
      <c r="F157" s="12" t="s">
        <v>533</v>
      </c>
      <c r="G157" s="38" t="s">
        <v>482</v>
      </c>
      <c r="H157" s="12" t="s">
        <v>172</v>
      </c>
      <c r="I157" s="36" t="str">
        <f t="shared" si="5"/>
        <v>{"ver":"1.7.0","type":"ability","effects":"[effect:enhance_unit, target:myself, turn:1, status:action, val:1, calc:add, animation:enhance_unit_one_action01]","conditions":"[condition:enclose,[condition:active_unit],[condition:panel_total,count:90],logic:and]","priority":0}</v>
      </c>
      <c r="J157" s="35" t="s">
        <v>613</v>
      </c>
      <c r="K157" s="14">
        <v>3</v>
      </c>
    </row>
    <row r="158" spans="1:11" ht="21" customHeight="1" x14ac:dyDescent="0.15">
      <c r="A158" s="26">
        <v>821</v>
      </c>
      <c r="B158" s="27" t="s">
        <v>7</v>
      </c>
      <c r="C158" s="39" t="s">
        <v>600</v>
      </c>
      <c r="D158" s="12" t="s">
        <v>601</v>
      </c>
      <c r="E158" s="12" t="s">
        <v>171</v>
      </c>
      <c r="F158" s="12" t="s">
        <v>602</v>
      </c>
      <c r="G158" s="38" t="s">
        <v>560</v>
      </c>
      <c r="H158" s="12" t="s">
        <v>172</v>
      </c>
      <c r="I158" s="36" t="str">
        <f t="shared" si="5"/>
        <v>{"ver":"1.7.0","type":"ability","effects":"[effect:enhance_unit, target:myself, turn:1, status:attack, val:0.4, calc:mul, animation:enhance_unit_all_attack03]","conditions":"[condition:enclose,[condition:active_unit],[condition:panel_total,count:80],logic:and]","priority":0}</v>
      </c>
      <c r="J158" s="35" t="s">
        <v>625</v>
      </c>
      <c r="K158" s="14">
        <v>3</v>
      </c>
    </row>
    <row r="159" spans="1:11" ht="21" customHeight="1" x14ac:dyDescent="0.15">
      <c r="A159" s="26">
        <v>822</v>
      </c>
      <c r="B159" s="27" t="s">
        <v>7</v>
      </c>
      <c r="C159" s="39" t="s">
        <v>673</v>
      </c>
      <c r="D159" s="12" t="s">
        <v>674</v>
      </c>
      <c r="E159" s="12" t="s">
        <v>171</v>
      </c>
      <c r="F159" s="12" t="s">
        <v>675</v>
      </c>
      <c r="G159" s="38" t="s">
        <v>641</v>
      </c>
      <c r="H159" s="12" t="s">
        <v>172</v>
      </c>
      <c r="I159" s="36" t="str">
        <f t="shared" si="5"/>
        <v>{"ver":"1.7.0","type":"ability","effects":"[effect:crash_condition, target:unit_all, turn:1, val:-4, animation:crash_panel_reduce04] ","conditions":"[condition:panel_total,count:35]","priority":0}</v>
      </c>
      <c r="J159" s="35" t="s">
        <v>630</v>
      </c>
      <c r="K159" s="14">
        <v>3</v>
      </c>
    </row>
    <row r="160" spans="1:11" ht="21" customHeight="1" x14ac:dyDescent="0.15">
      <c r="A160" s="26">
        <v>823</v>
      </c>
      <c r="B160" s="27" t="s">
        <v>7</v>
      </c>
      <c r="C160" s="39" t="s">
        <v>671</v>
      </c>
      <c r="D160" s="12" t="s">
        <v>672</v>
      </c>
      <c r="E160" s="12" t="s">
        <v>171</v>
      </c>
      <c r="F160" s="12" t="s">
        <v>476</v>
      </c>
      <c r="G160" s="38" t="s">
        <v>482</v>
      </c>
      <c r="H160" s="12" t="s">
        <v>172</v>
      </c>
      <c r="I160" s="36" t="str">
        <f t="shared" si="5"/>
        <v>{"ver":"1.7.0","type":"ability","effects":"[effect:enhance_unit, target:myself, turn:1, status:action, val:1, calc:add, animation:enhance_unit_one_action01]","conditions":"[condition:enclose,[condition:active_unit],[condition:panel_total,count:100],logic:and]","priority":0}</v>
      </c>
      <c r="J160" s="35" t="s">
        <v>689</v>
      </c>
      <c r="K160" s="14">
        <v>3</v>
      </c>
    </row>
    <row r="161" spans="1:11" ht="21" customHeight="1" x14ac:dyDescent="0.15">
      <c r="A161" s="26">
        <v>824</v>
      </c>
      <c r="B161" s="27" t="s">
        <v>7</v>
      </c>
      <c r="C161" s="39" t="s">
        <v>676</v>
      </c>
      <c r="D161" s="12" t="s">
        <v>687</v>
      </c>
      <c r="E161" s="12" t="s">
        <v>171</v>
      </c>
      <c r="F161" s="12" t="s">
        <v>677</v>
      </c>
      <c r="G161" s="38" t="s">
        <v>641</v>
      </c>
      <c r="H161" s="12" t="s">
        <v>172</v>
      </c>
      <c r="I161" s="36" t="str">
        <f t="shared" si="5"/>
        <v>{"ver":"1.7.0","type":"ability","effects":"[effect:crash_condition, target:unit_all, turn:1, val:-4, animation:crash_panel_reduce04] ","conditions":"[condition:panel_total,count:40]","priority":0}</v>
      </c>
      <c r="J161" s="35" t="s">
        <v>630</v>
      </c>
      <c r="K161" s="14">
        <v>3</v>
      </c>
    </row>
    <row r="162" spans="1:11" ht="21" customHeight="1" x14ac:dyDescent="0.15">
      <c r="A162" s="26">
        <v>825</v>
      </c>
      <c r="B162" s="27" t="s">
        <v>7</v>
      </c>
      <c r="C162" s="39" t="s">
        <v>922</v>
      </c>
      <c r="D162" s="12" t="s">
        <v>925</v>
      </c>
      <c r="E162" s="12" t="s">
        <v>171</v>
      </c>
      <c r="F162" s="12" t="s">
        <v>923</v>
      </c>
      <c r="G162" s="38" t="s">
        <v>924</v>
      </c>
      <c r="H162" s="12" t="s">
        <v>172</v>
      </c>
      <c r="I162" s="36" t="str">
        <f t="shared" ref="I162" si="6">"{"&amp;""""&amp;$E$1&amp;""""&amp;":"&amp;""""&amp;E162&amp;""""&amp;","&amp;""""&amp;"type"&amp;""""&amp;":"&amp;""""&amp;"ability"&amp;""""&amp;","&amp;""""&amp;$G$1&amp;""""&amp;":"&amp;""""&amp;G162&amp;""""&amp;","&amp;""""&amp;$F$1&amp;""""&amp;":"&amp;""""&amp;F162&amp;""""&amp;","&amp;""""&amp;$H$1&amp;""""&amp;":"&amp;H162&amp;"}"</f>
        <v>{"ver":"1.7.0","type":"ability","effects":"[effect:regenerate, turn:1, val:5000, type:fix, animation:heal03_unit01]","conditions":"[condition:enclose,[condition:active_unit],[condition:panel_total,count:60],logic:and]","priority":0}</v>
      </c>
      <c r="J162" s="35" t="s">
        <v>623</v>
      </c>
      <c r="K162" s="14">
        <v>3</v>
      </c>
    </row>
    <row r="163" spans="1:11" ht="21" customHeight="1" x14ac:dyDescent="0.15">
      <c r="A163" s="26">
        <v>826</v>
      </c>
      <c r="B163" s="27" t="s">
        <v>7</v>
      </c>
      <c r="C163" s="39" t="s">
        <v>919</v>
      </c>
      <c r="D163" s="12" t="s">
        <v>920</v>
      </c>
      <c r="E163" s="12" t="s">
        <v>171</v>
      </c>
      <c r="F163" s="12" t="s">
        <v>921</v>
      </c>
      <c r="G163" s="38" t="s">
        <v>918</v>
      </c>
      <c r="H163" s="12" t="s">
        <v>172</v>
      </c>
      <c r="I163" s="36" t="str">
        <f t="shared" ref="I163" si="7">"{"&amp;""""&amp;$E$1&amp;""""&amp;":"&amp;""""&amp;E163&amp;""""&amp;","&amp;""""&amp;"type"&amp;""""&amp;":"&amp;""""&amp;"ability"&amp;""""&amp;","&amp;""""&amp;$G$1&amp;""""&amp;":"&amp;""""&amp;G163&amp;""""&amp;","&amp;""""&amp;$F$1&amp;""""&amp;":"&amp;""""&amp;F163&amp;""""&amp;","&amp;""""&amp;$H$1&amp;""""&amp;":"&amp;H163&amp;"}"</f>
        <v>{"ver":"1.7.0","type":"ability","effects":"[effect:regenerate, turn:1, val:4000, type:fix, animation:heal03_unit01]","conditions":"[condition:enclose,[condition:active_unit],[condition:panel_total,count:60],logic:and]","priority":0}</v>
      </c>
      <c r="J163" s="35" t="s">
        <v>623</v>
      </c>
      <c r="K163" s="14">
        <v>3</v>
      </c>
    </row>
    <row r="164" spans="1:11" s="49" customFormat="1" ht="21" customHeight="1" x14ac:dyDescent="0.15">
      <c r="A164" s="42">
        <v>830</v>
      </c>
      <c r="B164" s="43" t="s">
        <v>7</v>
      </c>
      <c r="C164" s="44" t="s">
        <v>688</v>
      </c>
      <c r="D164" s="45" t="s">
        <v>1177</v>
      </c>
      <c r="E164" s="45" t="s">
        <v>171</v>
      </c>
      <c r="F164" s="45" t="s">
        <v>677</v>
      </c>
      <c r="G164" s="46" t="s">
        <v>913</v>
      </c>
      <c r="H164" s="45" t="s">
        <v>172</v>
      </c>
      <c r="I164" s="47" t="str">
        <f t="shared" si="5"/>
        <v>{"ver":"1.7.0","type":"ability","effects":"[effect:cure, bad_status:virus, animation:cure01] ","conditions":"[condition:panel_total,count:40]","priority":0}</v>
      </c>
      <c r="J164" s="47" t="s">
        <v>690</v>
      </c>
      <c r="K164" s="48">
        <v>3</v>
      </c>
    </row>
    <row r="165" spans="1:11" ht="21" customHeight="1" x14ac:dyDescent="0.15">
      <c r="A165" s="26">
        <v>831</v>
      </c>
      <c r="B165" s="27" t="s">
        <v>7</v>
      </c>
      <c r="C165" s="39" t="s">
        <v>962</v>
      </c>
      <c r="D165" s="12" t="s">
        <v>963</v>
      </c>
      <c r="E165" s="12" t="s">
        <v>171</v>
      </c>
      <c r="F165" s="12" t="s">
        <v>366</v>
      </c>
      <c r="G165" s="38" t="s">
        <v>964</v>
      </c>
      <c r="H165" s="12" t="s">
        <v>172</v>
      </c>
      <c r="I165" s="36" t="str">
        <f t="shared" ref="I165:I166" si="8">"{"&amp;""""&amp;$E$1&amp;""""&amp;":"&amp;""""&amp;E165&amp;""""&amp;","&amp;""""&amp;"type"&amp;""""&amp;":"&amp;""""&amp;"ability"&amp;""""&amp;","&amp;""""&amp;$G$1&amp;""""&amp;":"&amp;""""&amp;G165&amp;""""&amp;","&amp;""""&amp;$F$1&amp;""""&amp;":"&amp;""""&amp;F165&amp;""""&amp;","&amp;""""&amp;$H$1&amp;""""&amp;":"&amp;H165&amp;"}"</f>
        <v>{"ver":"1.7.0","type":"ability","effects":"[effect:enhance_unit, target:unit_red, turn:1, status:defense, val:450, calc:add, animation:enhance_unit_all_defense01_unit01]","conditions":"[condition:panel_total,count:10,type:crack_bomb]","priority":0}</v>
      </c>
      <c r="J165" s="35" t="s">
        <v>624</v>
      </c>
      <c r="K165" s="14">
        <v>3</v>
      </c>
    </row>
    <row r="166" spans="1:11" ht="21" customHeight="1" x14ac:dyDescent="0.15">
      <c r="A166" s="26">
        <v>832</v>
      </c>
      <c r="B166" s="27" t="s">
        <v>7</v>
      </c>
      <c r="C166" s="39" t="s">
        <v>1153</v>
      </c>
      <c r="D166" s="12" t="s">
        <v>1151</v>
      </c>
      <c r="E166" s="12" t="s">
        <v>171</v>
      </c>
      <c r="F166" s="12" t="s">
        <v>236</v>
      </c>
      <c r="G166" s="38" t="s">
        <v>1152</v>
      </c>
      <c r="H166" s="12" t="s">
        <v>172</v>
      </c>
      <c r="I166" s="36" t="str">
        <f t="shared" si="8"/>
        <v>{"ver":"1.7.0","type":"ability","effects":"[effect:enhance_unit, target:unit_human/unit_hero/or, turn:1, status:attack, val:600, calc:add, animation:enhance_unit_all_attack01]","conditions":"[condition:enclose,[condition:active_unit],[condition:panel_total,count:30],logic:and]","priority":0}</v>
      </c>
      <c r="J166" s="35" t="s">
        <v>625</v>
      </c>
      <c r="K166" s="14">
        <v>3</v>
      </c>
    </row>
    <row r="167" spans="1:11" ht="21" customHeight="1" x14ac:dyDescent="0.15">
      <c r="A167" s="26">
        <v>833</v>
      </c>
      <c r="B167" s="27" t="s">
        <v>7</v>
      </c>
      <c r="C167" s="39" t="s">
        <v>965</v>
      </c>
      <c r="D167" s="12" t="s">
        <v>966</v>
      </c>
      <c r="E167" s="12" t="s">
        <v>171</v>
      </c>
      <c r="F167" s="12" t="s">
        <v>967</v>
      </c>
      <c r="G167" s="38" t="s">
        <v>968</v>
      </c>
      <c r="H167" s="12" t="s">
        <v>172</v>
      </c>
      <c r="I167" s="36" t="str">
        <f t="shared" ref="I167:I169" si="9">"{"&amp;""""&amp;$E$1&amp;""""&amp;":"&amp;""""&amp;E167&amp;""""&amp;","&amp;""""&amp;"type"&amp;""""&amp;":"&amp;""""&amp;"ability"&amp;""""&amp;","&amp;""""&amp;$G$1&amp;""""&amp;":"&amp;""""&amp;G167&amp;""""&amp;","&amp;""""&amp;$F$1&amp;""""&amp;":"&amp;""""&amp;F167&amp;""""&amp;","&amp;""""&amp;$H$1&amp;""""&amp;":"&amp;H167&amp;"}"</f>
        <v>{"ver":"1.7.0","type":"ability","effects":"[effect:regenerate, turn:1, val:1200, type:fix, animation:heal01_unit01]","conditions":"[condition:panel_total,count:12,type:crack_bomb]","priority":0}</v>
      </c>
      <c r="J167" s="35" t="s">
        <v>623</v>
      </c>
      <c r="K167" s="14">
        <v>3</v>
      </c>
    </row>
    <row r="168" spans="1:11" ht="21" customHeight="1" x14ac:dyDescent="0.15">
      <c r="A168" s="26">
        <v>834</v>
      </c>
      <c r="B168" s="27" t="s">
        <v>7</v>
      </c>
      <c r="C168" s="39" t="s">
        <v>979</v>
      </c>
      <c r="D168" s="12" t="s">
        <v>980</v>
      </c>
      <c r="E168" s="12" t="s">
        <v>171</v>
      </c>
      <c r="F168" s="12" t="s">
        <v>981</v>
      </c>
      <c r="G168" s="38" t="s">
        <v>286</v>
      </c>
      <c r="H168" s="12" t="s">
        <v>172</v>
      </c>
      <c r="I168" s="36" t="str">
        <f t="shared" si="9"/>
        <v>{"ver":"1.7.0","type":"ability","effects":"[effect:enhance_unit, target:myself, turn:1, status:action, val:1, calc:mul, animation:enhance_unit_one_action01]","conditions":"[condition:enclose,[condition:active_unit] ,[condition:panel_total,count:12,type:crash],logic:and]","priority":0}</v>
      </c>
      <c r="J168" s="35" t="s">
        <v>613</v>
      </c>
      <c r="K168" s="14">
        <v>3</v>
      </c>
    </row>
    <row r="169" spans="1:11" s="73" customFormat="1" ht="21" customHeight="1" x14ac:dyDescent="0.15">
      <c r="A169" s="66">
        <v>835</v>
      </c>
      <c r="B169" s="67" t="s">
        <v>232</v>
      </c>
      <c r="C169" s="68" t="s">
        <v>1090</v>
      </c>
      <c r="D169" s="69" t="s">
        <v>1091</v>
      </c>
      <c r="E169" s="69" t="s">
        <v>235</v>
      </c>
      <c r="F169" s="69" t="s">
        <v>923</v>
      </c>
      <c r="G169" s="70" t="s">
        <v>1092</v>
      </c>
      <c r="H169" s="69" t="s">
        <v>172</v>
      </c>
      <c r="I169" s="71" t="str">
        <f t="shared" si="9"/>
        <v>{"ver":"1.7.0","type":"ability","effects":"[effect:enhance_unit, target:myself, turn:1, status:defense, val:2000, calc:add, animation:enhance_unit_all_defense04_unit01]","conditions":"[condition:enclose,[condition:active_unit],[condition:panel_total,count:60],logic:and]","priority":0}</v>
      </c>
      <c r="J169" s="71" t="s">
        <v>624</v>
      </c>
      <c r="K169" s="72">
        <v>3</v>
      </c>
    </row>
    <row r="170" spans="1:11" ht="21" customHeight="1" x14ac:dyDescent="0.15">
      <c r="A170" s="26">
        <v>836</v>
      </c>
      <c r="B170" s="27" t="s">
        <v>7</v>
      </c>
      <c r="C170" s="39" t="s">
        <v>1128</v>
      </c>
      <c r="D170" s="12" t="s">
        <v>1180</v>
      </c>
      <c r="E170" s="12" t="s">
        <v>171</v>
      </c>
      <c r="F170" s="12" t="s">
        <v>1129</v>
      </c>
      <c r="G170" s="38" t="s">
        <v>1130</v>
      </c>
      <c r="H170" s="12" t="s">
        <v>172</v>
      </c>
      <c r="I170" s="36" t="str">
        <f>"{"&amp;""""&amp;$E$1&amp;""""&amp;":"&amp;""""&amp;E170&amp;""""&amp;","&amp;""""&amp;"type"&amp;""""&amp;":"&amp;""""&amp;"ability"&amp;""""&amp;","&amp;""""&amp;$G$1&amp;""""&amp;":"&amp;""""&amp;G170&amp;""""&amp;","&amp;""""&amp;$F$1&amp;""""&amp;":"&amp;""""&amp;F170&amp;""""&amp;","&amp;""""&amp;$H$1&amp;""""&amp;":"&amp;H170&amp;"}"</f>
        <v>{"ver":"1.7.0","type":"ability","effects":"[effect:enhance_unit, target:myself, turn:-1, status:action, val:1, calc:add, animation:enhance_unit_one_action01]","conditions":"[condition:enclose,[condition:active_unit],[condition:panel_total,count:15,type:crack_bomb],logic:and]","priority":0}</v>
      </c>
      <c r="J170" s="35" t="s">
        <v>624</v>
      </c>
      <c r="K170" s="14">
        <v>3</v>
      </c>
    </row>
    <row r="171" spans="1:11" ht="21" customHeight="1" x14ac:dyDescent="0.15">
      <c r="A171" s="26">
        <v>837</v>
      </c>
      <c r="B171" s="27" t="s">
        <v>7</v>
      </c>
      <c r="C171" s="39" t="s">
        <v>1176</v>
      </c>
      <c r="D171" s="12" t="s">
        <v>1178</v>
      </c>
      <c r="E171" s="12" t="s">
        <v>171</v>
      </c>
      <c r="F171" s="12" t="s">
        <v>677</v>
      </c>
      <c r="G171" s="38" t="s">
        <v>1179</v>
      </c>
      <c r="H171" s="12" t="s">
        <v>172</v>
      </c>
      <c r="I171" s="36" t="str">
        <f t="shared" ref="I171" si="10">"{"&amp;""""&amp;$E$1&amp;""""&amp;":"&amp;""""&amp;E171&amp;""""&amp;","&amp;""""&amp;"type"&amp;""""&amp;":"&amp;""""&amp;"ability"&amp;""""&amp;","&amp;""""&amp;$G$1&amp;""""&amp;":"&amp;""""&amp;G171&amp;""""&amp;","&amp;""""&amp;$F$1&amp;""""&amp;":"&amp;""""&amp;F171&amp;""""&amp;","&amp;""""&amp;$H$1&amp;""""&amp;":"&amp;H171&amp;"}"</f>
        <v>{"ver":"1.7.0","type":"ability","effects":"[effect:enhance_unit, target:unit_green, turn:1, status:attack, val:0.1, calc:mul, animation:enhance_unit_all_attack02]","conditions":"[condition:panel_total,count:40]","priority":0}</v>
      </c>
      <c r="J171" s="35" t="s">
        <v>625</v>
      </c>
      <c r="K171" s="14">
        <v>3</v>
      </c>
    </row>
    <row r="172" spans="1:11" ht="21" customHeight="1" x14ac:dyDescent="0.15">
      <c r="A172" s="26">
        <v>900</v>
      </c>
      <c r="B172" s="27" t="s">
        <v>38</v>
      </c>
      <c r="C172" s="39" t="s">
        <v>239</v>
      </c>
      <c r="D172" s="40" t="s">
        <v>537</v>
      </c>
      <c r="E172" s="12" t="s">
        <v>171</v>
      </c>
      <c r="F172" s="12" t="s">
        <v>258</v>
      </c>
      <c r="G172" s="38" t="s">
        <v>273</v>
      </c>
      <c r="H172" s="12" t="s">
        <v>172</v>
      </c>
      <c r="I172" s="36" t="str">
        <f t="shared" si="5"/>
        <v>{"ver":"1.7.0","type":"ability","effects":"[effect:enhance_unit, target:myself, turn:1, status:attack, val:0.2, calc:mul, animation:enhance_unit_all_attack03]","conditions":"[condition:enclose,[condition:active_unit] ,[condition:panel_chain,count:12],logic:and]","priority":0}</v>
      </c>
      <c r="J172" s="35" t="s">
        <v>625</v>
      </c>
      <c r="K172" s="14">
        <v>3</v>
      </c>
    </row>
    <row r="173" spans="1:11" ht="21" customHeight="1" x14ac:dyDescent="0.15">
      <c r="A173" s="26">
        <v>901</v>
      </c>
      <c r="B173" s="27" t="s">
        <v>38</v>
      </c>
      <c r="C173" s="39" t="s">
        <v>252</v>
      </c>
      <c r="D173" s="40" t="s">
        <v>538</v>
      </c>
      <c r="E173" s="12" t="s">
        <v>171</v>
      </c>
      <c r="F173" s="12" t="s">
        <v>257</v>
      </c>
      <c r="G173" s="38" t="s">
        <v>253</v>
      </c>
      <c r="H173" s="12" t="s">
        <v>172</v>
      </c>
      <c r="I173" s="36" t="str">
        <f t="shared" si="5"/>
        <v>{"ver":"1.7.0","type":"ability","effects":"[effect:enhance_unit, target:myself, turn:1, status:heal, val:0.4, calc:mul, animation:enhance_unit_all_heal02_unit01]","conditions":"[condition:enclose,[condition:active_unit] ,[condition:panel_chain,count:12],logic:and]","priority":0}</v>
      </c>
      <c r="J173" s="35" t="s">
        <v>626</v>
      </c>
      <c r="K173" s="14">
        <v>3</v>
      </c>
    </row>
    <row r="174" spans="1:11" ht="21" customHeight="1" x14ac:dyDescent="0.15">
      <c r="A174" s="26">
        <v>902</v>
      </c>
      <c r="B174" s="27" t="s">
        <v>7</v>
      </c>
      <c r="C174" s="39" t="s">
        <v>284</v>
      </c>
      <c r="D174" s="40" t="s">
        <v>539</v>
      </c>
      <c r="E174" s="12" t="s">
        <v>171</v>
      </c>
      <c r="F174" s="12" t="s">
        <v>285</v>
      </c>
      <c r="G174" s="38" t="s">
        <v>286</v>
      </c>
      <c r="H174" s="12" t="s">
        <v>172</v>
      </c>
      <c r="I174" s="36" t="str">
        <f t="shared" si="5"/>
        <v>{"ver":"1.7.0","type":"ability","effects":"[effect:enhance_unit, target:myself, turn:1, status:action, val:1, calc:mul, animation:enhance_unit_one_action01]","conditions":"[condition:enclose,[condition:active_unit] ,[condition:panel_chain,count:12],logic:and]","priority":0}</v>
      </c>
      <c r="J174" s="35" t="s">
        <v>613</v>
      </c>
      <c r="K174" s="14">
        <v>3</v>
      </c>
    </row>
    <row r="175" spans="1:11" ht="21" customHeight="1" x14ac:dyDescent="0.15">
      <c r="A175" s="26">
        <v>903</v>
      </c>
      <c r="B175" s="27" t="s">
        <v>7</v>
      </c>
      <c r="C175" s="39" t="s">
        <v>1045</v>
      </c>
      <c r="D175" s="40" t="s">
        <v>1068</v>
      </c>
      <c r="E175" s="12" t="s">
        <v>171</v>
      </c>
      <c r="F175" s="12" t="s">
        <v>401</v>
      </c>
      <c r="G175" s="38" t="s">
        <v>402</v>
      </c>
      <c r="H175" s="12" t="s">
        <v>172</v>
      </c>
      <c r="I175" s="36" t="str">
        <f t="shared" si="5"/>
        <v>{"ver":"1.7.0","type":"ability","effects":"[effect:enhance_sp_boost, target:myself, count:1]","conditions":"[condition:enclose,[condition:active_unit] ,[condition:panel_chain,count:18],logic:and]","priority":0}</v>
      </c>
      <c r="J175" s="35" t="s">
        <v>613</v>
      </c>
      <c r="K175" s="14">
        <v>3</v>
      </c>
    </row>
    <row r="176" spans="1:11" ht="21" customHeight="1" x14ac:dyDescent="0.15">
      <c r="A176" s="26">
        <v>904</v>
      </c>
      <c r="B176" s="27" t="s">
        <v>404</v>
      </c>
      <c r="C176" s="39" t="s">
        <v>405</v>
      </c>
      <c r="D176" s="40" t="s">
        <v>540</v>
      </c>
      <c r="E176" s="12" t="s">
        <v>406</v>
      </c>
      <c r="F176" s="12" t="s">
        <v>407</v>
      </c>
      <c r="G176" s="38" t="s">
        <v>437</v>
      </c>
      <c r="H176" s="12" t="s">
        <v>408</v>
      </c>
      <c r="I176" s="36" t="str">
        <f t="shared" si="5"/>
        <v>{"ver":"1.7.0","type":"ability","effects":"[effect:enhance_unit, target:myself, turn:1, status:heal, val:2017, calc:add, animation:enhance_unit_all_heal02_unit01]","conditions":"[condition:enclose,[condition:active_unit] ,[condition:panel_chain,count:17],logic:and]","priority":0}</v>
      </c>
      <c r="J176" s="35" t="s">
        <v>626</v>
      </c>
      <c r="K176" s="38">
        <v>3</v>
      </c>
    </row>
    <row r="177" spans="1:11" ht="21" customHeight="1" x14ac:dyDescent="0.15">
      <c r="A177" s="26">
        <v>905</v>
      </c>
      <c r="B177" s="27" t="s">
        <v>38</v>
      </c>
      <c r="C177" s="39" t="s">
        <v>409</v>
      </c>
      <c r="D177" s="40" t="s">
        <v>541</v>
      </c>
      <c r="E177" s="12" t="s">
        <v>171</v>
      </c>
      <c r="F177" s="12" t="s">
        <v>257</v>
      </c>
      <c r="G177" s="38" t="s">
        <v>436</v>
      </c>
      <c r="H177" s="12" t="s">
        <v>172</v>
      </c>
      <c r="I177" s="36" t="str">
        <f t="shared" si="5"/>
        <v>{"ver":"1.7.0","type":"ability","effects":"[effect:enhance_unit, target:myself, turn:1, status:attack, val:0.1, calc:mul, animation:enhance_unit_all_attack02]","conditions":"[condition:enclose,[condition:active_unit] ,[condition:panel_chain,count:12],logic:and]","priority":0}</v>
      </c>
      <c r="J177" s="35" t="s">
        <v>625</v>
      </c>
      <c r="K177" s="14">
        <v>3</v>
      </c>
    </row>
    <row r="178" spans="1:11" ht="21" customHeight="1" x14ac:dyDescent="0.15">
      <c r="A178" s="26">
        <v>906</v>
      </c>
      <c r="B178" s="27" t="s">
        <v>7</v>
      </c>
      <c r="C178" s="39" t="s">
        <v>423</v>
      </c>
      <c r="D178" s="40" t="s">
        <v>542</v>
      </c>
      <c r="E178" s="12" t="s">
        <v>171</v>
      </c>
      <c r="F178" s="12" t="s">
        <v>439</v>
      </c>
      <c r="G178" s="38" t="s">
        <v>440</v>
      </c>
      <c r="H178" s="12" t="s">
        <v>172</v>
      </c>
      <c r="I178" s="36" t="str">
        <f t="shared" si="5"/>
        <v>{"ver":"1.7.0","type":"ability","effects":"[effect:enhance_unit, target:myself, turn:1, status:heal, val:0.3, calc:mul, animation:enhance_unit_all_heal01_unit01]","conditions":"[condition:enclose,[condition:active_unit] ,[condition:panel_chain,count:14],logic:and]","priority":0}</v>
      </c>
      <c r="J178" s="35" t="s">
        <v>626</v>
      </c>
      <c r="K178" s="14">
        <v>3</v>
      </c>
    </row>
    <row r="179" spans="1:11" ht="21" customHeight="1" x14ac:dyDescent="0.15">
      <c r="A179" s="26">
        <v>907</v>
      </c>
      <c r="B179" s="27" t="s">
        <v>7</v>
      </c>
      <c r="C179" s="39" t="s">
        <v>438</v>
      </c>
      <c r="D179" s="40" t="s">
        <v>543</v>
      </c>
      <c r="E179" s="12" t="s">
        <v>171</v>
      </c>
      <c r="F179" s="12" t="s">
        <v>424</v>
      </c>
      <c r="G179" s="38" t="s">
        <v>238</v>
      </c>
      <c r="H179" s="12" t="s">
        <v>172</v>
      </c>
      <c r="I179" s="36" t="str">
        <f t="shared" si="5"/>
        <v>{"ver":"1.7.0","type":"ability","effects":"[effect:enhance_unit, target:myself, turn:1, status:attack, val:0.2, calc:mul, animation:enhance_unit_all_attack03]","conditions":"[condition:enclose,[condition:active_unit] ,[condition:panel_chain,count:14],logic:and]","priority":0}</v>
      </c>
      <c r="J179" s="35" t="s">
        <v>625</v>
      </c>
      <c r="K179" s="14">
        <v>3</v>
      </c>
    </row>
    <row r="180" spans="1:11" ht="21" customHeight="1" x14ac:dyDescent="0.15">
      <c r="A180" s="26">
        <v>908</v>
      </c>
      <c r="B180" s="27" t="s">
        <v>7</v>
      </c>
      <c r="C180" s="39" t="s">
        <v>488</v>
      </c>
      <c r="D180" s="40" t="s">
        <v>544</v>
      </c>
      <c r="E180" s="12" t="s">
        <v>171</v>
      </c>
      <c r="F180" s="12" t="s">
        <v>490</v>
      </c>
      <c r="G180" s="38" t="s">
        <v>489</v>
      </c>
      <c r="H180" s="12" t="s">
        <v>172</v>
      </c>
      <c r="I180" s="36" t="str">
        <f t="shared" si="5"/>
        <v>{"ver":"1.7.0","type":"ability","effects":"[effect:enhance_unit, target:unit_yellow, turn:1, status:defense, val:300, calc:add, animation:enhance_unit_all_defense01_unit01]","conditions":"[condition:enclose,[condition:active_unit] ,[condition:panel_chain,count:16],logic:and]","priority":0}</v>
      </c>
      <c r="J180" s="35" t="s">
        <v>624</v>
      </c>
      <c r="K180" s="14">
        <v>3</v>
      </c>
    </row>
    <row r="181" spans="1:11" ht="21" customHeight="1" x14ac:dyDescent="0.15">
      <c r="A181" s="26">
        <v>909</v>
      </c>
      <c r="B181" s="27" t="s">
        <v>7</v>
      </c>
      <c r="C181" s="39" t="s">
        <v>520</v>
      </c>
      <c r="D181" s="40" t="s">
        <v>545</v>
      </c>
      <c r="E181" s="12" t="s">
        <v>171</v>
      </c>
      <c r="F181" s="12" t="s">
        <v>519</v>
      </c>
      <c r="G181" s="38" t="s">
        <v>517</v>
      </c>
      <c r="H181" s="12" t="s">
        <v>172</v>
      </c>
      <c r="I181" s="36" t="str">
        <f t="shared" si="5"/>
        <v>{"ver":"1.7.0","type":"ability","effects":"[effect:crash_condition, target:myself, turn:1, val:-12, animation:crash_panel_reduce05] ","conditions":"[condition:enclose,[condition:active_unit] ,[condition:panel_chain,count:30],logic:and]","priority":0}</v>
      </c>
      <c r="J181" s="35" t="s">
        <v>630</v>
      </c>
      <c r="K181" s="14">
        <v>3</v>
      </c>
    </row>
    <row r="182" spans="1:11" ht="21" customHeight="1" x14ac:dyDescent="0.15">
      <c r="A182" s="26">
        <v>910</v>
      </c>
      <c r="B182" s="27" t="s">
        <v>7</v>
      </c>
      <c r="C182" s="39" t="s">
        <v>523</v>
      </c>
      <c r="D182" s="40" t="s">
        <v>554</v>
      </c>
      <c r="E182" s="12" t="s">
        <v>171</v>
      </c>
      <c r="F182" s="12" t="s">
        <v>401</v>
      </c>
      <c r="G182" s="38" t="s">
        <v>530</v>
      </c>
      <c r="H182" s="12" t="s">
        <v>172</v>
      </c>
      <c r="I182" s="36" t="str">
        <f t="shared" si="5"/>
        <v>{"ver":"1.7.0","type":"ability","effects":"[effect:regenerate, turn:1, val:2500, type:fix, animation:heal01_unit01]","conditions":"[condition:enclose,[condition:active_unit] ,[condition:panel_chain,count:18],logic:and]","priority":0}</v>
      </c>
      <c r="J182" s="35" t="s">
        <v>623</v>
      </c>
      <c r="K182" s="14">
        <v>3</v>
      </c>
    </row>
    <row r="183" spans="1:11" ht="21" customHeight="1" x14ac:dyDescent="0.15">
      <c r="A183" s="26">
        <v>911</v>
      </c>
      <c r="B183" s="27" t="s">
        <v>7</v>
      </c>
      <c r="C183" s="39" t="s">
        <v>631</v>
      </c>
      <c r="D183" s="40" t="s">
        <v>555</v>
      </c>
      <c r="E183" s="12" t="s">
        <v>171</v>
      </c>
      <c r="F183" s="12" t="s">
        <v>556</v>
      </c>
      <c r="G183" s="38" t="s">
        <v>557</v>
      </c>
      <c r="H183" s="12" t="s">
        <v>172</v>
      </c>
      <c r="I183" s="36" t="str">
        <f t="shared" si="5"/>
        <v>{"ver":"1.7.0","type":"ability","effects":"[effect:reduction, target:unit_all, color:all, turn:1, val:0.15, animation:reduction_one01]","conditions":"[condition:enclose,[condition:active_unit] ,[condition:panel_chain,count:24],logic:and]","priority":0}</v>
      </c>
      <c r="J183" s="35" t="s">
        <v>613</v>
      </c>
      <c r="K183" s="14">
        <v>3</v>
      </c>
    </row>
    <row r="184" spans="1:11" ht="21" customHeight="1" x14ac:dyDescent="0.15">
      <c r="A184" s="26">
        <v>912</v>
      </c>
      <c r="B184" s="27" t="s">
        <v>7</v>
      </c>
      <c r="C184" s="39" t="s">
        <v>1046</v>
      </c>
      <c r="D184" s="40" t="s">
        <v>1067</v>
      </c>
      <c r="E184" s="12" t="s">
        <v>171</v>
      </c>
      <c r="F184" s="12" t="s">
        <v>571</v>
      </c>
      <c r="G184" s="38" t="s">
        <v>402</v>
      </c>
      <c r="H184" s="12" t="s">
        <v>172</v>
      </c>
      <c r="I184" s="36" t="str">
        <f t="shared" si="5"/>
        <v>{"ver":"1.7.0","type":"ability","effects":"[effect:enhance_sp_boost, target:myself, count:1]","conditions":"[condition:enclose,[condition:active_unit] ,[condition:panel_chain,count:22],logic:and]","priority":0}</v>
      </c>
      <c r="J184" s="35" t="s">
        <v>613</v>
      </c>
      <c r="K184" s="14">
        <v>3</v>
      </c>
    </row>
    <row r="185" spans="1:11" ht="21" customHeight="1" x14ac:dyDescent="0.15">
      <c r="A185" s="26">
        <v>913</v>
      </c>
      <c r="B185" s="27" t="s">
        <v>7</v>
      </c>
      <c r="C185" s="39" t="s">
        <v>606</v>
      </c>
      <c r="D185" s="40" t="s">
        <v>605</v>
      </c>
      <c r="E185" s="12" t="s">
        <v>171</v>
      </c>
      <c r="F185" s="12" t="s">
        <v>643</v>
      </c>
      <c r="G185" s="38" t="s">
        <v>604</v>
      </c>
      <c r="H185" s="12" t="s">
        <v>172</v>
      </c>
      <c r="I185" s="36" t="str">
        <f t="shared" si="5"/>
        <v>{"ver":"1.7.0","type":"ability","effects":"[effect:crash_condition, target:unit_all, turn:1, val:-4, animation:crash_panel_reduce04] ","conditions":"[condition:panel_chain,count:26]","priority":0}</v>
      </c>
      <c r="J185" s="35" t="s">
        <v>630</v>
      </c>
      <c r="K185" s="14">
        <v>3</v>
      </c>
    </row>
    <row r="186" spans="1:11" ht="21" customHeight="1" x14ac:dyDescent="0.15">
      <c r="A186" s="26">
        <v>914</v>
      </c>
      <c r="B186" s="27" t="s">
        <v>7</v>
      </c>
      <c r="C186" s="39" t="s">
        <v>634</v>
      </c>
      <c r="D186" s="40" t="s">
        <v>635</v>
      </c>
      <c r="E186" s="12" t="s">
        <v>171</v>
      </c>
      <c r="F186" s="12" t="s">
        <v>424</v>
      </c>
      <c r="G186" s="38" t="s">
        <v>640</v>
      </c>
      <c r="H186" s="12" t="s">
        <v>172</v>
      </c>
      <c r="I186" s="36" t="str">
        <f t="shared" si="5"/>
        <v>{"ver":"1.7.0","type":"ability","effects":"[effect:remove_enhancement, target:unit_all, target_effect:hungup]","conditions":"[condition:enclose,[condition:active_unit] ,[condition:panel_chain,count:14],logic:and]","priority":0}</v>
      </c>
      <c r="J186" s="35" t="s">
        <v>614</v>
      </c>
      <c r="K186" s="14">
        <v>3</v>
      </c>
    </row>
    <row r="187" spans="1:11" ht="21" customHeight="1" x14ac:dyDescent="0.15">
      <c r="A187" s="26">
        <v>915</v>
      </c>
      <c r="B187" s="27" t="s">
        <v>7</v>
      </c>
      <c r="C187" s="39" t="s">
        <v>1047</v>
      </c>
      <c r="D187" s="40" t="s">
        <v>1048</v>
      </c>
      <c r="E187" s="12" t="s">
        <v>171</v>
      </c>
      <c r="F187" s="12" t="s">
        <v>490</v>
      </c>
      <c r="G187" s="38" t="s">
        <v>402</v>
      </c>
      <c r="H187" s="12" t="s">
        <v>172</v>
      </c>
      <c r="I187" s="36" t="str">
        <f t="shared" si="5"/>
        <v>{"ver":"1.7.0","type":"ability","effects":"[effect:enhance_sp_boost, target:myself, count:1]","conditions":"[condition:enclose,[condition:active_unit] ,[condition:panel_chain,count:16],logic:and]","priority":0}</v>
      </c>
      <c r="J187" s="35" t="s">
        <v>614</v>
      </c>
      <c r="K187" s="14">
        <v>3</v>
      </c>
    </row>
    <row r="188" spans="1:11" ht="21" customHeight="1" x14ac:dyDescent="0.15">
      <c r="A188" s="26">
        <v>916</v>
      </c>
      <c r="B188" s="27" t="s">
        <v>7</v>
      </c>
      <c r="C188" s="39" t="s">
        <v>669</v>
      </c>
      <c r="D188" s="40" t="s">
        <v>670</v>
      </c>
      <c r="E188" s="12" t="s">
        <v>171</v>
      </c>
      <c r="F188" s="12" t="s">
        <v>424</v>
      </c>
      <c r="G188" s="38" t="s">
        <v>489</v>
      </c>
      <c r="H188" s="12" t="s">
        <v>172</v>
      </c>
      <c r="I188" s="36" t="str">
        <f t="shared" si="5"/>
        <v>{"ver":"1.7.0","type":"ability","effects":"[effect:enhance_unit, target:unit_yellow, turn:1, status:defense, val:300, calc:add, animation:enhance_unit_all_defense01_unit01]","conditions":"[condition:enclose,[condition:active_unit] ,[condition:panel_chain,count:14],logic:and]","priority":0}</v>
      </c>
      <c r="J188" s="35" t="s">
        <v>624</v>
      </c>
      <c r="K188" s="14">
        <v>3</v>
      </c>
    </row>
    <row r="189" spans="1:11" ht="21" customHeight="1" x14ac:dyDescent="0.15">
      <c r="A189" s="26">
        <v>917</v>
      </c>
      <c r="B189" s="27" t="s">
        <v>7</v>
      </c>
      <c r="C189" s="39" t="s">
        <v>523</v>
      </c>
      <c r="D189" s="40" t="s">
        <v>929</v>
      </c>
      <c r="E189" s="12" t="s">
        <v>171</v>
      </c>
      <c r="F189" s="12" t="s">
        <v>401</v>
      </c>
      <c r="G189" s="38" t="s">
        <v>930</v>
      </c>
      <c r="H189" s="12" t="s">
        <v>172</v>
      </c>
      <c r="I189" s="36" t="str">
        <f t="shared" ref="I189:I192" si="11">"{"&amp;""""&amp;$E$1&amp;""""&amp;":"&amp;""""&amp;E189&amp;""""&amp;","&amp;""""&amp;"type"&amp;""""&amp;":"&amp;""""&amp;"ability"&amp;""""&amp;","&amp;""""&amp;$G$1&amp;""""&amp;":"&amp;""""&amp;G189&amp;""""&amp;","&amp;""""&amp;$F$1&amp;""""&amp;":"&amp;""""&amp;F189&amp;""""&amp;","&amp;""""&amp;$H$1&amp;""""&amp;":"&amp;H189&amp;"}"</f>
        <v>{"ver":"1.7.0","type":"ability","effects":"[effect:regenerate, turn:1, val:1500, type:fix, animation:heal01_unit01]","conditions":"[condition:enclose,[condition:active_unit] ,[condition:panel_chain,count:18],logic:and]","priority":0}</v>
      </c>
      <c r="J189" s="35" t="s">
        <v>624</v>
      </c>
      <c r="K189" s="14">
        <v>3</v>
      </c>
    </row>
    <row r="190" spans="1:11" ht="21" customHeight="1" x14ac:dyDescent="0.15">
      <c r="A190" s="26">
        <v>918</v>
      </c>
      <c r="B190" s="27" t="s">
        <v>7</v>
      </c>
      <c r="C190" s="39" t="s">
        <v>523</v>
      </c>
      <c r="D190" s="40" t="s">
        <v>971</v>
      </c>
      <c r="E190" s="12" t="s">
        <v>171</v>
      </c>
      <c r="F190" s="12" t="s">
        <v>401</v>
      </c>
      <c r="G190" s="38" t="s">
        <v>972</v>
      </c>
      <c r="H190" s="12" t="s">
        <v>172</v>
      </c>
      <c r="I190" s="36" t="str">
        <f t="shared" si="11"/>
        <v>{"ver":"1.7.0","type":"ability","effects":"[effect:regenerate, turn:1, val:1500, type:fix, animation:heal01_unit01]","conditions":"[condition:enclose,[condition:active_unit] ,[condition:panel_chain,count:18],logic:and]","priority":0}</v>
      </c>
      <c r="J190" s="35" t="s">
        <v>623</v>
      </c>
      <c r="K190" s="14">
        <v>3</v>
      </c>
    </row>
    <row r="191" spans="1:11" ht="21" customHeight="1" x14ac:dyDescent="0.15">
      <c r="A191" s="26">
        <v>919</v>
      </c>
      <c r="B191" s="27" t="s">
        <v>7</v>
      </c>
      <c r="C191" s="39" t="s">
        <v>1071</v>
      </c>
      <c r="D191" s="40" t="s">
        <v>1072</v>
      </c>
      <c r="E191" s="12" t="s">
        <v>171</v>
      </c>
      <c r="F191" s="12" t="s">
        <v>490</v>
      </c>
      <c r="G191" s="38" t="s">
        <v>1073</v>
      </c>
      <c r="H191" s="12" t="s">
        <v>172</v>
      </c>
      <c r="I191" s="36" t="str">
        <f t="shared" si="11"/>
        <v>{"ver":"1.7.0","type":"ability","effects":"[effect:enhance_unit, target:myself, turn:1, status:attack, val:0.4, calc:mul, animation:enhance_unit_all_attack04]","conditions":"[condition:enclose,[condition:active_unit] ,[condition:panel_chain,count:16],logic:and]","priority":0}</v>
      </c>
      <c r="J191" s="35" t="s">
        <v>625</v>
      </c>
      <c r="K191" s="14">
        <v>3</v>
      </c>
    </row>
    <row r="192" spans="1:11" ht="21" customHeight="1" x14ac:dyDescent="0.15">
      <c r="A192" s="26">
        <v>1000</v>
      </c>
      <c r="B192" s="27" t="s">
        <v>7</v>
      </c>
      <c r="C192" s="39" t="s">
        <v>1181</v>
      </c>
      <c r="D192" s="12" t="s">
        <v>1183</v>
      </c>
      <c r="E192" s="12" t="s">
        <v>171</v>
      </c>
      <c r="F192" s="12" t="s">
        <v>1182</v>
      </c>
      <c r="G192" s="38" t="s">
        <v>1184</v>
      </c>
      <c r="H192" s="12" t="s">
        <v>172</v>
      </c>
      <c r="I192" s="36" t="str">
        <f t="shared" si="11"/>
        <v>{"ver":"1.7.0","type":"ability","effects":"[effect:counter_new, target:myself, invoke_condition:enemy_all, counter_target:attacker, turn:1, val:4, animation:counter_buff04]","conditions":"[condition:with_enemy,tribe:human/god/or]","priority":0}</v>
      </c>
      <c r="J192" s="35" t="s">
        <v>730</v>
      </c>
      <c r="K192" s="14">
        <v>3</v>
      </c>
    </row>
    <row r="193" spans="1:11" ht="21" customHeight="1" x14ac:dyDescent="0.15">
      <c r="A193" s="26">
        <v>1100</v>
      </c>
      <c r="B193" s="27" t="s">
        <v>38</v>
      </c>
      <c r="C193" s="39" t="s">
        <v>244</v>
      </c>
      <c r="D193" s="40" t="s">
        <v>548</v>
      </c>
      <c r="E193" s="12" t="s">
        <v>171</v>
      </c>
      <c r="F193" s="35" t="s">
        <v>280</v>
      </c>
      <c r="G193" s="38" t="s">
        <v>245</v>
      </c>
      <c r="H193" s="12" t="s">
        <v>172</v>
      </c>
      <c r="I193" s="36" t="str">
        <f t="shared" si="5"/>
        <v>{"ver":"1.7.0","type":"ability","effects":"[effect:crash_condition, target:myself, turn:-1, val:-1, animation:crash_panel_reduce03]    ","conditions":"[condition:active_unit]","priority":0}</v>
      </c>
      <c r="J193" s="35" t="s">
        <v>630</v>
      </c>
      <c r="K193" s="14">
        <v>3</v>
      </c>
    </row>
    <row r="194" spans="1:11" ht="21" customHeight="1" x14ac:dyDescent="0.15">
      <c r="A194" s="26">
        <v>1101</v>
      </c>
      <c r="B194" s="27" t="s">
        <v>38</v>
      </c>
      <c r="C194" s="39" t="s">
        <v>277</v>
      </c>
      <c r="D194" s="40" t="s">
        <v>515</v>
      </c>
      <c r="E194" s="12" t="s">
        <v>171</v>
      </c>
      <c r="F194" s="35" t="s">
        <v>280</v>
      </c>
      <c r="G194" s="38" t="s">
        <v>516</v>
      </c>
      <c r="H194" s="12" t="s">
        <v>172</v>
      </c>
      <c r="I194" s="36" t="str">
        <f t="shared" si="5"/>
        <v>{"ver":"1.7.0","type":"ability","effects":"[effect:crash_condition, target:myself, turn:-1, val:-2, animation:crash_panel_reduce03]    ","conditions":"[condition:active_unit]","priority":0}</v>
      </c>
      <c r="J194" s="35" t="s">
        <v>630</v>
      </c>
      <c r="K194" s="14">
        <v>3</v>
      </c>
    </row>
    <row r="195" spans="1:11" ht="21" customHeight="1" x14ac:dyDescent="0.15">
      <c r="A195" s="26">
        <v>1200</v>
      </c>
      <c r="B195" s="27" t="s">
        <v>38</v>
      </c>
      <c r="C195" s="39" t="s">
        <v>633</v>
      </c>
      <c r="D195" s="40" t="s">
        <v>248</v>
      </c>
      <c r="E195" s="12" t="s">
        <v>171</v>
      </c>
      <c r="F195" s="35" t="s">
        <v>246</v>
      </c>
      <c r="G195" s="38" t="s">
        <v>247</v>
      </c>
      <c r="H195" s="12" t="s">
        <v>172</v>
      </c>
      <c r="I195" s="36" t="str">
        <f t="shared" si="5"/>
        <v>{"ver":"1.7.0","type":"ability","effects":"[effect:enhance_unit, target:unit_green, turn:1, status:attack, val:0.2125, calc:mul, animation:enhance_unit_all_attack02],[effect:enhance_unit, target:unit_green, turn:1, status:heal, val:0.42, calc:mul, animation:enhance_unit_all_heal02_unit02]","conditions":"[condition:fever_start]","priority":0}</v>
      </c>
      <c r="J195" s="35" t="s">
        <v>613</v>
      </c>
      <c r="K195" s="14">
        <v>3</v>
      </c>
    </row>
    <row r="196" spans="1:11" ht="21" customHeight="1" x14ac:dyDescent="0.15">
      <c r="A196" s="26">
        <v>1300</v>
      </c>
      <c r="B196" s="27" t="s">
        <v>7</v>
      </c>
      <c r="C196" s="39" t="s">
        <v>249</v>
      </c>
      <c r="D196" s="40" t="s">
        <v>281</v>
      </c>
      <c r="E196" s="12" t="s">
        <v>171</v>
      </c>
      <c r="F196" s="12" t="s">
        <v>256</v>
      </c>
      <c r="G196" s="38" t="s">
        <v>251</v>
      </c>
      <c r="H196" s="12" t="s">
        <v>172</v>
      </c>
      <c r="I196" s="36" t="str">
        <f t="shared" si="5"/>
        <v>{"ver":"1.7.0","type":"ability","effects":"[effect:heal_fix, val:2000, animation:heal03]","conditions":"[condition:enclose,[condition:active_unit],[condition:panel_chain,count:12],logic:and]","priority":0}</v>
      </c>
      <c r="J196" s="35" t="s">
        <v>623</v>
      </c>
      <c r="K196" s="14">
        <v>3</v>
      </c>
    </row>
    <row r="197" spans="1:11" ht="21" customHeight="1" x14ac:dyDescent="0.15">
      <c r="A197" s="26">
        <v>1400</v>
      </c>
      <c r="B197" s="27" t="s">
        <v>7</v>
      </c>
      <c r="C197" s="39" t="s">
        <v>275</v>
      </c>
      <c r="D197" s="40" t="s">
        <v>504</v>
      </c>
      <c r="E197" s="12" t="s">
        <v>171</v>
      </c>
      <c r="F197" s="12" t="s">
        <v>505</v>
      </c>
      <c r="G197" s="38" t="s">
        <v>1077</v>
      </c>
      <c r="H197" s="12" t="s">
        <v>172</v>
      </c>
      <c r="I197" s="36" t="str">
        <f t="shared" si="5"/>
        <v>{"ver":"1.7.0","type":"ability","effects":"[effect:damage_up, target:myself, turn:1, val:1.2, type01:counter, option:killer]","conditions":"[condition:save_every_turn,each:4,count_type:normal]","priority":0}</v>
      </c>
      <c r="J197" s="35" t="s">
        <v>613</v>
      </c>
      <c r="K197" s="14">
        <v>3</v>
      </c>
    </row>
    <row r="198" spans="1:11" ht="21" customHeight="1" x14ac:dyDescent="0.15">
      <c r="A198" s="26">
        <v>1500</v>
      </c>
      <c r="B198" s="27" t="s">
        <v>7</v>
      </c>
      <c r="C198" s="39" t="s">
        <v>278</v>
      </c>
      <c r="D198" s="12" t="s">
        <v>279</v>
      </c>
      <c r="E198" s="12" t="s">
        <v>171</v>
      </c>
      <c r="F198" s="35" t="s">
        <v>173</v>
      </c>
      <c r="G198" s="38" t="s">
        <v>271</v>
      </c>
      <c r="H198" s="12" t="s">
        <v>172</v>
      </c>
      <c r="I198" s="36" t="str">
        <f t="shared" si="5"/>
        <v>{"ver":"1.7.0","type":"ability","effects":"[effect:damage_barrier, target:myself, turn:-1, val:15000, animation:activate_shield]","conditions":"[condition:always]","priority":0}</v>
      </c>
      <c r="J198" s="35" t="s">
        <v>613</v>
      </c>
      <c r="K198" s="14">
        <v>3</v>
      </c>
    </row>
    <row r="199" spans="1:11" ht="21" customHeight="1" x14ac:dyDescent="0.15">
      <c r="A199" s="26">
        <v>1501</v>
      </c>
      <c r="B199" s="27" t="s">
        <v>7</v>
      </c>
      <c r="C199" s="39" t="s">
        <v>259</v>
      </c>
      <c r="D199" s="12" t="s">
        <v>270</v>
      </c>
      <c r="E199" s="12" t="s">
        <v>171</v>
      </c>
      <c r="F199" s="35" t="s">
        <v>173</v>
      </c>
      <c r="G199" s="38" t="s">
        <v>272</v>
      </c>
      <c r="H199" s="12" t="s">
        <v>172</v>
      </c>
      <c r="I199" s="36" t="str">
        <f t="shared" si="5"/>
        <v>{"ver":"1.7.0","type":"ability","effects":"[effect:damage_barrier, target:myself, turn:-1, val:25000, animation:activate_shield]","conditions":"[condition:always]","priority":0}</v>
      </c>
      <c r="J199" s="35" t="s">
        <v>613</v>
      </c>
      <c r="K199" s="14">
        <v>3</v>
      </c>
    </row>
    <row r="200" spans="1:11" ht="21" customHeight="1" x14ac:dyDescent="0.15">
      <c r="A200" s="26">
        <v>1502</v>
      </c>
      <c r="B200" s="27" t="s">
        <v>7</v>
      </c>
      <c r="C200" s="39" t="s">
        <v>259</v>
      </c>
      <c r="D200" s="12" t="s">
        <v>261</v>
      </c>
      <c r="E200" s="12" t="s">
        <v>171</v>
      </c>
      <c r="F200" s="35" t="s">
        <v>173</v>
      </c>
      <c r="G200" s="38" t="s">
        <v>260</v>
      </c>
      <c r="H200" s="12" t="s">
        <v>172</v>
      </c>
      <c r="I200" s="36" t="str">
        <f t="shared" si="5"/>
        <v>{"ver":"1.7.0","type":"ability","effects":"[effect:damage_barrier, target:myself, turn:-1, val:50000, animation:activate_shield]","conditions":"[condition:always]","priority":0}</v>
      </c>
      <c r="J200" s="35" t="s">
        <v>613</v>
      </c>
      <c r="K200" s="14">
        <v>3</v>
      </c>
    </row>
    <row r="201" spans="1:11" ht="21" customHeight="1" x14ac:dyDescent="0.15">
      <c r="A201" s="26">
        <v>1503</v>
      </c>
      <c r="B201" s="27" t="s">
        <v>7</v>
      </c>
      <c r="C201" s="39" t="s">
        <v>546</v>
      </c>
      <c r="D201" s="12" t="s">
        <v>549</v>
      </c>
      <c r="E201" s="12" t="s">
        <v>171</v>
      </c>
      <c r="F201" s="35" t="s">
        <v>173</v>
      </c>
      <c r="G201" s="38" t="s">
        <v>303</v>
      </c>
      <c r="H201" s="12" t="s">
        <v>172</v>
      </c>
      <c r="I201" s="36" t="str">
        <f t="shared" si="5"/>
        <v>{"ver":"1.7.0","type":"ability","effects":"[effect:damage_barrier, target:myself, turn:-1, val:8000, animation:activate_shield]","conditions":"[condition:always]","priority":0}</v>
      </c>
      <c r="J201" s="35" t="s">
        <v>613</v>
      </c>
      <c r="K201" s="14">
        <v>3</v>
      </c>
    </row>
    <row r="202" spans="1:11" ht="21" customHeight="1" x14ac:dyDescent="0.15">
      <c r="A202" s="26">
        <v>1504</v>
      </c>
      <c r="B202" s="27" t="s">
        <v>7</v>
      </c>
      <c r="C202" s="39" t="s">
        <v>362</v>
      </c>
      <c r="D202" s="12" t="s">
        <v>363</v>
      </c>
      <c r="E202" s="12" t="s">
        <v>171</v>
      </c>
      <c r="F202" s="35" t="s">
        <v>173</v>
      </c>
      <c r="G202" s="38" t="s">
        <v>364</v>
      </c>
      <c r="H202" s="12" t="s">
        <v>172</v>
      </c>
      <c r="I202" s="36" t="str">
        <f t="shared" si="5"/>
        <v>{"ver":"1.7.0","type":"ability","effects":"[effect:damage_barrier, target:myself, turn:-1, val:10000, animation:activate_shield]","conditions":"[condition:always]","priority":0}</v>
      </c>
      <c r="J202" s="35" t="s">
        <v>613</v>
      </c>
      <c r="K202" s="14">
        <v>3</v>
      </c>
    </row>
    <row r="203" spans="1:11" ht="21" customHeight="1" x14ac:dyDescent="0.15">
      <c r="A203" s="26">
        <v>1505</v>
      </c>
      <c r="B203" s="27" t="s">
        <v>7</v>
      </c>
      <c r="C203" s="39" t="s">
        <v>425</v>
      </c>
      <c r="D203" s="12" t="s">
        <v>426</v>
      </c>
      <c r="E203" s="12" t="s">
        <v>171</v>
      </c>
      <c r="F203" s="35" t="s">
        <v>173</v>
      </c>
      <c r="G203" s="38" t="s">
        <v>427</v>
      </c>
      <c r="H203" s="12" t="s">
        <v>172</v>
      </c>
      <c r="I203" s="36" t="str">
        <f t="shared" si="5"/>
        <v>{"ver":"1.7.0","type":"ability","effects":"[effect:damage_barrier, target:myself, turn:-1, val:3939, animation:activate_shield]","conditions":"[condition:always]","priority":0}</v>
      </c>
      <c r="J203" s="35" t="s">
        <v>613</v>
      </c>
      <c r="K203" s="14">
        <v>3</v>
      </c>
    </row>
    <row r="204" spans="1:11" ht="21" customHeight="1" x14ac:dyDescent="0.15">
      <c r="A204" s="26">
        <v>1506</v>
      </c>
      <c r="B204" s="27" t="s">
        <v>7</v>
      </c>
      <c r="C204" s="39" t="s">
        <v>934</v>
      </c>
      <c r="D204" s="12" t="s">
        <v>935</v>
      </c>
      <c r="E204" s="12" t="s">
        <v>171</v>
      </c>
      <c r="F204" s="35" t="s">
        <v>173</v>
      </c>
      <c r="G204" s="38" t="s">
        <v>936</v>
      </c>
      <c r="H204" s="12" t="s">
        <v>172</v>
      </c>
      <c r="I204" s="36" t="str">
        <f t="shared" ref="I204" si="12">"{"&amp;""""&amp;$E$1&amp;""""&amp;":"&amp;""""&amp;E204&amp;""""&amp;","&amp;""""&amp;"type"&amp;""""&amp;":"&amp;""""&amp;"ability"&amp;""""&amp;","&amp;""""&amp;$G$1&amp;""""&amp;":"&amp;""""&amp;G204&amp;""""&amp;","&amp;""""&amp;$F$1&amp;""""&amp;":"&amp;""""&amp;F204&amp;""""&amp;","&amp;""""&amp;$H$1&amp;""""&amp;":"&amp;H204&amp;"}"</f>
        <v>{"ver":"1.7.0","type":"ability","effects":"[effect:damage_barrier, target:myself, turn:-1, val:5000, animation:activate_shield]","conditions":"[condition:always]","priority":0}</v>
      </c>
      <c r="J204" s="35" t="s">
        <v>613</v>
      </c>
      <c r="K204" s="14">
        <v>3</v>
      </c>
    </row>
    <row r="205" spans="1:11" ht="21" customHeight="1" x14ac:dyDescent="0.15">
      <c r="A205" s="26">
        <v>1507</v>
      </c>
      <c r="B205" s="27" t="s">
        <v>7</v>
      </c>
      <c r="C205" s="39" t="s">
        <v>678</v>
      </c>
      <c r="D205" s="12" t="s">
        <v>679</v>
      </c>
      <c r="E205" s="12" t="s">
        <v>171</v>
      </c>
      <c r="F205" s="35" t="s">
        <v>173</v>
      </c>
      <c r="G205" s="38" t="s">
        <v>1103</v>
      </c>
      <c r="H205" s="12" t="s">
        <v>172</v>
      </c>
      <c r="I205" s="36" t="str">
        <f t="shared" ref="I205:I206" si="13">"{"&amp;""""&amp;$E$1&amp;""""&amp;":"&amp;""""&amp;E205&amp;""""&amp;","&amp;""""&amp;"type"&amp;""""&amp;":"&amp;""""&amp;"ability"&amp;""""&amp;","&amp;""""&amp;$G$1&amp;""""&amp;":"&amp;""""&amp;G205&amp;""""&amp;","&amp;""""&amp;$F$1&amp;""""&amp;":"&amp;""""&amp;F205&amp;""""&amp;","&amp;""""&amp;$H$1&amp;""""&amp;":"&amp;H205&amp;"}"</f>
        <v>{"ver":"1.7.0","type":"ability","effects":"[effect:damage_barrier, target:myself, turn:-1, val:3500, animation:activate_shield]","conditions":"[condition:always]","priority":0}</v>
      </c>
      <c r="J205" s="35" t="s">
        <v>613</v>
      </c>
      <c r="K205" s="14">
        <v>3</v>
      </c>
    </row>
    <row r="206" spans="1:11" ht="21" customHeight="1" x14ac:dyDescent="0.15">
      <c r="A206" s="26">
        <v>1508</v>
      </c>
      <c r="B206" s="27" t="s">
        <v>7</v>
      </c>
      <c r="C206" s="39" t="s">
        <v>1168</v>
      </c>
      <c r="D206" s="12" t="s">
        <v>1169</v>
      </c>
      <c r="E206" s="12" t="s">
        <v>171</v>
      </c>
      <c r="F206" s="35" t="s">
        <v>173</v>
      </c>
      <c r="G206" s="38" t="s">
        <v>1170</v>
      </c>
      <c r="H206" s="12" t="s">
        <v>172</v>
      </c>
      <c r="I206" s="36" t="str">
        <f t="shared" si="13"/>
        <v>{"ver":"1.7.0","type":"ability","effects":"[effect:damage_barrier, target:myself, turn:-1, val:6000, animation:activate_shield]","conditions":"[condition:always]","priority":0}</v>
      </c>
      <c r="J206" s="35" t="s">
        <v>613</v>
      </c>
      <c r="K206" s="14">
        <v>3</v>
      </c>
    </row>
    <row r="207" spans="1:11" ht="21" customHeight="1" x14ac:dyDescent="0.15">
      <c r="A207" s="26">
        <v>1600</v>
      </c>
      <c r="B207" s="27" t="s">
        <v>7</v>
      </c>
      <c r="C207" s="39" t="s">
        <v>274</v>
      </c>
      <c r="D207" s="12" t="s">
        <v>276</v>
      </c>
      <c r="E207" s="12" t="s">
        <v>171</v>
      </c>
      <c r="F207" s="35" t="s">
        <v>173</v>
      </c>
      <c r="G207" s="38" t="s">
        <v>944</v>
      </c>
      <c r="H207" s="12" t="s">
        <v>172</v>
      </c>
      <c r="I207" s="36" t="str">
        <f t="shared" si="5"/>
        <v>{"ver":"1.7.0","type":"ability","effects":"[effect:enhance_unit, target:myself, turn:-1, status:attack, val:0.2, calc:mul, animation:enhance_unit_all_attack03],[effect:enhance_unit, target:myself, turn:-1, status:heal, val:0.4, calc:mul, animation:enhance_unit_all_heal02_unit01]","conditions":"[condition:always]","priority":0}</v>
      </c>
      <c r="J207" s="35" t="s">
        <v>625</v>
      </c>
      <c r="K207" s="14">
        <v>3</v>
      </c>
    </row>
    <row r="208" spans="1:11" ht="21" customHeight="1" x14ac:dyDescent="0.15">
      <c r="A208" s="26">
        <v>1601</v>
      </c>
      <c r="B208" s="27" t="s">
        <v>7</v>
      </c>
      <c r="C208" s="39" t="s">
        <v>1025</v>
      </c>
      <c r="D208" s="12" t="s">
        <v>1026</v>
      </c>
      <c r="E208" s="12" t="s">
        <v>171</v>
      </c>
      <c r="F208" s="35" t="s">
        <v>173</v>
      </c>
      <c r="G208" s="38" t="s">
        <v>1024</v>
      </c>
      <c r="H208" s="12" t="s">
        <v>172</v>
      </c>
      <c r="I208" s="36" t="str">
        <f t="shared" ref="I208:I209" si="14">"{"&amp;""""&amp;$E$1&amp;""""&amp;":"&amp;""""&amp;E208&amp;""""&amp;","&amp;""""&amp;"type"&amp;""""&amp;":"&amp;""""&amp;"ability"&amp;""""&amp;","&amp;""""&amp;$G$1&amp;""""&amp;":"&amp;""""&amp;G208&amp;""""&amp;","&amp;""""&amp;$F$1&amp;""""&amp;":"&amp;""""&amp;F208&amp;""""&amp;","&amp;""""&amp;$H$1&amp;""""&amp;":"&amp;H208&amp;"}"</f>
        <v>{"ver":"1.7.0","type":"ability","effects":"[effect:enhance_unit, target:unit_right, turn:1, status:heal, val:1000, calc:add, animation:enhance_unit_all_heal01_unit01]","conditions":"[condition:always]","priority":0}</v>
      </c>
      <c r="J208" s="35" t="s">
        <v>625</v>
      </c>
      <c r="K208" s="14">
        <v>3</v>
      </c>
    </row>
    <row r="209" spans="1:11" ht="21" customHeight="1" x14ac:dyDescent="0.15">
      <c r="A209" s="26">
        <v>1602</v>
      </c>
      <c r="B209" s="27" t="s">
        <v>7</v>
      </c>
      <c r="C209" s="39" t="s">
        <v>1065</v>
      </c>
      <c r="D209" s="12" t="s">
        <v>1069</v>
      </c>
      <c r="E209" s="12" t="s">
        <v>171</v>
      </c>
      <c r="F209" s="35" t="s">
        <v>173</v>
      </c>
      <c r="G209" s="38" t="s">
        <v>1070</v>
      </c>
      <c r="H209" s="12" t="s">
        <v>172</v>
      </c>
      <c r="I209" s="36" t="str">
        <f t="shared" si="14"/>
        <v>{"ver":"1.7.0","type":"ability","effects":"[effect:enhance_unit, target:unit_technical, turn:-1, status:attack, val:700, calc:add, animation:enhance_unit_all_attack01]","conditions":"[condition:always]","priority":0}</v>
      </c>
      <c r="J209" s="35" t="s">
        <v>625</v>
      </c>
      <c r="K209" s="14">
        <v>3</v>
      </c>
    </row>
    <row r="210" spans="1:11" ht="21" customHeight="1" x14ac:dyDescent="0.15">
      <c r="A210" s="26">
        <v>1603</v>
      </c>
      <c r="B210" s="27" t="s">
        <v>7</v>
      </c>
      <c r="C210" s="39" t="s">
        <v>1079</v>
      </c>
      <c r="D210" s="12" t="s">
        <v>1087</v>
      </c>
      <c r="E210" s="12" t="s">
        <v>171</v>
      </c>
      <c r="F210" s="35" t="s">
        <v>173</v>
      </c>
      <c r="G210" s="38" t="s">
        <v>1078</v>
      </c>
      <c r="H210" s="12" t="s">
        <v>172</v>
      </c>
      <c r="I210" s="36" t="str">
        <f t="shared" ref="I210:I211" si="15">"{"&amp;""""&amp;$E$1&amp;""""&amp;":"&amp;""""&amp;E210&amp;""""&amp;","&amp;""""&amp;"type"&amp;""""&amp;":"&amp;""""&amp;"ability"&amp;""""&amp;","&amp;""""&amp;$G$1&amp;""""&amp;":"&amp;""""&amp;G210&amp;""""&amp;","&amp;""""&amp;$F$1&amp;""""&amp;":"&amp;""""&amp;F210&amp;""""&amp;","&amp;""""&amp;$H$1&amp;""""&amp;":"&amp;H210&amp;"}"</f>
        <v>{"ver":"1.7.0","type":"ability","effects":"[effect:enhance_unit, target:unit_animal/unit_fantasy/unit_hero/or, turn:-1, status:attack, val:800, calc:add, animation:enhance_unit_all_attack01]","conditions":"[condition:always]","priority":0}</v>
      </c>
      <c r="J210" s="35" t="s">
        <v>625</v>
      </c>
      <c r="K210" s="14">
        <v>3</v>
      </c>
    </row>
    <row r="211" spans="1:11" ht="21" customHeight="1" x14ac:dyDescent="0.15">
      <c r="A211" s="26">
        <v>1604</v>
      </c>
      <c r="B211" s="27" t="s">
        <v>7</v>
      </c>
      <c r="C211" s="39" t="s">
        <v>1133</v>
      </c>
      <c r="D211" s="12" t="s">
        <v>1161</v>
      </c>
      <c r="E211" s="12" t="s">
        <v>171</v>
      </c>
      <c r="F211" s="12" t="s">
        <v>593</v>
      </c>
      <c r="G211" s="38" t="s">
        <v>1080</v>
      </c>
      <c r="H211" s="12" t="s">
        <v>172</v>
      </c>
      <c r="I211" s="36" t="str">
        <f t="shared" si="15"/>
        <v>{"ver":"1.7.0","type":"ability","effects":"[effect:enhance_unit, target:unit_human/unit_fantasy/or, turn:1, status:action, val:1, calc:add, animation:enhance_unit_one_action01]","conditions":"[condition:save_every_turn,each:6,count_type:normal]","priority":0}</v>
      </c>
      <c r="J211" s="35" t="s">
        <v>730</v>
      </c>
      <c r="K211" s="14">
        <v>3</v>
      </c>
    </row>
    <row r="212" spans="1:11" ht="21" customHeight="1" x14ac:dyDescent="0.15">
      <c r="A212" s="26">
        <v>1605</v>
      </c>
      <c r="B212" s="27" t="s">
        <v>7</v>
      </c>
      <c r="C212" s="39" t="s">
        <v>1162</v>
      </c>
      <c r="D212" s="12" t="s">
        <v>1163</v>
      </c>
      <c r="E212" s="12" t="s">
        <v>171</v>
      </c>
      <c r="F212" s="35" t="s">
        <v>1075</v>
      </c>
      <c r="G212" s="38" t="s">
        <v>1011</v>
      </c>
      <c r="H212" s="12" t="s">
        <v>172</v>
      </c>
      <c r="I212" s="36" t="str">
        <f t="shared" ref="I212" si="16">"{"&amp;""""&amp;$E$1&amp;""""&amp;":"&amp;""""&amp;E212&amp;""""&amp;","&amp;""""&amp;"type"&amp;""""&amp;":"&amp;""""&amp;"ability"&amp;""""&amp;","&amp;""""&amp;$G$1&amp;""""&amp;":"&amp;""""&amp;G212&amp;""""&amp;","&amp;""""&amp;$F$1&amp;""""&amp;":"&amp;""""&amp;F212&amp;""""&amp;","&amp;""""&amp;$H$1&amp;""""&amp;":"&amp;H212&amp;"}"</f>
        <v>{"ver":"1.7.0","type":"ability","effects":"[effect:enhance_unit, target:unit_all, turn:-1, status:attack, val:500, calc:add, animation:enhance_unit_all_attack01]","conditions":"[condition:enclose,[condition:with_unit,type:hp],[condition:with_unit,type:technical],logic:or]","priority":0}</v>
      </c>
      <c r="J212" s="35" t="s">
        <v>625</v>
      </c>
      <c r="K212" s="14">
        <v>3</v>
      </c>
    </row>
    <row r="213" spans="1:11" ht="21" customHeight="1" x14ac:dyDescent="0.15">
      <c r="A213" s="26">
        <v>1606</v>
      </c>
      <c r="B213" s="27" t="s">
        <v>7</v>
      </c>
      <c r="C213" s="39" t="s">
        <v>1160</v>
      </c>
      <c r="D213" s="12" t="s">
        <v>1155</v>
      </c>
      <c r="E213" s="12" t="s">
        <v>171</v>
      </c>
      <c r="F213" s="35" t="s">
        <v>593</v>
      </c>
      <c r="G213" s="38" t="s">
        <v>1159</v>
      </c>
      <c r="H213" s="12" t="s">
        <v>172</v>
      </c>
      <c r="I213" s="36" t="str">
        <f t="shared" ref="I213" si="17">"{"&amp;""""&amp;$E$1&amp;""""&amp;":"&amp;""""&amp;E213&amp;""""&amp;","&amp;""""&amp;"type"&amp;""""&amp;":"&amp;""""&amp;"ability"&amp;""""&amp;","&amp;""""&amp;$G$1&amp;""""&amp;":"&amp;""""&amp;G213&amp;""""&amp;","&amp;""""&amp;$F$1&amp;""""&amp;":"&amp;""""&amp;F213&amp;""""&amp;","&amp;""""&amp;$H$1&amp;""""&amp;":"&amp;H213&amp;"}"</f>
        <v>{"ver":"1.7.0","type":"ability","effects":"[effect:enhance_unit, target:unit_dragon/unit_fantasy/unit_animal/or, turn:1, status:attack, val:1000, calc:add, animation:enhance_unit_all_attack01]","conditions":"[condition:save_every_turn,each:6,count_type:normal]","priority":0}</v>
      </c>
      <c r="J213" s="35" t="s">
        <v>625</v>
      </c>
      <c r="K213" s="14">
        <v>3</v>
      </c>
    </row>
    <row r="214" spans="1:11" ht="21" customHeight="1" x14ac:dyDescent="0.15">
      <c r="A214" s="26">
        <v>1607</v>
      </c>
      <c r="B214" s="27" t="s">
        <v>7</v>
      </c>
      <c r="C214" s="39" t="s">
        <v>1156</v>
      </c>
      <c r="D214" s="12" t="s">
        <v>1157</v>
      </c>
      <c r="E214" s="12" t="s">
        <v>171</v>
      </c>
      <c r="F214" s="35" t="s">
        <v>593</v>
      </c>
      <c r="G214" s="38" t="s">
        <v>1158</v>
      </c>
      <c r="H214" s="12" t="s">
        <v>172</v>
      </c>
      <c r="I214" s="36" t="str">
        <f t="shared" ref="I214" si="18">"{"&amp;""""&amp;$E$1&amp;""""&amp;":"&amp;""""&amp;E214&amp;""""&amp;","&amp;""""&amp;"type"&amp;""""&amp;":"&amp;""""&amp;"ability"&amp;""""&amp;","&amp;""""&amp;$G$1&amp;""""&amp;":"&amp;""""&amp;G214&amp;""""&amp;","&amp;""""&amp;$F$1&amp;""""&amp;":"&amp;""""&amp;F214&amp;""""&amp;","&amp;""""&amp;$H$1&amp;""""&amp;":"&amp;H214&amp;"}"</f>
        <v>{"ver":"1.7.0","type":"ability","effects":"[effect:enhance_unit, target:unit_dragon/unit_fantasy/unit_animal/or, turn:1, status:action, val:1, calc:add, animation:enhance_unit_one_action01]","conditions":"[condition:save_every_turn,each:6,count_type:normal]","priority":0}</v>
      </c>
      <c r="J214" s="35" t="s">
        <v>730</v>
      </c>
      <c r="K214" s="14">
        <v>3</v>
      </c>
    </row>
    <row r="215" spans="1:11" ht="21" customHeight="1" x14ac:dyDescent="0.15">
      <c r="A215" s="26">
        <v>1700</v>
      </c>
      <c r="B215" s="27" t="s">
        <v>7</v>
      </c>
      <c r="C215" s="39" t="s">
        <v>341</v>
      </c>
      <c r="D215" s="12" t="s">
        <v>342</v>
      </c>
      <c r="E215" s="12" t="s">
        <v>171</v>
      </c>
      <c r="F215" s="12" t="s">
        <v>487</v>
      </c>
      <c r="G215" s="38" t="s">
        <v>343</v>
      </c>
      <c r="H215" s="12" t="s">
        <v>172</v>
      </c>
      <c r="I215" s="36" t="str">
        <f t="shared" si="5"/>
        <v>{"ver":"1.7.0","type":"ability","effects":"[effect:regenerate, turn:1, val:0.405, animation:heal01_unit01]","conditions":"[condition:enclose,[condition:active_unit],[condition:panel_total,count:30],logic:and]","priority":0}</v>
      </c>
      <c r="J215" s="35" t="s">
        <v>623</v>
      </c>
      <c r="K215" s="14">
        <v>3</v>
      </c>
    </row>
    <row r="216" spans="1:11" ht="21" customHeight="1" x14ac:dyDescent="0.15">
      <c r="A216" s="26">
        <v>1701</v>
      </c>
      <c r="B216" s="27" t="s">
        <v>7</v>
      </c>
      <c r="C216" s="39" t="s">
        <v>1052</v>
      </c>
      <c r="D216" s="12" t="s">
        <v>977</v>
      </c>
      <c r="E216" s="12" t="s">
        <v>171</v>
      </c>
      <c r="F216" s="12" t="s">
        <v>939</v>
      </c>
      <c r="G216" s="38" t="s">
        <v>940</v>
      </c>
      <c r="H216" s="12" t="s">
        <v>172</v>
      </c>
      <c r="I216" s="36" t="str">
        <f t="shared" ref="I216" si="19">"{"&amp;""""&amp;$E$1&amp;""""&amp;":"&amp;""""&amp;E216&amp;""""&amp;","&amp;""""&amp;"type"&amp;""""&amp;":"&amp;""""&amp;"ability"&amp;""""&amp;","&amp;""""&amp;$G$1&amp;""""&amp;":"&amp;""""&amp;G216&amp;""""&amp;","&amp;""""&amp;$F$1&amp;""""&amp;":"&amp;""""&amp;F216&amp;""""&amp;","&amp;""""&amp;$H$1&amp;""""&amp;":"&amp;H216&amp;"}"</f>
        <v>{"ver":"1.7.0","type":"ability","effects":"[effect:regenerate, turn:1, val:2500, type:fix, animation:heal02_unit01]","conditions":"[condition:save_every_turn,each:5,count_type:normal]","priority":0}</v>
      </c>
      <c r="J216" s="35" t="s">
        <v>623</v>
      </c>
      <c r="K216" s="14">
        <v>3</v>
      </c>
    </row>
    <row r="217" spans="1:11" ht="21" customHeight="1" x14ac:dyDescent="0.15">
      <c r="A217" s="26">
        <v>1702</v>
      </c>
      <c r="B217" s="27" t="s">
        <v>7</v>
      </c>
      <c r="C217" s="39" t="s">
        <v>942</v>
      </c>
      <c r="D217" s="12" t="s">
        <v>943</v>
      </c>
      <c r="E217" s="12" t="s">
        <v>171</v>
      </c>
      <c r="F217" s="12" t="s">
        <v>593</v>
      </c>
      <c r="G217" s="38" t="s">
        <v>945</v>
      </c>
      <c r="H217" s="12" t="s">
        <v>172</v>
      </c>
      <c r="I217" s="36" t="str">
        <f t="shared" ref="I217:I218" si="20">"{"&amp;""""&amp;$E$1&amp;""""&amp;":"&amp;""""&amp;E217&amp;""""&amp;","&amp;""""&amp;"type"&amp;""""&amp;":"&amp;""""&amp;"ability"&amp;""""&amp;","&amp;""""&amp;$G$1&amp;""""&amp;":"&amp;""""&amp;G217&amp;""""&amp;","&amp;""""&amp;$F$1&amp;""""&amp;":"&amp;""""&amp;F217&amp;""""&amp;","&amp;""""&amp;$H$1&amp;""""&amp;":"&amp;H217&amp;"}"</f>
        <v>{"ver":"1.7.0","type":"ability","effects":"[effect:enhance_unit, target:unit_dragon/unit_fantasy/unit_animal/or, turn:-1, status:attack, val:1000, calc:add, animation:enhance_unit_all_attack01]","conditions":"[condition:save_every_turn,each:6,count_type:normal]","priority":0}</v>
      </c>
      <c r="J217" s="35" t="s">
        <v>625</v>
      </c>
      <c r="K217" s="14">
        <v>3</v>
      </c>
    </row>
    <row r="218" spans="1:11" ht="21" customHeight="1" x14ac:dyDescent="0.15">
      <c r="A218" s="26">
        <v>1703</v>
      </c>
      <c r="B218" s="27" t="s">
        <v>7</v>
      </c>
      <c r="C218" s="39" t="s">
        <v>1083</v>
      </c>
      <c r="D218" s="12" t="s">
        <v>1066</v>
      </c>
      <c r="E218" s="12" t="s">
        <v>171</v>
      </c>
      <c r="F218" s="12" t="s">
        <v>1054</v>
      </c>
      <c r="G218" s="38" t="s">
        <v>1041</v>
      </c>
      <c r="H218" s="12" t="s">
        <v>172</v>
      </c>
      <c r="I218" s="36" t="str">
        <f t="shared" si="20"/>
        <v>{"ver":"1.7.0","type":"ability","effects":"[effect:enhance_sp_boost, target:unit_right, count:1]","conditions":"[condition:save_every_turn,each:8,count_type:normal]","priority":0}</v>
      </c>
      <c r="J218" s="35" t="s">
        <v>613</v>
      </c>
      <c r="K218" s="14">
        <v>3</v>
      </c>
    </row>
    <row r="219" spans="1:11" ht="21" customHeight="1" x14ac:dyDescent="0.15">
      <c r="A219" s="26">
        <v>1704</v>
      </c>
      <c r="B219" s="27" t="s">
        <v>7</v>
      </c>
      <c r="C219" s="39" t="s">
        <v>1005</v>
      </c>
      <c r="D219" s="12" t="s">
        <v>1006</v>
      </c>
      <c r="E219" s="12" t="s">
        <v>171</v>
      </c>
      <c r="F219" s="12" t="s">
        <v>949</v>
      </c>
      <c r="G219" s="38" t="s">
        <v>1007</v>
      </c>
      <c r="H219" s="12" t="s">
        <v>172</v>
      </c>
      <c r="I219" s="36" t="str">
        <f t="shared" ref="I219" si="21">"{"&amp;""""&amp;$E$1&amp;""""&amp;":"&amp;""""&amp;E219&amp;""""&amp;","&amp;""""&amp;"type"&amp;""""&amp;":"&amp;""""&amp;"ability"&amp;""""&amp;","&amp;""""&amp;$G$1&amp;""""&amp;":"&amp;""""&amp;G219&amp;""""&amp;","&amp;""""&amp;$F$1&amp;""""&amp;":"&amp;""""&amp;F219&amp;""""&amp;","&amp;""""&amp;$H$1&amp;""""&amp;":"&amp;H219&amp;"}"</f>
        <v>{"ver":"1.7.0","type":"ability","effects":"[effect:enhance_unit, target:myself/unit_right/or, turn:1, status:heal, val:1500, calc:add, animation:enhance_unit_all_heal02_unit01]","conditions":"[condition:save_every_turn,each:6,count_type:normal]","priority":0}</v>
      </c>
      <c r="J219" s="35" t="s">
        <v>728</v>
      </c>
      <c r="K219" s="14">
        <v>3</v>
      </c>
    </row>
    <row r="220" spans="1:11" ht="21" customHeight="1" x14ac:dyDescent="0.15">
      <c r="A220" s="26">
        <v>1705</v>
      </c>
      <c r="B220" s="27" t="s">
        <v>7</v>
      </c>
      <c r="C220" s="39" t="s">
        <v>1173</v>
      </c>
      <c r="D220" s="12" t="s">
        <v>1174</v>
      </c>
      <c r="E220" s="12" t="s">
        <v>171</v>
      </c>
      <c r="F220" s="12" t="s">
        <v>912</v>
      </c>
      <c r="G220" s="38" t="s">
        <v>1175</v>
      </c>
      <c r="H220" s="12" t="s">
        <v>172</v>
      </c>
      <c r="I220" s="36" t="str">
        <f t="shared" ref="I220" si="22">"{"&amp;""""&amp;$E$1&amp;""""&amp;":"&amp;""""&amp;E220&amp;""""&amp;","&amp;""""&amp;"type"&amp;""""&amp;":"&amp;""""&amp;"ability"&amp;""""&amp;","&amp;""""&amp;$G$1&amp;""""&amp;":"&amp;""""&amp;G220&amp;""""&amp;","&amp;""""&amp;$F$1&amp;""""&amp;":"&amp;""""&amp;F220&amp;""""&amp;","&amp;""""&amp;$H$1&amp;""""&amp;":"&amp;H220&amp;"}"</f>
        <v>{"ver":"1.7.0","type":"ability","effects":"[effect:reduction, target:unit_all, turn:1, val:0.15, animation:reduction_one01]","conditions":"[condition:save_every_turn,each:3,count_type:normal]","priority":0}</v>
      </c>
      <c r="J220" s="35" t="s">
        <v>730</v>
      </c>
      <c r="K220" s="14">
        <v>3</v>
      </c>
    </row>
    <row r="221" spans="1:11" ht="21" customHeight="1" x14ac:dyDescent="0.15">
      <c r="A221" s="26">
        <v>1800</v>
      </c>
      <c r="B221" s="27" t="s">
        <v>7</v>
      </c>
      <c r="C221" s="39" t="s">
        <v>304</v>
      </c>
      <c r="D221" s="12" t="s">
        <v>301</v>
      </c>
      <c r="E221" s="12" t="s">
        <v>171</v>
      </c>
      <c r="F221" s="12" t="s">
        <v>246</v>
      </c>
      <c r="G221" s="38" t="s">
        <v>302</v>
      </c>
      <c r="H221" s="12" t="s">
        <v>172</v>
      </c>
      <c r="I221" s="36" t="str">
        <f t="shared" si="5"/>
        <v>{"ver":"1.7.0","type":"ability","effects":"[effect:enhance_unit, target:myself, turn:1, status:attack, val:0.255, calc:mul, animation:enhance_unit_all_attack03],[effect:enhance_unit, target:myself, turn:1, status:heal, val:0.45, calc:mul, animation:enhance_unit_all_heal04_unit01]","conditions":"[condition:fever_start]","priority":0}</v>
      </c>
      <c r="J221" s="35" t="s">
        <v>613</v>
      </c>
      <c r="K221" s="14">
        <v>3</v>
      </c>
    </row>
    <row r="222" spans="1:11" ht="21" customHeight="1" x14ac:dyDescent="0.15">
      <c r="A222" s="26">
        <v>1900</v>
      </c>
      <c r="B222" s="27" t="s">
        <v>7</v>
      </c>
      <c r="C222" s="39" t="s">
        <v>305</v>
      </c>
      <c r="D222" s="12" t="s">
        <v>306</v>
      </c>
      <c r="E222" s="12" t="s">
        <v>171</v>
      </c>
      <c r="F222" s="12" t="s">
        <v>463</v>
      </c>
      <c r="G222" s="38" t="s">
        <v>464</v>
      </c>
      <c r="H222" s="12" t="s">
        <v>172</v>
      </c>
      <c r="I222" s="36" t="str">
        <f t="shared" si="5"/>
        <v>{"ver":"1.7.0","type":"ability","effects":"[effect:change_panel_ratio, turn:-1, block_type:heal, val:0.3, animation:block_incidence04]","conditions":"[condition:active_unit]","priority":0}</v>
      </c>
      <c r="J222" s="35" t="s">
        <v>627</v>
      </c>
      <c r="K222" s="14">
        <v>3</v>
      </c>
    </row>
    <row r="223" spans="1:11" ht="21" customHeight="1" x14ac:dyDescent="0.15">
      <c r="A223" s="26">
        <v>2000</v>
      </c>
      <c r="B223" s="27" t="s">
        <v>7</v>
      </c>
      <c r="C223" s="39" t="s">
        <v>324</v>
      </c>
      <c r="D223" s="12" t="s">
        <v>325</v>
      </c>
      <c r="E223" s="12" t="s">
        <v>171</v>
      </c>
      <c r="F223" s="12" t="s">
        <v>280</v>
      </c>
      <c r="G223" s="38" t="s">
        <v>478</v>
      </c>
      <c r="H223" s="12" t="s">
        <v>172</v>
      </c>
      <c r="I223" s="36" t="str">
        <f t="shared" si="5"/>
        <v>{"ver":"1.7.0","type":"ability","effects":"[effect:change_panel_ratio, turn:-1, block_type:red, val:0.45, animation:block_incidence04]","conditions":"[condition:active_unit]","priority":0}</v>
      </c>
      <c r="J223" s="35" t="s">
        <v>627</v>
      </c>
      <c r="K223" s="14">
        <v>3</v>
      </c>
    </row>
    <row r="224" spans="1:11" ht="21" customHeight="1" x14ac:dyDescent="0.15">
      <c r="A224" s="26">
        <v>2100</v>
      </c>
      <c r="B224" s="27" t="s">
        <v>7</v>
      </c>
      <c r="C224" s="39" t="s">
        <v>329</v>
      </c>
      <c r="D224" s="12" t="s">
        <v>330</v>
      </c>
      <c r="E224" s="12" t="s">
        <v>171</v>
      </c>
      <c r="F224" s="12" t="s">
        <v>280</v>
      </c>
      <c r="G224" s="38" t="s">
        <v>331</v>
      </c>
      <c r="H224" s="12" t="s">
        <v>172</v>
      </c>
      <c r="I224" s="36" t="str">
        <f t="shared" si="5"/>
        <v>{"ver":"1.7.0","type":"ability","effects":"[effect:change_panel_ratio, turn:-1, block_type:green, val:0.3, animation:block_incidence04]","conditions":"[condition:active_unit]","priority":0}</v>
      </c>
      <c r="J224" s="35" t="s">
        <v>627</v>
      </c>
      <c r="K224" s="14">
        <v>3</v>
      </c>
    </row>
    <row r="225" spans="1:11" ht="21" customHeight="1" x14ac:dyDescent="0.15">
      <c r="A225" s="26">
        <v>2101</v>
      </c>
      <c r="B225" s="27" t="s">
        <v>7</v>
      </c>
      <c r="C225" s="39" t="s">
        <v>329</v>
      </c>
      <c r="D225" s="12" t="s">
        <v>330</v>
      </c>
      <c r="E225" s="12" t="s">
        <v>171</v>
      </c>
      <c r="F225" s="12" t="s">
        <v>280</v>
      </c>
      <c r="G225" s="38" t="s">
        <v>900</v>
      </c>
      <c r="H225" s="12" t="s">
        <v>172</v>
      </c>
      <c r="I225" s="36" t="str">
        <f t="shared" ref="I225" si="23">"{"&amp;""""&amp;$E$1&amp;""""&amp;":"&amp;""""&amp;E225&amp;""""&amp;","&amp;""""&amp;"type"&amp;""""&amp;":"&amp;""""&amp;"ability"&amp;""""&amp;","&amp;""""&amp;$G$1&amp;""""&amp;":"&amp;""""&amp;G225&amp;""""&amp;","&amp;""""&amp;$F$1&amp;""""&amp;":"&amp;""""&amp;F225&amp;""""&amp;","&amp;""""&amp;$H$1&amp;""""&amp;":"&amp;H225&amp;"}"</f>
        <v>{"ver":"1.7.0","type":"ability","effects":"[effect:change_panel_ratio, turn:-1, block_type:green, val:0.45, animation:block_incidence04]","conditions":"[condition:active_unit]","priority":0}</v>
      </c>
      <c r="J225" s="35" t="s">
        <v>627</v>
      </c>
      <c r="K225" s="14">
        <v>3</v>
      </c>
    </row>
    <row r="226" spans="1:11" ht="21" customHeight="1" x14ac:dyDescent="0.15">
      <c r="A226" s="26">
        <v>2200</v>
      </c>
      <c r="B226" s="27" t="s">
        <v>7</v>
      </c>
      <c r="C226" s="39" t="s">
        <v>327</v>
      </c>
      <c r="D226" s="12" t="s">
        <v>326</v>
      </c>
      <c r="E226" s="12" t="s">
        <v>171</v>
      </c>
      <c r="F226" s="12" t="s">
        <v>280</v>
      </c>
      <c r="G226" s="38" t="s">
        <v>328</v>
      </c>
      <c r="H226" s="12" t="s">
        <v>172</v>
      </c>
      <c r="I226" s="36" t="str">
        <f t="shared" si="5"/>
        <v>{"ver":"1.7.0","type":"ability","effects":"[effect:change_panel_ratio, turn:-1, block_type:blue, val:0.3, animation:block_incidence04]","conditions":"[condition:active_unit]","priority":0}</v>
      </c>
      <c r="J226" s="35" t="s">
        <v>628</v>
      </c>
      <c r="K226" s="14">
        <v>3</v>
      </c>
    </row>
    <row r="227" spans="1:11" ht="21" customHeight="1" x14ac:dyDescent="0.15">
      <c r="A227" s="26">
        <v>2201</v>
      </c>
      <c r="B227" s="27" t="s">
        <v>7</v>
      </c>
      <c r="C227" s="39" t="s">
        <v>327</v>
      </c>
      <c r="D227" s="12" t="s">
        <v>326</v>
      </c>
      <c r="E227" s="12" t="s">
        <v>171</v>
      </c>
      <c r="F227" s="12" t="s">
        <v>280</v>
      </c>
      <c r="G227" s="38" t="s">
        <v>509</v>
      </c>
      <c r="H227" s="12" t="s">
        <v>172</v>
      </c>
      <c r="I227" s="36" t="str">
        <f t="shared" si="5"/>
        <v>{"ver":"1.7.0","type":"ability","effects":"[effect:change_panel_ratio, turn:-1, block_type:blue, val:0.45, animation:block_incidence04]","conditions":"[condition:active_unit]","priority":0}</v>
      </c>
      <c r="J227" s="35" t="s">
        <v>627</v>
      </c>
      <c r="K227" s="14">
        <v>3</v>
      </c>
    </row>
    <row r="228" spans="1:11" ht="21" customHeight="1" x14ac:dyDescent="0.15">
      <c r="A228" s="26">
        <v>2300</v>
      </c>
      <c r="B228" s="27" t="s">
        <v>7</v>
      </c>
      <c r="C228" s="39" t="s">
        <v>332</v>
      </c>
      <c r="D228" s="12" t="s">
        <v>333</v>
      </c>
      <c r="E228" s="12" t="s">
        <v>171</v>
      </c>
      <c r="F228" s="12" t="s">
        <v>280</v>
      </c>
      <c r="G228" s="38" t="s">
        <v>335</v>
      </c>
      <c r="H228" s="12" t="s">
        <v>172</v>
      </c>
      <c r="I228" s="36" t="str">
        <f t="shared" si="5"/>
        <v>{"ver":"1.7.0","type":"ability","effects":"[effect:change_panel_ratio, turn:-1, block_type:yellow, val:0.3, animation:block_incidence04]","conditions":"[condition:active_unit]","priority":0}</v>
      </c>
      <c r="J228" s="35" t="s">
        <v>627</v>
      </c>
      <c r="K228" s="14">
        <v>3</v>
      </c>
    </row>
    <row r="229" spans="1:11" ht="21" customHeight="1" x14ac:dyDescent="0.15">
      <c r="A229" s="26">
        <v>2400</v>
      </c>
      <c r="B229" s="27" t="s">
        <v>7</v>
      </c>
      <c r="C229" s="39" t="s">
        <v>346</v>
      </c>
      <c r="D229" s="12" t="s">
        <v>344</v>
      </c>
      <c r="E229" s="12" t="s">
        <v>171</v>
      </c>
      <c r="F229" s="12" t="s">
        <v>280</v>
      </c>
      <c r="G229" s="38" t="s">
        <v>345</v>
      </c>
      <c r="H229" s="12" t="s">
        <v>172</v>
      </c>
      <c r="I229" s="36" t="str">
        <f t="shared" ref="I229:I330" si="24">"{"&amp;""""&amp;$E$1&amp;""""&amp;":"&amp;""""&amp;E229&amp;""""&amp;","&amp;""""&amp;"type"&amp;""""&amp;":"&amp;""""&amp;"ability"&amp;""""&amp;","&amp;""""&amp;$G$1&amp;""""&amp;":"&amp;""""&amp;G229&amp;""""&amp;","&amp;""""&amp;$F$1&amp;""""&amp;":"&amp;""""&amp;F229&amp;""""&amp;","&amp;""""&amp;$H$1&amp;""""&amp;":"&amp;H229&amp;"}"</f>
        <v>{"ver":"1.7.0","type":"ability","effects":"[effect:drop_block, block_type:crack_bomb, block_color:block_heart, color:block_heart, val:12, rate:0.5, turn:-1, animation:crash_influence04]","conditions":"[condition:active_unit]","priority":0}</v>
      </c>
      <c r="J229" s="35" t="s">
        <v>627</v>
      </c>
      <c r="K229" s="14">
        <v>3</v>
      </c>
    </row>
    <row r="230" spans="1:11" ht="21" customHeight="1" x14ac:dyDescent="0.15">
      <c r="A230" s="26">
        <v>2401</v>
      </c>
      <c r="B230" s="27" t="s">
        <v>7</v>
      </c>
      <c r="C230" s="39" t="s">
        <v>468</v>
      </c>
      <c r="D230" s="12" t="s">
        <v>470</v>
      </c>
      <c r="E230" s="12" t="s">
        <v>171</v>
      </c>
      <c r="F230" s="12" t="s">
        <v>280</v>
      </c>
      <c r="G230" s="38" t="s">
        <v>473</v>
      </c>
      <c r="H230" s="12" t="s">
        <v>172</v>
      </c>
      <c r="I230" s="36" t="str">
        <f t="shared" si="24"/>
        <v>{"ver":"1.7.0","type":"ability","effects":"[effect:drop_block, block_type:crack_bomb, block_color:block_red, color:block_red, val:12, rate:0.25, turn:-1, animation:crash_influence04]","conditions":"[condition:active_unit]","priority":0}</v>
      </c>
      <c r="J230" s="35" t="s">
        <v>627</v>
      </c>
      <c r="K230" s="14">
        <v>3</v>
      </c>
    </row>
    <row r="231" spans="1:11" ht="21" customHeight="1" x14ac:dyDescent="0.15">
      <c r="A231" s="26">
        <v>2402</v>
      </c>
      <c r="B231" s="27" t="s">
        <v>7</v>
      </c>
      <c r="C231" s="39" t="s">
        <v>469</v>
      </c>
      <c r="D231" s="12" t="s">
        <v>471</v>
      </c>
      <c r="E231" s="12" t="s">
        <v>171</v>
      </c>
      <c r="F231" s="12" t="s">
        <v>280</v>
      </c>
      <c r="G231" s="38" t="s">
        <v>472</v>
      </c>
      <c r="H231" s="12" t="s">
        <v>172</v>
      </c>
      <c r="I231" s="36" t="str">
        <f t="shared" si="24"/>
        <v>{"ver":"1.7.0","type":"ability","effects":"[effect:drop_block, block_type:crack_bomb, block_color:block_green, color:block_green, val:12, rate:0.25, turn:-1, animation:crash_influence04]","conditions":"[condition:active_unit]","priority":0}</v>
      </c>
      <c r="J231" s="35" t="s">
        <v>627</v>
      </c>
      <c r="K231" s="14">
        <v>3</v>
      </c>
    </row>
    <row r="232" spans="1:11" ht="21" customHeight="1" x14ac:dyDescent="0.15">
      <c r="A232" s="26">
        <v>2403</v>
      </c>
      <c r="B232" s="27" t="s">
        <v>7</v>
      </c>
      <c r="C232" s="39" t="s">
        <v>492</v>
      </c>
      <c r="D232" s="12" t="s">
        <v>493</v>
      </c>
      <c r="E232" s="12" t="s">
        <v>171</v>
      </c>
      <c r="F232" s="12" t="s">
        <v>280</v>
      </c>
      <c r="G232" s="38" t="s">
        <v>494</v>
      </c>
      <c r="H232" s="12" t="s">
        <v>172</v>
      </c>
      <c r="I232" s="36" t="str">
        <f t="shared" si="24"/>
        <v>{"ver":"1.7.0","type":"ability","effects":"[effect:drop_block, block_type:crack_bomb, block_color:block_blue, color:block_blue, val:12, rate:0.5, turn:-1, animation:crash_influence04]","conditions":"[condition:active_unit]","priority":0}</v>
      </c>
      <c r="J232" s="35" t="s">
        <v>627</v>
      </c>
      <c r="K232" s="14">
        <v>3</v>
      </c>
    </row>
    <row r="233" spans="1:11" ht="21" customHeight="1" x14ac:dyDescent="0.15">
      <c r="A233" s="26">
        <v>2500</v>
      </c>
      <c r="B233" s="27" t="s">
        <v>7</v>
      </c>
      <c r="C233" s="39" t="s">
        <v>370</v>
      </c>
      <c r="D233" s="12" t="s">
        <v>369</v>
      </c>
      <c r="E233" s="12" t="s">
        <v>171</v>
      </c>
      <c r="F233" s="12" t="s">
        <v>280</v>
      </c>
      <c r="G233" s="38" t="s">
        <v>371</v>
      </c>
      <c r="H233" s="12" t="s">
        <v>172</v>
      </c>
      <c r="I233" s="36" t="str">
        <f t="shared" si="24"/>
        <v>{"ver":"1.7.0","type":"ability","effects":"[effect:drop_block, block_type:normal, block_color:block_blue, color:block_green, val:0, rate:0.5, turn:-1]    ","conditions":"[condition:active_unit]","priority":0}</v>
      </c>
      <c r="J233" s="35" t="s">
        <v>627</v>
      </c>
      <c r="K233" s="14">
        <v>3</v>
      </c>
    </row>
    <row r="234" spans="1:11" ht="21" customHeight="1" x14ac:dyDescent="0.15">
      <c r="A234" s="26">
        <v>2501</v>
      </c>
      <c r="B234" s="27" t="s">
        <v>7</v>
      </c>
      <c r="C234" s="39" t="s">
        <v>386</v>
      </c>
      <c r="D234" s="12" t="s">
        <v>387</v>
      </c>
      <c r="E234" s="12" t="s">
        <v>171</v>
      </c>
      <c r="F234" s="12" t="s">
        <v>280</v>
      </c>
      <c r="G234" s="38" t="s">
        <v>465</v>
      </c>
      <c r="H234" s="12" t="s">
        <v>172</v>
      </c>
      <c r="I234" s="36" t="str">
        <f t="shared" si="24"/>
        <v>{"ver":"1.7.0","type":"ability","effects":"[effect:drop_block, block_type:normal, block_color:block_yellow, color:block_blue, val:0, rate:0.4, turn:-1]    ","conditions":"[condition:active_unit]","priority":0}</v>
      </c>
      <c r="J234" s="35" t="s">
        <v>627</v>
      </c>
      <c r="K234" s="14">
        <v>3</v>
      </c>
    </row>
    <row r="235" spans="1:11" ht="21" customHeight="1" x14ac:dyDescent="0.15">
      <c r="A235" s="26">
        <v>2502</v>
      </c>
      <c r="B235" s="27" t="s">
        <v>7</v>
      </c>
      <c r="C235" s="39" t="s">
        <v>388</v>
      </c>
      <c r="D235" s="12" t="s">
        <v>389</v>
      </c>
      <c r="E235" s="12" t="s">
        <v>171</v>
      </c>
      <c r="F235" s="12" t="s">
        <v>280</v>
      </c>
      <c r="G235" s="38" t="s">
        <v>390</v>
      </c>
      <c r="H235" s="12" t="s">
        <v>172</v>
      </c>
      <c r="I235" s="36" t="str">
        <f t="shared" si="24"/>
        <v>{"ver":"1.7.0","type":"ability","effects":"[effect:drop_block, block_type:normal, block_color:block_red, color:block_yellow, val:0, rate:0.5, turn:-1]    ","conditions":"[condition:active_unit]","priority":0}</v>
      </c>
      <c r="J235" s="35" t="s">
        <v>627</v>
      </c>
      <c r="K235" s="14">
        <v>3</v>
      </c>
    </row>
    <row r="236" spans="1:11" ht="21" customHeight="1" x14ac:dyDescent="0.15">
      <c r="A236" s="26">
        <v>2503</v>
      </c>
      <c r="B236" s="27" t="s">
        <v>7</v>
      </c>
      <c r="C236" s="39" t="s">
        <v>386</v>
      </c>
      <c r="D236" s="12" t="s">
        <v>403</v>
      </c>
      <c r="E236" s="12" t="s">
        <v>171</v>
      </c>
      <c r="F236" s="12" t="s">
        <v>280</v>
      </c>
      <c r="G236" s="38" t="s">
        <v>414</v>
      </c>
      <c r="H236" s="12" t="s">
        <v>172</v>
      </c>
      <c r="I236" s="36" t="str">
        <f t="shared" si="24"/>
        <v>{"ver":"1.7.0","type":"ability","effects":"[effect:drop_block, block_type:normal, block_color:block_yellow, color:block_red, val:0, rate:0.4, turn:-1]    ","conditions":"[condition:active_unit]","priority":0}</v>
      </c>
      <c r="J236" s="35" t="s">
        <v>627</v>
      </c>
      <c r="K236" s="14">
        <v>3</v>
      </c>
    </row>
    <row r="237" spans="1:11" ht="21" customHeight="1" x14ac:dyDescent="0.15">
      <c r="A237" s="26">
        <v>2504</v>
      </c>
      <c r="B237" s="27" t="s">
        <v>7</v>
      </c>
      <c r="C237" s="39" t="s">
        <v>431</v>
      </c>
      <c r="D237" s="12" t="s">
        <v>430</v>
      </c>
      <c r="E237" s="12" t="s">
        <v>171</v>
      </c>
      <c r="F237" s="12" t="s">
        <v>280</v>
      </c>
      <c r="G237" s="38" t="s">
        <v>432</v>
      </c>
      <c r="H237" s="12" t="s">
        <v>172</v>
      </c>
      <c r="I237" s="36" t="str">
        <f t="shared" si="24"/>
        <v>{"ver":"1.7.0","type":"ability","effects":"[effect:drop_block, block_type:crash, color:block_green, val:12, rate:0.05, turn:-1]","conditions":"[condition:active_unit]","priority":0}</v>
      </c>
      <c r="J237" s="35" t="s">
        <v>627</v>
      </c>
      <c r="K237" s="14">
        <v>3</v>
      </c>
    </row>
    <row r="238" spans="1:11" ht="21" customHeight="1" x14ac:dyDescent="0.15">
      <c r="A238" s="26">
        <v>2505</v>
      </c>
      <c r="B238" s="27" t="s">
        <v>7</v>
      </c>
      <c r="C238" s="39" t="s">
        <v>447</v>
      </c>
      <c r="D238" s="12" t="s">
        <v>448</v>
      </c>
      <c r="E238" s="12" t="s">
        <v>171</v>
      </c>
      <c r="F238" s="12" t="s">
        <v>280</v>
      </c>
      <c r="G238" s="38" t="s">
        <v>449</v>
      </c>
      <c r="H238" s="12" t="s">
        <v>172</v>
      </c>
      <c r="I238" s="36" t="str">
        <f t="shared" si="24"/>
        <v>{"ver":"1.7.0","type":"ability","effects":"[effect:drop_block, block_type:crack_bomb, block_color:block_green, color:block_all, val:24, rate:0.03, turn:-1, animation:bomb_influence04]","conditions":"[condition:active_unit]","priority":0}</v>
      </c>
      <c r="J238" s="35" t="s">
        <v>627</v>
      </c>
      <c r="K238" s="14">
        <v>3</v>
      </c>
    </row>
    <row r="239" spans="1:11" ht="21" customHeight="1" x14ac:dyDescent="0.15">
      <c r="A239" s="26">
        <v>2506</v>
      </c>
      <c r="B239" s="27" t="s">
        <v>7</v>
      </c>
      <c r="C239" s="39" t="s">
        <v>480</v>
      </c>
      <c r="D239" s="12" t="s">
        <v>491</v>
      </c>
      <c r="E239" s="12" t="s">
        <v>171</v>
      </c>
      <c r="F239" s="12" t="s">
        <v>280</v>
      </c>
      <c r="G239" s="38" t="s">
        <v>899</v>
      </c>
      <c r="H239" s="12" t="s">
        <v>172</v>
      </c>
      <c r="I239" s="36" t="str">
        <f t="shared" si="24"/>
        <v>{"ver":"1.7.0","type":"ability","effects":"[effect:drop_block, block_type:crack_bomb, block_color:block_heart, color:block_all, val:24, rate:0.03, turn:-1, animation:bomb_influence04]","conditions":"[condition:active_unit]","priority":0}</v>
      </c>
      <c r="J239" s="35" t="s">
        <v>627</v>
      </c>
      <c r="K239" s="14">
        <v>3</v>
      </c>
    </row>
    <row r="240" spans="1:11" ht="21" customHeight="1" x14ac:dyDescent="0.15">
      <c r="A240" s="26">
        <v>2507</v>
      </c>
      <c r="B240" s="27" t="s">
        <v>7</v>
      </c>
      <c r="C240" s="39" t="s">
        <v>1146</v>
      </c>
      <c r="D240" s="12" t="s">
        <v>467</v>
      </c>
      <c r="E240" s="12" t="s">
        <v>171</v>
      </c>
      <c r="F240" s="12" t="s">
        <v>280</v>
      </c>
      <c r="G240" s="38" t="s">
        <v>479</v>
      </c>
      <c r="H240" s="12" t="s">
        <v>172</v>
      </c>
      <c r="I240" s="36" t="str">
        <f t="shared" si="24"/>
        <v>{"ver":"1.7.0","type":"ability","effects":"[effect:drop_block, block_type:crash, color:block_all, val:8, rate:0.05, turn:-1]","conditions":"[condition:active_unit]","priority":0}</v>
      </c>
      <c r="J240" s="35" t="s">
        <v>627</v>
      </c>
      <c r="K240" s="14">
        <v>3</v>
      </c>
    </row>
    <row r="241" spans="1:11" ht="21" customHeight="1" x14ac:dyDescent="0.15">
      <c r="A241" s="26">
        <v>2508</v>
      </c>
      <c r="B241" s="27" t="s">
        <v>7</v>
      </c>
      <c r="C241" s="39" t="s">
        <v>386</v>
      </c>
      <c r="D241" s="12" t="s">
        <v>521</v>
      </c>
      <c r="E241" s="12" t="s">
        <v>171</v>
      </c>
      <c r="F241" s="12" t="s">
        <v>280</v>
      </c>
      <c r="G241" s="38" t="s">
        <v>1093</v>
      </c>
      <c r="H241" s="12" t="s">
        <v>172</v>
      </c>
      <c r="I241" s="36" t="str">
        <f t="shared" si="24"/>
        <v>{"ver":"1.7.0","type":"ability","effects":"[effect:drop_block, block_type:normal, block_color:block_yellow, color:block_green, val:0, rate:0.4, turn:-1]","conditions":"[condition:active_unit]","priority":0}</v>
      </c>
      <c r="J241" s="35" t="s">
        <v>627</v>
      </c>
      <c r="K241" s="14">
        <v>3</v>
      </c>
    </row>
    <row r="242" spans="1:11" ht="21" customHeight="1" x14ac:dyDescent="0.15">
      <c r="A242" s="26">
        <v>2509</v>
      </c>
      <c r="B242" s="27" t="s">
        <v>7</v>
      </c>
      <c r="C242" s="39" t="s">
        <v>681</v>
      </c>
      <c r="D242" s="12" t="s">
        <v>682</v>
      </c>
      <c r="E242" s="12" t="s">
        <v>171</v>
      </c>
      <c r="F242" s="12" t="s">
        <v>280</v>
      </c>
      <c r="G242" s="38" t="s">
        <v>683</v>
      </c>
      <c r="H242" s="12" t="s">
        <v>172</v>
      </c>
      <c r="I242" s="36" t="str">
        <f t="shared" si="24"/>
        <v>{"ver":"1.7.0","type":"ability","effects":"[effect:drop_block, block_type:crack_bomb, block_color:block_red, color:block_all, val:24, rate:0.05, turn:-1, animation:bomb_influence04]","conditions":"[condition:active_unit]","priority":0}</v>
      </c>
      <c r="J242" s="35" t="s">
        <v>627</v>
      </c>
      <c r="K242" s="14">
        <v>3</v>
      </c>
    </row>
    <row r="243" spans="1:11" ht="21" customHeight="1" x14ac:dyDescent="0.15">
      <c r="A243" s="26">
        <v>2510</v>
      </c>
      <c r="B243" s="27" t="s">
        <v>7</v>
      </c>
      <c r="C243" s="39" t="s">
        <v>894</v>
      </c>
      <c r="D243" s="12" t="s">
        <v>895</v>
      </c>
      <c r="E243" s="12" t="s">
        <v>171</v>
      </c>
      <c r="F243" s="12" t="s">
        <v>280</v>
      </c>
      <c r="G243" s="38" t="s">
        <v>896</v>
      </c>
      <c r="H243" s="12" t="s">
        <v>172</v>
      </c>
      <c r="I243" s="36" t="str">
        <f t="shared" ref="I243" si="25">"{"&amp;""""&amp;$E$1&amp;""""&amp;":"&amp;""""&amp;E243&amp;""""&amp;","&amp;""""&amp;"type"&amp;""""&amp;":"&amp;""""&amp;"ability"&amp;""""&amp;","&amp;""""&amp;$G$1&amp;""""&amp;":"&amp;""""&amp;G243&amp;""""&amp;","&amp;""""&amp;$F$1&amp;""""&amp;":"&amp;""""&amp;F243&amp;""""&amp;","&amp;""""&amp;$H$1&amp;""""&amp;":"&amp;H243&amp;"}"</f>
        <v>{"ver":"1.7.0","type":"ability","effects":"[effect:drop_block, block_type:crack_bomb, block_color:block_blue, color:block_all, val:24, rate:0.04, turn:-1, animation:bomb_influence04]","conditions":"[condition:active_unit]","priority":0}</v>
      </c>
      <c r="J243" s="35" t="s">
        <v>627</v>
      </c>
      <c r="K243" s="14">
        <v>3</v>
      </c>
    </row>
    <row r="244" spans="1:11" ht="21" customHeight="1" x14ac:dyDescent="0.15">
      <c r="A244" s="26">
        <v>2511</v>
      </c>
      <c r="B244" s="27" t="s">
        <v>7</v>
      </c>
      <c r="C244" s="39" t="s">
        <v>897</v>
      </c>
      <c r="D244" s="12" t="s">
        <v>898</v>
      </c>
      <c r="E244" s="12" t="s">
        <v>171</v>
      </c>
      <c r="F244" s="12" t="s">
        <v>280</v>
      </c>
      <c r="G244" s="38" t="s">
        <v>1094</v>
      </c>
      <c r="H244" s="12" t="s">
        <v>172</v>
      </c>
      <c r="I244" s="36" t="str">
        <f t="shared" ref="I244:I248" si="26">"{"&amp;""""&amp;$E$1&amp;""""&amp;":"&amp;""""&amp;E244&amp;""""&amp;","&amp;""""&amp;"type"&amp;""""&amp;":"&amp;""""&amp;"ability"&amp;""""&amp;","&amp;""""&amp;$G$1&amp;""""&amp;":"&amp;""""&amp;G244&amp;""""&amp;","&amp;""""&amp;$F$1&amp;""""&amp;":"&amp;""""&amp;F244&amp;""""&amp;","&amp;""""&amp;$H$1&amp;""""&amp;":"&amp;H244&amp;"}"</f>
        <v>{"ver":"1.7.0","type":"ability","effects":"[effect:drop_block, block_type:crack_bomb, block_color:block_green, color:block_heart, val:12, rate:0.4, turn:-1, animation:bomb_influence04]","conditions":"[condition:active_unit]","priority":0}</v>
      </c>
      <c r="J244" s="35" t="s">
        <v>627</v>
      </c>
      <c r="K244" s="14">
        <v>3</v>
      </c>
    </row>
    <row r="245" spans="1:11" ht="21" customHeight="1" x14ac:dyDescent="0.15">
      <c r="A245" s="26">
        <v>2512</v>
      </c>
      <c r="B245" s="27" t="s">
        <v>7</v>
      </c>
      <c r="C245" s="39" t="s">
        <v>480</v>
      </c>
      <c r="D245" s="12" t="s">
        <v>491</v>
      </c>
      <c r="E245" s="12" t="s">
        <v>171</v>
      </c>
      <c r="F245" s="12" t="s">
        <v>280</v>
      </c>
      <c r="G245" s="38" t="s">
        <v>901</v>
      </c>
      <c r="H245" s="12" t="s">
        <v>172</v>
      </c>
      <c r="I245" s="36" t="str">
        <f t="shared" si="26"/>
        <v>{"ver":"1.7.0","type":"ability","effects":"[effect:drop_block, block_type:crack_bomb, block_color:block_heart, color:block_all, val:24, rate:0.04, turn:-1, animation:bomb_influence04]","conditions":"[condition:active_unit]","priority":0}</v>
      </c>
      <c r="J245" s="35" t="s">
        <v>627</v>
      </c>
      <c r="K245" s="14">
        <v>3</v>
      </c>
    </row>
    <row r="246" spans="1:11" ht="21" customHeight="1" x14ac:dyDescent="0.15">
      <c r="A246" s="26">
        <v>2513</v>
      </c>
      <c r="B246" s="27" t="s">
        <v>7</v>
      </c>
      <c r="C246" s="39" t="s">
        <v>447</v>
      </c>
      <c r="D246" s="12" t="s">
        <v>448</v>
      </c>
      <c r="E246" s="12" t="s">
        <v>171</v>
      </c>
      <c r="F246" s="12" t="s">
        <v>280</v>
      </c>
      <c r="G246" s="38" t="s">
        <v>902</v>
      </c>
      <c r="H246" s="12" t="s">
        <v>172</v>
      </c>
      <c r="I246" s="36" t="str">
        <f t="shared" si="26"/>
        <v>{"ver":"1.7.0","type":"ability","effects":"[effect:drop_block, block_type:crack_bomb, block_color:block_green, color:block_all, val:24, rate:0.04, turn:-1, animation:bomb_influence04]","conditions":"[condition:active_unit]","priority":0}</v>
      </c>
      <c r="J246" s="35" t="s">
        <v>627</v>
      </c>
      <c r="K246" s="14">
        <v>3</v>
      </c>
    </row>
    <row r="247" spans="1:11" ht="21" customHeight="1" x14ac:dyDescent="0.15">
      <c r="A247" s="26">
        <v>2514</v>
      </c>
      <c r="B247" s="27" t="s">
        <v>7</v>
      </c>
      <c r="C247" s="39" t="s">
        <v>468</v>
      </c>
      <c r="D247" s="12" t="s">
        <v>969</v>
      </c>
      <c r="E247" s="12" t="s">
        <v>171</v>
      </c>
      <c r="F247" s="12" t="s">
        <v>280</v>
      </c>
      <c r="G247" s="38" t="s">
        <v>970</v>
      </c>
      <c r="H247" s="12" t="s">
        <v>172</v>
      </c>
      <c r="I247" s="36" t="str">
        <f t="shared" si="26"/>
        <v>{"ver":"1.7.0","type":"ability","effects":"[effect:drop_block, block_type:crack_bomb, block_color:block_red, color:block_blue, val:12, rate:0.25, turn:-1, animation:crash_influence04]","conditions":"[condition:active_unit]","priority":0}</v>
      </c>
      <c r="J247" s="35" t="s">
        <v>627</v>
      </c>
      <c r="K247" s="14">
        <v>3</v>
      </c>
    </row>
    <row r="248" spans="1:11" s="49" customFormat="1" ht="21" customHeight="1" x14ac:dyDescent="0.15">
      <c r="A248" s="42">
        <v>2515</v>
      </c>
      <c r="B248" s="43" t="s">
        <v>7</v>
      </c>
      <c r="C248" s="44" t="s">
        <v>1147</v>
      </c>
      <c r="D248" s="12" t="s">
        <v>1117</v>
      </c>
      <c r="E248" s="45" t="s">
        <v>171</v>
      </c>
      <c r="F248" s="47" t="s">
        <v>1115</v>
      </c>
      <c r="G248" s="38" t="s">
        <v>1116</v>
      </c>
      <c r="H248" s="45" t="s">
        <v>172</v>
      </c>
      <c r="I248" s="47" t="str">
        <f t="shared" si="26"/>
        <v>{"ver":"1.7.0","type":"ability","effects":"[effect:drop_block, block_type:crash, color:block_all, val:8, rate:0.03, turn:-1]","conditions":"[condition:with_unit,type:technical,index:1]","priority":0}</v>
      </c>
      <c r="J248" s="47" t="s">
        <v>627</v>
      </c>
      <c r="K248" s="48">
        <v>3</v>
      </c>
    </row>
    <row r="249" spans="1:11" ht="21" customHeight="1" x14ac:dyDescent="0.15">
      <c r="A249" s="26">
        <v>2600</v>
      </c>
      <c r="B249" s="27" t="s">
        <v>7</v>
      </c>
      <c r="C249" s="39" t="s">
        <v>374</v>
      </c>
      <c r="D249" s="12" t="s">
        <v>375</v>
      </c>
      <c r="E249" s="12" t="s">
        <v>171</v>
      </c>
      <c r="F249" s="12" t="s">
        <v>372</v>
      </c>
      <c r="G249" s="38" t="s">
        <v>373</v>
      </c>
      <c r="H249" s="12" t="s">
        <v>172</v>
      </c>
      <c r="I249" s="36" t="str">
        <f t="shared" si="24"/>
        <v>{"ver":"1.7.0","type":"ability","effects":"[effect:enhance_unit, target:myself, turn:-1, status:heal, val:400, calc:add, animation:enhance_unit_all_heal01_unit01]","conditions":"[condition:always]","priority":0}</v>
      </c>
      <c r="J249" s="35" t="s">
        <v>626</v>
      </c>
      <c r="K249" s="14">
        <v>3</v>
      </c>
    </row>
    <row r="250" spans="1:11" ht="21" customHeight="1" x14ac:dyDescent="0.15">
      <c r="A250" s="26">
        <v>2601</v>
      </c>
      <c r="B250" s="27" t="s">
        <v>7</v>
      </c>
      <c r="C250" s="39" t="s">
        <v>420</v>
      </c>
      <c r="D250" s="12" t="s">
        <v>421</v>
      </c>
      <c r="E250" s="12" t="s">
        <v>171</v>
      </c>
      <c r="F250" s="12" t="s">
        <v>372</v>
      </c>
      <c r="G250" s="38" t="s">
        <v>422</v>
      </c>
      <c r="H250" s="12" t="s">
        <v>172</v>
      </c>
      <c r="I250" s="36" t="str">
        <f t="shared" si="24"/>
        <v>{"ver":"1.7.0","type":"ability","effects":"[effect:enhance_unit, target:myself, turn:-1, status:heal, val:300, calc:add, animation:enhance_unit_all_heal01_unit01]","conditions":"[condition:always]","priority":0}</v>
      </c>
      <c r="J250" s="35" t="s">
        <v>626</v>
      </c>
      <c r="K250" s="14">
        <v>3</v>
      </c>
    </row>
    <row r="251" spans="1:11" ht="21" customHeight="1" x14ac:dyDescent="0.15">
      <c r="A251" s="26">
        <v>2700</v>
      </c>
      <c r="B251" s="27" t="s">
        <v>7</v>
      </c>
      <c r="C251" s="39" t="s">
        <v>381</v>
      </c>
      <c r="D251" s="12" t="s">
        <v>379</v>
      </c>
      <c r="E251" s="12" t="s">
        <v>171</v>
      </c>
      <c r="F251" s="12" t="s">
        <v>372</v>
      </c>
      <c r="G251" s="38" t="s">
        <v>380</v>
      </c>
      <c r="H251" s="12" t="s">
        <v>172</v>
      </c>
      <c r="I251" s="36" t="str">
        <f t="shared" si="24"/>
        <v>{"ver":"1.7.0","type":"ability","effects":"[effect:enhance_unit, target:myself, turn:-1, status:attack, val:300, calc:add, animation:enhance_unit_all_attack01_unit01]","conditions":"[condition:always]","priority":0}</v>
      </c>
      <c r="J251" s="35" t="s">
        <v>625</v>
      </c>
      <c r="K251" s="14">
        <v>3</v>
      </c>
    </row>
    <row r="252" spans="1:11" ht="21" customHeight="1" x14ac:dyDescent="0.15">
      <c r="A252" s="26">
        <v>2701</v>
      </c>
      <c r="B252" s="27" t="s">
        <v>7</v>
      </c>
      <c r="C252" s="39" t="s">
        <v>381</v>
      </c>
      <c r="D252" s="12" t="s">
        <v>441</v>
      </c>
      <c r="E252" s="12" t="s">
        <v>171</v>
      </c>
      <c r="F252" s="12" t="s">
        <v>372</v>
      </c>
      <c r="G252" s="38" t="s">
        <v>951</v>
      </c>
      <c r="H252" s="12" t="s">
        <v>172</v>
      </c>
      <c r="I252" s="36" t="str">
        <f t="shared" si="24"/>
        <v>{"ver":"1.7.0","type":"ability","effects":"[effect:enhance_unit, target:myself, turn:-1, status:attack, val:500, calc:add, animation:enhance_unit_all_attack01_unit01]","conditions":"[condition:always]","priority":0}</v>
      </c>
      <c r="J252" s="35" t="s">
        <v>625</v>
      </c>
      <c r="K252" s="14">
        <v>3</v>
      </c>
    </row>
    <row r="253" spans="1:11" ht="21" customHeight="1" x14ac:dyDescent="0.15">
      <c r="A253" s="26">
        <v>2800</v>
      </c>
      <c r="B253" s="27" t="s">
        <v>7</v>
      </c>
      <c r="C253" s="39" t="s">
        <v>397</v>
      </c>
      <c r="D253" s="12" t="s">
        <v>398</v>
      </c>
      <c r="E253" s="12" t="s">
        <v>171</v>
      </c>
      <c r="F253" s="12" t="s">
        <v>399</v>
      </c>
      <c r="G253" s="38" t="s">
        <v>400</v>
      </c>
      <c r="H253" s="12" t="s">
        <v>172</v>
      </c>
      <c r="I253" s="36" t="str">
        <f t="shared" si="24"/>
        <v>{"ver":"1.7.0","type":"ability","effects":"[effect:enhance_unit, target:myself, turn:-1, status:defense, val:250, calc:add, animation:enhance_unit_all_defense01_unit01]","conditions":"[condition:always]","priority":0}</v>
      </c>
      <c r="J253" s="35" t="s">
        <v>624</v>
      </c>
      <c r="K253" s="14">
        <v>3</v>
      </c>
    </row>
    <row r="254" spans="1:11" ht="21" customHeight="1" x14ac:dyDescent="0.15">
      <c r="A254" s="26">
        <v>2801</v>
      </c>
      <c r="B254" s="27" t="s">
        <v>7</v>
      </c>
      <c r="C254" s="39" t="s">
        <v>397</v>
      </c>
      <c r="D254" s="12" t="s">
        <v>428</v>
      </c>
      <c r="E254" s="12" t="s">
        <v>171</v>
      </c>
      <c r="F254" s="12" t="s">
        <v>372</v>
      </c>
      <c r="G254" s="38" t="s">
        <v>429</v>
      </c>
      <c r="H254" s="12" t="s">
        <v>172</v>
      </c>
      <c r="I254" s="36" t="str">
        <f t="shared" si="24"/>
        <v>{"ver":"1.7.0","type":"ability","effects":"[effect:enhance_unit, target:myself, turn:-1, status:defense, val:350, calc:add, animation:enhance_unit_all_defense01_unit01]","conditions":"[condition:always]","priority":0}</v>
      </c>
      <c r="J254" s="35" t="s">
        <v>624</v>
      </c>
      <c r="K254" s="14">
        <v>3</v>
      </c>
    </row>
    <row r="255" spans="1:11" ht="21" customHeight="1" x14ac:dyDescent="0.15">
      <c r="A255" s="26">
        <v>2802</v>
      </c>
      <c r="B255" s="27" t="s">
        <v>7</v>
      </c>
      <c r="C255" s="39" t="s">
        <v>397</v>
      </c>
      <c r="D255" s="12" t="s">
        <v>485</v>
      </c>
      <c r="E255" s="12" t="s">
        <v>171</v>
      </c>
      <c r="F255" s="12" t="s">
        <v>372</v>
      </c>
      <c r="G255" s="38" t="s">
        <v>486</v>
      </c>
      <c r="H255" s="12" t="s">
        <v>172</v>
      </c>
      <c r="I255" s="36" t="str">
        <f t="shared" si="24"/>
        <v>{"ver":"1.7.0","type":"ability","effects":"[effect:enhance_unit, target:myself, turn:-1, status:defense, val:300, calc:add, animation:enhance_unit_all_defense01_unit01]","conditions":"[condition:always]","priority":0}</v>
      </c>
      <c r="J255" s="35" t="s">
        <v>624</v>
      </c>
      <c r="K255" s="14">
        <v>3</v>
      </c>
    </row>
    <row r="256" spans="1:11" ht="21" customHeight="1" x14ac:dyDescent="0.15">
      <c r="A256" s="26">
        <v>2803</v>
      </c>
      <c r="B256" s="27" t="s">
        <v>7</v>
      </c>
      <c r="C256" s="39" t="s">
        <v>397</v>
      </c>
      <c r="D256" s="12" t="s">
        <v>495</v>
      </c>
      <c r="E256" s="12" t="s">
        <v>171</v>
      </c>
      <c r="F256" s="12" t="s">
        <v>372</v>
      </c>
      <c r="G256" s="38" t="s">
        <v>512</v>
      </c>
      <c r="H256" s="12" t="s">
        <v>172</v>
      </c>
      <c r="I256" s="36" t="str">
        <f t="shared" si="24"/>
        <v>{"ver":"1.7.0","type":"ability","effects":"[effect:enhance_unit, target:myself, turn:-1, status:defense, val:400, calc:add, animation:enhance_unit_all_defense01_unit01]","conditions":"[condition:always]","priority":0}</v>
      </c>
      <c r="J256" s="35" t="s">
        <v>624</v>
      </c>
      <c r="K256" s="14">
        <v>3</v>
      </c>
    </row>
    <row r="257" spans="1:11" ht="21" customHeight="1" x14ac:dyDescent="0.15">
      <c r="A257" s="26">
        <v>2804</v>
      </c>
      <c r="B257" s="27" t="s">
        <v>7</v>
      </c>
      <c r="C257" s="39" t="s">
        <v>397</v>
      </c>
      <c r="D257" s="12" t="s">
        <v>569</v>
      </c>
      <c r="E257" s="12" t="s">
        <v>171</v>
      </c>
      <c r="F257" s="12" t="s">
        <v>372</v>
      </c>
      <c r="G257" s="38" t="s">
        <v>570</v>
      </c>
      <c r="H257" s="12" t="s">
        <v>172</v>
      </c>
      <c r="I257" s="36" t="str">
        <f t="shared" si="24"/>
        <v>{"ver":"1.7.0","type":"ability","effects":"[effect:enhance_unit, target:myself, turn:-1, status:defense, val:280, calc:add, animation:enhance_unit_all_defense01_unit01]","conditions":"[condition:always]","priority":0}</v>
      </c>
      <c r="J257" s="35" t="s">
        <v>624</v>
      </c>
      <c r="K257" s="14">
        <v>3</v>
      </c>
    </row>
    <row r="258" spans="1:11" ht="21" customHeight="1" x14ac:dyDescent="0.15">
      <c r="A258" s="26">
        <v>2805</v>
      </c>
      <c r="B258" s="27" t="s">
        <v>7</v>
      </c>
      <c r="C258" s="39" t="s">
        <v>1053</v>
      </c>
      <c r="D258" s="12" t="s">
        <v>937</v>
      </c>
      <c r="E258" s="12" t="s">
        <v>171</v>
      </c>
      <c r="F258" s="12" t="s">
        <v>912</v>
      </c>
      <c r="G258" s="38" t="s">
        <v>938</v>
      </c>
      <c r="H258" s="12" t="s">
        <v>172</v>
      </c>
      <c r="I258" s="36" t="str">
        <f t="shared" ref="I258" si="27">"{"&amp;""""&amp;$E$1&amp;""""&amp;":"&amp;""""&amp;E258&amp;""""&amp;","&amp;""""&amp;"type"&amp;""""&amp;":"&amp;""""&amp;"ability"&amp;""""&amp;","&amp;""""&amp;$G$1&amp;""""&amp;":"&amp;""""&amp;G258&amp;""""&amp;","&amp;""""&amp;$F$1&amp;""""&amp;":"&amp;""""&amp;F258&amp;""""&amp;","&amp;""""&amp;$H$1&amp;""""&amp;":"&amp;H258&amp;"}"</f>
        <v>{"ver":"1.7.0","type":"ability","effects":"[effect:enhance_unit, target:unit_green, turn:1, status:defense, val:500, calc:add, animation:enhance_unit_all_attack01_unit01]","conditions":"[condition:save_every_turn,each:3,count_type:normal]","priority":0}</v>
      </c>
      <c r="J258" s="35" t="s">
        <v>624</v>
      </c>
      <c r="K258" s="14">
        <v>3</v>
      </c>
    </row>
    <row r="259" spans="1:11" ht="21" customHeight="1" x14ac:dyDescent="0.15">
      <c r="A259" s="26">
        <v>2900</v>
      </c>
      <c r="B259" s="27" t="s">
        <v>7</v>
      </c>
      <c r="C259" s="39" t="s">
        <v>410</v>
      </c>
      <c r="D259" s="12" t="s">
        <v>411</v>
      </c>
      <c r="E259" s="12" t="s">
        <v>171</v>
      </c>
      <c r="F259" s="12" t="s">
        <v>412</v>
      </c>
      <c r="G259" s="38" t="s">
        <v>413</v>
      </c>
      <c r="H259" s="12" t="s">
        <v>172</v>
      </c>
      <c r="I259" s="36" t="str">
        <f t="shared" si="24"/>
        <v>{"ver":"1.7.0","type":"ability","effects":"[effect:enhance_unit, target:myself, turn:1, status:attack, val:0.1, calc:mul, animation:enhance_unit_all_attack01]","conditions":"[condition:fever_gauge,lower:50]","priority":0}</v>
      </c>
      <c r="J259" s="35" t="s">
        <v>625</v>
      </c>
      <c r="K259" s="14">
        <v>3</v>
      </c>
    </row>
    <row r="260" spans="1:11" ht="21" customHeight="1" x14ac:dyDescent="0.15">
      <c r="A260" s="26">
        <v>2901</v>
      </c>
      <c r="B260" s="27" t="s">
        <v>7</v>
      </c>
      <c r="C260" s="39" t="s">
        <v>433</v>
      </c>
      <c r="D260" s="12" t="s">
        <v>434</v>
      </c>
      <c r="E260" s="12" t="s">
        <v>171</v>
      </c>
      <c r="F260" s="12" t="s">
        <v>435</v>
      </c>
      <c r="G260" s="38" t="s">
        <v>238</v>
      </c>
      <c r="H260" s="12" t="s">
        <v>172</v>
      </c>
      <c r="I260" s="36" t="str">
        <f t="shared" si="24"/>
        <v>{"ver":"1.7.0","type":"ability","effects":"[effect:enhance_unit, target:myself, turn:1, status:attack, val:0.2, calc:mul, animation:enhance_unit_all_attack03]","conditions":"[condition:fever_gauge,lower:40]","priority":0}</v>
      </c>
      <c r="J260" s="35" t="s">
        <v>625</v>
      </c>
      <c r="K260" s="14">
        <v>3</v>
      </c>
    </row>
    <row r="261" spans="1:11" ht="21" customHeight="1" x14ac:dyDescent="0.15">
      <c r="A261" s="26">
        <v>2902</v>
      </c>
      <c r="B261" s="27" t="s">
        <v>7</v>
      </c>
      <c r="C261" s="39" t="s">
        <v>585</v>
      </c>
      <c r="D261" s="12" t="s">
        <v>586</v>
      </c>
      <c r="E261" s="12" t="s">
        <v>171</v>
      </c>
      <c r="F261" s="12" t="s">
        <v>587</v>
      </c>
      <c r="G261" s="38" t="s">
        <v>576</v>
      </c>
      <c r="H261" s="12" t="s">
        <v>172</v>
      </c>
      <c r="I261" s="36" t="str">
        <f t="shared" si="24"/>
        <v>{"ver":"1.7.0","type":"ability","effects":"[effect:enhance_unit, target:myself, turn:1, status:attack, val:0.3, calc:mul, animation:enhance_unit_all_attack03]","conditions":"[condition:fever_gauge,lower:80]","priority":0}</v>
      </c>
      <c r="J261" s="35" t="s">
        <v>625</v>
      </c>
      <c r="K261" s="14">
        <v>3</v>
      </c>
    </row>
    <row r="262" spans="1:11" ht="21" customHeight="1" x14ac:dyDescent="0.15">
      <c r="A262" s="26">
        <v>2903</v>
      </c>
      <c r="B262" s="27" t="s">
        <v>7</v>
      </c>
      <c r="C262" s="39" t="s">
        <v>892</v>
      </c>
      <c r="D262" s="12" t="s">
        <v>893</v>
      </c>
      <c r="E262" s="12" t="s">
        <v>171</v>
      </c>
      <c r="F262" s="12" t="s">
        <v>657</v>
      </c>
      <c r="G262" s="38" t="s">
        <v>506</v>
      </c>
      <c r="H262" s="12" t="s">
        <v>172</v>
      </c>
      <c r="I262" s="36" t="str">
        <f t="shared" ref="I262" si="28">"{"&amp;""""&amp;$E$1&amp;""""&amp;":"&amp;""""&amp;E262&amp;""""&amp;","&amp;""""&amp;"type"&amp;""""&amp;":"&amp;""""&amp;"ability"&amp;""""&amp;","&amp;""""&amp;$G$1&amp;""""&amp;":"&amp;""""&amp;G262&amp;""""&amp;","&amp;""""&amp;$F$1&amp;""""&amp;":"&amp;""""&amp;F262&amp;""""&amp;","&amp;""""&amp;$H$1&amp;""""&amp;":"&amp;H262&amp;"}"</f>
        <v>{"ver":"1.7.0","type":"ability","effects":"[effect:attack_command, turn:1, target:myself, val:1.0, animation:unit_all_attack_command05]","conditions":"[condition:fever_gauge,lower:100]","priority":0}</v>
      </c>
      <c r="J262" s="35" t="s">
        <v>613</v>
      </c>
      <c r="K262" s="14">
        <v>3</v>
      </c>
    </row>
    <row r="263" spans="1:11" ht="21" customHeight="1" x14ac:dyDescent="0.15">
      <c r="A263" s="26">
        <v>2904</v>
      </c>
      <c r="B263" s="27" t="s">
        <v>7</v>
      </c>
      <c r="C263" s="39" t="s">
        <v>983</v>
      </c>
      <c r="D263" s="12" t="s">
        <v>1098</v>
      </c>
      <c r="E263" s="12" t="s">
        <v>171</v>
      </c>
      <c r="F263" s="12" t="s">
        <v>982</v>
      </c>
      <c r="G263" s="38" t="s">
        <v>1100</v>
      </c>
      <c r="H263" s="12" t="s">
        <v>172</v>
      </c>
      <c r="I263" s="36" t="str">
        <f t="shared" ref="I263:I264" si="29">"{"&amp;""""&amp;$E$1&amp;""""&amp;":"&amp;""""&amp;E263&amp;""""&amp;","&amp;""""&amp;"type"&amp;""""&amp;":"&amp;""""&amp;"ability"&amp;""""&amp;","&amp;""""&amp;$G$1&amp;""""&amp;":"&amp;""""&amp;G263&amp;""""&amp;","&amp;""""&amp;$F$1&amp;""""&amp;":"&amp;""""&amp;F263&amp;""""&amp;","&amp;""""&amp;$H$1&amp;""""&amp;":"&amp;H263&amp;"}"</f>
        <v>{"ver":"1.7.0","type":"ability","effects":"[effect:regenerate, turn:-1, val:1500, type:fix, animation:heal01_unit01]","conditions":"[condition:fever_gauge,lower:70]","priority":0}</v>
      </c>
      <c r="J263" s="35" t="s">
        <v>725</v>
      </c>
      <c r="K263" s="14">
        <v>3</v>
      </c>
    </row>
    <row r="264" spans="1:11" ht="21" customHeight="1" x14ac:dyDescent="0.15">
      <c r="A264" s="26">
        <v>2905</v>
      </c>
      <c r="B264" s="27" t="s">
        <v>7</v>
      </c>
      <c r="C264" s="39" t="s">
        <v>1171</v>
      </c>
      <c r="D264" s="12" t="s">
        <v>1172</v>
      </c>
      <c r="E264" s="12" t="s">
        <v>171</v>
      </c>
      <c r="F264" s="12" t="s">
        <v>657</v>
      </c>
      <c r="G264" s="38" t="s">
        <v>1126</v>
      </c>
      <c r="H264" s="12" t="s">
        <v>172</v>
      </c>
      <c r="I264" s="36" t="str">
        <f t="shared" si="29"/>
        <v>{"ver":"1.7.0","type":"ability","effects":"[effect:crash_condition, target:unit_all, turn:-1, val:-1, animation:crash_panel_reduce03]    ","conditions":"[condition:fever_gauge,lower:100]","priority":0}</v>
      </c>
      <c r="J264" s="35" t="s">
        <v>630</v>
      </c>
      <c r="K264" s="14">
        <v>3</v>
      </c>
    </row>
    <row r="265" spans="1:11" ht="21" customHeight="1" x14ac:dyDescent="0.15">
      <c r="A265" s="26">
        <v>2906</v>
      </c>
      <c r="B265" s="27" t="s">
        <v>7</v>
      </c>
      <c r="C265" s="39" t="s">
        <v>1097</v>
      </c>
      <c r="D265" s="12" t="s">
        <v>1099</v>
      </c>
      <c r="E265" s="12" t="s">
        <v>171</v>
      </c>
      <c r="F265" s="12" t="s">
        <v>657</v>
      </c>
      <c r="G265" s="38" t="s">
        <v>1101</v>
      </c>
      <c r="H265" s="12" t="s">
        <v>172</v>
      </c>
      <c r="I265" s="36" t="str">
        <f t="shared" ref="I265" si="30">"{"&amp;""""&amp;$E$1&amp;""""&amp;":"&amp;""""&amp;E265&amp;""""&amp;","&amp;""""&amp;"type"&amp;""""&amp;":"&amp;""""&amp;"ability"&amp;""""&amp;","&amp;""""&amp;$G$1&amp;""""&amp;":"&amp;""""&amp;G265&amp;""""&amp;","&amp;""""&amp;$F$1&amp;""""&amp;":"&amp;""""&amp;F265&amp;""""&amp;","&amp;""""&amp;$H$1&amp;""""&amp;":"&amp;H265&amp;"}"</f>
        <v>{"ver":"1.7.0","type":"ability","effects":"[effect:regenerate, turn:-1, val:1000, type:fix, animation:heal01_unit01]","conditions":"[condition:fever_gauge,lower:100]","priority":0}</v>
      </c>
      <c r="J265" s="35" t="s">
        <v>630</v>
      </c>
      <c r="K265" s="14">
        <v>3</v>
      </c>
    </row>
    <row r="266" spans="1:11" s="49" customFormat="1" ht="21" customHeight="1" x14ac:dyDescent="0.15">
      <c r="A266" s="42">
        <v>2907</v>
      </c>
      <c r="B266" s="43" t="s">
        <v>7</v>
      </c>
      <c r="C266" s="44" t="s">
        <v>1114</v>
      </c>
      <c r="D266" s="45" t="s">
        <v>1113</v>
      </c>
      <c r="E266" s="45" t="s">
        <v>171</v>
      </c>
      <c r="F266" s="45" t="s">
        <v>1112</v>
      </c>
      <c r="G266" s="46" t="s">
        <v>1145</v>
      </c>
      <c r="H266" s="45" t="s">
        <v>172</v>
      </c>
      <c r="I266" s="47" t="str">
        <f t="shared" ref="I266" si="31">"{"&amp;""""&amp;$E$1&amp;""""&amp;":"&amp;""""&amp;E266&amp;""""&amp;","&amp;""""&amp;"type"&amp;""""&amp;":"&amp;""""&amp;"ability"&amp;""""&amp;","&amp;""""&amp;$G$1&amp;""""&amp;":"&amp;""""&amp;G266&amp;""""&amp;","&amp;""""&amp;$F$1&amp;""""&amp;":"&amp;""""&amp;F266&amp;""""&amp;","&amp;""""&amp;$H$1&amp;""""&amp;":"&amp;H266&amp;"}"</f>
        <v>{"ver":"1.7.0","type":"ability","effects":"[effect:enhance_unit, target:myself, turn:-1, status:action, val:1, calc:add, animation:enhance_unit_one_action01]","conditions":"[condition:fever_gauge,lower:100]","priority":0}</v>
      </c>
      <c r="J266" s="47" t="s">
        <v>613</v>
      </c>
      <c r="K266" s="48">
        <v>3</v>
      </c>
    </row>
    <row r="267" spans="1:11" ht="21" customHeight="1" x14ac:dyDescent="0.15">
      <c r="A267" s="26">
        <v>3000</v>
      </c>
      <c r="B267" s="27" t="s">
        <v>7</v>
      </c>
      <c r="C267" s="39" t="s">
        <v>1049</v>
      </c>
      <c r="D267" s="12" t="s">
        <v>508</v>
      </c>
      <c r="E267" s="12" t="s">
        <v>171</v>
      </c>
      <c r="F267" s="12" t="s">
        <v>507</v>
      </c>
      <c r="G267" s="38" t="s">
        <v>506</v>
      </c>
      <c r="H267" s="12" t="s">
        <v>172</v>
      </c>
      <c r="I267" s="36" t="str">
        <f t="shared" si="24"/>
        <v>{"ver":"1.7.0","type":"ability","effects":"[effect:attack_command, turn:1, target:myself, val:1.0, animation:unit_all_attack_command05]","conditions":"[condition:save_every_turn,each:7,count_type:normal]","priority":0}</v>
      </c>
      <c r="J267" s="35" t="s">
        <v>613</v>
      </c>
      <c r="K267" s="14">
        <v>3</v>
      </c>
    </row>
    <row r="268" spans="1:11" ht="21" customHeight="1" x14ac:dyDescent="0.15">
      <c r="A268" s="26">
        <v>3001</v>
      </c>
      <c r="B268" s="27" t="s">
        <v>7</v>
      </c>
      <c r="C268" s="39" t="s">
        <v>1050</v>
      </c>
      <c r="D268" s="12" t="s">
        <v>592</v>
      </c>
      <c r="E268" s="12" t="s">
        <v>171</v>
      </c>
      <c r="F268" s="12" t="s">
        <v>593</v>
      </c>
      <c r="G268" s="38" t="s">
        <v>506</v>
      </c>
      <c r="H268" s="12" t="s">
        <v>172</v>
      </c>
      <c r="I268" s="36" t="str">
        <f t="shared" si="24"/>
        <v>{"ver":"1.7.0","type":"ability","effects":"[effect:attack_command, turn:1, target:myself, val:1.0, animation:unit_all_attack_command05]","conditions":"[condition:save_every_turn,each:6,count_type:normal]","priority":0}</v>
      </c>
      <c r="J268" s="35" t="s">
        <v>613</v>
      </c>
      <c r="K268" s="14">
        <v>3</v>
      </c>
    </row>
    <row r="269" spans="1:11" ht="21" customHeight="1" x14ac:dyDescent="0.15">
      <c r="A269" s="26">
        <v>3002</v>
      </c>
      <c r="B269" s="27" t="s">
        <v>7</v>
      </c>
      <c r="C269" s="39" t="s">
        <v>1051</v>
      </c>
      <c r="D269" s="12" t="s">
        <v>595</v>
      </c>
      <c r="E269" s="12" t="s">
        <v>171</v>
      </c>
      <c r="F269" s="12" t="s">
        <v>596</v>
      </c>
      <c r="G269" s="38" t="s">
        <v>506</v>
      </c>
      <c r="H269" s="12" t="s">
        <v>172</v>
      </c>
      <c r="I269" s="36" t="str">
        <f t="shared" si="24"/>
        <v>{"ver":"1.7.0","type":"ability","effects":"[effect:attack_command, turn:1, target:myself, val:1.0, animation:unit_all_attack_command05]","conditions":"[condition:save_every_turn,each:9,count_type:normal]","priority":0}</v>
      </c>
      <c r="J269" s="35" t="s">
        <v>613</v>
      </c>
      <c r="K269" s="14">
        <v>3</v>
      </c>
    </row>
    <row r="270" spans="1:11" ht="21" customHeight="1" x14ac:dyDescent="0.15">
      <c r="A270" s="26">
        <v>3100</v>
      </c>
      <c r="B270" s="27" t="s">
        <v>7</v>
      </c>
      <c r="C270" s="39" t="s">
        <v>987</v>
      </c>
      <c r="D270" s="12" t="s">
        <v>1035</v>
      </c>
      <c r="E270" s="12" t="s">
        <v>171</v>
      </c>
      <c r="F270" s="12" t="s">
        <v>551</v>
      </c>
      <c r="G270" s="38" t="s">
        <v>567</v>
      </c>
      <c r="H270" s="12" t="s">
        <v>172</v>
      </c>
      <c r="I270" s="36" t="str">
        <f t="shared" si="24"/>
        <v>{"ver":"1.7.0","type":"ability","effects":"[effect:crash_condition, target:myself, turn:-1, val:-4, animation:crash_panel_reduce03]    ","conditions":"[condition:boss_floor]","priority":0}</v>
      </c>
      <c r="J270" s="35" t="s">
        <v>630</v>
      </c>
      <c r="K270" s="14">
        <v>3</v>
      </c>
    </row>
    <row r="271" spans="1:11" ht="21" customHeight="1" x14ac:dyDescent="0.15">
      <c r="A271" s="26">
        <v>3101</v>
      </c>
      <c r="B271" s="27" t="s">
        <v>7</v>
      </c>
      <c r="C271" s="39" t="s">
        <v>1055</v>
      </c>
      <c r="D271" s="12" t="s">
        <v>1056</v>
      </c>
      <c r="E271" s="12" t="s">
        <v>171</v>
      </c>
      <c r="F271" s="12" t="s">
        <v>550</v>
      </c>
      <c r="G271" s="38" t="s">
        <v>888</v>
      </c>
      <c r="H271" s="12" t="s">
        <v>172</v>
      </c>
      <c r="I271" s="36" t="str">
        <f t="shared" si="24"/>
        <v>{"ver":"1.7.0","type":"ability","effects":"[effect:damage_barrier, target:myself, turn:-1, val:3000, animation:activate_shield]","conditions":"[condition:boss_floor]","priority":0}</v>
      </c>
      <c r="J271" s="35" t="s">
        <v>613</v>
      </c>
      <c r="K271" s="14">
        <v>3</v>
      </c>
    </row>
    <row r="272" spans="1:11" ht="21" customHeight="1" x14ac:dyDescent="0.15">
      <c r="A272" s="26">
        <v>3102</v>
      </c>
      <c r="B272" s="27" t="s">
        <v>7</v>
      </c>
      <c r="C272" s="39" t="s">
        <v>1027</v>
      </c>
      <c r="D272" s="12" t="s">
        <v>1031</v>
      </c>
      <c r="E272" s="12" t="s">
        <v>171</v>
      </c>
      <c r="F272" s="12" t="s">
        <v>552</v>
      </c>
      <c r="G272" s="38" t="s">
        <v>553</v>
      </c>
      <c r="H272" s="12" t="s">
        <v>172</v>
      </c>
      <c r="I272" s="36" t="str">
        <f t="shared" si="24"/>
        <v>{"ver":"1.7.0","type":"ability","effects":"[effect:damage_up, target:myself, val:1.3, turn:1, type01:crash_skill,option:killer]","conditions":"[condition:boss_floor]","priority":0}</v>
      </c>
      <c r="J272" s="35" t="s">
        <v>613</v>
      </c>
      <c r="K272" s="14">
        <v>3</v>
      </c>
    </row>
    <row r="273" spans="1:11" ht="21" customHeight="1" x14ac:dyDescent="0.15">
      <c r="A273" s="26">
        <v>3103</v>
      </c>
      <c r="B273" s="27" t="s">
        <v>7</v>
      </c>
      <c r="C273" s="39" t="s">
        <v>1028</v>
      </c>
      <c r="D273" s="12" t="s">
        <v>1032</v>
      </c>
      <c r="E273" s="12" t="s">
        <v>171</v>
      </c>
      <c r="F273" s="12" t="s">
        <v>552</v>
      </c>
      <c r="G273" s="38" t="s">
        <v>590</v>
      </c>
      <c r="H273" s="12" t="s">
        <v>172</v>
      </c>
      <c r="I273" s="36" t="str">
        <f t="shared" si="24"/>
        <v>{"ver":"1.7.0","type":"ability","effects":"[effect:enhance_unit, target:myself, turn:-1, status:attack, val:700, calc:add, animation:enhance_unit_all_attack01_unit01]","conditions":"[condition:boss_floor]","priority":0}</v>
      </c>
      <c r="J273" s="35" t="s">
        <v>625</v>
      </c>
      <c r="K273" s="14">
        <v>3</v>
      </c>
    </row>
    <row r="274" spans="1:11" ht="21" customHeight="1" x14ac:dyDescent="0.15">
      <c r="A274" s="26">
        <v>3104</v>
      </c>
      <c r="B274" s="27" t="s">
        <v>7</v>
      </c>
      <c r="C274" s="39" t="s">
        <v>1029</v>
      </c>
      <c r="D274" s="12" t="s">
        <v>1033</v>
      </c>
      <c r="E274" s="12" t="s">
        <v>171</v>
      </c>
      <c r="F274" s="12" t="s">
        <v>550</v>
      </c>
      <c r="G274" s="38" t="s">
        <v>936</v>
      </c>
      <c r="H274" s="12" t="s">
        <v>172</v>
      </c>
      <c r="I274" s="36" t="str">
        <f t="shared" ref="I274" si="32">"{"&amp;""""&amp;$E$1&amp;""""&amp;":"&amp;""""&amp;E274&amp;""""&amp;","&amp;""""&amp;"type"&amp;""""&amp;":"&amp;""""&amp;"ability"&amp;""""&amp;","&amp;""""&amp;$G$1&amp;""""&amp;":"&amp;""""&amp;G274&amp;""""&amp;","&amp;""""&amp;$F$1&amp;""""&amp;":"&amp;""""&amp;F274&amp;""""&amp;","&amp;""""&amp;$H$1&amp;""""&amp;":"&amp;H274&amp;"}"</f>
        <v>{"ver":"1.7.0","type":"ability","effects":"[effect:damage_barrier, target:myself, turn:-1, val:5000, animation:activate_shield]","conditions":"[condition:boss_floor]","priority":0}</v>
      </c>
      <c r="J274" s="35" t="s">
        <v>613</v>
      </c>
      <c r="K274" s="14">
        <v>3</v>
      </c>
    </row>
    <row r="275" spans="1:11" ht="21" customHeight="1" x14ac:dyDescent="0.15">
      <c r="A275" s="26">
        <v>3105</v>
      </c>
      <c r="B275" s="27" t="s">
        <v>7</v>
      </c>
      <c r="C275" s="39" t="s">
        <v>1030</v>
      </c>
      <c r="D275" s="12" t="s">
        <v>1034</v>
      </c>
      <c r="E275" s="12" t="s">
        <v>171</v>
      </c>
      <c r="F275" s="12" t="s">
        <v>550</v>
      </c>
      <c r="G275" s="38" t="s">
        <v>941</v>
      </c>
      <c r="H275" s="12" t="s">
        <v>172</v>
      </c>
      <c r="I275" s="36" t="str">
        <f t="shared" ref="I275" si="33">"{"&amp;""""&amp;$E$1&amp;""""&amp;":"&amp;""""&amp;E275&amp;""""&amp;","&amp;""""&amp;"type"&amp;""""&amp;":"&amp;""""&amp;"ability"&amp;""""&amp;","&amp;""""&amp;$G$1&amp;""""&amp;":"&amp;""""&amp;G275&amp;""""&amp;","&amp;""""&amp;$F$1&amp;""""&amp;":"&amp;""""&amp;F275&amp;""""&amp;","&amp;""""&amp;$H$1&amp;""""&amp;":"&amp;H275&amp;"}"</f>
        <v>{"ver":"1.7.0","type":"ability","effects":"[effect:damage_barrier, target:myself, turn:-1, val:7000, animation:activate_shield]","conditions":"[condition:boss_floor]","priority":0}</v>
      </c>
      <c r="J275" s="35" t="s">
        <v>613</v>
      </c>
      <c r="K275" s="14">
        <v>3</v>
      </c>
    </row>
    <row r="276" spans="1:11" ht="21" customHeight="1" x14ac:dyDescent="0.15">
      <c r="A276" s="26">
        <v>3106</v>
      </c>
      <c r="B276" s="27" t="s">
        <v>7</v>
      </c>
      <c r="C276" s="39" t="s">
        <v>1088</v>
      </c>
      <c r="D276" s="12" t="s">
        <v>1089</v>
      </c>
      <c r="E276" s="12" t="s">
        <v>171</v>
      </c>
      <c r="F276" s="12" t="s">
        <v>550</v>
      </c>
      <c r="G276" s="35" t="s">
        <v>1081</v>
      </c>
      <c r="H276" s="12" t="s">
        <v>172</v>
      </c>
      <c r="I276" s="36" t="str">
        <f t="shared" ref="I276:I278" si="34">"{"&amp;""""&amp;$E$1&amp;""""&amp;":"&amp;""""&amp;E276&amp;""""&amp;","&amp;""""&amp;"type"&amp;""""&amp;":"&amp;""""&amp;"ability"&amp;""""&amp;","&amp;""""&amp;$G$1&amp;""""&amp;":"&amp;""""&amp;G276&amp;""""&amp;","&amp;""""&amp;$F$1&amp;""""&amp;":"&amp;""""&amp;F276&amp;""""&amp;","&amp;""""&amp;$H$1&amp;""""&amp;":"&amp;H276&amp;"}"</f>
        <v>{"ver":"1.7.0","type":"ability","effects":"[effect:regenerate, turn:-1, target:unit_all, val:0.05, type:hp_ratio, animation:heal01_unit01]","conditions":"[condition:boss_floor]","priority":0}</v>
      </c>
      <c r="J276" s="35" t="s">
        <v>725</v>
      </c>
      <c r="K276" s="14">
        <v>3</v>
      </c>
    </row>
    <row r="277" spans="1:11" ht="21" customHeight="1" x14ac:dyDescent="0.15">
      <c r="A277" s="26">
        <v>3107</v>
      </c>
      <c r="B277" s="27" t="s">
        <v>7</v>
      </c>
      <c r="C277" s="39" t="s">
        <v>1095</v>
      </c>
      <c r="D277" s="12" t="s">
        <v>1096</v>
      </c>
      <c r="E277" s="12" t="s">
        <v>171</v>
      </c>
      <c r="F277" s="35" t="s">
        <v>228</v>
      </c>
      <c r="G277" s="38" t="s">
        <v>1076</v>
      </c>
      <c r="H277" s="12" t="s">
        <v>172</v>
      </c>
      <c r="I277" s="36" t="str">
        <f t="shared" si="34"/>
        <v>{"ver":"1.7.0","type":"ability","effects":"[effect:enhance_unit, target:unit_all, turn:1, status:action, val:1, calc:add, animation:enhance_unit_one_action01]","conditions":"[condition:every_floor]","priority":0}</v>
      </c>
      <c r="J277" s="35" t="s">
        <v>730</v>
      </c>
      <c r="K277" s="14">
        <v>3</v>
      </c>
    </row>
    <row r="278" spans="1:11" ht="21" customHeight="1" x14ac:dyDescent="0.15">
      <c r="A278" s="26">
        <v>3108</v>
      </c>
      <c r="B278" s="27" t="s">
        <v>7</v>
      </c>
      <c r="C278" s="39" t="s">
        <v>1109</v>
      </c>
      <c r="D278" s="12" t="s">
        <v>1110</v>
      </c>
      <c r="E278" s="12" t="s">
        <v>171</v>
      </c>
      <c r="F278" s="12" t="s">
        <v>550</v>
      </c>
      <c r="G278" s="38" t="s">
        <v>364</v>
      </c>
      <c r="H278" s="12" t="s">
        <v>172</v>
      </c>
      <c r="I278" s="36" t="str">
        <f t="shared" si="34"/>
        <v>{"ver":"1.7.0","type":"ability","effects":"[effect:damage_barrier, target:myself, turn:-1, val:10000, animation:activate_shield]","conditions":"[condition:boss_floor]","priority":0}</v>
      </c>
      <c r="J278" s="35" t="s">
        <v>613</v>
      </c>
      <c r="K278" s="14">
        <v>3</v>
      </c>
    </row>
    <row r="279" spans="1:11" ht="21" customHeight="1" x14ac:dyDescent="0.15">
      <c r="A279" s="26">
        <v>3109</v>
      </c>
      <c r="B279" s="27" t="s">
        <v>7</v>
      </c>
      <c r="C279" s="39" t="s">
        <v>1131</v>
      </c>
      <c r="D279" s="12" t="s">
        <v>1132</v>
      </c>
      <c r="E279" s="12" t="s">
        <v>171</v>
      </c>
      <c r="F279" s="12" t="s">
        <v>550</v>
      </c>
      <c r="G279" s="38" t="s">
        <v>1111</v>
      </c>
      <c r="H279" s="12" t="s">
        <v>172</v>
      </c>
      <c r="I279" s="36" t="str">
        <f t="shared" ref="I279" si="35">"{"&amp;""""&amp;$E$1&amp;""""&amp;":"&amp;""""&amp;E279&amp;""""&amp;","&amp;""""&amp;"type"&amp;""""&amp;":"&amp;""""&amp;"ability"&amp;""""&amp;","&amp;""""&amp;$G$1&amp;""""&amp;":"&amp;""""&amp;G279&amp;""""&amp;","&amp;""""&amp;$F$1&amp;""""&amp;":"&amp;""""&amp;F279&amp;""""&amp;","&amp;""""&amp;$H$1&amp;""""&amp;":"&amp;H279&amp;"}"</f>
        <v>{"ver":"1.7.0","type":"ability","effects":"[effect:drop_block, block_type:crack_bomb, block_color:block_red, color:block_blue, val:0, rate:0.15, turn:-1]","conditions":"[condition:boss_floor]","priority":0}</v>
      </c>
      <c r="J279" s="35" t="s">
        <v>613</v>
      </c>
      <c r="K279" s="14">
        <v>3</v>
      </c>
    </row>
    <row r="280" spans="1:11" ht="21" customHeight="1" x14ac:dyDescent="0.15">
      <c r="A280" s="26">
        <v>3200</v>
      </c>
      <c r="B280" s="27" t="s">
        <v>7</v>
      </c>
      <c r="C280" s="39" t="s">
        <v>558</v>
      </c>
      <c r="D280" s="12" t="s">
        <v>645</v>
      </c>
      <c r="E280" s="12" t="s">
        <v>171</v>
      </c>
      <c r="F280" s="12" t="s">
        <v>559</v>
      </c>
      <c r="G280" s="38" t="s">
        <v>560</v>
      </c>
      <c r="H280" s="12" t="s">
        <v>172</v>
      </c>
      <c r="I280" s="36" t="str">
        <f t="shared" si="24"/>
        <v>{"ver":"1.7.0","type":"ability","effects":"[effect:enhance_unit, target:myself, turn:1, status:attack, val:0.4, calc:mul, animation:enhance_unit_all_attack03]","conditions":"[condition:enclose,[condition:active_unit],[condition:hp_rate,upper:33],logic:and]","priority":0}</v>
      </c>
      <c r="J280" s="35" t="s">
        <v>625</v>
      </c>
      <c r="K280" s="14">
        <v>3</v>
      </c>
    </row>
    <row r="281" spans="1:11" ht="21" customHeight="1" x14ac:dyDescent="0.15">
      <c r="A281" s="26">
        <v>3201</v>
      </c>
      <c r="B281" s="27" t="s">
        <v>7</v>
      </c>
      <c r="C281" s="39" t="s">
        <v>577</v>
      </c>
      <c r="D281" s="12" t="s">
        <v>578</v>
      </c>
      <c r="E281" s="12" t="s">
        <v>171</v>
      </c>
      <c r="F281" s="12" t="s">
        <v>579</v>
      </c>
      <c r="G281" s="38" t="s">
        <v>580</v>
      </c>
      <c r="H281" s="12" t="s">
        <v>172</v>
      </c>
      <c r="I281" s="36" t="str">
        <f t="shared" si="24"/>
        <v>{"ver":"1.7.0","type":"ability","effects":"[effect:enhance_unit, target:myself, turn:1, status:heal, val:0.4, calc:mul, animation:enhance_unit_all_heal03_unit01]","conditions":"[condition:enclose,[condition:active_unit],[condition:hp_rate,upper:35],logic:and]","priority":0}</v>
      </c>
      <c r="J281" s="35" t="s">
        <v>626</v>
      </c>
      <c r="K281" s="14">
        <v>3</v>
      </c>
    </row>
    <row r="282" spans="1:11" ht="21" customHeight="1" x14ac:dyDescent="0.15">
      <c r="A282" s="26">
        <v>3202</v>
      </c>
      <c r="B282" s="2" t="s">
        <v>7</v>
      </c>
      <c r="C282" s="12" t="s">
        <v>597</v>
      </c>
      <c r="D282" s="12" t="s">
        <v>598</v>
      </c>
      <c r="E282" s="12" t="s">
        <v>171</v>
      </c>
      <c r="F282" s="12" t="s">
        <v>599</v>
      </c>
      <c r="G282" s="35" t="s">
        <v>594</v>
      </c>
      <c r="H282" s="12" t="s">
        <v>172</v>
      </c>
      <c r="I282" s="36" t="str">
        <f t="shared" si="24"/>
        <v>{"ver":"1.7.0","type":"ability","effects":"[effect:reduction, target:unit_all, turn:-1, color:all, val:0.15, animation:reduction_one01]","conditions":"[condition:hp_rate,lower:90]","priority":0}</v>
      </c>
      <c r="J282" s="35" t="s">
        <v>613</v>
      </c>
      <c r="K282" s="14">
        <v>3</v>
      </c>
    </row>
    <row r="283" spans="1:11" ht="21" customHeight="1" x14ac:dyDescent="0.15">
      <c r="A283" s="26">
        <v>3203</v>
      </c>
      <c r="B283" s="27" t="s">
        <v>7</v>
      </c>
      <c r="C283" s="39" t="s">
        <v>636</v>
      </c>
      <c r="D283" s="12" t="s">
        <v>638</v>
      </c>
      <c r="E283" s="12" t="s">
        <v>171</v>
      </c>
      <c r="F283" s="12" t="s">
        <v>637</v>
      </c>
      <c r="G283" s="38" t="s">
        <v>639</v>
      </c>
      <c r="H283" s="12" t="s">
        <v>172</v>
      </c>
      <c r="I283" s="36" t="str">
        <f t="shared" si="24"/>
        <v>{"ver":"1.7.0","type":"ability","effects":"[effect:enhance_unit, target:myself, turn:-1, status:defense, val:398, calc:add, animation:enhance_unit_all_defense01_unit01]","conditions":"[condition:enclose,[condition:active_unit],[condition:hp_rate,upper:50],logic:and]","priority":0}</v>
      </c>
      <c r="J283" s="35" t="s">
        <v>624</v>
      </c>
      <c r="K283" s="14">
        <v>3</v>
      </c>
    </row>
    <row r="284" spans="1:11" ht="21" customHeight="1" x14ac:dyDescent="0.15">
      <c r="A284" s="26">
        <v>3204</v>
      </c>
      <c r="B284" s="27" t="s">
        <v>7</v>
      </c>
      <c r="C284" s="39" t="s">
        <v>653</v>
      </c>
      <c r="D284" s="12" t="s">
        <v>654</v>
      </c>
      <c r="E284" s="12" t="s">
        <v>171</v>
      </c>
      <c r="F284" s="12" t="s">
        <v>648</v>
      </c>
      <c r="G284" s="38" t="s">
        <v>649</v>
      </c>
      <c r="H284" s="12" t="s">
        <v>172</v>
      </c>
      <c r="I284" s="36" t="str">
        <f t="shared" si="24"/>
        <v>{"ver":"1.7.0","type":"ability","effects":"[effect:enhance_unit, target:myself, turn:1, status:attack, val:0.3, calc:mul, animation:enhance_unit_all_attack03]","conditions":"[condition:enclose,[condition:active_unit],[condition:hp_rate,upper:30],logic:and]","priority":0}</v>
      </c>
      <c r="J284" s="35" t="s">
        <v>625</v>
      </c>
      <c r="K284" s="14">
        <v>3</v>
      </c>
    </row>
    <row r="285" spans="1:11" ht="21" customHeight="1" x14ac:dyDescent="0.15">
      <c r="A285" s="26">
        <v>3205</v>
      </c>
      <c r="B285" s="2" t="s">
        <v>7</v>
      </c>
      <c r="C285" s="12" t="s">
        <v>685</v>
      </c>
      <c r="D285" s="12" t="s">
        <v>691</v>
      </c>
      <c r="E285" s="12" t="s">
        <v>171</v>
      </c>
      <c r="F285" s="12" t="s">
        <v>599</v>
      </c>
      <c r="G285" s="35" t="s">
        <v>686</v>
      </c>
      <c r="H285" s="12" t="s">
        <v>172</v>
      </c>
      <c r="I285" s="36" t="str">
        <f t="shared" si="24"/>
        <v>{"ver":"1.7.0","type":"ability","effects":"[effect:reduction, target:unit_all, color:all, turn:-1, val:0.15, animation:reduction_one01]","conditions":"[condition:hp_rate,lower:90]","priority":0}</v>
      </c>
      <c r="J285" s="35" t="s">
        <v>613</v>
      </c>
      <c r="K285" s="14">
        <v>3</v>
      </c>
    </row>
    <row r="286" spans="1:11" ht="21" customHeight="1" x14ac:dyDescent="0.15">
      <c r="A286" s="26">
        <v>3206</v>
      </c>
      <c r="B286" s="27" t="s">
        <v>7</v>
      </c>
      <c r="C286" s="39" t="s">
        <v>1001</v>
      </c>
      <c r="D286" s="12" t="s">
        <v>1003</v>
      </c>
      <c r="E286" s="12" t="s">
        <v>171</v>
      </c>
      <c r="F286" s="12" t="s">
        <v>1002</v>
      </c>
      <c r="G286" s="38" t="s">
        <v>1004</v>
      </c>
      <c r="H286" s="12" t="s">
        <v>172</v>
      </c>
      <c r="I286" s="36" t="str">
        <f t="shared" ref="I286" si="36">"{"&amp;""""&amp;$E$1&amp;""""&amp;":"&amp;""""&amp;E286&amp;""""&amp;","&amp;""""&amp;"type"&amp;""""&amp;":"&amp;""""&amp;"ability"&amp;""""&amp;","&amp;""""&amp;$G$1&amp;""""&amp;":"&amp;""""&amp;G286&amp;""""&amp;","&amp;""""&amp;$F$1&amp;""""&amp;":"&amp;""""&amp;F286&amp;""""&amp;","&amp;""""&amp;$H$1&amp;""""&amp;":"&amp;H286&amp;"}"</f>
        <v>{"ver":"1.7.0","type":"ability","effects":"[effect:enhance_unit, target:unit_all, turn:1, status:heal, val:0.2, calc:mul, animation:enhance_unit_all_heal02_unit01]","conditions":"[condition:hp_rate,upper:30]","priority":0}</v>
      </c>
      <c r="J286" s="35" t="s">
        <v>626</v>
      </c>
      <c r="K286" s="14">
        <v>3</v>
      </c>
    </row>
    <row r="287" spans="1:11" ht="21" customHeight="1" x14ac:dyDescent="0.15">
      <c r="A287" s="26">
        <v>3207</v>
      </c>
      <c r="B287" s="27" t="s">
        <v>7</v>
      </c>
      <c r="C287" s="39" t="s">
        <v>1057</v>
      </c>
      <c r="D287" s="12" t="s">
        <v>1058</v>
      </c>
      <c r="E287" s="12" t="s">
        <v>171</v>
      </c>
      <c r="F287" s="12" t="s">
        <v>1061</v>
      </c>
      <c r="G287" s="38" t="s">
        <v>1062</v>
      </c>
      <c r="H287" s="12" t="s">
        <v>172</v>
      </c>
      <c r="I287" s="36" t="str">
        <f t="shared" ref="I287" si="37">"{"&amp;""""&amp;$E$1&amp;""""&amp;":"&amp;""""&amp;E287&amp;""""&amp;","&amp;""""&amp;"type"&amp;""""&amp;":"&amp;""""&amp;"ability"&amp;""""&amp;","&amp;""""&amp;$G$1&amp;""""&amp;":"&amp;""""&amp;G287&amp;""""&amp;","&amp;""""&amp;$F$1&amp;""""&amp;":"&amp;""""&amp;F287&amp;""""&amp;","&amp;""""&amp;$H$1&amp;""""&amp;":"&amp;H287&amp;"}"</f>
        <v>{"ver":"1.7.0","type":"ability","effects":"[effect:enhance_unit, target:unit_all, turn:-1, status:heal, val:365, calc:add, animation:enhance_unit_all_heal01_unit01]","conditions":"[condition:hp_rate,upper:50]","priority":0}</v>
      </c>
      <c r="J287" s="35" t="s">
        <v>626</v>
      </c>
      <c r="K287" s="14">
        <v>3</v>
      </c>
    </row>
    <row r="288" spans="1:11" ht="21" customHeight="1" x14ac:dyDescent="0.15">
      <c r="A288" s="26">
        <v>3208</v>
      </c>
      <c r="B288" s="27" t="s">
        <v>7</v>
      </c>
      <c r="C288" s="39" t="s">
        <v>1059</v>
      </c>
      <c r="D288" s="12" t="s">
        <v>1060</v>
      </c>
      <c r="E288" s="12" t="s">
        <v>171</v>
      </c>
      <c r="F288" s="12" t="s">
        <v>1063</v>
      </c>
      <c r="G288" s="38" t="s">
        <v>1064</v>
      </c>
      <c r="H288" s="12" t="s">
        <v>172</v>
      </c>
      <c r="I288" s="36" t="str">
        <f t="shared" ref="I288" si="38">"{"&amp;""""&amp;$E$1&amp;""""&amp;":"&amp;""""&amp;E288&amp;""""&amp;","&amp;""""&amp;"type"&amp;""""&amp;":"&amp;""""&amp;"ability"&amp;""""&amp;","&amp;""""&amp;$G$1&amp;""""&amp;":"&amp;""""&amp;G288&amp;""""&amp;","&amp;""""&amp;$F$1&amp;""""&amp;":"&amp;""""&amp;F288&amp;""""&amp;","&amp;""""&amp;$H$1&amp;""""&amp;":"&amp;H288&amp;"}"</f>
        <v>{"ver":"1.7.0","type":"ability","effects":"[effect:enhance_unit, target:myself, turn:-1, status:defense, val:800, calc:add, animation:enhance_unit_all_defense02_unit01]","conditions":"[condition:hp_rate,upper:35]","priority":0}</v>
      </c>
      <c r="J288" s="35" t="s">
        <v>624</v>
      </c>
      <c r="K288" s="14">
        <v>3</v>
      </c>
    </row>
    <row r="289" spans="1:11" ht="21" customHeight="1" x14ac:dyDescent="0.15">
      <c r="A289" s="26">
        <v>3209</v>
      </c>
      <c r="B289" s="27" t="s">
        <v>7</v>
      </c>
      <c r="C289" s="39" t="s">
        <v>1119</v>
      </c>
      <c r="D289" s="12" t="s">
        <v>1120</v>
      </c>
      <c r="E289" s="12" t="s">
        <v>171</v>
      </c>
      <c r="F289" s="12" t="s">
        <v>1121</v>
      </c>
      <c r="G289" s="38" t="s">
        <v>1122</v>
      </c>
      <c r="H289" s="12" t="s">
        <v>172</v>
      </c>
      <c r="I289" s="36" t="str">
        <f t="shared" ref="I289" si="39">"{"&amp;""""&amp;$E$1&amp;""""&amp;":"&amp;""""&amp;E289&amp;""""&amp;","&amp;""""&amp;"type"&amp;""""&amp;":"&amp;""""&amp;"ability"&amp;""""&amp;","&amp;""""&amp;$G$1&amp;""""&amp;":"&amp;""""&amp;G289&amp;""""&amp;","&amp;""""&amp;$F$1&amp;""""&amp;":"&amp;""""&amp;F289&amp;""""&amp;","&amp;""""&amp;$H$1&amp;""""&amp;":"&amp;H289&amp;"}"</f>
        <v>{"ver":"1.7.0","type":"ability","effects":"[effect:enhance_unit, target:myself, turn:-1, status:attack, val:0.3, calc:mul, animation:enhance_unit_all_attack03]","conditions":"[condition:hp_rate,upper:80]","priority":0}</v>
      </c>
      <c r="J289" s="35" t="s">
        <v>625</v>
      </c>
      <c r="K289" s="14">
        <v>3</v>
      </c>
    </row>
    <row r="290" spans="1:11" ht="21" customHeight="1" x14ac:dyDescent="0.15">
      <c r="A290" s="26">
        <v>3210</v>
      </c>
      <c r="B290" s="27" t="s">
        <v>7</v>
      </c>
      <c r="C290" s="39" t="s">
        <v>1123</v>
      </c>
      <c r="D290" s="12" t="s">
        <v>1124</v>
      </c>
      <c r="E290" s="12" t="s">
        <v>171</v>
      </c>
      <c r="F290" s="12" t="s">
        <v>1125</v>
      </c>
      <c r="G290" s="38" t="s">
        <v>1127</v>
      </c>
      <c r="H290" s="12" t="s">
        <v>172</v>
      </c>
      <c r="I290" s="36" t="str">
        <f t="shared" ref="I290" si="40">"{"&amp;""""&amp;$E$1&amp;""""&amp;":"&amp;""""&amp;E290&amp;""""&amp;","&amp;""""&amp;"type"&amp;""""&amp;":"&amp;""""&amp;"ability"&amp;""""&amp;","&amp;""""&amp;$G$1&amp;""""&amp;":"&amp;""""&amp;G290&amp;""""&amp;","&amp;""""&amp;$F$1&amp;""""&amp;":"&amp;""""&amp;F290&amp;""""&amp;","&amp;""""&amp;$H$1&amp;""""&amp;":"&amp;H290&amp;"}"</f>
        <v>{"ver":"1.7.0","type":"ability","effects":"[effect:crash_condition, target:unit_all, turn:-1, val:-1, animation:crash_panel_reduce03]","conditions":"[condition:hp_rate,upper:75]","priority":0}</v>
      </c>
      <c r="J290" s="35" t="s">
        <v>726</v>
      </c>
      <c r="K290" s="14">
        <v>3</v>
      </c>
    </row>
    <row r="291" spans="1:11" ht="21" customHeight="1" x14ac:dyDescent="0.15">
      <c r="A291" s="26">
        <v>4000</v>
      </c>
      <c r="B291" s="27" t="s">
        <v>7</v>
      </c>
      <c r="C291" s="39" t="s">
        <v>650</v>
      </c>
      <c r="D291" s="12" t="s">
        <v>660</v>
      </c>
      <c r="E291" s="12" t="s">
        <v>171</v>
      </c>
      <c r="F291" s="12" t="s">
        <v>652</v>
      </c>
      <c r="G291" s="38" t="s">
        <v>651</v>
      </c>
      <c r="H291" s="12" t="s">
        <v>172</v>
      </c>
      <c r="I291" s="36" t="str">
        <f t="shared" si="24"/>
        <v>{"ver":"1.7.0","type":"ability","effects":"[effect:regenerate, turn:1, val:500, type:fix, animation:heal01_unit01]","conditions":"[condition:enemy_attack_damage,extra_turn:1]","priority":0}</v>
      </c>
      <c r="J291" s="35" t="s">
        <v>623</v>
      </c>
      <c r="K291" s="14">
        <v>3</v>
      </c>
    </row>
    <row r="292" spans="1:11" ht="21" customHeight="1" x14ac:dyDescent="0.15">
      <c r="A292" s="26">
        <v>5000</v>
      </c>
      <c r="B292" s="27" t="s">
        <v>7</v>
      </c>
      <c r="C292" s="39" t="s">
        <v>1008</v>
      </c>
      <c r="D292" s="12" t="s">
        <v>1009</v>
      </c>
      <c r="E292" s="12" t="s">
        <v>171</v>
      </c>
      <c r="F292" s="12" t="s">
        <v>1010</v>
      </c>
      <c r="G292" s="38" t="s">
        <v>1011</v>
      </c>
      <c r="H292" s="12" t="s">
        <v>172</v>
      </c>
      <c r="I292" s="36" t="str">
        <f t="shared" ref="I292" si="41">"{"&amp;""""&amp;$E$1&amp;""""&amp;":"&amp;""""&amp;E292&amp;""""&amp;","&amp;""""&amp;"type"&amp;""""&amp;":"&amp;""""&amp;"ability"&amp;""""&amp;","&amp;""""&amp;$G$1&amp;""""&amp;":"&amp;""""&amp;G292&amp;""""&amp;","&amp;""""&amp;$F$1&amp;""""&amp;":"&amp;""""&amp;F292&amp;""""&amp;","&amp;""""&amp;$H$1&amp;""""&amp;":"&amp;H292&amp;"}"</f>
        <v>{"ver":"1.7.0","type":"ability","effects":"[effect:enhance_unit, target:unit_all, turn:-1, status:attack, val:500, calc:add, animation:enhance_unit_all_attack01]","conditions":"[condition:with_unit,tribe:god]","priority":0}</v>
      </c>
      <c r="J292" s="35" t="s">
        <v>886</v>
      </c>
      <c r="K292" s="14">
        <v>3</v>
      </c>
    </row>
    <row r="293" spans="1:11" ht="21" customHeight="1" x14ac:dyDescent="0.15">
      <c r="A293" s="26">
        <v>5001</v>
      </c>
      <c r="B293" s="27" t="s">
        <v>7</v>
      </c>
      <c r="C293" s="39" t="s">
        <v>1012</v>
      </c>
      <c r="D293" s="12" t="s">
        <v>1013</v>
      </c>
      <c r="E293" s="12" t="s">
        <v>171</v>
      </c>
      <c r="F293" s="12" t="s">
        <v>1014</v>
      </c>
      <c r="G293" s="38" t="s">
        <v>1015</v>
      </c>
      <c r="H293" s="12" t="s">
        <v>172</v>
      </c>
      <c r="I293" s="36" t="str">
        <f t="shared" ref="I293" si="42">"{"&amp;""""&amp;$E$1&amp;""""&amp;":"&amp;""""&amp;E293&amp;""""&amp;","&amp;""""&amp;"type"&amp;""""&amp;":"&amp;""""&amp;"ability"&amp;""""&amp;","&amp;""""&amp;$G$1&amp;""""&amp;":"&amp;""""&amp;G293&amp;""""&amp;","&amp;""""&amp;$F$1&amp;""""&amp;":"&amp;""""&amp;F293&amp;""""&amp;","&amp;""""&amp;$H$1&amp;""""&amp;":"&amp;H293&amp;"}"</f>
        <v>{"ver":"1.7.0","type":"ability","effects":"[effect:enhance_unit, target:unit_all, turn:-1, status:heal, val:500, calc:add, animation:enhance_unit_all_heal01]","conditions":"[condition:with_unit,type:balance]","priority":0}</v>
      </c>
      <c r="J293" s="35" t="s">
        <v>728</v>
      </c>
      <c r="K293" s="14">
        <v>3</v>
      </c>
    </row>
    <row r="294" spans="1:11" ht="21" customHeight="1" x14ac:dyDescent="0.15">
      <c r="A294" s="26">
        <v>5002</v>
      </c>
      <c r="B294" s="27" t="s">
        <v>7</v>
      </c>
      <c r="C294" s="39" t="s">
        <v>1016</v>
      </c>
      <c r="D294" s="12" t="s">
        <v>1018</v>
      </c>
      <c r="E294" s="12" t="s">
        <v>171</v>
      </c>
      <c r="F294" s="12" t="s">
        <v>1020</v>
      </c>
      <c r="G294" s="38" t="s">
        <v>1022</v>
      </c>
      <c r="H294" s="12" t="s">
        <v>172</v>
      </c>
      <c r="I294" s="36" t="str">
        <f t="shared" ref="I294:I295" si="43">"{"&amp;""""&amp;$E$1&amp;""""&amp;":"&amp;""""&amp;E294&amp;""""&amp;","&amp;""""&amp;"type"&amp;""""&amp;":"&amp;""""&amp;"ability"&amp;""""&amp;","&amp;""""&amp;$G$1&amp;""""&amp;":"&amp;""""&amp;G294&amp;""""&amp;","&amp;""""&amp;$F$1&amp;""""&amp;":"&amp;""""&amp;F294&amp;""""&amp;","&amp;""""&amp;$H$1&amp;""""&amp;":"&amp;H294&amp;"}"</f>
        <v>{"ver":"1.7.0","type":"ability","effects":"[effect:enhance_unit, target:unit_all, turn:-1, status:attack, val:700, calc:add, animation:enhance_unit_all_attack01]","conditions":"[condition:with_unit,color:blue]","priority":0}</v>
      </c>
      <c r="J294" s="35" t="s">
        <v>886</v>
      </c>
      <c r="K294" s="14">
        <v>3</v>
      </c>
    </row>
    <row r="295" spans="1:11" ht="21" customHeight="1" x14ac:dyDescent="0.15">
      <c r="A295" s="26">
        <v>5003</v>
      </c>
      <c r="B295" s="27" t="s">
        <v>7</v>
      </c>
      <c r="C295" s="39" t="s">
        <v>1017</v>
      </c>
      <c r="D295" s="12" t="s">
        <v>1019</v>
      </c>
      <c r="E295" s="12" t="s">
        <v>171</v>
      </c>
      <c r="F295" s="12" t="s">
        <v>1021</v>
      </c>
      <c r="G295" s="38" t="s">
        <v>1023</v>
      </c>
      <c r="H295" s="12" t="s">
        <v>172</v>
      </c>
      <c r="I295" s="36" t="str">
        <f t="shared" si="43"/>
        <v>{"ver":"1.7.0","type":"ability","effects":"[effect:enhance_unit, target:myself, turn:-1, status:attack, val:1500, calc:add, animation:enhance_unit_all_attack01]","conditions":"[condition:with_unit,color:red]","priority":0}</v>
      </c>
      <c r="J295" s="35" t="s">
        <v>886</v>
      </c>
      <c r="K295" s="14">
        <v>3</v>
      </c>
    </row>
    <row r="296" spans="1:11" ht="21" customHeight="1" x14ac:dyDescent="0.15">
      <c r="A296" s="26">
        <v>8000</v>
      </c>
      <c r="B296" s="27" t="s">
        <v>7</v>
      </c>
      <c r="C296" s="39" t="s">
        <v>699</v>
      </c>
      <c r="D296" s="12" t="s">
        <v>700</v>
      </c>
      <c r="E296" s="12" t="s">
        <v>171</v>
      </c>
      <c r="F296" s="12" t="s">
        <v>701</v>
      </c>
      <c r="G296" s="38" t="s">
        <v>702</v>
      </c>
      <c r="H296" s="12" t="s">
        <v>172</v>
      </c>
      <c r="I296" s="36" t="str">
        <f t="shared" ref="I296:I297" si="44">"{"&amp;""""&amp;$E$1&amp;""""&amp;":"&amp;""""&amp;E296&amp;""""&amp;","&amp;""""&amp;"type"&amp;""""&amp;":"&amp;""""&amp;"ability"&amp;""""&amp;","&amp;""""&amp;$G$1&amp;""""&amp;":"&amp;""""&amp;G296&amp;""""&amp;","&amp;""""&amp;$F$1&amp;""""&amp;":"&amp;""""&amp;F296&amp;""""&amp;","&amp;""""&amp;$H$1&amp;""""&amp;":"&amp;H296&amp;"}"</f>
        <v>{"ver":"1.7.0","type":"ability","effects":"[effect:enhance_unit, target:unit_all, turn:-1, status:attack, val:0.2, calc:mul, animation:enhance_unit_all_attack03]","conditions":"[condition:index,index:4]","priority":0}</v>
      </c>
      <c r="J296" s="35" t="s">
        <v>730</v>
      </c>
      <c r="K296" s="14">
        <v>3</v>
      </c>
    </row>
    <row r="297" spans="1:11" ht="21" customHeight="1" x14ac:dyDescent="0.15">
      <c r="A297" s="26">
        <v>8001</v>
      </c>
      <c r="B297" s="27" t="s">
        <v>7</v>
      </c>
      <c r="C297" s="39" t="s">
        <v>696</v>
      </c>
      <c r="D297" s="12" t="s">
        <v>697</v>
      </c>
      <c r="E297" s="12" t="s">
        <v>171</v>
      </c>
      <c r="F297" s="12" t="s">
        <v>698</v>
      </c>
      <c r="G297" s="38" t="s">
        <v>695</v>
      </c>
      <c r="H297" s="12" t="s">
        <v>172</v>
      </c>
      <c r="I297" s="36" t="str">
        <f t="shared" si="44"/>
        <v>{"ver":"1.7.0","type":"ability","effects":"[effect:counter_new, target:unit_all, invoke_condition:enemy_all, counter_target:attacker, turn:1, val:1, animation:counter_buff03]","conditions":"[condition:with_enemy,color:blue]","priority":0}</v>
      </c>
      <c r="J297" s="35" t="s">
        <v>730</v>
      </c>
      <c r="K297" s="14">
        <v>3</v>
      </c>
    </row>
    <row r="298" spans="1:11" ht="21" customHeight="1" x14ac:dyDescent="0.15">
      <c r="A298" s="26">
        <v>8002</v>
      </c>
      <c r="B298" s="27" t="s">
        <v>7</v>
      </c>
      <c r="C298" s="39" t="s">
        <v>703</v>
      </c>
      <c r="D298" s="12" t="s">
        <v>704</v>
      </c>
      <c r="E298" s="12" t="s">
        <v>171</v>
      </c>
      <c r="F298" s="35" t="s">
        <v>228</v>
      </c>
      <c r="G298" s="38" t="s">
        <v>705</v>
      </c>
      <c r="H298" s="12" t="s">
        <v>172</v>
      </c>
      <c r="I298" s="36" t="str">
        <f t="shared" ref="I298" si="45">"{"&amp;""""&amp;$E$1&amp;""""&amp;":"&amp;""""&amp;E298&amp;""""&amp;","&amp;""""&amp;"type"&amp;""""&amp;":"&amp;""""&amp;"ability"&amp;""""&amp;","&amp;""""&amp;$G$1&amp;""""&amp;":"&amp;""""&amp;G298&amp;""""&amp;","&amp;""""&amp;$F$1&amp;""""&amp;":"&amp;""""&amp;F298&amp;""""&amp;","&amp;""""&amp;$H$1&amp;""""&amp;":"&amp;H298&amp;"}"</f>
        <v>{"ver":"1.7.0","type":"ability","effects":"[effect:enhance_unit, target:unit_all, turn:1, status:attack, val:0.2, calc:mul, animation:enhance_unit_all_attack03]","conditions":"[condition:every_floor]","priority":0}</v>
      </c>
      <c r="J298" s="35" t="s">
        <v>730</v>
      </c>
      <c r="K298" s="14">
        <v>3</v>
      </c>
    </row>
    <row r="299" spans="1:11" ht="21" customHeight="1" x14ac:dyDescent="0.15">
      <c r="A299" s="26">
        <v>8003</v>
      </c>
      <c r="B299" s="27" t="s">
        <v>7</v>
      </c>
      <c r="C299" s="39" t="s">
        <v>889</v>
      </c>
      <c r="D299" s="12" t="s">
        <v>890</v>
      </c>
      <c r="E299" s="12" t="s">
        <v>171</v>
      </c>
      <c r="F299" s="12" t="s">
        <v>891</v>
      </c>
      <c r="G299" s="35" t="s">
        <v>291</v>
      </c>
      <c r="H299" s="12" t="s">
        <v>172</v>
      </c>
      <c r="I299" s="36" t="str">
        <f t="shared" ref="I299" si="46">"{"&amp;""""&amp;$E$1&amp;""""&amp;":"&amp;""""&amp;E299&amp;""""&amp;","&amp;""""&amp;"type"&amp;""""&amp;":"&amp;""""&amp;"ability"&amp;""""&amp;","&amp;""""&amp;$G$1&amp;""""&amp;":"&amp;""""&amp;G299&amp;""""&amp;","&amp;""""&amp;$F$1&amp;""""&amp;":"&amp;""""&amp;F299&amp;""""&amp;","&amp;""""&amp;$H$1&amp;""""&amp;":"&amp;H299&amp;"}"</f>
        <v>{"ver":"1.7.0","type":"ability","effects":"[effect:tolerance, target:myself, turn:-1, tolerance_effect:virus, count:-1, animation:prevent_abnormal_Unit04]","conditions":"[condition:hp_rate,lower:70]","priority":0}</v>
      </c>
      <c r="J299" s="35" t="s">
        <v>730</v>
      </c>
      <c r="K299" s="14">
        <v>3</v>
      </c>
    </row>
    <row r="300" spans="1:11" ht="21" customHeight="1" x14ac:dyDescent="0.15">
      <c r="A300" s="26">
        <v>8004</v>
      </c>
      <c r="B300" s="27" t="s">
        <v>7</v>
      </c>
      <c r="C300" s="39" t="s">
        <v>926</v>
      </c>
      <c r="D300" s="12" t="s">
        <v>927</v>
      </c>
      <c r="E300" s="12" t="s">
        <v>171</v>
      </c>
      <c r="F300" s="35" t="s">
        <v>228</v>
      </c>
      <c r="G300" s="38" t="s">
        <v>928</v>
      </c>
      <c r="H300" s="12" t="s">
        <v>172</v>
      </c>
      <c r="I300" s="36" t="str">
        <f t="shared" ref="I300:I306" si="47">"{"&amp;""""&amp;$E$1&amp;""""&amp;":"&amp;""""&amp;E300&amp;""""&amp;","&amp;""""&amp;"type"&amp;""""&amp;":"&amp;""""&amp;"ability"&amp;""""&amp;","&amp;""""&amp;$G$1&amp;""""&amp;":"&amp;""""&amp;G300&amp;""""&amp;","&amp;""""&amp;$F$1&amp;""""&amp;":"&amp;""""&amp;F300&amp;""""&amp;","&amp;""""&amp;$H$1&amp;""""&amp;":"&amp;H300&amp;"}"</f>
        <v>{"ver":"1.7.0","type":"ability","effects":"[effect:freq_sp_turn, target:unit_all, turn:1, count:2]","conditions":"[condition:every_floor]","priority":0}</v>
      </c>
      <c r="J300" s="35" t="s">
        <v>730</v>
      </c>
      <c r="K300" s="14">
        <v>3</v>
      </c>
    </row>
    <row r="301" spans="1:11" ht="21" customHeight="1" x14ac:dyDescent="0.15">
      <c r="A301" s="26">
        <v>8005</v>
      </c>
      <c r="B301" s="27" t="s">
        <v>7</v>
      </c>
      <c r="C301" s="12" t="s">
        <v>988</v>
      </c>
      <c r="D301" s="12" t="s">
        <v>988</v>
      </c>
      <c r="E301" s="12" t="s">
        <v>171</v>
      </c>
      <c r="F301" s="12" t="s">
        <v>551</v>
      </c>
      <c r="G301" s="38" t="s">
        <v>993</v>
      </c>
      <c r="H301" s="12" t="s">
        <v>172</v>
      </c>
      <c r="I301" s="36" t="str">
        <f t="shared" si="47"/>
        <v>{"ver":"1.7.0","type":"ability","effects":"[effect:drop_block, block_type:crack_bomb, block_color:block_heart, color:block_heart, val:24, rate:0.1, turn:-1, animation:bomb_influence04]","conditions":"[condition:boss_floor]","priority":0}</v>
      </c>
      <c r="J301" s="35" t="s">
        <v>730</v>
      </c>
      <c r="K301" s="14">
        <v>3</v>
      </c>
    </row>
    <row r="302" spans="1:11" ht="21" customHeight="1" x14ac:dyDescent="0.15">
      <c r="A302" s="26">
        <v>8006</v>
      </c>
      <c r="B302" s="27" t="s">
        <v>7</v>
      </c>
      <c r="C302" s="39" t="s">
        <v>989</v>
      </c>
      <c r="D302" s="12" t="s">
        <v>989</v>
      </c>
      <c r="E302" s="12" t="s">
        <v>171</v>
      </c>
      <c r="F302" s="12" t="s">
        <v>551</v>
      </c>
      <c r="G302" s="38" t="s">
        <v>990</v>
      </c>
      <c r="H302" s="12" t="s">
        <v>172</v>
      </c>
      <c r="I302" s="36" t="str">
        <f t="shared" si="47"/>
        <v>{"ver":"1.7.0","type":"ability","effects":"[effect:crash_condition, target:unit_attack/unit_heal/unit_hp/or, turn:-1, val:-1, animation:crash_panel_reduce03]    ","conditions":"[condition:boss_floor]","priority":0}</v>
      </c>
      <c r="J302" s="35" t="s">
        <v>730</v>
      </c>
      <c r="K302" s="14">
        <v>3</v>
      </c>
    </row>
    <row r="303" spans="1:11" ht="21" customHeight="1" x14ac:dyDescent="0.15">
      <c r="A303" s="26">
        <v>8007</v>
      </c>
      <c r="B303" s="27" t="s">
        <v>7</v>
      </c>
      <c r="C303" s="39" t="s">
        <v>992</v>
      </c>
      <c r="D303" s="12" t="s">
        <v>992</v>
      </c>
      <c r="E303" s="12" t="s">
        <v>171</v>
      </c>
      <c r="F303" s="12" t="s">
        <v>551</v>
      </c>
      <c r="G303" s="38" t="s">
        <v>991</v>
      </c>
      <c r="H303" s="12" t="s">
        <v>172</v>
      </c>
      <c r="I303" s="36" t="str">
        <f t="shared" si="47"/>
        <v>{"ver":"1.7.0","type":"ability","effects":"[effect:attack_command, turn:-1, target:unit_left, val:0.1, animation:unit_all_attack_command05]","conditions":"[condition:boss_floor]","priority":0}</v>
      </c>
      <c r="J303" s="35" t="s">
        <v>730</v>
      </c>
      <c r="K303" s="14">
        <v>3</v>
      </c>
    </row>
    <row r="304" spans="1:11" ht="21" customHeight="1" x14ac:dyDescent="0.15">
      <c r="A304" s="26">
        <v>8008</v>
      </c>
      <c r="B304" s="27" t="s">
        <v>7</v>
      </c>
      <c r="C304" s="39" t="s">
        <v>1005</v>
      </c>
      <c r="D304" s="12" t="s">
        <v>1044</v>
      </c>
      <c r="E304" s="12" t="s">
        <v>171</v>
      </c>
      <c r="F304" s="12" t="s">
        <v>505</v>
      </c>
      <c r="G304" s="38" t="s">
        <v>1043</v>
      </c>
      <c r="H304" s="12" t="s">
        <v>172</v>
      </c>
      <c r="I304" s="36" t="str">
        <f t="shared" si="47"/>
        <v>{"ver":"1.7.0","type":"ability","effects":"[effect:enhance_unit, target:unit_all, turn:2, status:heal, val:1500, calc:add, animation:enhance_unit_all_heal02_unit01]","conditions":"[condition:save_every_turn,each:4,count_type:normal]","priority":0}</v>
      </c>
      <c r="J304" s="35" t="s">
        <v>626</v>
      </c>
      <c r="K304" s="14">
        <v>3</v>
      </c>
    </row>
    <row r="305" spans="1:11" ht="21" customHeight="1" x14ac:dyDescent="0.15">
      <c r="A305" s="26">
        <v>8009</v>
      </c>
      <c r="B305" s="27" t="s">
        <v>7</v>
      </c>
      <c r="C305" s="39" t="s">
        <v>987</v>
      </c>
      <c r="D305" s="12" t="s">
        <v>1035</v>
      </c>
      <c r="E305" s="12" t="s">
        <v>171</v>
      </c>
      <c r="F305" s="12" t="s">
        <v>1042</v>
      </c>
      <c r="G305" s="38" t="s">
        <v>567</v>
      </c>
      <c r="H305" s="12" t="s">
        <v>172</v>
      </c>
      <c r="I305" s="36" t="str">
        <f t="shared" si="47"/>
        <v>{"ver":"1.7.0","type":"ability","effects":"[effect:crash_condition, target:myself, turn:-1, val:-4, animation:crash_panel_reduce03]    ","conditions":"[condition:enclose,[condition:active_unit],[condition:boss_floor],logic:and]","priority":0}</v>
      </c>
      <c r="J305" s="35" t="s">
        <v>630</v>
      </c>
      <c r="K305" s="14">
        <v>3</v>
      </c>
    </row>
    <row r="306" spans="1:11" ht="21" customHeight="1" x14ac:dyDescent="0.15">
      <c r="A306" s="26">
        <v>8010</v>
      </c>
      <c r="B306" s="27" t="s">
        <v>7</v>
      </c>
      <c r="C306" s="12" t="s">
        <v>1108</v>
      </c>
      <c r="D306" s="9" t="s">
        <v>1106</v>
      </c>
      <c r="E306" s="12" t="s">
        <v>194</v>
      </c>
      <c r="F306" s="37" t="s">
        <v>1107</v>
      </c>
      <c r="G306" s="35" t="s">
        <v>1105</v>
      </c>
      <c r="H306" s="12" t="s">
        <v>172</v>
      </c>
      <c r="I306" s="36" t="str">
        <f t="shared" si="47"/>
        <v>{"ver":"1.7.0","type":"ability","effects":"[effect:damage_up, target:myself, val:5, turn:1, type01:all,option:killer]","conditions":"[condition:enclose,[condition:unit_attack_target,tribe:unknown],[condition:unit_attack_target,color:blue],logic:and]","priority":0}</v>
      </c>
      <c r="J306" s="35" t="s">
        <v>622</v>
      </c>
      <c r="K306" s="14">
        <v>3</v>
      </c>
    </row>
    <row r="307" spans="1:11" ht="21" customHeight="1" x14ac:dyDescent="0.15">
      <c r="A307" s="26">
        <v>8011</v>
      </c>
      <c r="B307" s="27" t="s">
        <v>7</v>
      </c>
      <c r="C307" s="12" t="s">
        <v>1135</v>
      </c>
      <c r="D307" s="9" t="s">
        <v>1134</v>
      </c>
      <c r="E307" s="12" t="s">
        <v>194</v>
      </c>
      <c r="F307" s="37" t="s">
        <v>1104</v>
      </c>
      <c r="G307" s="35" t="s">
        <v>1136</v>
      </c>
      <c r="H307" s="12" t="s">
        <v>172</v>
      </c>
      <c r="I307" s="36" t="str">
        <f t="shared" ref="I307" si="48">"{"&amp;""""&amp;$E$1&amp;""""&amp;":"&amp;""""&amp;E307&amp;""""&amp;","&amp;""""&amp;"type"&amp;""""&amp;":"&amp;""""&amp;"ability"&amp;""""&amp;","&amp;""""&amp;$G$1&amp;""""&amp;":"&amp;""""&amp;G307&amp;""""&amp;","&amp;""""&amp;$F$1&amp;""""&amp;":"&amp;""""&amp;F307&amp;""""&amp;","&amp;""""&amp;$H$1&amp;""""&amp;":"&amp;H307&amp;"}"</f>
        <v>{"ver":"1.7.0","type":"ability","effects":"[effect:sleep, target:enemy_one, turn:1, rate:0.5, animation:sleep01]","conditions":"[condition:unit_attack_target,color:blue]","priority":0}</v>
      </c>
      <c r="J307" s="35" t="s">
        <v>730</v>
      </c>
      <c r="K307" s="14">
        <v>3</v>
      </c>
    </row>
    <row r="308" spans="1:11" ht="21" customHeight="1" x14ac:dyDescent="0.15">
      <c r="A308" s="26">
        <v>8012</v>
      </c>
      <c r="B308" s="27" t="s">
        <v>7</v>
      </c>
      <c r="C308" s="12" t="s">
        <v>1164</v>
      </c>
      <c r="D308" s="9" t="s">
        <v>1165</v>
      </c>
      <c r="E308" s="12" t="s">
        <v>194</v>
      </c>
      <c r="F308" s="37" t="s">
        <v>1166</v>
      </c>
      <c r="G308" s="38" t="s">
        <v>1167</v>
      </c>
      <c r="H308" s="12" t="s">
        <v>172</v>
      </c>
      <c r="I308" s="36" t="str">
        <f t="shared" ref="I308" si="49">"{"&amp;""""&amp;$E$1&amp;""""&amp;":"&amp;""""&amp;E308&amp;""""&amp;","&amp;""""&amp;"type"&amp;""""&amp;":"&amp;""""&amp;"ability"&amp;""""&amp;","&amp;""""&amp;$G$1&amp;""""&amp;":"&amp;""""&amp;G308&amp;""""&amp;","&amp;""""&amp;$F$1&amp;""""&amp;":"&amp;""""&amp;F308&amp;""""&amp;","&amp;""""&amp;$H$1&amp;""""&amp;":"&amp;H308&amp;"}"</f>
        <v>{"ver":"1.7.0","type":"ability","effects":"[effect:freq_sp_turn, target:myself, turn:1, count:7]","conditions":"[condition:floor,index:1]","priority":0}</v>
      </c>
      <c r="J308" s="35" t="s">
        <v>730</v>
      </c>
      <c r="K308" s="14">
        <v>3</v>
      </c>
    </row>
    <row r="309" spans="1:11" ht="21" customHeight="1" x14ac:dyDescent="0.15">
      <c r="A309" s="26">
        <v>9000</v>
      </c>
      <c r="B309" s="27" t="s">
        <v>7</v>
      </c>
      <c r="C309" s="39" t="s">
        <v>442</v>
      </c>
      <c r="D309" s="12" t="s">
        <v>443</v>
      </c>
      <c r="E309" s="12" t="s">
        <v>171</v>
      </c>
      <c r="F309" s="12" t="s">
        <v>444</v>
      </c>
      <c r="G309" s="38" t="s">
        <v>561</v>
      </c>
      <c r="H309" s="12" t="s">
        <v>172</v>
      </c>
      <c r="I309" s="36" t="str">
        <f t="shared" si="24"/>
        <v>{"ver":"1.7.0","type":"ability","effects":"[effect:damage_up, target:myself, val:1.5, turn:1, type01:all, option:killer]","conditions":"[condition:enclose,[condition:quest_id,quest:60026],[condition:unit_attack_target],logic:and]","priority":0}</v>
      </c>
      <c r="J309" s="35" t="s">
        <v>629</v>
      </c>
      <c r="K309" s="14">
        <v>3</v>
      </c>
    </row>
    <row r="310" spans="1:11" ht="21" customHeight="1" x14ac:dyDescent="0.15">
      <c r="A310" s="26">
        <v>9001</v>
      </c>
      <c r="B310" s="27" t="s">
        <v>7</v>
      </c>
      <c r="C310" s="39" t="s">
        <v>562</v>
      </c>
      <c r="D310" s="12" t="s">
        <v>563</v>
      </c>
      <c r="E310" s="12" t="s">
        <v>171</v>
      </c>
      <c r="F310" s="12" t="s">
        <v>564</v>
      </c>
      <c r="G310" s="38" t="s">
        <v>561</v>
      </c>
      <c r="H310" s="12" t="s">
        <v>172</v>
      </c>
      <c r="I310" s="36" t="str">
        <f t="shared" si="24"/>
        <v>{"ver":"1.7.0","type":"ability","effects":"[effect:damage_up, target:myself, val:1.5, turn:1, type01:all, option:killer]","conditions":"[condition:enclose,[condition:quest_id,quest:60028],[condition:unit_attack_target],logic:and]","priority":0}</v>
      </c>
      <c r="J310" s="35" t="s">
        <v>629</v>
      </c>
      <c r="K310" s="14">
        <v>3</v>
      </c>
    </row>
    <row r="311" spans="1:11" ht="21" customHeight="1" x14ac:dyDescent="0.15">
      <c r="A311" s="26">
        <v>9002</v>
      </c>
      <c r="B311" s="27" t="s">
        <v>7</v>
      </c>
      <c r="C311" s="39" t="s">
        <v>562</v>
      </c>
      <c r="D311" s="12" t="s">
        <v>575</v>
      </c>
      <c r="E311" s="12" t="s">
        <v>171</v>
      </c>
      <c r="F311" s="12" t="s">
        <v>564</v>
      </c>
      <c r="G311" s="38" t="s">
        <v>572</v>
      </c>
      <c r="H311" s="12" t="s">
        <v>172</v>
      </c>
      <c r="I311" s="36" t="str">
        <f t="shared" si="24"/>
        <v>{"ver":"1.7.0","type":"ability","effects":"[effect:damage_up, target:myself, turn:1, val:1.5, type01:all, type02:counter, option:killer]","conditions":"[condition:enclose,[condition:quest_id,quest:60028],[condition:unit_attack_target],logic:and]","priority":0}</v>
      </c>
      <c r="J311" s="35" t="s">
        <v>629</v>
      </c>
      <c r="K311" s="14">
        <v>3</v>
      </c>
    </row>
    <row r="312" spans="1:11" ht="21" customHeight="1" x14ac:dyDescent="0.15">
      <c r="A312" s="26">
        <v>9003</v>
      </c>
      <c r="B312" s="27" t="s">
        <v>7</v>
      </c>
      <c r="C312" s="39" t="s">
        <v>906</v>
      </c>
      <c r="D312" s="12" t="s">
        <v>910</v>
      </c>
      <c r="E312" s="12" t="s">
        <v>171</v>
      </c>
      <c r="F312" s="12" t="s">
        <v>907</v>
      </c>
      <c r="G312" s="38" t="s">
        <v>561</v>
      </c>
      <c r="H312" s="12" t="s">
        <v>172</v>
      </c>
      <c r="I312" s="36" t="str">
        <f t="shared" ref="I312:I315" si="50">"{"&amp;""""&amp;$E$1&amp;""""&amp;":"&amp;""""&amp;E312&amp;""""&amp;","&amp;""""&amp;"type"&amp;""""&amp;":"&amp;""""&amp;"ability"&amp;""""&amp;","&amp;""""&amp;$G$1&amp;""""&amp;":"&amp;""""&amp;G312&amp;""""&amp;","&amp;""""&amp;$F$1&amp;""""&amp;":"&amp;""""&amp;F312&amp;""""&amp;","&amp;""""&amp;$H$1&amp;""""&amp;":"&amp;H312&amp;"}"</f>
        <v>{"ver":"1.7.0","type":"ability","effects":"[effect:damage_up, target:myself, val:1.5, turn:1, type01:all, option:killer]","conditions":"[condition:enclose,[condition:quest_id,quest:60029],[condition:unit_attack_target],logic:and]","priority":0}</v>
      </c>
      <c r="J312" s="35" t="s">
        <v>629</v>
      </c>
      <c r="K312" s="14">
        <v>3</v>
      </c>
    </row>
    <row r="313" spans="1:11" ht="21" customHeight="1" x14ac:dyDescent="0.15">
      <c r="A313" s="26">
        <v>9004</v>
      </c>
      <c r="B313" s="27" t="s">
        <v>7</v>
      </c>
      <c r="C313" s="39" t="s">
        <v>909</v>
      </c>
      <c r="D313" s="12" t="s">
        <v>911</v>
      </c>
      <c r="E313" s="12" t="s">
        <v>171</v>
      </c>
      <c r="F313" s="12" t="s">
        <v>907</v>
      </c>
      <c r="G313" s="38" t="s">
        <v>908</v>
      </c>
      <c r="H313" s="12" t="s">
        <v>172</v>
      </c>
      <c r="I313" s="36" t="str">
        <f t="shared" si="50"/>
        <v>{"ver":"1.7.0","type":"ability","effects":"[effect:damage_up, target:myself, val:2.9, turn:1, type01:all, option:killer]","conditions":"[condition:enclose,[condition:quest_id,quest:60029],[condition:unit_attack_target],logic:and]","priority":0}</v>
      </c>
      <c r="J313" s="35" t="s">
        <v>629</v>
      </c>
      <c r="K313" s="14">
        <v>3</v>
      </c>
    </row>
    <row r="314" spans="1:11" ht="21" customHeight="1" x14ac:dyDescent="0.15">
      <c r="A314" s="26">
        <v>9005</v>
      </c>
      <c r="B314" s="27" t="s">
        <v>7</v>
      </c>
      <c r="C314" s="39" t="s">
        <v>973</v>
      </c>
      <c r="D314" s="12" t="s">
        <v>974</v>
      </c>
      <c r="E314" s="12" t="s">
        <v>171</v>
      </c>
      <c r="F314" s="12" t="s">
        <v>976</v>
      </c>
      <c r="G314" s="38" t="s">
        <v>561</v>
      </c>
      <c r="H314" s="12" t="s">
        <v>172</v>
      </c>
      <c r="I314" s="36" t="str">
        <f t="shared" si="50"/>
        <v>{"ver":"1.7.0","type":"ability","effects":"[effect:damage_up, target:myself, val:1.5, turn:1, type01:all, option:killer]","conditions":"[condition:enclose,[condition:quest_id,quest:60031],[condition:unit_attack_target],logic:and]","priority":0}</v>
      </c>
      <c r="J314" s="35" t="s">
        <v>629</v>
      </c>
      <c r="K314" s="14">
        <v>3</v>
      </c>
    </row>
    <row r="315" spans="1:11" ht="21" customHeight="1" x14ac:dyDescent="0.15">
      <c r="A315" s="26">
        <v>9006</v>
      </c>
      <c r="B315" s="27" t="s">
        <v>7</v>
      </c>
      <c r="C315" s="39" t="s">
        <v>973</v>
      </c>
      <c r="D315" s="12" t="s">
        <v>975</v>
      </c>
      <c r="E315" s="12" t="s">
        <v>171</v>
      </c>
      <c r="F315" s="12" t="s">
        <v>976</v>
      </c>
      <c r="G315" s="38" t="s">
        <v>572</v>
      </c>
      <c r="H315" s="12" t="s">
        <v>172</v>
      </c>
      <c r="I315" s="36" t="str">
        <f t="shared" si="50"/>
        <v>{"ver":"1.7.0","type":"ability","effects":"[effect:damage_up, target:myself, turn:1, val:1.5, type01:all, type02:counter, option:killer]","conditions":"[condition:enclose,[condition:quest_id,quest:60031],[condition:unit_attack_target],logic:and]","priority":0}</v>
      </c>
      <c r="J315" s="35" t="s">
        <v>629</v>
      </c>
      <c r="K315" s="14">
        <v>3</v>
      </c>
    </row>
    <row r="316" spans="1:11" ht="21" customHeight="1" x14ac:dyDescent="0.15">
      <c r="A316" s="26">
        <v>9007</v>
      </c>
      <c r="B316" s="27" t="s">
        <v>7</v>
      </c>
      <c r="C316" s="39" t="s">
        <v>994</v>
      </c>
      <c r="D316" s="12" t="s">
        <v>995</v>
      </c>
      <c r="E316" s="12" t="s">
        <v>171</v>
      </c>
      <c r="F316" s="12" t="s">
        <v>996</v>
      </c>
      <c r="G316" s="38" t="s">
        <v>908</v>
      </c>
      <c r="H316" s="12" t="s">
        <v>172</v>
      </c>
      <c r="I316" s="36" t="str">
        <f t="shared" ref="I316" si="51">"{"&amp;""""&amp;$E$1&amp;""""&amp;":"&amp;""""&amp;E316&amp;""""&amp;","&amp;""""&amp;"type"&amp;""""&amp;":"&amp;""""&amp;"ability"&amp;""""&amp;","&amp;""""&amp;$G$1&amp;""""&amp;":"&amp;""""&amp;G316&amp;""""&amp;","&amp;""""&amp;$F$1&amp;""""&amp;":"&amp;""""&amp;F316&amp;""""&amp;","&amp;""""&amp;$H$1&amp;""""&amp;":"&amp;H316&amp;"}"</f>
        <v>{"ver":"1.7.0","type":"ability","effects":"[effect:damage_up, target:myself, val:2.9, turn:1, type01:all, option:killer]","conditions":"[condition:enclose,[condition:quest_id,quest:60030],[condition:unit_attack_target],logic:and]","priority":0}</v>
      </c>
      <c r="J316" s="35" t="s">
        <v>629</v>
      </c>
      <c r="K316" s="14">
        <v>3</v>
      </c>
    </row>
    <row r="317" spans="1:11" ht="21" customHeight="1" x14ac:dyDescent="0.15">
      <c r="A317" s="26">
        <v>9008</v>
      </c>
      <c r="B317" s="27" t="s">
        <v>7</v>
      </c>
      <c r="C317" s="39" t="s">
        <v>997</v>
      </c>
      <c r="D317" s="12" t="s">
        <v>998</v>
      </c>
      <c r="E317" s="12" t="s">
        <v>171</v>
      </c>
      <c r="F317" s="12" t="s">
        <v>996</v>
      </c>
      <c r="G317" s="38" t="s">
        <v>1000</v>
      </c>
      <c r="H317" s="12" t="s">
        <v>172</v>
      </c>
      <c r="I317" s="36" t="str">
        <f t="shared" ref="I317" si="52">"{"&amp;""""&amp;$E$1&amp;""""&amp;":"&amp;""""&amp;E317&amp;""""&amp;","&amp;""""&amp;"type"&amp;""""&amp;":"&amp;""""&amp;"ability"&amp;""""&amp;","&amp;""""&amp;$G$1&amp;""""&amp;":"&amp;""""&amp;G317&amp;""""&amp;","&amp;""""&amp;$F$1&amp;""""&amp;":"&amp;""""&amp;F317&amp;""""&amp;","&amp;""""&amp;$H$1&amp;""""&amp;":"&amp;H317&amp;"}"</f>
        <v>{"ver":"1.7.0","type":"ability","effects":"[effect:damage_up, target:myself, val:1.5, turn:1, type01:all, option:killer]","conditions":"[condition:enclose,[condition:quest_id,quest:60030],[condition:unit_attack_target],logic:and]","priority":0}</v>
      </c>
      <c r="J317" s="35" t="s">
        <v>629</v>
      </c>
      <c r="K317" s="14">
        <v>3</v>
      </c>
    </row>
    <row r="318" spans="1:11" ht="21" customHeight="1" x14ac:dyDescent="0.15">
      <c r="A318" s="26">
        <v>9009</v>
      </c>
      <c r="B318" s="27" t="s">
        <v>7</v>
      </c>
      <c r="C318" s="39" t="s">
        <v>1074</v>
      </c>
      <c r="D318" s="12" t="s">
        <v>999</v>
      </c>
      <c r="E318" s="12" t="s">
        <v>171</v>
      </c>
      <c r="F318" s="12" t="s">
        <v>996</v>
      </c>
      <c r="G318" s="38" t="s">
        <v>572</v>
      </c>
      <c r="H318" s="12" t="s">
        <v>172</v>
      </c>
      <c r="I318" s="36" t="str">
        <f t="shared" ref="I318" si="53">"{"&amp;""""&amp;$E$1&amp;""""&amp;":"&amp;""""&amp;E318&amp;""""&amp;","&amp;""""&amp;"type"&amp;""""&amp;":"&amp;""""&amp;"ability"&amp;""""&amp;","&amp;""""&amp;$G$1&amp;""""&amp;":"&amp;""""&amp;G318&amp;""""&amp;","&amp;""""&amp;$F$1&amp;""""&amp;":"&amp;""""&amp;F318&amp;""""&amp;","&amp;""""&amp;$H$1&amp;""""&amp;":"&amp;H318&amp;"}"</f>
        <v>{"ver":"1.7.0","type":"ability","effects":"[effect:damage_up, target:myself, turn:1, val:1.5, type01:all, type02:counter, option:killer]","conditions":"[condition:enclose,[condition:quest_id,quest:60030],[condition:unit_attack_target],logic:and]","priority":0}</v>
      </c>
      <c r="J318" s="35" t="s">
        <v>629</v>
      </c>
      <c r="K318" s="14">
        <v>3</v>
      </c>
    </row>
    <row r="319" spans="1:11" ht="21" customHeight="1" x14ac:dyDescent="0.15">
      <c r="A319" s="26">
        <v>9010</v>
      </c>
      <c r="B319" s="27" t="s">
        <v>7</v>
      </c>
      <c r="C319" s="39" t="s">
        <v>1148</v>
      </c>
      <c r="D319" s="12" t="s">
        <v>1149</v>
      </c>
      <c r="E319" s="12" t="s">
        <v>171</v>
      </c>
      <c r="F319" s="12" t="s">
        <v>1102</v>
      </c>
      <c r="G319" s="38" t="s">
        <v>561</v>
      </c>
      <c r="H319" s="12" t="s">
        <v>172</v>
      </c>
      <c r="I319" s="36" t="str">
        <f t="shared" ref="I319" si="54">"{"&amp;""""&amp;$E$1&amp;""""&amp;":"&amp;""""&amp;E319&amp;""""&amp;","&amp;""""&amp;"type"&amp;""""&amp;":"&amp;""""&amp;"ability"&amp;""""&amp;","&amp;""""&amp;$G$1&amp;""""&amp;":"&amp;""""&amp;G319&amp;""""&amp;","&amp;""""&amp;$F$1&amp;""""&amp;":"&amp;""""&amp;F319&amp;""""&amp;","&amp;""""&amp;$H$1&amp;""""&amp;":"&amp;H319&amp;"}"</f>
        <v>{"ver":"1.7.0","type":"ability","effects":"[effect:damage_up, target:myself, val:1.5, turn:1, type01:all, option:killer]","conditions":"[condition:enclose,[condition:enclose,[condition:quest_id,quest:47015],[condition:quest_id,quest:47016],logic:or],[condition:unit_attack_target],logic:and]","priority":0}</v>
      </c>
      <c r="J319" s="35" t="s">
        <v>629</v>
      </c>
      <c r="K319" s="14">
        <v>3</v>
      </c>
    </row>
    <row r="320" spans="1:11" ht="21" customHeight="1" x14ac:dyDescent="0.15">
      <c r="A320" s="26">
        <v>9011</v>
      </c>
      <c r="B320" s="27" t="s">
        <v>7</v>
      </c>
      <c r="C320" s="39" t="s">
        <v>1086</v>
      </c>
      <c r="D320" s="12" t="s">
        <v>1085</v>
      </c>
      <c r="E320" s="12" t="s">
        <v>171</v>
      </c>
      <c r="F320" s="12" t="s">
        <v>1082</v>
      </c>
      <c r="G320" s="38" t="s">
        <v>1084</v>
      </c>
      <c r="H320" s="12" t="s">
        <v>172</v>
      </c>
      <c r="I320" s="36" t="str">
        <f t="shared" ref="I320:I324" si="55">"{"&amp;""""&amp;$E$1&amp;""""&amp;":"&amp;""""&amp;E320&amp;""""&amp;","&amp;""""&amp;"type"&amp;""""&amp;":"&amp;""""&amp;"ability"&amp;""""&amp;","&amp;""""&amp;$G$1&amp;""""&amp;":"&amp;""""&amp;G320&amp;""""&amp;","&amp;""""&amp;$F$1&amp;""""&amp;":"&amp;""""&amp;F320&amp;""""&amp;","&amp;""""&amp;$H$1&amp;""""&amp;":"&amp;H320&amp;"}"</f>
        <v>{"ver":"1.7.0","type":"ability","effects":"[effect:damage_up, target:myself, val:2.9, turn:1, type01:all, option:killer]","conditions":"[condition:enclose,[condition:quest_id,quest:47004],[condition:unit_attack_target],logic:and]","priority":0}</v>
      </c>
      <c r="J320" s="35" t="s">
        <v>629</v>
      </c>
      <c r="K320" s="14">
        <v>3</v>
      </c>
    </row>
    <row r="321" spans="1:11" ht="21" customHeight="1" x14ac:dyDescent="0.15">
      <c r="A321" s="26">
        <v>9012</v>
      </c>
      <c r="B321" s="27" t="s">
        <v>7</v>
      </c>
      <c r="C321" s="39" t="s">
        <v>1154</v>
      </c>
      <c r="D321" s="12" t="s">
        <v>1150</v>
      </c>
      <c r="E321" s="12" t="s">
        <v>171</v>
      </c>
      <c r="F321" s="12" t="s">
        <v>1102</v>
      </c>
      <c r="G321" s="38" t="s">
        <v>1118</v>
      </c>
      <c r="H321" s="12" t="s">
        <v>172</v>
      </c>
      <c r="I321" s="36" t="str">
        <f t="shared" si="55"/>
        <v>{"ver":"1.7.0","type":"ability","effects":"[effect:damage_up, target:myself, val:2.0, turn:1, type01:all, option:killer]","conditions":"[condition:enclose,[condition:enclose,[condition:quest_id,quest:47015],[condition:quest_id,quest:47016],logic:or],[condition:unit_attack_target],logic:and]","priority":0}</v>
      </c>
      <c r="J321" s="35" t="s">
        <v>629</v>
      </c>
      <c r="K321" s="14">
        <v>3</v>
      </c>
    </row>
    <row r="322" spans="1:11" ht="21" customHeight="1" x14ac:dyDescent="0.15">
      <c r="A322" s="26">
        <v>9013</v>
      </c>
      <c r="B322" s="27" t="s">
        <v>7</v>
      </c>
      <c r="C322" s="39" t="s">
        <v>1140</v>
      </c>
      <c r="D322" s="12" t="s">
        <v>1141</v>
      </c>
      <c r="E322" s="12" t="s">
        <v>171</v>
      </c>
      <c r="F322" s="12" t="s">
        <v>1143</v>
      </c>
      <c r="G322" s="38" t="s">
        <v>561</v>
      </c>
      <c r="H322" s="12" t="s">
        <v>172</v>
      </c>
      <c r="I322" s="36" t="str">
        <f t="shared" si="55"/>
        <v>{"ver":"1.7.0","type":"ability","effects":"[effect:damage_up, target:myself, val:1.5, turn:1, type01:all, option:killer]","conditions":"[condition:enclose,[condition:quest_id,quest:60032],[condition:unit_attack_target],logic:and]","priority":0}</v>
      </c>
      <c r="J322" s="35" t="s">
        <v>629</v>
      </c>
      <c r="K322" s="14">
        <v>3</v>
      </c>
    </row>
    <row r="323" spans="1:11" ht="21" customHeight="1" x14ac:dyDescent="0.15">
      <c r="A323" s="26">
        <v>9014</v>
      </c>
      <c r="B323" s="27" t="s">
        <v>7</v>
      </c>
      <c r="C323" s="39" t="s">
        <v>1140</v>
      </c>
      <c r="D323" s="12" t="s">
        <v>1142</v>
      </c>
      <c r="E323" s="12" t="s">
        <v>171</v>
      </c>
      <c r="F323" s="12" t="s">
        <v>1143</v>
      </c>
      <c r="G323" s="38" t="s">
        <v>300</v>
      </c>
      <c r="H323" s="12" t="s">
        <v>172</v>
      </c>
      <c r="I323" s="36" t="str">
        <f t="shared" si="55"/>
        <v>{"ver":"1.7.0","type":"ability","effects":"[effect:damage_up, target:myself, val:2.9, turn:1, type01:all, option:killer]","conditions":"[condition:enclose,[condition:quest_id,quest:60032],[condition:unit_attack_target],logic:and]","priority":0}</v>
      </c>
      <c r="J323" s="35" t="s">
        <v>629</v>
      </c>
      <c r="K323" s="14">
        <v>3</v>
      </c>
    </row>
    <row r="324" spans="1:11" ht="21" customHeight="1" x14ac:dyDescent="0.15">
      <c r="A324" s="26">
        <v>9015</v>
      </c>
      <c r="B324" s="27" t="s">
        <v>7</v>
      </c>
      <c r="C324" s="39" t="s">
        <v>1140</v>
      </c>
      <c r="D324" s="12" t="s">
        <v>1144</v>
      </c>
      <c r="E324" s="12" t="s">
        <v>171</v>
      </c>
      <c r="F324" s="12" t="s">
        <v>1143</v>
      </c>
      <c r="G324" s="38" t="s">
        <v>572</v>
      </c>
      <c r="H324" s="12" t="s">
        <v>172</v>
      </c>
      <c r="I324" s="36" t="str">
        <f t="shared" si="55"/>
        <v>{"ver":"1.7.0","type":"ability","effects":"[effect:damage_up, target:myself, turn:1, val:1.5, type01:all, type02:counter, option:killer]","conditions":"[condition:enclose,[condition:quest_id,quest:60032],[condition:unit_attack_target],logic:and]","priority":0}</v>
      </c>
      <c r="J324" s="35" t="s">
        <v>629</v>
      </c>
      <c r="K324" s="14">
        <v>3</v>
      </c>
    </row>
    <row r="325" spans="1:11" ht="21" customHeight="1" x14ac:dyDescent="0.15">
      <c r="A325" s="26">
        <v>119402</v>
      </c>
      <c r="B325" s="27" t="s">
        <v>7</v>
      </c>
      <c r="C325" s="12" t="s">
        <v>297</v>
      </c>
      <c r="D325" s="12" t="s">
        <v>298</v>
      </c>
      <c r="E325" s="12" t="s">
        <v>171</v>
      </c>
      <c r="F325" s="12" t="s">
        <v>299</v>
      </c>
      <c r="G325" s="38" t="s">
        <v>300</v>
      </c>
      <c r="H325" s="12" t="s">
        <v>172</v>
      </c>
      <c r="I325" s="36" t="str">
        <f t="shared" si="24"/>
        <v>{"ver":"1.7.0","type":"ability","effects":"[effect:damage_up, target:myself, val:2.9, turn:1, type01:all, option:killer]","conditions":"[condition:enclose,[condition:quest_id,quest:47003],[condition:unit_attack_target],logic:and]","priority":0}</v>
      </c>
      <c r="J325" s="35" t="s">
        <v>629</v>
      </c>
      <c r="K325" s="14">
        <v>3</v>
      </c>
    </row>
    <row r="326" spans="1:11" ht="21" customHeight="1" x14ac:dyDescent="0.15">
      <c r="A326" s="26">
        <v>500801</v>
      </c>
      <c r="B326" s="27" t="s">
        <v>7</v>
      </c>
      <c r="C326" s="39" t="s">
        <v>582</v>
      </c>
      <c r="D326" s="12" t="s">
        <v>583</v>
      </c>
      <c r="E326" s="12" t="s">
        <v>171</v>
      </c>
      <c r="F326" s="12" t="s">
        <v>581</v>
      </c>
      <c r="G326" s="38" t="s">
        <v>584</v>
      </c>
      <c r="H326" s="12" t="s">
        <v>172</v>
      </c>
      <c r="I326" s="36" t="str">
        <f t="shared" si="24"/>
        <v>{"ver":"1.7.0","type":"ability","effects":"[effect:enhance_unit, target:myself, turn:1, status:attack, val:0.1, calc:mul, animation:enhance_unit_all_attack02]","conditions":"[condition:enclose,[condition:active_unit],[condition:panel_total,count:35],logic:and]","priority":0}</v>
      </c>
      <c r="J326" s="35" t="s">
        <v>625</v>
      </c>
      <c r="K326" s="14">
        <v>3</v>
      </c>
    </row>
    <row r="327" spans="1:11" ht="21" customHeight="1" x14ac:dyDescent="0.15">
      <c r="A327" s="26">
        <v>808082</v>
      </c>
      <c r="B327" s="27" t="s">
        <v>7</v>
      </c>
      <c r="C327" s="12" t="s">
        <v>466</v>
      </c>
      <c r="D327" s="12" t="s">
        <v>467</v>
      </c>
      <c r="E327" s="12" t="s">
        <v>171</v>
      </c>
      <c r="F327" s="12" t="s">
        <v>463</v>
      </c>
      <c r="G327" s="38" t="s">
        <v>479</v>
      </c>
      <c r="H327" s="12">
        <v>0</v>
      </c>
      <c r="I327" s="36" t="str">
        <f t="shared" si="24"/>
        <v>{"ver":"1.7.0","type":"ability","effects":"[effect:drop_block, block_type:crash, color:block_all, val:8, rate:0.05, turn:-1]","conditions":"[condition:active_unit]","priority":0}</v>
      </c>
      <c r="J327" s="35" t="s">
        <v>627</v>
      </c>
      <c r="K327" s="14">
        <v>3</v>
      </c>
    </row>
    <row r="328" spans="1:11" ht="21" customHeight="1" x14ac:dyDescent="0.15">
      <c r="A328" s="26">
        <v>900000</v>
      </c>
      <c r="B328" s="27" t="s">
        <v>7</v>
      </c>
      <c r="C328" s="39" t="s">
        <v>655</v>
      </c>
      <c r="D328" s="12" t="s">
        <v>658</v>
      </c>
      <c r="E328" s="12" t="s">
        <v>171</v>
      </c>
      <c r="F328" s="12" t="s">
        <v>657</v>
      </c>
      <c r="G328" s="35" t="s">
        <v>289</v>
      </c>
      <c r="H328" s="12" t="s">
        <v>172</v>
      </c>
      <c r="I328" s="36" t="str">
        <f t="shared" si="24"/>
        <v>{"ver":"1.7.0","type":"ability","effects":"[effect:panel_break, target:myself, block_type:freeze, turn:-1]","conditions":"[condition:fever_gauge,lower:100]","priority":0}</v>
      </c>
      <c r="J328" s="35" t="s">
        <v>661</v>
      </c>
      <c r="K328" s="14">
        <v>3</v>
      </c>
    </row>
    <row r="329" spans="1:11" ht="21" customHeight="1" x14ac:dyDescent="0.15">
      <c r="A329" s="26">
        <v>900001</v>
      </c>
      <c r="B329" s="27" t="s">
        <v>7</v>
      </c>
      <c r="C329" s="39" t="s">
        <v>656</v>
      </c>
      <c r="D329" s="12" t="s">
        <v>659</v>
      </c>
      <c r="E329" s="12" t="s">
        <v>171</v>
      </c>
      <c r="F329" s="12" t="s">
        <v>657</v>
      </c>
      <c r="G329" s="35" t="s">
        <v>293</v>
      </c>
      <c r="H329" s="12" t="s">
        <v>172</v>
      </c>
      <c r="I329" s="36" t="str">
        <f t="shared" si="24"/>
        <v>{"ver":"1.7.0","type":"ability","effects":"[effect:panel_break, target:myself, block_type:jammer, turn:-1]","conditions":"[condition:fever_gauge,lower:100]","priority":0}</v>
      </c>
      <c r="J329" s="35" t="s">
        <v>662</v>
      </c>
      <c r="K329" s="14">
        <v>3</v>
      </c>
    </row>
    <row r="330" spans="1:11" ht="21" customHeight="1" x14ac:dyDescent="0.15">
      <c r="A330" s="26">
        <v>900402</v>
      </c>
      <c r="B330" s="27" t="s">
        <v>7</v>
      </c>
      <c r="C330" s="39" t="s">
        <v>678</v>
      </c>
      <c r="D330" s="12" t="s">
        <v>679</v>
      </c>
      <c r="E330" s="12" t="s">
        <v>171</v>
      </c>
      <c r="F330" s="35" t="s">
        <v>173</v>
      </c>
      <c r="G330" s="38" t="s">
        <v>680</v>
      </c>
      <c r="H330" s="12" t="s">
        <v>172</v>
      </c>
      <c r="I330" s="36" t="str">
        <f t="shared" si="24"/>
        <v>{"ver":"1.7.0","type":"ability","effects":"[effect:damage_barrier, target:myself, turn:-1, val:3500, animation:activate_shield]","conditions":"[condition:always]","priority":0}</v>
      </c>
      <c r="J330" s="35" t="s">
        <v>613</v>
      </c>
      <c r="K330" s="14">
        <v>3</v>
      </c>
    </row>
    <row r="331" spans="1:11" ht="21" customHeight="1" x14ac:dyDescent="0.15">
      <c r="A331" s="26">
        <v>810202</v>
      </c>
      <c r="B331" s="27" t="s">
        <v>7</v>
      </c>
      <c r="C331" s="39" t="s">
        <v>916</v>
      </c>
      <c r="D331" s="12" t="s">
        <v>914</v>
      </c>
      <c r="E331" s="12" t="s">
        <v>171</v>
      </c>
      <c r="F331" s="12" t="s">
        <v>481</v>
      </c>
      <c r="G331" s="35" t="s">
        <v>917</v>
      </c>
      <c r="H331" s="12" t="s">
        <v>172</v>
      </c>
      <c r="I331" s="36" t="str">
        <f>"{"&amp;""""&amp;$E$1&amp;""""&amp;":"&amp;""""&amp;E331&amp;""""&amp;","&amp;""""&amp;"type"&amp;""""&amp;":"&amp;""""&amp;"ability"&amp;""""&amp;","&amp;""""&amp;$G$1&amp;""""&amp;":"&amp;""""&amp;G331&amp;""""&amp;","&amp;""""&amp;$F$1&amp;""""&amp;":"&amp;""""&amp;F331&amp;""""&amp;","&amp;""""&amp;$H$1&amp;""""&amp;":"&amp;H331&amp;"}"</f>
        <v>{"ver":"1.7.0","type":"ability","effects":"[effect:reduction, target:unit_all, color:all, turn:-1, val:0.15, animation:reduction_one01]","conditions":"[condition:enclose,[condition:active_unit],[condition:panel_total,count:50],logic:and]","priority":0}</v>
      </c>
      <c r="J331" s="35" t="s">
        <v>613</v>
      </c>
      <c r="K331" s="14">
        <v>3</v>
      </c>
    </row>
    <row r="332" spans="1:11" ht="21" customHeight="1" x14ac:dyDescent="0.15">
      <c r="A332" s="26">
        <v>811802</v>
      </c>
      <c r="B332" s="27" t="s">
        <v>7</v>
      </c>
      <c r="C332" s="39" t="s">
        <v>953</v>
      </c>
      <c r="D332" s="12" t="s">
        <v>959</v>
      </c>
      <c r="E332" s="12" t="s">
        <v>171</v>
      </c>
      <c r="F332" s="12" t="s">
        <v>949</v>
      </c>
      <c r="G332" s="38" t="s">
        <v>957</v>
      </c>
      <c r="H332" s="12" t="s">
        <v>172</v>
      </c>
      <c r="I332" s="36" t="str">
        <f t="shared" ref="I332:I333" si="56">"{"&amp;""""&amp;$E$1&amp;""""&amp;":"&amp;""""&amp;E332&amp;""""&amp;","&amp;""""&amp;"type"&amp;""""&amp;":"&amp;""""&amp;"ability"&amp;""""&amp;","&amp;""""&amp;$G$1&amp;""""&amp;":"&amp;""""&amp;G332&amp;""""&amp;","&amp;""""&amp;$F$1&amp;""""&amp;":"&amp;""""&amp;F332&amp;""""&amp;","&amp;""""&amp;$H$1&amp;""""&amp;":"&amp;H332&amp;"}"</f>
        <v>{"ver":"1.7.0","type":"ability","effects":"[effect:enhance_unit, target:unit_dragon/unit_animal/unit_fantasy/or, turn:1, status:attack, val:1000, calc:add, animation:enhance_unit_all_attack01_unit01]","conditions":"[condition:save_every_turn,each:6,count_type:normal]","priority":0}</v>
      </c>
      <c r="J332" s="35" t="s">
        <v>613</v>
      </c>
      <c r="K332" s="14">
        <v>3</v>
      </c>
    </row>
    <row r="333" spans="1:11" ht="21" customHeight="1" x14ac:dyDescent="0.15">
      <c r="A333" s="26">
        <v>812002</v>
      </c>
      <c r="B333" s="27" t="s">
        <v>7</v>
      </c>
      <c r="C333" s="39" t="s">
        <v>954</v>
      </c>
      <c r="D333" s="12" t="s">
        <v>960</v>
      </c>
      <c r="E333" s="12" t="s">
        <v>171</v>
      </c>
      <c r="F333" s="12" t="s">
        <v>950</v>
      </c>
      <c r="G333" s="38" t="s">
        <v>956</v>
      </c>
      <c r="H333" s="12" t="s">
        <v>172</v>
      </c>
      <c r="I333" s="36" t="str">
        <f t="shared" si="56"/>
        <v>{"ver":"1.7.0","type":"ability","effects":"[effect:enhance_unit, target:unit_dragon/unit_animal/unit_fantasy/or, turn:1, status:action, val:1, calc:add, animation:enhance_unit_one_action01]","conditions":"[condition:save_every_turn,each:6,count_type:normal]","priority":0}</v>
      </c>
      <c r="J333" s="35" t="s">
        <v>613</v>
      </c>
      <c r="K333" s="14">
        <v>3</v>
      </c>
    </row>
    <row r="334" spans="1:11" ht="21" customHeight="1" x14ac:dyDescent="0.15">
      <c r="A334" s="26">
        <v>811803</v>
      </c>
      <c r="B334" s="27" t="s">
        <v>7</v>
      </c>
      <c r="C334" s="39" t="s">
        <v>947</v>
      </c>
      <c r="D334" s="12" t="s">
        <v>948</v>
      </c>
      <c r="E334" s="12" t="s">
        <v>171</v>
      </c>
      <c r="F334" s="12" t="s">
        <v>946</v>
      </c>
      <c r="G334" s="38" t="s">
        <v>561</v>
      </c>
      <c r="H334" s="12" t="s">
        <v>172</v>
      </c>
      <c r="I334" s="36" t="str">
        <f t="shared" ref="I334:I335" si="57">"{"&amp;""""&amp;$E$1&amp;""""&amp;":"&amp;""""&amp;E334&amp;""""&amp;","&amp;""""&amp;"type"&amp;""""&amp;":"&amp;""""&amp;"ability"&amp;""""&amp;","&amp;""""&amp;$G$1&amp;""""&amp;":"&amp;""""&amp;G334&amp;""""&amp;","&amp;""""&amp;$F$1&amp;""""&amp;":"&amp;""""&amp;F334&amp;""""&amp;","&amp;""""&amp;$H$1&amp;""""&amp;":"&amp;H334&amp;"}"</f>
        <v>{"ver":"1.7.0","type":"ability","effects":"[effect:damage_up, target:myself, val:1.5, turn:1, type01:all, option:killer]","conditions":"[condition:enclose,[condition:quest_id,quest:48014],[condition:unit_attack_target],logic:and]","priority":0}</v>
      </c>
      <c r="J334" s="35" t="s">
        <v>629</v>
      </c>
      <c r="K334" s="14">
        <v>3</v>
      </c>
    </row>
    <row r="335" spans="1:11" ht="21" customHeight="1" x14ac:dyDescent="0.15">
      <c r="A335" s="26">
        <v>900802</v>
      </c>
      <c r="B335" s="27" t="s">
        <v>7</v>
      </c>
      <c r="C335" s="39" t="s">
        <v>953</v>
      </c>
      <c r="D335" s="12" t="s">
        <v>961</v>
      </c>
      <c r="E335" s="12" t="s">
        <v>171</v>
      </c>
      <c r="F335" s="12" t="s">
        <v>955</v>
      </c>
      <c r="G335" s="38" t="s">
        <v>958</v>
      </c>
      <c r="H335" s="12" t="s">
        <v>172</v>
      </c>
      <c r="I335" s="36" t="str">
        <f t="shared" si="57"/>
        <v>{"ver":"1.7.0","type":"ability","effects":"[effect:enhance_unit, target:unit_red, turn:1, status:attack, val:777, calc:add, animation:enhance_unit_all_attack01_unit01]","conditions":"[condition:save_every_turn,each:7,count_type:normal]","priority":0}</v>
      </c>
      <c r="J335" s="35" t="s">
        <v>613</v>
      </c>
      <c r="K335" s="14">
        <v>3</v>
      </c>
    </row>
  </sheetData>
  <sheetProtection selectLockedCells="1" selectUnlockedCells="1"/>
  <autoFilter ref="A1:K335"/>
  <phoneticPr fontId="5"/>
  <pageMargins left="0.74791666666666667" right="0.74791666666666667" top="0.98402777777777772" bottom="0.98402777777777772" header="0.51180555555555551" footer="0.51180555555555551"/>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14:formula1>
            <xm:f>アビリティ分類分け!$I$4:$I$19</xm:f>
          </x14:formula1>
          <xm:sqref>J2:J335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rgb="FF0000FF"/>
  </sheetPr>
  <dimension ref="A2:G36"/>
  <sheetViews>
    <sheetView topLeftCell="A2" workbookViewId="0">
      <selection activeCell="F41" sqref="F41"/>
    </sheetView>
  </sheetViews>
  <sheetFormatPr baseColWidth="12" defaultRowHeight="15" x14ac:dyDescent="0.15"/>
  <cols>
    <col min="3" max="3" width="17.5" bestFit="1" customWidth="1"/>
  </cols>
  <sheetData>
    <row r="2" spans="1:7" ht="36" customHeight="1" x14ac:dyDescent="0.15">
      <c r="A2" s="30" t="s">
        <v>58</v>
      </c>
    </row>
    <row r="4" spans="1:7" ht="19" x14ac:dyDescent="0.15">
      <c r="A4" s="31" t="s">
        <v>59</v>
      </c>
    </row>
    <row r="5" spans="1:7" x14ac:dyDescent="0.15">
      <c r="A5" t="s">
        <v>52</v>
      </c>
      <c r="E5" s="28"/>
      <c r="F5" s="28"/>
      <c r="G5" s="28"/>
    </row>
    <row r="6" spans="1:7" x14ac:dyDescent="0.15">
      <c r="E6" s="28"/>
      <c r="F6" s="28"/>
      <c r="G6" s="28"/>
    </row>
    <row r="7" spans="1:7" x14ac:dyDescent="0.15">
      <c r="A7" s="29" t="s">
        <v>57</v>
      </c>
      <c r="B7" s="29" t="s">
        <v>51</v>
      </c>
      <c r="C7" s="5" t="s">
        <v>61</v>
      </c>
    </row>
    <row r="8" spans="1:7" x14ac:dyDescent="0.15">
      <c r="A8" s="29" t="s">
        <v>60</v>
      </c>
      <c r="B8" s="29">
        <v>1</v>
      </c>
      <c r="C8" s="5">
        <f>3500*1*B8*1</f>
        <v>3500</v>
      </c>
    </row>
    <row r="9" spans="1:7" x14ac:dyDescent="0.15">
      <c r="A9" s="29" t="s">
        <v>53</v>
      </c>
      <c r="B9" s="29">
        <v>1.5</v>
      </c>
      <c r="C9" s="5">
        <f t="shared" ref="C9:C12" si="0">3500*1*B9*1</f>
        <v>5250</v>
      </c>
    </row>
    <row r="10" spans="1:7" x14ac:dyDescent="0.15">
      <c r="A10" s="29" t="s">
        <v>54</v>
      </c>
      <c r="B10" s="29">
        <v>2</v>
      </c>
      <c r="C10" s="5">
        <f t="shared" si="0"/>
        <v>7000</v>
      </c>
    </row>
    <row r="11" spans="1:7" x14ac:dyDescent="0.15">
      <c r="A11" s="29" t="s">
        <v>55</v>
      </c>
      <c r="B11" s="29">
        <v>2.5</v>
      </c>
      <c r="C11" s="5">
        <f t="shared" si="0"/>
        <v>8750</v>
      </c>
    </row>
    <row r="12" spans="1:7" x14ac:dyDescent="0.15">
      <c r="A12" s="29" t="s">
        <v>56</v>
      </c>
      <c r="B12" s="29">
        <v>3</v>
      </c>
      <c r="C12" s="5">
        <f t="shared" si="0"/>
        <v>10500</v>
      </c>
    </row>
    <row r="16" spans="1:7" ht="19" x14ac:dyDescent="0.15">
      <c r="A16" s="31" t="s">
        <v>83</v>
      </c>
    </row>
    <row r="17" spans="1:7" x14ac:dyDescent="0.15">
      <c r="A17" t="s">
        <v>88</v>
      </c>
      <c r="E17" s="28"/>
      <c r="F17" s="28"/>
      <c r="G17" s="28"/>
    </row>
    <row r="18" spans="1:7" x14ac:dyDescent="0.15">
      <c r="E18" s="28"/>
      <c r="F18" s="28"/>
      <c r="G18" s="28"/>
    </row>
    <row r="19" spans="1:7" x14ac:dyDescent="0.15">
      <c r="A19" s="29" t="s">
        <v>57</v>
      </c>
      <c r="B19" s="29" t="s">
        <v>51</v>
      </c>
      <c r="C19" s="5" t="s">
        <v>61</v>
      </c>
    </row>
    <row r="20" spans="1:7" x14ac:dyDescent="0.15">
      <c r="A20" s="29" t="s">
        <v>60</v>
      </c>
      <c r="B20" s="29">
        <v>0</v>
      </c>
      <c r="C20" s="5">
        <f>3500*B20+3500</f>
        <v>3500</v>
      </c>
    </row>
    <row r="21" spans="1:7" x14ac:dyDescent="0.15">
      <c r="A21" s="29" t="s">
        <v>84</v>
      </c>
      <c r="B21" s="29">
        <v>0.1</v>
      </c>
      <c r="C21" s="5">
        <f t="shared" ref="C21:C24" si="1">3500*B21+3500</f>
        <v>3850</v>
      </c>
    </row>
    <row r="22" spans="1:7" x14ac:dyDescent="0.15">
      <c r="A22" s="29" t="s">
        <v>85</v>
      </c>
      <c r="B22" s="29">
        <v>0.2</v>
      </c>
      <c r="C22" s="5">
        <f t="shared" si="1"/>
        <v>4200</v>
      </c>
    </row>
    <row r="23" spans="1:7" x14ac:dyDescent="0.15">
      <c r="A23" s="29" t="s">
        <v>86</v>
      </c>
      <c r="B23" s="29">
        <v>0.3</v>
      </c>
      <c r="C23" s="5">
        <f t="shared" si="1"/>
        <v>4550</v>
      </c>
    </row>
    <row r="24" spans="1:7" x14ac:dyDescent="0.15">
      <c r="A24" s="29" t="s">
        <v>87</v>
      </c>
      <c r="B24" s="29">
        <v>0.4</v>
      </c>
      <c r="C24" s="5">
        <f t="shared" si="1"/>
        <v>4900</v>
      </c>
    </row>
    <row r="28" spans="1:7" ht="19" x14ac:dyDescent="0.15">
      <c r="A28" s="31" t="s">
        <v>89</v>
      </c>
    </row>
    <row r="29" spans="1:7" x14ac:dyDescent="0.15">
      <c r="A29" t="s">
        <v>91</v>
      </c>
    </row>
    <row r="31" spans="1:7" x14ac:dyDescent="0.15">
      <c r="A31" s="29" t="s">
        <v>57</v>
      </c>
      <c r="B31" s="29" t="s">
        <v>51</v>
      </c>
      <c r="C31" s="5" t="s">
        <v>90</v>
      </c>
    </row>
    <row r="32" spans="1:7" x14ac:dyDescent="0.15">
      <c r="A32" s="29" t="s">
        <v>60</v>
      </c>
      <c r="B32" s="29">
        <v>0</v>
      </c>
      <c r="C32" s="5">
        <f>3500*B32+3500</f>
        <v>3500</v>
      </c>
    </row>
    <row r="33" spans="1:3" x14ac:dyDescent="0.15">
      <c r="A33" s="29" t="s">
        <v>84</v>
      </c>
      <c r="B33" s="29">
        <v>0.2</v>
      </c>
      <c r="C33" s="5">
        <f t="shared" ref="C33:C36" si="2">3500*B33+3500</f>
        <v>4200</v>
      </c>
    </row>
    <row r="34" spans="1:3" x14ac:dyDescent="0.15">
      <c r="A34" s="29" t="s">
        <v>85</v>
      </c>
      <c r="B34" s="29">
        <v>0.3</v>
      </c>
      <c r="C34" s="5">
        <f t="shared" si="2"/>
        <v>4550</v>
      </c>
    </row>
    <row r="35" spans="1:3" x14ac:dyDescent="0.15">
      <c r="A35" s="29" t="s">
        <v>86</v>
      </c>
      <c r="B35" s="29">
        <v>0.4</v>
      </c>
      <c r="C35" s="5">
        <f t="shared" si="2"/>
        <v>4900</v>
      </c>
    </row>
    <row r="36" spans="1:3" x14ac:dyDescent="0.15">
      <c r="A36" s="29" t="s">
        <v>87</v>
      </c>
      <c r="B36" s="29">
        <v>0.5</v>
      </c>
      <c r="C36" s="5">
        <f t="shared" si="2"/>
        <v>5250</v>
      </c>
    </row>
  </sheetData>
  <phoneticPr fontId="5"/>
  <pageMargins left="0.7" right="0.7" top="0.75" bottom="0.75" header="0.3" footer="0.3"/>
  <pageSetup paperSize="9"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0000FF"/>
    <outlinePr summaryBelow="0" summaryRight="0"/>
  </sheetPr>
  <dimension ref="A1:H1"/>
  <sheetViews>
    <sheetView showGridLines="0" workbookViewId="0">
      <pane ySplit="1" topLeftCell="A2" activePane="bottomLeft" state="frozen"/>
      <selection activeCell="V2" sqref="V2:X34"/>
      <selection pane="bottomLeft" activeCell="F7" sqref="F7"/>
    </sheetView>
  </sheetViews>
  <sheetFormatPr baseColWidth="12" defaultColWidth="13" defaultRowHeight="21" customHeight="1" x14ac:dyDescent="0.15"/>
  <cols>
    <col min="1" max="1" width="9.83203125" style="1" bestFit="1" customWidth="1"/>
    <col min="2" max="2" width="31.83203125" style="1" customWidth="1"/>
    <col min="3" max="3" width="7.33203125" style="1" bestFit="1" customWidth="1"/>
    <col min="4" max="4" width="7.1640625" style="1" bestFit="1" customWidth="1"/>
    <col min="5" max="5" width="29.5" style="1" customWidth="1"/>
    <col min="6" max="6" width="46.1640625" style="1" bestFit="1" customWidth="1"/>
    <col min="7" max="7" width="16" style="1" customWidth="1"/>
    <col min="8" max="8" width="10" style="1" bestFit="1" customWidth="1"/>
    <col min="9" max="16384" width="13" style="1"/>
  </cols>
  <sheetData>
    <row r="1" spans="1:8" ht="21" customHeight="1" x14ac:dyDescent="0.15">
      <c r="A1" s="10" t="s">
        <v>12</v>
      </c>
      <c r="B1" s="20" t="s">
        <v>27</v>
      </c>
      <c r="C1" s="13" t="s">
        <v>13</v>
      </c>
      <c r="D1" s="13" t="s">
        <v>14</v>
      </c>
      <c r="E1" s="22" t="s">
        <v>28</v>
      </c>
      <c r="F1" s="22" t="s">
        <v>26</v>
      </c>
      <c r="G1" s="23" t="s">
        <v>15</v>
      </c>
      <c r="H1" s="24" t="s">
        <v>16</v>
      </c>
    </row>
  </sheetData>
  <sheetProtection selectLockedCells="1" selectUnlockedCells="1"/>
  <phoneticPr fontId="5"/>
  <pageMargins left="0.74791666666666667" right="0.74791666666666667" top="0.98402777777777772" bottom="0.98402777777777772"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rgb="FF0000FF"/>
  </sheetPr>
  <dimension ref="D1:H68"/>
  <sheetViews>
    <sheetView workbookViewId="0">
      <selection activeCell="H4" sqref="H4"/>
    </sheetView>
  </sheetViews>
  <sheetFormatPr baseColWidth="12" defaultRowHeight="15" x14ac:dyDescent="0.15"/>
  <cols>
    <col min="1" max="2" width="8.1640625" customWidth="1"/>
    <col min="3" max="3" width="15" customWidth="1"/>
  </cols>
  <sheetData>
    <row r="1" spans="4:8" x14ac:dyDescent="0.15">
      <c r="D1" t="s">
        <v>162</v>
      </c>
      <c r="E1" t="s">
        <v>163</v>
      </c>
      <c r="G1" t="s">
        <v>164</v>
      </c>
    </row>
    <row r="2" spans="4:8" x14ac:dyDescent="0.15">
      <c r="D2" t="s">
        <v>94</v>
      </c>
      <c r="E2" t="s">
        <v>161</v>
      </c>
      <c r="G2" t="s">
        <v>165</v>
      </c>
      <c r="H2" t="s">
        <v>166</v>
      </c>
    </row>
    <row r="3" spans="4:8" x14ac:dyDescent="0.15">
      <c r="D3" s="32" t="s">
        <v>95</v>
      </c>
      <c r="G3" t="s">
        <v>167</v>
      </c>
      <c r="H3" t="s">
        <v>231</v>
      </c>
    </row>
    <row r="4" spans="4:8" x14ac:dyDescent="0.15">
      <c r="D4" s="32" t="s">
        <v>96</v>
      </c>
    </row>
    <row r="5" spans="4:8" x14ac:dyDescent="0.15">
      <c r="D5" s="32" t="s">
        <v>97</v>
      </c>
    </row>
    <row r="6" spans="4:8" x14ac:dyDescent="0.15">
      <c r="D6" s="32" t="s">
        <v>98</v>
      </c>
    </row>
    <row r="7" spans="4:8" x14ac:dyDescent="0.15">
      <c r="D7" s="32" t="s">
        <v>99</v>
      </c>
    </row>
    <row r="8" spans="4:8" x14ac:dyDescent="0.15">
      <c r="D8" s="32" t="s">
        <v>100</v>
      </c>
    </row>
    <row r="9" spans="4:8" x14ac:dyDescent="0.15">
      <c r="D9" s="32" t="s">
        <v>101</v>
      </c>
    </row>
    <row r="10" spans="4:8" x14ac:dyDescent="0.15">
      <c r="D10" s="32" t="s">
        <v>102</v>
      </c>
    </row>
    <row r="11" spans="4:8" x14ac:dyDescent="0.15">
      <c r="D11" s="32" t="s">
        <v>103</v>
      </c>
    </row>
    <row r="12" spans="4:8" x14ac:dyDescent="0.15">
      <c r="D12" s="32" t="s">
        <v>104</v>
      </c>
    </row>
    <row r="13" spans="4:8" x14ac:dyDescent="0.15">
      <c r="D13" s="32" t="s">
        <v>105</v>
      </c>
    </row>
    <row r="14" spans="4:8" x14ac:dyDescent="0.15">
      <c r="D14" s="32" t="s">
        <v>106</v>
      </c>
    </row>
    <row r="15" spans="4:8" x14ac:dyDescent="0.15">
      <c r="D15" s="32" t="s">
        <v>107</v>
      </c>
    </row>
    <row r="16" spans="4:8" x14ac:dyDescent="0.15">
      <c r="D16" s="32" t="s">
        <v>108</v>
      </c>
    </row>
    <row r="17" spans="4:4" x14ac:dyDescent="0.15">
      <c r="D17" s="32" t="s">
        <v>109</v>
      </c>
    </row>
    <row r="18" spans="4:4" x14ac:dyDescent="0.15">
      <c r="D18" s="32" t="s">
        <v>110</v>
      </c>
    </row>
    <row r="19" spans="4:4" x14ac:dyDescent="0.15">
      <c r="D19" s="32" t="s">
        <v>111</v>
      </c>
    </row>
    <row r="20" spans="4:4" x14ac:dyDescent="0.15">
      <c r="D20" s="32" t="s">
        <v>112</v>
      </c>
    </row>
    <row r="21" spans="4:4" x14ac:dyDescent="0.15">
      <c r="D21" s="32" t="s">
        <v>113</v>
      </c>
    </row>
    <row r="22" spans="4:4" x14ac:dyDescent="0.15">
      <c r="D22" s="32" t="s">
        <v>114</v>
      </c>
    </row>
    <row r="23" spans="4:4" x14ac:dyDescent="0.15">
      <c r="D23" s="32" t="s">
        <v>115</v>
      </c>
    </row>
    <row r="24" spans="4:4" x14ac:dyDescent="0.15">
      <c r="D24" s="32" t="s">
        <v>116</v>
      </c>
    </row>
    <row r="25" spans="4:4" x14ac:dyDescent="0.15">
      <c r="D25" s="32" t="s">
        <v>117</v>
      </c>
    </row>
    <row r="26" spans="4:4" x14ac:dyDescent="0.15">
      <c r="D26" s="32" t="s">
        <v>118</v>
      </c>
    </row>
    <row r="27" spans="4:4" x14ac:dyDescent="0.15">
      <c r="D27" s="32" t="s">
        <v>119</v>
      </c>
    </row>
    <row r="28" spans="4:4" x14ac:dyDescent="0.15">
      <c r="D28" s="32" t="s">
        <v>120</v>
      </c>
    </row>
    <row r="29" spans="4:4" x14ac:dyDescent="0.15">
      <c r="D29" s="32" t="s">
        <v>121</v>
      </c>
    </row>
    <row r="30" spans="4:4" x14ac:dyDescent="0.15">
      <c r="D30" s="32" t="s">
        <v>122</v>
      </c>
    </row>
    <row r="31" spans="4:4" x14ac:dyDescent="0.15">
      <c r="D31" s="32" t="s">
        <v>123</v>
      </c>
    </row>
    <row r="32" spans="4:4" x14ac:dyDescent="0.15">
      <c r="D32" s="32" t="s">
        <v>124</v>
      </c>
    </row>
    <row r="33" spans="4:4" x14ac:dyDescent="0.15">
      <c r="D33" s="32" t="s">
        <v>125</v>
      </c>
    </row>
    <row r="34" spans="4:4" x14ac:dyDescent="0.15">
      <c r="D34" s="32" t="s">
        <v>126</v>
      </c>
    </row>
    <row r="35" spans="4:4" x14ac:dyDescent="0.15">
      <c r="D35" s="32" t="s">
        <v>127</v>
      </c>
    </row>
    <row r="36" spans="4:4" x14ac:dyDescent="0.15">
      <c r="D36" s="32" t="s">
        <v>128</v>
      </c>
    </row>
    <row r="37" spans="4:4" x14ac:dyDescent="0.15">
      <c r="D37" s="32" t="s">
        <v>129</v>
      </c>
    </row>
    <row r="38" spans="4:4" x14ac:dyDescent="0.15">
      <c r="D38" s="32" t="s">
        <v>130</v>
      </c>
    </row>
    <row r="39" spans="4:4" x14ac:dyDescent="0.15">
      <c r="D39" s="32" t="s">
        <v>131</v>
      </c>
    </row>
    <row r="40" spans="4:4" x14ac:dyDescent="0.15">
      <c r="D40" s="32" t="s">
        <v>132</v>
      </c>
    </row>
    <row r="41" spans="4:4" x14ac:dyDescent="0.15">
      <c r="D41" s="32" t="s">
        <v>133</v>
      </c>
    </row>
    <row r="42" spans="4:4" x14ac:dyDescent="0.15">
      <c r="D42" s="32" t="s">
        <v>134</v>
      </c>
    </row>
    <row r="43" spans="4:4" x14ac:dyDescent="0.15">
      <c r="D43" s="32" t="s">
        <v>135</v>
      </c>
    </row>
    <row r="44" spans="4:4" x14ac:dyDescent="0.15">
      <c r="D44" s="32" t="s">
        <v>136</v>
      </c>
    </row>
    <row r="45" spans="4:4" x14ac:dyDescent="0.15">
      <c r="D45" s="32" t="s">
        <v>137</v>
      </c>
    </row>
    <row r="46" spans="4:4" x14ac:dyDescent="0.15">
      <c r="D46" s="32" t="s">
        <v>138</v>
      </c>
    </row>
    <row r="47" spans="4:4" x14ac:dyDescent="0.15">
      <c r="D47" s="32" t="s">
        <v>139</v>
      </c>
    </row>
    <row r="48" spans="4:4" x14ac:dyDescent="0.15">
      <c r="D48" s="32" t="s">
        <v>140</v>
      </c>
    </row>
    <row r="49" spans="4:4" x14ac:dyDescent="0.15">
      <c r="D49" s="32" t="s">
        <v>141</v>
      </c>
    </row>
    <row r="50" spans="4:4" x14ac:dyDescent="0.15">
      <c r="D50" s="32" t="s">
        <v>142</v>
      </c>
    </row>
    <row r="51" spans="4:4" x14ac:dyDescent="0.15">
      <c r="D51" s="32" t="s">
        <v>143</v>
      </c>
    </row>
    <row r="52" spans="4:4" x14ac:dyDescent="0.15">
      <c r="D52" s="32" t="s">
        <v>144</v>
      </c>
    </row>
    <row r="53" spans="4:4" x14ac:dyDescent="0.15">
      <c r="D53" s="32" t="s">
        <v>145</v>
      </c>
    </row>
    <row r="54" spans="4:4" x14ac:dyDescent="0.15">
      <c r="D54" s="32" t="s">
        <v>146</v>
      </c>
    </row>
    <row r="55" spans="4:4" x14ac:dyDescent="0.15">
      <c r="D55" s="32" t="s">
        <v>147</v>
      </c>
    </row>
    <row r="56" spans="4:4" x14ac:dyDescent="0.15">
      <c r="D56" s="32" t="s">
        <v>148</v>
      </c>
    </row>
    <row r="57" spans="4:4" x14ac:dyDescent="0.15">
      <c r="D57" s="32" t="s">
        <v>149</v>
      </c>
    </row>
    <row r="58" spans="4:4" x14ac:dyDescent="0.15">
      <c r="D58" s="32" t="s">
        <v>150</v>
      </c>
    </row>
    <row r="59" spans="4:4" x14ac:dyDescent="0.15">
      <c r="D59" s="32" t="s">
        <v>151</v>
      </c>
    </row>
    <row r="60" spans="4:4" x14ac:dyDescent="0.15">
      <c r="D60" s="32" t="s">
        <v>152</v>
      </c>
    </row>
    <row r="61" spans="4:4" x14ac:dyDescent="0.15">
      <c r="D61" s="32" t="s">
        <v>153</v>
      </c>
    </row>
    <row r="62" spans="4:4" x14ac:dyDescent="0.15">
      <c r="D62" s="32" t="s">
        <v>154</v>
      </c>
    </row>
    <row r="63" spans="4:4" x14ac:dyDescent="0.15">
      <c r="D63" s="32" t="s">
        <v>155</v>
      </c>
    </row>
    <row r="64" spans="4:4" x14ac:dyDescent="0.15">
      <c r="D64" s="32" t="s">
        <v>156</v>
      </c>
    </row>
    <row r="65" spans="4:4" x14ac:dyDescent="0.15">
      <c r="D65" s="32" t="s">
        <v>157</v>
      </c>
    </row>
    <row r="66" spans="4:4" x14ac:dyDescent="0.15">
      <c r="D66" s="32" t="s">
        <v>158</v>
      </c>
    </row>
    <row r="67" spans="4:4" x14ac:dyDescent="0.15">
      <c r="D67" s="32" t="s">
        <v>159</v>
      </c>
    </row>
    <row r="68" spans="4:4" x14ac:dyDescent="0.15">
      <c r="D68" s="32" t="s">
        <v>160</v>
      </c>
    </row>
  </sheetData>
  <phoneticPr fontId="5"/>
  <pageMargins left="0.7" right="0.7" top="0.75" bottom="0.75" header="0.3" footer="0.3"/>
  <pageSetup paperSize="9"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
  <sheetViews>
    <sheetView workbookViewId="0">
      <selection activeCell="B42" sqref="B42"/>
    </sheetView>
  </sheetViews>
  <sheetFormatPr baseColWidth="12" defaultRowHeight="15" x14ac:dyDescent="0.15"/>
  <cols>
    <col min="2" max="2" width="49.83203125" bestFit="1" customWidth="1"/>
  </cols>
  <sheetData>
    <row r="2" spans="2:2" x14ac:dyDescent="0.15">
      <c r="B2" s="35" t="s">
        <v>179</v>
      </c>
    </row>
  </sheetData>
  <phoneticPr fontId="5"/>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1:I173"/>
  <sheetViews>
    <sheetView workbookViewId="0">
      <selection activeCell="J7" sqref="J7"/>
    </sheetView>
  </sheetViews>
  <sheetFormatPr baseColWidth="12" defaultColWidth="10.1640625" defaultRowHeight="19" x14ac:dyDescent="0.15"/>
  <cols>
    <col min="1" max="1" width="3.1640625" style="50" customWidth="1"/>
    <col min="2" max="2" width="24.33203125" style="50" bestFit="1" customWidth="1"/>
    <col min="3" max="3" width="44.1640625" style="50" bestFit="1" customWidth="1"/>
    <col min="4" max="8" width="10.1640625" style="50"/>
    <col min="9" max="9" width="30.83203125" style="50" bestFit="1" customWidth="1"/>
    <col min="10" max="10" width="20.1640625" style="50" bestFit="1" customWidth="1"/>
    <col min="11" max="16384" width="10.1640625" style="50"/>
  </cols>
  <sheetData>
    <row r="1" spans="2:9" x14ac:dyDescent="0.15">
      <c r="D1" s="50" t="s">
        <v>706</v>
      </c>
    </row>
    <row r="2" spans="2:9" ht="20" thickBot="1" x14ac:dyDescent="0.2">
      <c r="B2" s="51" t="s">
        <v>707</v>
      </c>
      <c r="C2" s="51" t="s">
        <v>708</v>
      </c>
    </row>
    <row r="3" spans="2:9" x14ac:dyDescent="0.15">
      <c r="B3" s="77" t="s">
        <v>630</v>
      </c>
      <c r="C3" s="52" t="s">
        <v>630</v>
      </c>
      <c r="I3" s="65" t="s">
        <v>709</v>
      </c>
    </row>
    <row r="4" spans="2:9" x14ac:dyDescent="0.15">
      <c r="B4" s="79"/>
      <c r="C4" s="53" t="s">
        <v>710</v>
      </c>
      <c r="I4" s="54" t="s">
        <v>711</v>
      </c>
    </row>
    <row r="5" spans="2:9" x14ac:dyDescent="0.15">
      <c r="B5" s="79"/>
      <c r="C5" s="53" t="s">
        <v>713</v>
      </c>
      <c r="I5" s="54" t="s">
        <v>714</v>
      </c>
    </row>
    <row r="6" spans="2:9" x14ac:dyDescent="0.15">
      <c r="B6" s="79"/>
      <c r="C6" s="53" t="s">
        <v>715</v>
      </c>
      <c r="I6" s="54" t="s">
        <v>716</v>
      </c>
    </row>
    <row r="7" spans="2:9" x14ac:dyDescent="0.15">
      <c r="B7" s="79"/>
      <c r="C7" s="53" t="s">
        <v>718</v>
      </c>
      <c r="I7" s="54" t="s">
        <v>719</v>
      </c>
    </row>
    <row r="8" spans="2:9" ht="20" thickBot="1" x14ac:dyDescent="0.2">
      <c r="B8" s="78"/>
      <c r="C8" s="55" t="s">
        <v>721</v>
      </c>
      <c r="I8" s="54" t="s">
        <v>722</v>
      </c>
    </row>
    <row r="9" spans="2:9" x14ac:dyDescent="0.15">
      <c r="B9" s="77" t="s">
        <v>625</v>
      </c>
      <c r="C9" s="52" t="s">
        <v>724</v>
      </c>
      <c r="I9" s="54" t="s">
        <v>725</v>
      </c>
    </row>
    <row r="10" spans="2:9" x14ac:dyDescent="0.15">
      <c r="B10" s="79"/>
      <c r="C10" s="53" t="s">
        <v>727</v>
      </c>
      <c r="I10" s="54" t="s">
        <v>886</v>
      </c>
    </row>
    <row r="11" spans="2:9" x14ac:dyDescent="0.15">
      <c r="B11" s="79"/>
      <c r="C11" s="53" t="s">
        <v>729</v>
      </c>
      <c r="I11" s="54" t="s">
        <v>887</v>
      </c>
    </row>
    <row r="12" spans="2:9" x14ac:dyDescent="0.15">
      <c r="B12" s="79"/>
      <c r="C12" s="53" t="s">
        <v>731</v>
      </c>
      <c r="I12" s="54" t="s">
        <v>712</v>
      </c>
    </row>
    <row r="13" spans="2:9" x14ac:dyDescent="0.15">
      <c r="B13" s="79"/>
      <c r="C13" s="53" t="s">
        <v>732</v>
      </c>
      <c r="I13" s="54" t="s">
        <v>885</v>
      </c>
    </row>
    <row r="14" spans="2:9" x14ac:dyDescent="0.15">
      <c r="B14" s="79"/>
      <c r="C14" s="53" t="s">
        <v>733</v>
      </c>
      <c r="I14" s="54" t="s">
        <v>717</v>
      </c>
    </row>
    <row r="15" spans="2:9" x14ac:dyDescent="0.15">
      <c r="B15" s="79"/>
      <c r="C15" s="53" t="s">
        <v>734</v>
      </c>
      <c r="I15" s="54" t="s">
        <v>720</v>
      </c>
    </row>
    <row r="16" spans="2:9" x14ac:dyDescent="0.15">
      <c r="B16" s="79"/>
      <c r="C16" s="53" t="s">
        <v>735</v>
      </c>
      <c r="I16" s="54" t="s">
        <v>723</v>
      </c>
    </row>
    <row r="17" spans="2:9" x14ac:dyDescent="0.15">
      <c r="B17" s="79"/>
      <c r="C17" s="53" t="s">
        <v>736</v>
      </c>
      <c r="I17" s="54" t="s">
        <v>726</v>
      </c>
    </row>
    <row r="18" spans="2:9" x14ac:dyDescent="0.15">
      <c r="B18" s="79"/>
      <c r="C18" s="53" t="s">
        <v>737</v>
      </c>
      <c r="I18" s="54" t="s">
        <v>728</v>
      </c>
    </row>
    <row r="19" spans="2:9" x14ac:dyDescent="0.15">
      <c r="B19" s="79"/>
      <c r="C19" s="53" t="s">
        <v>738</v>
      </c>
      <c r="I19" s="54" t="s">
        <v>730</v>
      </c>
    </row>
    <row r="20" spans="2:9" x14ac:dyDescent="0.15">
      <c r="B20" s="79"/>
      <c r="C20" s="53" t="s">
        <v>739</v>
      </c>
    </row>
    <row r="21" spans="2:9" x14ac:dyDescent="0.15">
      <c r="B21" s="79"/>
      <c r="C21" s="53" t="s">
        <v>740</v>
      </c>
    </row>
    <row r="22" spans="2:9" x14ac:dyDescent="0.15">
      <c r="B22" s="79"/>
      <c r="C22" s="53" t="s">
        <v>741</v>
      </c>
    </row>
    <row r="23" spans="2:9" x14ac:dyDescent="0.15">
      <c r="B23" s="79"/>
      <c r="C23" s="53" t="s">
        <v>742</v>
      </c>
    </row>
    <row r="24" spans="2:9" x14ac:dyDescent="0.15">
      <c r="B24" s="79"/>
      <c r="C24" s="53" t="s">
        <v>743</v>
      </c>
    </row>
    <row r="25" spans="2:9" x14ac:dyDescent="0.15">
      <c r="B25" s="79"/>
      <c r="C25" s="53" t="s">
        <v>744</v>
      </c>
    </row>
    <row r="26" spans="2:9" x14ac:dyDescent="0.15">
      <c r="B26" s="79"/>
      <c r="C26" s="56" t="s">
        <v>745</v>
      </c>
      <c r="D26" s="50" t="s">
        <v>746</v>
      </c>
    </row>
    <row r="27" spans="2:9" x14ac:dyDescent="0.15">
      <c r="B27" s="79"/>
      <c r="C27" s="53" t="s">
        <v>625</v>
      </c>
      <c r="E27" s="50" t="s">
        <v>747</v>
      </c>
    </row>
    <row r="28" spans="2:9" ht="20" thickBot="1" x14ac:dyDescent="0.2">
      <c r="B28" s="78"/>
      <c r="C28" s="55" t="s">
        <v>748</v>
      </c>
    </row>
    <row r="29" spans="2:9" x14ac:dyDescent="0.15">
      <c r="B29" s="77" t="s">
        <v>626</v>
      </c>
      <c r="C29" s="52" t="s">
        <v>749</v>
      </c>
    </row>
    <row r="30" spans="2:9" x14ac:dyDescent="0.15">
      <c r="B30" s="79"/>
      <c r="C30" s="53" t="s">
        <v>750</v>
      </c>
    </row>
    <row r="31" spans="2:9" x14ac:dyDescent="0.15">
      <c r="B31" s="79"/>
      <c r="C31" s="53" t="s">
        <v>751</v>
      </c>
    </row>
    <row r="32" spans="2:9" x14ac:dyDescent="0.15">
      <c r="B32" s="79"/>
      <c r="C32" s="53" t="s">
        <v>752</v>
      </c>
    </row>
    <row r="33" spans="2:5" x14ac:dyDescent="0.15">
      <c r="B33" s="79"/>
      <c r="C33" s="53" t="s">
        <v>753</v>
      </c>
    </row>
    <row r="34" spans="2:5" x14ac:dyDescent="0.15">
      <c r="B34" s="79"/>
      <c r="C34" s="53" t="s">
        <v>754</v>
      </c>
    </row>
    <row r="35" spans="2:5" x14ac:dyDescent="0.15">
      <c r="B35" s="79"/>
      <c r="C35" s="53" t="s">
        <v>755</v>
      </c>
    </row>
    <row r="36" spans="2:5" x14ac:dyDescent="0.15">
      <c r="B36" s="79"/>
      <c r="C36" s="53" t="s">
        <v>756</v>
      </c>
    </row>
    <row r="37" spans="2:5" ht="20" thickBot="1" x14ac:dyDescent="0.2">
      <c r="B37" s="78"/>
      <c r="C37" s="57" t="s">
        <v>745</v>
      </c>
      <c r="D37" s="50" t="s">
        <v>746</v>
      </c>
    </row>
    <row r="38" spans="2:5" x14ac:dyDescent="0.15">
      <c r="B38" s="77" t="s">
        <v>624</v>
      </c>
      <c r="C38" s="52" t="s">
        <v>757</v>
      </c>
      <c r="E38" s="50" t="s">
        <v>758</v>
      </c>
    </row>
    <row r="39" spans="2:5" x14ac:dyDescent="0.15">
      <c r="B39" s="79"/>
      <c r="C39" s="53" t="s">
        <v>759</v>
      </c>
    </row>
    <row r="40" spans="2:5" x14ac:dyDescent="0.15">
      <c r="B40" s="79"/>
      <c r="C40" s="53" t="s">
        <v>760</v>
      </c>
    </row>
    <row r="41" spans="2:5" x14ac:dyDescent="0.15">
      <c r="B41" s="79"/>
      <c r="C41" s="53" t="s">
        <v>761</v>
      </c>
    </row>
    <row r="42" spans="2:5" x14ac:dyDescent="0.15">
      <c r="B42" s="79"/>
      <c r="C42" s="53" t="s">
        <v>762</v>
      </c>
    </row>
    <row r="43" spans="2:5" x14ac:dyDescent="0.15">
      <c r="B43" s="79"/>
      <c r="C43" s="53" t="s">
        <v>763</v>
      </c>
    </row>
    <row r="44" spans="2:5" x14ac:dyDescent="0.15">
      <c r="B44" s="79"/>
      <c r="C44" s="53" t="s">
        <v>764</v>
      </c>
    </row>
    <row r="45" spans="2:5" x14ac:dyDescent="0.15">
      <c r="B45" s="79"/>
      <c r="C45" s="53" t="s">
        <v>765</v>
      </c>
    </row>
    <row r="46" spans="2:5" x14ac:dyDescent="0.15">
      <c r="B46" s="79"/>
      <c r="C46" s="53" t="s">
        <v>766</v>
      </c>
    </row>
    <row r="47" spans="2:5" ht="20" thickBot="1" x14ac:dyDescent="0.2">
      <c r="B47" s="78"/>
      <c r="C47" s="55" t="s">
        <v>624</v>
      </c>
    </row>
    <row r="48" spans="2:5" ht="20" thickBot="1" x14ac:dyDescent="0.2">
      <c r="B48" s="58" t="s">
        <v>767</v>
      </c>
      <c r="C48" s="59" t="s">
        <v>767</v>
      </c>
    </row>
    <row r="49" spans="2:3" ht="20" thickBot="1" x14ac:dyDescent="0.2">
      <c r="B49" s="58" t="s">
        <v>618</v>
      </c>
      <c r="C49" s="59" t="s">
        <v>618</v>
      </c>
    </row>
    <row r="50" spans="2:3" ht="20" thickBot="1" x14ac:dyDescent="0.2">
      <c r="B50" s="58" t="s">
        <v>620</v>
      </c>
      <c r="C50" s="59" t="s">
        <v>620</v>
      </c>
    </row>
    <row r="51" spans="2:3" x14ac:dyDescent="0.15">
      <c r="B51" s="74" t="s">
        <v>720</v>
      </c>
      <c r="C51" s="52" t="s">
        <v>768</v>
      </c>
    </row>
    <row r="52" spans="2:3" x14ac:dyDescent="0.15">
      <c r="B52" s="75"/>
      <c r="C52" s="53" t="s">
        <v>769</v>
      </c>
    </row>
    <row r="53" spans="2:3" x14ac:dyDescent="0.15">
      <c r="B53" s="75"/>
      <c r="C53" s="53" t="s">
        <v>770</v>
      </c>
    </row>
    <row r="54" spans="2:3" x14ac:dyDescent="0.15">
      <c r="B54" s="75"/>
      <c r="C54" s="53" t="s">
        <v>771</v>
      </c>
    </row>
    <row r="55" spans="2:3" x14ac:dyDescent="0.15">
      <c r="B55" s="75"/>
      <c r="C55" s="53" t="s">
        <v>772</v>
      </c>
    </row>
    <row r="56" spans="2:3" x14ac:dyDescent="0.15">
      <c r="B56" s="75"/>
      <c r="C56" s="53" t="s">
        <v>773</v>
      </c>
    </row>
    <row r="57" spans="2:3" x14ac:dyDescent="0.15">
      <c r="B57" s="75"/>
      <c r="C57" s="53" t="s">
        <v>774</v>
      </c>
    </row>
    <row r="58" spans="2:3" x14ac:dyDescent="0.15">
      <c r="B58" s="75"/>
      <c r="C58" s="53" t="s">
        <v>775</v>
      </c>
    </row>
    <row r="59" spans="2:3" x14ac:dyDescent="0.15">
      <c r="B59" s="75"/>
      <c r="C59" s="53" t="s">
        <v>776</v>
      </c>
    </row>
    <row r="60" spans="2:3" x14ac:dyDescent="0.15">
      <c r="B60" s="75"/>
      <c r="C60" s="53" t="s">
        <v>777</v>
      </c>
    </row>
    <row r="61" spans="2:3" x14ac:dyDescent="0.15">
      <c r="B61" s="75"/>
      <c r="C61" s="53" t="s">
        <v>778</v>
      </c>
    </row>
    <row r="62" spans="2:3" x14ac:dyDescent="0.15">
      <c r="B62" s="75"/>
      <c r="C62" s="53" t="s">
        <v>779</v>
      </c>
    </row>
    <row r="63" spans="2:3" x14ac:dyDescent="0.15">
      <c r="B63" s="75"/>
      <c r="C63" s="53" t="s">
        <v>780</v>
      </c>
    </row>
    <row r="64" spans="2:3" ht="20" thickBot="1" x14ac:dyDescent="0.2">
      <c r="B64" s="75"/>
      <c r="C64" s="60" t="s">
        <v>781</v>
      </c>
    </row>
    <row r="65" spans="2:3" x14ac:dyDescent="0.15">
      <c r="B65" s="74" t="s">
        <v>622</v>
      </c>
      <c r="C65" s="52" t="s">
        <v>782</v>
      </c>
    </row>
    <row r="66" spans="2:3" x14ac:dyDescent="0.15">
      <c r="B66" s="75"/>
      <c r="C66" s="53" t="s">
        <v>783</v>
      </c>
    </row>
    <row r="67" spans="2:3" x14ac:dyDescent="0.15">
      <c r="B67" s="75"/>
      <c r="C67" s="53" t="s">
        <v>784</v>
      </c>
    </row>
    <row r="68" spans="2:3" x14ac:dyDescent="0.15">
      <c r="B68" s="75"/>
      <c r="C68" s="53" t="s">
        <v>785</v>
      </c>
    </row>
    <row r="69" spans="2:3" x14ac:dyDescent="0.15">
      <c r="B69" s="75"/>
      <c r="C69" s="53" t="s">
        <v>786</v>
      </c>
    </row>
    <row r="70" spans="2:3" x14ac:dyDescent="0.15">
      <c r="B70" s="75"/>
      <c r="C70" s="53" t="s">
        <v>787</v>
      </c>
    </row>
    <row r="71" spans="2:3" x14ac:dyDescent="0.15">
      <c r="B71" s="75"/>
      <c r="C71" s="53" t="s">
        <v>788</v>
      </c>
    </row>
    <row r="72" spans="2:3" x14ac:dyDescent="0.15">
      <c r="B72" s="75"/>
      <c r="C72" s="53" t="s">
        <v>789</v>
      </c>
    </row>
    <row r="73" spans="2:3" x14ac:dyDescent="0.15">
      <c r="B73" s="75"/>
      <c r="C73" s="53" t="s">
        <v>790</v>
      </c>
    </row>
    <row r="74" spans="2:3" x14ac:dyDescent="0.15">
      <c r="B74" s="75"/>
      <c r="C74" s="53" t="s">
        <v>791</v>
      </c>
    </row>
    <row r="75" spans="2:3" x14ac:dyDescent="0.15">
      <c r="B75" s="75"/>
      <c r="C75" s="53" t="s">
        <v>792</v>
      </c>
    </row>
    <row r="76" spans="2:3" x14ac:dyDescent="0.15">
      <c r="B76" s="75"/>
      <c r="C76" s="53" t="s">
        <v>793</v>
      </c>
    </row>
    <row r="77" spans="2:3" x14ac:dyDescent="0.15">
      <c r="B77" s="75"/>
      <c r="C77" s="53" t="s">
        <v>794</v>
      </c>
    </row>
    <row r="78" spans="2:3" x14ac:dyDescent="0.15">
      <c r="B78" s="75"/>
      <c r="C78" s="53" t="s">
        <v>795</v>
      </c>
    </row>
    <row r="79" spans="2:3" x14ac:dyDescent="0.15">
      <c r="B79" s="75"/>
      <c r="C79" s="53" t="s">
        <v>796</v>
      </c>
    </row>
    <row r="80" spans="2:3" x14ac:dyDescent="0.15">
      <c r="B80" s="75"/>
      <c r="C80" s="53" t="s">
        <v>797</v>
      </c>
    </row>
    <row r="81" spans="2:3" x14ac:dyDescent="0.15">
      <c r="B81" s="75"/>
      <c r="C81" s="53" t="s">
        <v>798</v>
      </c>
    </row>
    <row r="82" spans="2:3" x14ac:dyDescent="0.15">
      <c r="B82" s="75"/>
      <c r="C82" s="53" t="s">
        <v>799</v>
      </c>
    </row>
    <row r="83" spans="2:3" x14ac:dyDescent="0.15">
      <c r="B83" s="75"/>
      <c r="C83" s="53" t="s">
        <v>800</v>
      </c>
    </row>
    <row r="84" spans="2:3" x14ac:dyDescent="0.15">
      <c r="B84" s="75"/>
      <c r="C84" s="53" t="s">
        <v>801</v>
      </c>
    </row>
    <row r="85" spans="2:3" x14ac:dyDescent="0.15">
      <c r="B85" s="75"/>
      <c r="C85" s="53" t="s">
        <v>802</v>
      </c>
    </row>
    <row r="86" spans="2:3" x14ac:dyDescent="0.15">
      <c r="B86" s="75"/>
      <c r="C86" s="53" t="s">
        <v>803</v>
      </c>
    </row>
    <row r="87" spans="2:3" x14ac:dyDescent="0.15">
      <c r="B87" s="75"/>
      <c r="C87" s="53" t="s">
        <v>804</v>
      </c>
    </row>
    <row r="88" spans="2:3" x14ac:dyDescent="0.15">
      <c r="B88" s="75"/>
      <c r="C88" s="53" t="s">
        <v>805</v>
      </c>
    </row>
    <row r="89" spans="2:3" x14ac:dyDescent="0.15">
      <c r="B89" s="75"/>
      <c r="C89" s="53" t="s">
        <v>806</v>
      </c>
    </row>
    <row r="90" spans="2:3" x14ac:dyDescent="0.15">
      <c r="B90" s="75"/>
      <c r="C90" s="53" t="s">
        <v>807</v>
      </c>
    </row>
    <row r="91" spans="2:3" x14ac:dyDescent="0.15">
      <c r="B91" s="75"/>
      <c r="C91" s="53" t="s">
        <v>808</v>
      </c>
    </row>
    <row r="92" spans="2:3" ht="20" thickBot="1" x14ac:dyDescent="0.2">
      <c r="B92" s="76"/>
      <c r="C92" s="55" t="s">
        <v>809</v>
      </c>
    </row>
    <row r="93" spans="2:3" ht="20" thickBot="1" x14ac:dyDescent="0.2">
      <c r="B93" s="58" t="s">
        <v>662</v>
      </c>
      <c r="C93" s="59" t="s">
        <v>662</v>
      </c>
    </row>
    <row r="94" spans="2:3" ht="20" thickBot="1" x14ac:dyDescent="0.2">
      <c r="B94" s="58" t="s">
        <v>810</v>
      </c>
      <c r="C94" s="59" t="s">
        <v>810</v>
      </c>
    </row>
    <row r="95" spans="2:3" x14ac:dyDescent="0.15">
      <c r="B95" s="77" t="s">
        <v>661</v>
      </c>
      <c r="C95" s="52" t="s">
        <v>661</v>
      </c>
    </row>
    <row r="96" spans="2:3" ht="20" thickBot="1" x14ac:dyDescent="0.2">
      <c r="B96" s="78"/>
      <c r="C96" s="55" t="s">
        <v>811</v>
      </c>
    </row>
    <row r="97" spans="2:3" x14ac:dyDescent="0.15">
      <c r="B97" s="77" t="s">
        <v>623</v>
      </c>
      <c r="C97" s="52" t="s">
        <v>812</v>
      </c>
    </row>
    <row r="98" spans="2:3" x14ac:dyDescent="0.15">
      <c r="B98" s="79"/>
      <c r="C98" s="53" t="s">
        <v>813</v>
      </c>
    </row>
    <row r="99" spans="2:3" x14ac:dyDescent="0.15">
      <c r="B99" s="79"/>
      <c r="C99" s="53" t="s">
        <v>814</v>
      </c>
    </row>
    <row r="100" spans="2:3" x14ac:dyDescent="0.15">
      <c r="B100" s="79"/>
      <c r="C100" s="53" t="s">
        <v>815</v>
      </c>
    </row>
    <row r="101" spans="2:3" x14ac:dyDescent="0.15">
      <c r="B101" s="79"/>
      <c r="C101" s="53" t="s">
        <v>816</v>
      </c>
    </row>
    <row r="102" spans="2:3" x14ac:dyDescent="0.15">
      <c r="B102" s="79"/>
      <c r="C102" s="53" t="s">
        <v>817</v>
      </c>
    </row>
    <row r="103" spans="2:3" x14ac:dyDescent="0.15">
      <c r="B103" s="79"/>
      <c r="C103" s="53" t="s">
        <v>818</v>
      </c>
    </row>
    <row r="104" spans="2:3" ht="20" thickBot="1" x14ac:dyDescent="0.2">
      <c r="B104" s="78"/>
      <c r="C104" s="55" t="s">
        <v>819</v>
      </c>
    </row>
    <row r="105" spans="2:3" x14ac:dyDescent="0.15">
      <c r="B105" s="74" t="s">
        <v>722</v>
      </c>
      <c r="C105" s="52" t="s">
        <v>820</v>
      </c>
    </row>
    <row r="106" spans="2:3" x14ac:dyDescent="0.15">
      <c r="B106" s="75"/>
      <c r="C106" s="53" t="s">
        <v>821</v>
      </c>
    </row>
    <row r="107" spans="2:3" x14ac:dyDescent="0.15">
      <c r="B107" s="75"/>
      <c r="C107" s="53" t="s">
        <v>822</v>
      </c>
    </row>
    <row r="108" spans="2:3" x14ac:dyDescent="0.15">
      <c r="B108" s="75"/>
      <c r="C108" s="53" t="s">
        <v>823</v>
      </c>
    </row>
    <row r="109" spans="2:3" x14ac:dyDescent="0.15">
      <c r="B109" s="75"/>
      <c r="C109" s="53" t="s">
        <v>824</v>
      </c>
    </row>
    <row r="110" spans="2:3" x14ac:dyDescent="0.15">
      <c r="B110" s="75"/>
      <c r="C110" s="53" t="s">
        <v>825</v>
      </c>
    </row>
    <row r="111" spans="2:3" x14ac:dyDescent="0.15">
      <c r="B111" s="75"/>
      <c r="C111" s="53" t="s">
        <v>826</v>
      </c>
    </row>
    <row r="112" spans="2:3" x14ac:dyDescent="0.15">
      <c r="B112" s="80"/>
      <c r="C112" s="53" t="s">
        <v>827</v>
      </c>
    </row>
    <row r="113" spans="2:3" x14ac:dyDescent="0.15">
      <c r="B113" s="80"/>
      <c r="C113" s="53" t="s">
        <v>828</v>
      </c>
    </row>
    <row r="114" spans="2:3" x14ac:dyDescent="0.15">
      <c r="B114" s="80"/>
      <c r="C114" s="53" t="s">
        <v>829</v>
      </c>
    </row>
    <row r="115" spans="2:3" x14ac:dyDescent="0.15">
      <c r="B115" s="80"/>
      <c r="C115" s="53" t="s">
        <v>830</v>
      </c>
    </row>
    <row r="116" spans="2:3" x14ac:dyDescent="0.15">
      <c r="B116" s="80"/>
      <c r="C116" s="53" t="s">
        <v>831</v>
      </c>
    </row>
    <row r="117" spans="2:3" x14ac:dyDescent="0.15">
      <c r="B117" s="75"/>
      <c r="C117" s="61" t="s">
        <v>832</v>
      </c>
    </row>
    <row r="118" spans="2:3" x14ac:dyDescent="0.15">
      <c r="B118" s="75"/>
      <c r="C118" s="53" t="s">
        <v>833</v>
      </c>
    </row>
    <row r="119" spans="2:3" x14ac:dyDescent="0.15">
      <c r="B119" s="75"/>
      <c r="C119" s="53" t="s">
        <v>834</v>
      </c>
    </row>
    <row r="120" spans="2:3" ht="20" thickBot="1" x14ac:dyDescent="0.2">
      <c r="B120" s="76"/>
      <c r="C120" s="55" t="s">
        <v>835</v>
      </c>
    </row>
    <row r="121" spans="2:3" ht="20" thickBot="1" x14ac:dyDescent="0.2">
      <c r="B121" s="62" t="s">
        <v>621</v>
      </c>
      <c r="C121" s="63" t="s">
        <v>621</v>
      </c>
    </row>
    <row r="122" spans="2:3" x14ac:dyDescent="0.15">
      <c r="B122" s="81" t="s">
        <v>730</v>
      </c>
      <c r="C122" s="52" t="s">
        <v>836</v>
      </c>
    </row>
    <row r="123" spans="2:3" x14ac:dyDescent="0.15">
      <c r="B123" s="80"/>
      <c r="C123" s="53" t="s">
        <v>837</v>
      </c>
    </row>
    <row r="124" spans="2:3" x14ac:dyDescent="0.15">
      <c r="B124" s="80"/>
      <c r="C124" s="53" t="s">
        <v>838</v>
      </c>
    </row>
    <row r="125" spans="2:3" x14ac:dyDescent="0.15">
      <c r="B125" s="80"/>
      <c r="C125" s="53" t="s">
        <v>839</v>
      </c>
    </row>
    <row r="126" spans="2:3" x14ac:dyDescent="0.15">
      <c r="B126" s="80"/>
      <c r="C126" s="53" t="s">
        <v>840</v>
      </c>
    </row>
    <row r="127" spans="2:3" x14ac:dyDescent="0.15">
      <c r="B127" s="80"/>
      <c r="C127" s="53" t="s">
        <v>841</v>
      </c>
    </row>
    <row r="128" spans="2:3" x14ac:dyDescent="0.15">
      <c r="B128" s="80"/>
      <c r="C128" s="53" t="s">
        <v>842</v>
      </c>
    </row>
    <row r="129" spans="2:3" x14ac:dyDescent="0.15">
      <c r="B129" s="80"/>
      <c r="C129" s="53" t="s">
        <v>843</v>
      </c>
    </row>
    <row r="130" spans="2:3" x14ac:dyDescent="0.15">
      <c r="B130" s="80"/>
      <c r="C130" s="53" t="s">
        <v>844</v>
      </c>
    </row>
    <row r="131" spans="2:3" x14ac:dyDescent="0.15">
      <c r="B131" s="80"/>
      <c r="C131" s="53" t="s">
        <v>845</v>
      </c>
    </row>
    <row r="132" spans="2:3" x14ac:dyDescent="0.15">
      <c r="B132" s="80"/>
      <c r="C132" s="53" t="s">
        <v>846</v>
      </c>
    </row>
    <row r="133" spans="2:3" x14ac:dyDescent="0.15">
      <c r="B133" s="80"/>
      <c r="C133" s="53" t="s">
        <v>847</v>
      </c>
    </row>
    <row r="134" spans="2:3" x14ac:dyDescent="0.15">
      <c r="B134" s="80"/>
      <c r="C134" s="53" t="s">
        <v>848</v>
      </c>
    </row>
    <row r="135" spans="2:3" x14ac:dyDescent="0.15">
      <c r="B135" s="80"/>
      <c r="C135" s="53" t="s">
        <v>849</v>
      </c>
    </row>
    <row r="136" spans="2:3" x14ac:dyDescent="0.15">
      <c r="B136" s="80"/>
      <c r="C136" s="53" t="s">
        <v>850</v>
      </c>
    </row>
    <row r="137" spans="2:3" x14ac:dyDescent="0.15">
      <c r="B137" s="80"/>
      <c r="C137" s="53" t="s">
        <v>851</v>
      </c>
    </row>
    <row r="138" spans="2:3" x14ac:dyDescent="0.15">
      <c r="B138" s="80"/>
      <c r="C138" s="53" t="s">
        <v>852</v>
      </c>
    </row>
    <row r="139" spans="2:3" x14ac:dyDescent="0.15">
      <c r="B139" s="80"/>
      <c r="C139" s="53" t="s">
        <v>853</v>
      </c>
    </row>
    <row r="140" spans="2:3" x14ac:dyDescent="0.15">
      <c r="B140" s="80"/>
      <c r="C140" s="53" t="s">
        <v>854</v>
      </c>
    </row>
    <row r="141" spans="2:3" x14ac:dyDescent="0.15">
      <c r="B141" s="80"/>
      <c r="C141" s="53" t="s">
        <v>855</v>
      </c>
    </row>
    <row r="142" spans="2:3" x14ac:dyDescent="0.15">
      <c r="B142" s="80"/>
      <c r="C142" s="53" t="s">
        <v>856</v>
      </c>
    </row>
    <row r="143" spans="2:3" x14ac:dyDescent="0.15">
      <c r="B143" s="80"/>
      <c r="C143" s="53" t="s">
        <v>857</v>
      </c>
    </row>
    <row r="144" spans="2:3" x14ac:dyDescent="0.15">
      <c r="B144" s="80"/>
      <c r="C144" s="53" t="s">
        <v>857</v>
      </c>
    </row>
    <row r="145" spans="2:3" x14ac:dyDescent="0.15">
      <c r="B145" s="80"/>
      <c r="C145" s="53" t="s">
        <v>857</v>
      </c>
    </row>
    <row r="146" spans="2:3" x14ac:dyDescent="0.15">
      <c r="B146" s="80"/>
      <c r="C146" s="53" t="s">
        <v>858</v>
      </c>
    </row>
    <row r="147" spans="2:3" x14ac:dyDescent="0.15">
      <c r="B147" s="80"/>
      <c r="C147" s="53" t="s">
        <v>859</v>
      </c>
    </row>
    <row r="148" spans="2:3" x14ac:dyDescent="0.15">
      <c r="B148" s="80"/>
      <c r="C148" s="53" t="s">
        <v>860</v>
      </c>
    </row>
    <row r="149" spans="2:3" x14ac:dyDescent="0.15">
      <c r="B149" s="80"/>
      <c r="C149" s="53" t="s">
        <v>861</v>
      </c>
    </row>
    <row r="150" spans="2:3" x14ac:dyDescent="0.15">
      <c r="B150" s="80"/>
      <c r="C150" s="53" t="s">
        <v>862</v>
      </c>
    </row>
    <row r="151" spans="2:3" x14ac:dyDescent="0.15">
      <c r="B151" s="80"/>
      <c r="C151" s="53" t="s">
        <v>863</v>
      </c>
    </row>
    <row r="152" spans="2:3" x14ac:dyDescent="0.15">
      <c r="B152" s="80"/>
      <c r="C152" s="53" t="s">
        <v>864</v>
      </c>
    </row>
    <row r="153" spans="2:3" x14ac:dyDescent="0.15">
      <c r="B153" s="80"/>
      <c r="C153" s="53" t="s">
        <v>865</v>
      </c>
    </row>
    <row r="154" spans="2:3" x14ac:dyDescent="0.15">
      <c r="B154" s="80"/>
      <c r="C154" s="64" t="s">
        <v>866</v>
      </c>
    </row>
    <row r="155" spans="2:3" x14ac:dyDescent="0.15">
      <c r="B155" s="80"/>
      <c r="C155" s="53" t="s">
        <v>867</v>
      </c>
    </row>
    <row r="156" spans="2:3" x14ac:dyDescent="0.15">
      <c r="B156" s="80"/>
      <c r="C156" s="53" t="s">
        <v>868</v>
      </c>
    </row>
    <row r="157" spans="2:3" x14ac:dyDescent="0.15">
      <c r="B157" s="80"/>
      <c r="C157" s="53" t="s">
        <v>869</v>
      </c>
    </row>
    <row r="158" spans="2:3" x14ac:dyDescent="0.15">
      <c r="B158" s="80"/>
      <c r="C158" s="53" t="s">
        <v>870</v>
      </c>
    </row>
    <row r="159" spans="2:3" x14ac:dyDescent="0.15">
      <c r="B159" s="80"/>
      <c r="C159" s="53" t="s">
        <v>871</v>
      </c>
    </row>
    <row r="160" spans="2:3" x14ac:dyDescent="0.15">
      <c r="B160" s="80"/>
      <c r="C160" s="53" t="s">
        <v>872</v>
      </c>
    </row>
    <row r="161" spans="2:3" x14ac:dyDescent="0.15">
      <c r="B161" s="80"/>
      <c r="C161" s="53" t="s">
        <v>873</v>
      </c>
    </row>
    <row r="162" spans="2:3" x14ac:dyDescent="0.15">
      <c r="B162" s="80"/>
      <c r="C162" s="53" t="s">
        <v>874</v>
      </c>
    </row>
    <row r="163" spans="2:3" x14ac:dyDescent="0.15">
      <c r="B163" s="80"/>
      <c r="C163" s="53" t="s">
        <v>875</v>
      </c>
    </row>
    <row r="164" spans="2:3" x14ac:dyDescent="0.15">
      <c r="B164" s="80"/>
      <c r="C164" s="53" t="s">
        <v>278</v>
      </c>
    </row>
    <row r="165" spans="2:3" x14ac:dyDescent="0.15">
      <c r="B165" s="80"/>
      <c r="C165" s="53" t="s">
        <v>876</v>
      </c>
    </row>
    <row r="166" spans="2:3" x14ac:dyDescent="0.15">
      <c r="B166" s="80"/>
      <c r="C166" s="53" t="s">
        <v>877</v>
      </c>
    </row>
    <row r="167" spans="2:3" x14ac:dyDescent="0.15">
      <c r="B167" s="80"/>
      <c r="C167" s="53" t="s">
        <v>878</v>
      </c>
    </row>
    <row r="168" spans="2:3" x14ac:dyDescent="0.15">
      <c r="B168" s="80"/>
      <c r="C168" s="53" t="s">
        <v>879</v>
      </c>
    </row>
    <row r="169" spans="2:3" x14ac:dyDescent="0.15">
      <c r="B169" s="80"/>
      <c r="C169" s="53" t="s">
        <v>880</v>
      </c>
    </row>
    <row r="170" spans="2:3" x14ac:dyDescent="0.15">
      <c r="B170" s="80"/>
      <c r="C170" s="53" t="s">
        <v>881</v>
      </c>
    </row>
    <row r="171" spans="2:3" x14ac:dyDescent="0.15">
      <c r="B171" s="80"/>
      <c r="C171" s="53" t="s">
        <v>882</v>
      </c>
    </row>
    <row r="172" spans="2:3" x14ac:dyDescent="0.15">
      <c r="B172" s="80"/>
      <c r="C172" s="53" t="s">
        <v>883</v>
      </c>
    </row>
    <row r="173" spans="2:3" ht="20" thickBot="1" x14ac:dyDescent="0.2">
      <c r="B173" s="82"/>
      <c r="C173" s="55" t="s">
        <v>884</v>
      </c>
    </row>
  </sheetData>
  <mergeCells count="10">
    <mergeCell ref="B3:B8"/>
    <mergeCell ref="B9:B28"/>
    <mergeCell ref="B29:B37"/>
    <mergeCell ref="B38:B47"/>
    <mergeCell ref="B51:B64"/>
    <mergeCell ref="B65:B92"/>
    <mergeCell ref="B95:B96"/>
    <mergeCell ref="B97:B104"/>
    <mergeCell ref="B105:B120"/>
    <mergeCell ref="B122:B173"/>
  </mergeCells>
  <phoneticPr fontId="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7</vt:i4>
      </vt:variant>
    </vt:vector>
  </HeadingPairs>
  <TitlesOfParts>
    <vt:vector size="7" baseType="lpstr">
      <vt:lpstr>output</vt:lpstr>
      <vt:lpstr>abilities</vt:lpstr>
      <vt:lpstr>ability_基礎設計</vt:lpstr>
      <vt:lpstr>unit_abilities</vt:lpstr>
      <vt:lpstr>文言管理シート</vt:lpstr>
      <vt:lpstr>Sheet1</vt:lpstr>
      <vt:lpstr>アビリティ分類分け</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椿秀典</dc:creator>
  <cp:lastModifiedBy>Microsoft Office ユーザー</cp:lastModifiedBy>
  <dcterms:created xsi:type="dcterms:W3CDTF">2015-01-30T13:36:44Z</dcterms:created>
  <dcterms:modified xsi:type="dcterms:W3CDTF">2017-06-09T03:22:59Z</dcterms:modified>
</cp:coreProperties>
</file>